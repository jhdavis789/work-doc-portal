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(data)" sheetId="1" state="visible" r:id="rId1"/>
    <sheet xmlns:r="http://schemas.openxmlformats.org/officeDocument/2006/relationships" name="Weekly (data)" sheetId="2" state="visible" r:id="rId2"/>
    <sheet xmlns:r="http://schemas.openxmlformats.org/officeDocument/2006/relationships" name="Quarterly (data)" sheetId="3" state="visible" r:id="rId3"/>
    <sheet xmlns:r="http://schemas.openxmlformats.org/officeDocument/2006/relationships" name="Bloomberg (monthly)" sheetId="4" state="visible" r:id="rId4"/>
    <sheet xmlns:r="http://schemas.openxmlformats.org/officeDocument/2006/relationships" name="Readme" sheetId="5" state="visible" r:id="rId5"/>
  </sheets>
  <definedNames/>
  <calcPr calcId="124519" calcMode="manual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yyyy-mm-dd"/>
    <numFmt numFmtId="166" formatCode="0.00####"/>
    <numFmt numFmtId="167" formatCode="0.0000"/>
    <numFmt numFmtId="168" formatCode="0.0%"/>
    <numFmt numFmtId="169" formatCode="0.000"/>
  </numFmts>
  <fonts count="7">
    <font>
      <name val="Calibri"/>
      <family val="2"/>
      <color theme="1"/>
      <sz val="11"/>
      <scheme val="minor"/>
    </font>
    <font>
      <b val="1"/>
      <color rgb="0000294B"/>
      <sz val="12"/>
    </font>
    <font>
      <b val="1"/>
      <color rgb="00FFFFFF"/>
    </font>
    <font>
      <b val="1"/>
      <color rgb="0000294B"/>
    </font>
    <font>
      <b val="1"/>
      <color rgb="000000CC"/>
    </font>
    <font>
      <color rgb="000000CC"/>
    </font>
    <font>
      <b val="1"/>
    </font>
  </fonts>
  <fills count="4">
    <fill>
      <patternFill/>
    </fill>
    <fill>
      <patternFill patternType="gray125"/>
    </fill>
    <fill>
      <patternFill patternType="solid">
        <fgColor rgb="0000294B"/>
      </patternFill>
    </fill>
    <fill>
      <patternFill patternType="solid">
        <fgColor rgb="00FFF3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2" fillId="2" borderId="0" applyAlignment="1" pivotButton="0" quotePrefix="0" xfId="0">
      <alignment vertical="center" wrapText="1"/>
    </xf>
    <xf numFmtId="0" fontId="2" fillId="2" borderId="0" pivotButton="0" quotePrefix="0" xfId="0"/>
    <xf numFmtId="0" fontId="6" fillId="0" borderId="0" pivotButton="0" quotePrefix="0" xfId="0"/>
    <xf numFmtId="165" fontId="0" fillId="0" borderId="0" pivotButton="0" quotePrefix="0" xfId="0"/>
    <xf numFmtId="166" fontId="5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(data)'!$A$4:$A$284</f>
            </numRef>
          </cat>
          <val>
            <numRef>
              <f>'Monthly (data)'!$L$4:$L$284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(data)'!$A$4:$A$284</f>
            </numRef>
          </cat>
          <val>
            <numRef>
              <f>'Monthly (data)'!$U$4:$U$284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 (data)'!$V$4:$V$11</f>
            </numRef>
          </cat>
          <val>
            <numRef>
              <f>'Monthly (data)'!$W$4:$W$11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(data)'!$A$64:$A$284</f>
            </numRef>
          </cat>
          <val>
            <numRef>
              <f>'Monthly (data)'!$L$64:$L$284</f>
            </numRef>
          </val>
          <smooth val="0"/>
        </ser>
        <ser>
          <idx val="1"/>
          <order val="1"/>
          <tx>
            <v>OOS predicted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(data)'!$A$64:$A$284</f>
            </numRef>
          </cat>
          <val>
            <numRef>
              <f>'Monthly (data)'!$AK$64:$AK$284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60m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(data)'!$AB$63:$AB$284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(data)'!$AC$63:$AC$284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(data)'!$AD$63:$AD$284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(data)'!$AE$63:$AE$284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(data)'!$AF$63:$AF$284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(data)'!$AG$63:$AG$284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(data)'!$AH$63:$AH$284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(data)'!$AI$63:$AI$284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(data)'!$AA$63:$AA$284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(data)'!$AJ$63:$AJ$284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(data)'!$A$4:$A$1226</f>
            </numRef>
          </cat>
          <val>
            <numRef>
              <f>'Weekly (data)'!$L$4:$L$1226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(data)'!$A$4:$A$1226</f>
            </numRef>
          </cat>
          <val>
            <numRef>
              <f>'Weekly (data)'!$U$4:$U$1226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'Weekly (data)'!$V$4:$V$11</f>
            </numRef>
          </cat>
          <val>
            <numRef>
              <f>'Weekly (data)'!$W$4:$W$11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(data)'!$A$264:$A$1226</f>
            </numRef>
          </cat>
          <val>
            <numRef>
              <f>'Weekly (data)'!$L$264:$L$1226</f>
            </numRef>
          </val>
          <smooth val="0"/>
        </ser>
        <ser>
          <idx val="1"/>
          <order val="1"/>
          <tx>
            <v>OOS predicted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(data)'!$A$264:$A$1226</f>
            </numRef>
          </cat>
          <val>
            <numRef>
              <f>'Weekly (data)'!$AK$264:$AK$1226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60m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(data)'!$AB$263:$AB$1226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(data)'!$AC$263:$AC$1226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(data)'!$AD$263:$AD$1226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(data)'!$AE$263:$AE$1226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(data)'!$AF$263:$AF$1226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(data)'!$AG$263:$AG$1226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(data)'!$AH$263:$AH$1226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(data)'!$AI$263:$AI$1226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(data)'!$AA$263:$AA$1226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(data)'!$AJ$263:$AJ$1226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(data)'!$A$4:$A$96</f>
            </numRef>
          </cat>
          <val>
            <numRef>
              <f>'Quarterly (data)'!$L$4:$L$96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(data)'!$A$4:$A$96</f>
            </numRef>
          </cat>
          <val>
            <numRef>
              <f>'Quarterly (data)'!$U$4:$U$96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'Quarterly (data)'!$V$4:$V$11</f>
            </numRef>
          </cat>
          <val>
            <numRef>
              <f>'Quarterly (data)'!$W$4:$W$11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(data)'!$A$24:$A$96</f>
            </numRef>
          </cat>
          <val>
            <numRef>
              <f>'Quarterly (data)'!$L$24:$L$96</f>
            </numRef>
          </val>
          <smooth val="0"/>
        </ser>
        <ser>
          <idx val="1"/>
          <order val="1"/>
          <tx>
            <v>OOS predicted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(data)'!$A$24:$A$96</f>
            </numRef>
          </cat>
          <val>
            <numRef>
              <f>'Quarterly (data)'!$AK$24:$AK$96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60m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(data)'!$AB$23:$AB$96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(data)'!$AC$23:$AC$96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(data)'!$AD$23:$AD$96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(data)'!$AE$23:$AE$96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(data)'!$AF$23:$AF$96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(data)'!$AG$23:$AG$96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(data)'!$AH$23:$AH$96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(data)'!$AI$23:$AI$96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(data)'!$AA$23:$AA$96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(data)'!$AJ$23:$AJ$96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(monthly)'!$A$4:$A$284</f>
            </numRef>
          </cat>
          <val>
            <numRef>
              <f>'Bloomberg (monthly)'!$L$4:$L$284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(monthly)'!$A$4:$A$284</f>
            </numRef>
          </cat>
          <val>
            <numRef>
              <f>'Bloomberg (monthly)'!$U$4:$U$284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'Bloomberg (monthly)'!$V$4:$V$11</f>
            </numRef>
          </cat>
          <val>
            <numRef>
              <f>'Bloomberg (monthly)'!$W$4:$W$11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(monthly)'!$A$64:$A$284</f>
            </numRef>
          </cat>
          <val>
            <numRef>
              <f>'Bloomberg (monthly)'!$L$64:$L$284</f>
            </numRef>
          </val>
          <smooth val="0"/>
        </ser>
        <ser>
          <idx val="1"/>
          <order val="1"/>
          <tx>
            <v>OOS predicted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(monthly)'!$A$64:$A$284</f>
            </numRef>
          </cat>
          <val>
            <numRef>
              <f>'Bloomberg (monthly)'!$AK$64:$AK$284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60m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(monthly)'!$A$63:$A$284</f>
            </numRef>
          </cat>
          <val>
            <numRef>
              <f>'Bloomberg (monthly)'!$AB$63:$AB$284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(monthly)'!$A$63:$A$284</f>
            </numRef>
          </cat>
          <val>
            <numRef>
              <f>'Bloomberg (monthly)'!$AC$63:$AC$284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(monthly)'!$A$63:$A$284</f>
            </numRef>
          </cat>
          <val>
            <numRef>
              <f>'Bloomberg (monthly)'!$AD$63:$AD$284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(monthly)'!$A$63:$A$284</f>
            </numRef>
          </cat>
          <val>
            <numRef>
              <f>'Bloomberg (monthly)'!$AE$63:$AE$284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(monthly)'!$A$63:$A$284</f>
            </numRef>
          </cat>
          <val>
            <numRef>
              <f>'Bloomberg (monthly)'!$AF$63:$AF$284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(monthly)'!$A$63:$A$284</f>
            </numRef>
          </cat>
          <val>
            <numRef>
              <f>'Bloomberg (monthly)'!$AG$63:$AG$284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(monthly)'!$A$63:$A$284</f>
            </numRef>
          </cat>
          <val>
            <numRef>
              <f>'Bloomberg (monthly)'!$AH$63:$AH$284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(monthly)'!$A$63:$A$284</f>
            </numRef>
          </cat>
          <val>
            <numRef>
              <f>'Bloomberg (monthly)'!$AI$63:$AI$284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(monthly)'!$A$63:$A$284</f>
            </numRef>
          </cat>
          <val>
            <numRef>
              <f>'Bloomberg (monthly)'!$AA$63:$AA$284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(monthly)'!$A$63:$A$284</f>
            </numRef>
          </cat>
          <val>
            <numRef>
              <f>'Bloomberg (monthly)'!$AJ$63:$AJ$284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Relationship Type="http://schemas.openxmlformats.org/officeDocument/2006/relationships/chart" Target="/xl/charts/chart10.xml" Id="rId4"/><Relationship Type="http://schemas.openxmlformats.org/officeDocument/2006/relationships/chart" Target="/xl/charts/chart11.xml" Id="rId5"/><Relationship Type="http://schemas.openxmlformats.org/officeDocument/2006/relationships/chart" Target="/xl/charts/chart12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Relationship Type="http://schemas.openxmlformats.org/officeDocument/2006/relationships/chart" Target="/xl/charts/chart18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Relationship Type="http://schemas.openxmlformats.org/officeDocument/2006/relationships/chart" Target="/xl/charts/chart22.xml" Id="rId4"/><Relationship Type="http://schemas.openxmlformats.org/officeDocument/2006/relationships/chart" Target="/xl/charts/chart23.xml" Id="rId5"/><Relationship Type="http://schemas.openxmlformats.org/officeDocument/2006/relationships/chart" Target="/xl/charts/chart24.xml" Id="rId6"/></Relationships>
</file>

<file path=xl/drawings/drawing1.xml><?xml version="1.0" encoding="utf-8"?>
<wsDr xmlns="http://schemas.openxmlformats.org/drawingml/2006/spreadsheetDrawing">
  <oneCellAnchor>
    <from>
      <col>39</col>
      <colOff>0</colOff>
      <row>1</row>
      <rowOff>0</rowOff>
    </from>
    <ext cx="63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39</col>
      <colOff>0</colOff>
      <row>16</row>
      <rowOff>0</rowOff>
    </from>
    <ext cx="63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39</col>
      <colOff>0</colOff>
      <row>31</row>
      <rowOff>0</rowOff>
    </from>
    <ext cx="63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39</col>
      <colOff>0</colOff>
      <row>46</row>
      <rowOff>0</rowOff>
    </from>
    <ext cx="63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39</col>
      <colOff>0</colOff>
      <row>61</row>
      <rowOff>0</rowOff>
    </from>
    <ext cx="63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39</col>
      <colOff>0</colOff>
      <row>76</row>
      <rowOff>0</rowOff>
    </from>
    <ext cx="63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39</col>
      <colOff>0</colOff>
      <row>1</row>
      <rowOff>0</rowOff>
    </from>
    <ext cx="63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39</col>
      <colOff>0</colOff>
      <row>16</row>
      <rowOff>0</rowOff>
    </from>
    <ext cx="63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39</col>
      <colOff>0</colOff>
      <row>31</row>
      <rowOff>0</rowOff>
    </from>
    <ext cx="63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39</col>
      <colOff>0</colOff>
      <row>46</row>
      <rowOff>0</rowOff>
    </from>
    <ext cx="63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39</col>
      <colOff>0</colOff>
      <row>61</row>
      <rowOff>0</rowOff>
    </from>
    <ext cx="63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39</col>
      <colOff>0</colOff>
      <row>76</row>
      <rowOff>0</rowOff>
    </from>
    <ext cx="63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39</col>
      <colOff>0</colOff>
      <row>1</row>
      <rowOff>0</rowOff>
    </from>
    <ext cx="63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39</col>
      <colOff>0</colOff>
      <row>16</row>
      <rowOff>0</rowOff>
    </from>
    <ext cx="63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39</col>
      <colOff>0</colOff>
      <row>31</row>
      <rowOff>0</rowOff>
    </from>
    <ext cx="63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39</col>
      <colOff>0</colOff>
      <row>46</row>
      <rowOff>0</rowOff>
    </from>
    <ext cx="63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39</col>
      <colOff>0</colOff>
      <row>61</row>
      <rowOff>0</rowOff>
    </from>
    <ext cx="63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39</col>
      <colOff>0</colOff>
      <row>76</row>
      <rowOff>0</rowOff>
    </from>
    <ext cx="63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39</col>
      <colOff>0</colOff>
      <row>1</row>
      <rowOff>0</rowOff>
    </from>
    <ext cx="63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39</col>
      <colOff>0</colOff>
      <row>16</row>
      <rowOff>0</rowOff>
    </from>
    <ext cx="63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39</col>
      <colOff>0</colOff>
      <row>31</row>
      <rowOff>0</rowOff>
    </from>
    <ext cx="63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39</col>
      <colOff>0</colOff>
      <row>46</row>
      <rowOff>0</rowOff>
    </from>
    <ext cx="63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39</col>
      <colOff>0</colOff>
      <row>61</row>
      <rowOff>0</rowOff>
    </from>
    <ext cx="63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39</col>
      <colOff>0</colOff>
      <row>76</row>
      <rowOff>0</rowOff>
    </from>
    <ext cx="63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2" customWidth="1" min="22" max="22"/>
  </cols>
  <sheetData>
    <row r="1">
      <c r="A1" s="1" t="inlineStr">
        <is>
          <t>Gold factor regression — monthly, data embedded (blue = inputs, toggles row 1)</t>
        </is>
      </c>
      <c r="L1" s="2" t="inlineStr">
        <is>
          <t>Include 1/0 →</t>
        </is>
      </c>
      <c r="M1" s="3" t="n">
        <v>1</v>
      </c>
      <c r="N1" s="3" t="n">
        <v>1</v>
      </c>
      <c r="O1" s="3" t="n">
        <v>1</v>
      </c>
      <c r="P1" s="3" t="n">
        <v>1</v>
      </c>
      <c r="Q1" s="3" t="n">
        <v>1</v>
      </c>
      <c r="R1" s="3" t="n">
        <v>1</v>
      </c>
      <c r="S1" s="3" t="n">
        <v>1</v>
      </c>
      <c r="T1" s="3" t="n">
        <v>1</v>
      </c>
    </row>
    <row r="2">
      <c r="A2" s="4" t="inlineStr">
        <is>
          <t>Date</t>
        </is>
      </c>
      <c r="B2" s="4" t="inlineStr">
        <is>
          <t>Gold (LBMA PM)</t>
        </is>
      </c>
      <c r="C2" s="4" t="inlineStr">
        <is>
          <t>10Y breakeven</t>
        </is>
      </c>
      <c r="D2" s="4" t="inlineStr">
        <is>
          <t>10Y TIPS real</t>
        </is>
      </c>
      <c r="E2" s="4" t="inlineStr">
        <is>
          <t>US Dollar Index DXY</t>
        </is>
      </c>
      <c r="F2" s="4" t="inlineStr">
        <is>
          <t>WTI crude oil</t>
        </is>
      </c>
      <c r="G2" s="4" t="inlineStr">
        <is>
          <t>Equity vol VIX</t>
        </is>
      </c>
      <c r="H2" s="4" t="inlineStr">
        <is>
          <t>Rate vol MOVE</t>
        </is>
      </c>
      <c r="I2" s="4" t="inlineStr">
        <is>
          <t>S&amp;P 500 (price)</t>
        </is>
      </c>
      <c r="J2" s="4" t="inlineStr">
        <is>
          <t>US Agg bonds TR</t>
        </is>
      </c>
      <c r="L2" s="4" t="inlineStr">
        <is>
          <t>Gold ret</t>
        </is>
      </c>
      <c r="M2" s="4" t="inlineStr">
        <is>
          <t>Δ 10Y BE</t>
        </is>
      </c>
      <c r="N2" s="4" t="inlineStr">
        <is>
          <t>Δ 10Y real</t>
        </is>
      </c>
      <c r="O2" s="4" t="inlineStr">
        <is>
          <t>DXY ret</t>
        </is>
      </c>
      <c r="P2" s="4" t="inlineStr">
        <is>
          <t>Oil ret</t>
        </is>
      </c>
      <c r="Q2" s="4" t="inlineStr">
        <is>
          <t>Δ VIX</t>
        </is>
      </c>
      <c r="R2" s="4" t="inlineStr">
        <is>
          <t>Δ MOVE</t>
        </is>
      </c>
      <c r="S2" s="4" t="inlineStr">
        <is>
          <t>S&amp;P ret</t>
        </is>
      </c>
      <c r="T2" s="4" t="inlineStr">
        <is>
          <t>Agg ret</t>
        </is>
      </c>
      <c r="U2" s="5" t="inlineStr">
        <is>
          <t>Fitted</t>
        </is>
      </c>
      <c r="V2" s="6" t="inlineStr">
        <is>
          <t>Regression (full sample)</t>
        </is>
      </c>
      <c r="AK2" s="5" t="inlineStr">
        <is>
          <t>OOS pred</t>
        </is>
      </c>
      <c r="AL2" s="5" t="inlineStr">
        <is>
          <t>trail mean</t>
        </is>
      </c>
    </row>
    <row r="3">
      <c r="A3" s="7" t="n">
        <v>37652</v>
      </c>
      <c r="B3" s="8" t="n">
        <v>367.5</v>
      </c>
      <c r="C3" s="8" t="n">
        <v>1.81</v>
      </c>
      <c r="D3" s="8" t="n">
        <v>2.19</v>
      </c>
      <c r="E3" s="8" t="n">
        <v>99.910004</v>
      </c>
      <c r="F3" s="8" t="n">
        <v>33.51</v>
      </c>
      <c r="G3" s="8" t="n">
        <v>31.17</v>
      </c>
      <c r="H3" s="8" t="n">
        <v>110.889999</v>
      </c>
      <c r="I3" s="8" t="n">
        <v>855.700012</v>
      </c>
      <c r="J3" s="8" t="n">
        <v>48.026736</v>
      </c>
      <c r="V3" s="5" t="inlineStr">
        <is>
          <t>Factor</t>
        </is>
      </c>
      <c r="W3" s="5" t="inlineStr">
        <is>
          <t>β</t>
        </is>
      </c>
      <c r="X3" s="5" t="inlineStr">
        <is>
          <t>std err</t>
        </is>
      </c>
      <c r="Y3" s="5" t="inlineStr">
        <is>
          <t>t-stat</t>
        </is>
      </c>
    </row>
    <row r="4">
      <c r="A4" s="7" t="n">
        <v>37680</v>
      </c>
      <c r="B4" s="8" t="n">
        <v>347.45</v>
      </c>
      <c r="C4" s="8" t="n">
        <v>1.94</v>
      </c>
      <c r="D4" s="8" t="n">
        <v>1.77</v>
      </c>
      <c r="E4" s="8" t="n">
        <v>99.709999</v>
      </c>
      <c r="F4" s="8" t="n">
        <v>36.76</v>
      </c>
      <c r="G4" s="8" t="n">
        <v>29.63</v>
      </c>
      <c r="H4" s="8" t="n">
        <v>105.360001</v>
      </c>
      <c r="I4" s="8" t="n">
        <v>841.150024</v>
      </c>
      <c r="J4" s="8" t="n">
        <v>48.692169</v>
      </c>
      <c r="L4" s="9">
        <f>LN(B4/B3)</f>
        <v/>
      </c>
      <c r="M4" s="9">
        <f>$M$1*(C4-C3)</f>
        <v/>
      </c>
      <c r="N4" s="9">
        <f>$N$1*(D4-D3)</f>
        <v/>
      </c>
      <c r="O4" s="9">
        <f>$O$1*LN(E4/E3)</f>
        <v/>
      </c>
      <c r="P4" s="9">
        <f>$P$1*LN(F4/F3)</f>
        <v/>
      </c>
      <c r="Q4" s="9">
        <f>$Q$1*(G4-G3)</f>
        <v/>
      </c>
      <c r="R4" s="9">
        <f>$R$1*(H4-H3)</f>
        <v/>
      </c>
      <c r="S4" s="9">
        <f>$S$1*LN(I4/I3)</f>
        <v/>
      </c>
      <c r="T4" s="9">
        <f>$T$1*LN(J4/J3)</f>
        <v/>
      </c>
      <c r="U4" s="9">
        <f>$W$12+$W$4*M4+$W$5*N4+$W$6*O4+$W$7*P4+$W$8*Q4+$W$9*R4+$W$10*S4+$W$11*T4</f>
        <v/>
      </c>
      <c r="V4" t="inlineStr">
        <is>
          <t>10Y breakeven</t>
        </is>
      </c>
      <c r="W4" s="9">
        <f>INDEX(LINEST($L$4:$L$284,$M$4:$T$284,TRUE,TRUE),1,8)</f>
        <v/>
      </c>
      <c r="X4" s="9">
        <f>INDEX(LINEST($L$4:$L$284,$M$4:$T$284,TRUE,TRUE),2,8)</f>
        <v/>
      </c>
      <c r="Y4" s="9">
        <f>W4/X4</f>
        <v/>
      </c>
    </row>
    <row r="5">
      <c r="A5" s="7" t="n">
        <v>37711</v>
      </c>
      <c r="B5" s="8" t="n">
        <v>334.85</v>
      </c>
      <c r="C5" s="8" t="n">
        <v>1.8</v>
      </c>
      <c r="D5" s="8" t="n">
        <v>2.03</v>
      </c>
      <c r="E5" s="8" t="n">
        <v>99.05999799999999</v>
      </c>
      <c r="F5" s="8" t="n">
        <v>31.14</v>
      </c>
      <c r="G5" s="8" t="n">
        <v>29.15</v>
      </c>
      <c r="H5" s="8" t="n">
        <v>112.089996</v>
      </c>
      <c r="I5" s="8" t="n">
        <v>848.179993</v>
      </c>
      <c r="J5" s="8" t="n">
        <v>48.633196</v>
      </c>
      <c r="L5" s="9">
        <f>LN(B5/B4)</f>
        <v/>
      </c>
      <c r="M5" s="9">
        <f>$M$1*(C5-C4)</f>
        <v/>
      </c>
      <c r="N5" s="9">
        <f>$N$1*(D5-D4)</f>
        <v/>
      </c>
      <c r="O5" s="9">
        <f>$O$1*LN(E5/E4)</f>
        <v/>
      </c>
      <c r="P5" s="9">
        <f>$P$1*LN(F5/F4)</f>
        <v/>
      </c>
      <c r="Q5" s="9">
        <f>$Q$1*(G5-G4)</f>
        <v/>
      </c>
      <c r="R5" s="9">
        <f>$R$1*(H5-H4)</f>
        <v/>
      </c>
      <c r="S5" s="9">
        <f>$S$1*LN(I5/I4)</f>
        <v/>
      </c>
      <c r="T5" s="9">
        <f>$T$1*LN(J5/J4)</f>
        <v/>
      </c>
      <c r="U5" s="9">
        <f>$W$12+$W$4*M5+$W$5*N5+$W$6*O5+$W$7*P5+$W$8*Q5+$W$9*R5+$W$10*S5+$W$11*T5</f>
        <v/>
      </c>
      <c r="V5" t="inlineStr">
        <is>
          <t>10Y TIPS real</t>
        </is>
      </c>
      <c r="W5" s="9">
        <f>INDEX(LINEST($L$4:$L$284,$M$4:$T$284,TRUE,TRUE),1,7)</f>
        <v/>
      </c>
      <c r="X5" s="9">
        <f>INDEX(LINEST($L$4:$L$284,$M$4:$T$284,TRUE,TRUE),2,7)</f>
        <v/>
      </c>
      <c r="Y5" s="9">
        <f>W5/X5</f>
        <v/>
      </c>
    </row>
    <row r="6">
      <c r="A6" s="7" t="n">
        <v>37741</v>
      </c>
      <c r="B6" s="8" t="n">
        <v>336.75</v>
      </c>
      <c r="C6" s="8" t="n">
        <v>1.73</v>
      </c>
      <c r="D6" s="8" t="n">
        <v>2.16</v>
      </c>
      <c r="E6" s="8" t="n">
        <v>97.19000200000001</v>
      </c>
      <c r="F6" s="8" t="n">
        <v>26.09</v>
      </c>
      <c r="G6" s="8" t="n">
        <v>21.21</v>
      </c>
      <c r="H6" s="8" t="n">
        <v>89.269997</v>
      </c>
      <c r="I6" s="8" t="n">
        <v>916.919983</v>
      </c>
      <c r="J6" s="8" t="n">
        <v>49.056113</v>
      </c>
      <c r="L6" s="9">
        <f>LN(B6/B5)</f>
        <v/>
      </c>
      <c r="M6" s="9">
        <f>$M$1*(C6-C5)</f>
        <v/>
      </c>
      <c r="N6" s="9">
        <f>$N$1*(D6-D5)</f>
        <v/>
      </c>
      <c r="O6" s="9">
        <f>$O$1*LN(E6/E5)</f>
        <v/>
      </c>
      <c r="P6" s="9">
        <f>$P$1*LN(F6/F5)</f>
        <v/>
      </c>
      <c r="Q6" s="9">
        <f>$Q$1*(G6-G5)</f>
        <v/>
      </c>
      <c r="R6" s="9">
        <f>$R$1*(H6-H5)</f>
        <v/>
      </c>
      <c r="S6" s="9">
        <f>$S$1*LN(I6/I5)</f>
        <v/>
      </c>
      <c r="T6" s="9">
        <f>$T$1*LN(J6/J5)</f>
        <v/>
      </c>
      <c r="U6" s="9">
        <f>$W$12+$W$4*M6+$W$5*N6+$W$6*O6+$W$7*P6+$W$8*Q6+$W$9*R6+$W$10*S6+$W$11*T6</f>
        <v/>
      </c>
      <c r="V6" t="inlineStr">
        <is>
          <t>US Dollar Index DXY</t>
        </is>
      </c>
      <c r="W6" s="9">
        <f>INDEX(LINEST($L$4:$L$284,$M$4:$T$284,TRUE,TRUE),1,6)</f>
        <v/>
      </c>
      <c r="X6" s="9">
        <f>INDEX(LINEST($L$4:$L$284,$M$4:$T$284,TRUE,TRUE),2,6)</f>
        <v/>
      </c>
      <c r="Y6" s="9">
        <f>W6/X6</f>
        <v/>
      </c>
    </row>
    <row r="7">
      <c r="A7" s="7" t="n">
        <v>37772</v>
      </c>
      <c r="B7" s="8" t="n">
        <v>361.4</v>
      </c>
      <c r="C7" s="8" t="n">
        <v>1.6</v>
      </c>
      <c r="D7" s="8" t="n">
        <v>1.77</v>
      </c>
      <c r="E7" s="8" t="n">
        <v>93.269997</v>
      </c>
      <c r="F7" s="8" t="n">
        <v>29.56</v>
      </c>
      <c r="G7" s="8" t="n">
        <v>19.47</v>
      </c>
      <c r="H7" s="8" t="n">
        <v>99.80999799999999</v>
      </c>
      <c r="I7" s="8" t="n">
        <v>963.590027</v>
      </c>
      <c r="J7" s="8" t="n">
        <v>49.950304</v>
      </c>
      <c r="L7" s="9">
        <f>LN(B7/B6)</f>
        <v/>
      </c>
      <c r="M7" s="9">
        <f>$M$1*(C7-C6)</f>
        <v/>
      </c>
      <c r="N7" s="9">
        <f>$N$1*(D7-D6)</f>
        <v/>
      </c>
      <c r="O7" s="9">
        <f>$O$1*LN(E7/E6)</f>
        <v/>
      </c>
      <c r="P7" s="9">
        <f>$P$1*LN(F7/F6)</f>
        <v/>
      </c>
      <c r="Q7" s="9">
        <f>$Q$1*(G7-G6)</f>
        <v/>
      </c>
      <c r="R7" s="9">
        <f>$R$1*(H7-H6)</f>
        <v/>
      </c>
      <c r="S7" s="9">
        <f>$S$1*LN(I7/I6)</f>
        <v/>
      </c>
      <c r="T7" s="9">
        <f>$T$1*LN(J7/J6)</f>
        <v/>
      </c>
      <c r="U7" s="9">
        <f>$W$12+$W$4*M7+$W$5*N7+$W$6*O7+$W$7*P7+$W$8*Q7+$W$9*R7+$W$10*S7+$W$11*T7</f>
        <v/>
      </c>
      <c r="V7" t="inlineStr">
        <is>
          <t>WTI crude oil</t>
        </is>
      </c>
      <c r="W7" s="9">
        <f>INDEX(LINEST($L$4:$L$284,$M$4:$T$284,TRUE,TRUE),1,5)</f>
        <v/>
      </c>
      <c r="X7" s="9">
        <f>INDEX(LINEST($L$4:$L$284,$M$4:$T$284,TRUE,TRUE),2,5)</f>
        <v/>
      </c>
      <c r="Y7" s="9">
        <f>W7/X7</f>
        <v/>
      </c>
    </row>
    <row r="8">
      <c r="A8" s="7" t="n">
        <v>37802</v>
      </c>
      <c r="B8" s="8" t="n">
        <v>346</v>
      </c>
      <c r="C8" s="8" t="n">
        <v>1.64</v>
      </c>
      <c r="D8" s="8" t="n">
        <v>1.9</v>
      </c>
      <c r="E8" s="8" t="n">
        <v>94.730003</v>
      </c>
      <c r="F8" s="8" t="n">
        <v>30.15</v>
      </c>
      <c r="G8" s="8" t="n">
        <v>19.52</v>
      </c>
      <c r="H8" s="8" t="n">
        <v>103.599998</v>
      </c>
      <c r="I8" s="8" t="n">
        <v>974.5</v>
      </c>
      <c r="J8" s="8" t="n">
        <v>49.885572</v>
      </c>
      <c r="L8" s="9">
        <f>LN(B8/B7)</f>
        <v/>
      </c>
      <c r="M8" s="9">
        <f>$M$1*(C8-C7)</f>
        <v/>
      </c>
      <c r="N8" s="9">
        <f>$N$1*(D8-D7)</f>
        <v/>
      </c>
      <c r="O8" s="9">
        <f>$O$1*LN(E8/E7)</f>
        <v/>
      </c>
      <c r="P8" s="9">
        <f>$P$1*LN(F8/F7)</f>
        <v/>
      </c>
      <c r="Q8" s="9">
        <f>$Q$1*(G8-G7)</f>
        <v/>
      </c>
      <c r="R8" s="9">
        <f>$R$1*(H8-H7)</f>
        <v/>
      </c>
      <c r="S8" s="9">
        <f>$S$1*LN(I8/I7)</f>
        <v/>
      </c>
      <c r="T8" s="9">
        <f>$T$1*LN(J8/J7)</f>
        <v/>
      </c>
      <c r="U8" s="9">
        <f>$W$12+$W$4*M8+$W$5*N8+$W$6*O8+$W$7*P8+$W$8*Q8+$W$9*R8+$W$10*S8+$W$11*T8</f>
        <v/>
      </c>
      <c r="V8" t="inlineStr">
        <is>
          <t>Equity vol VIX</t>
        </is>
      </c>
      <c r="W8" s="9">
        <f>INDEX(LINEST($L$4:$L$284,$M$4:$T$284,TRUE,TRUE),1,4)</f>
        <v/>
      </c>
      <c r="X8" s="9">
        <f>INDEX(LINEST($L$4:$L$284,$M$4:$T$284,TRUE,TRUE),2,4)</f>
        <v/>
      </c>
      <c r="Y8" s="9">
        <f>W8/X8</f>
        <v/>
      </c>
    </row>
    <row r="9">
      <c r="A9" s="7" t="n">
        <v>37833</v>
      </c>
      <c r="B9" s="8" t="n">
        <v>354.75</v>
      </c>
      <c r="C9" s="8" t="n">
        <v>2.08</v>
      </c>
      <c r="D9" s="8" t="n">
        <v>2.41</v>
      </c>
      <c r="E9" s="8" t="n">
        <v>96.889999</v>
      </c>
      <c r="F9" s="8" t="n">
        <v>30.56</v>
      </c>
      <c r="G9" s="8" t="n">
        <v>19.49</v>
      </c>
      <c r="H9" s="8" t="n">
        <v>160.860001</v>
      </c>
      <c r="I9" s="8" t="n">
        <v>990.309998</v>
      </c>
      <c r="J9" s="8" t="n">
        <v>48.220414</v>
      </c>
      <c r="L9" s="9">
        <f>LN(B9/B8)</f>
        <v/>
      </c>
      <c r="M9" s="9">
        <f>$M$1*(C9-C8)</f>
        <v/>
      </c>
      <c r="N9" s="9">
        <f>$N$1*(D9-D8)</f>
        <v/>
      </c>
      <c r="O9" s="9">
        <f>$O$1*LN(E9/E8)</f>
        <v/>
      </c>
      <c r="P9" s="9">
        <f>$P$1*LN(F9/F8)</f>
        <v/>
      </c>
      <c r="Q9" s="9">
        <f>$Q$1*(G9-G8)</f>
        <v/>
      </c>
      <c r="R9" s="9">
        <f>$R$1*(H9-H8)</f>
        <v/>
      </c>
      <c r="S9" s="9">
        <f>$S$1*LN(I9/I8)</f>
        <v/>
      </c>
      <c r="T9" s="9">
        <f>$T$1*LN(J9/J8)</f>
        <v/>
      </c>
      <c r="U9" s="9">
        <f>$W$12+$W$4*M9+$W$5*N9+$W$6*O9+$W$7*P9+$W$8*Q9+$W$9*R9+$W$10*S9+$W$11*T9</f>
        <v/>
      </c>
      <c r="V9" t="inlineStr">
        <is>
          <t>Rate vol MOVE</t>
        </is>
      </c>
      <c r="W9" s="9">
        <f>INDEX(LINEST($L$4:$L$284,$M$4:$T$284,TRUE,TRUE),1,3)</f>
        <v/>
      </c>
      <c r="X9" s="9">
        <f>INDEX(LINEST($L$4:$L$284,$M$4:$T$284,TRUE,TRUE),2,3)</f>
        <v/>
      </c>
      <c r="Y9" s="9">
        <f>W9/X9</f>
        <v/>
      </c>
    </row>
    <row r="10">
      <c r="A10" s="7" t="n">
        <v>37864</v>
      </c>
      <c r="B10" s="8" t="n">
        <v>375.6</v>
      </c>
      <c r="C10" s="8" t="n">
        <v>2.16</v>
      </c>
      <c r="D10" s="8" t="n">
        <v>2.29</v>
      </c>
      <c r="E10" s="8" t="n">
        <v>98.099998</v>
      </c>
      <c r="F10" s="8" t="n">
        <v>31.76</v>
      </c>
      <c r="G10" s="8" t="n">
        <v>18.63</v>
      </c>
      <c r="H10" s="8" t="n">
        <v>126.550003</v>
      </c>
      <c r="I10" s="8" t="n">
        <v>1008.01001</v>
      </c>
      <c r="J10" s="8" t="n">
        <v>48.515624</v>
      </c>
      <c r="L10" s="9">
        <f>LN(B10/B9)</f>
        <v/>
      </c>
      <c r="M10" s="9">
        <f>$M$1*(C10-C9)</f>
        <v/>
      </c>
      <c r="N10" s="9">
        <f>$N$1*(D10-D9)</f>
        <v/>
      </c>
      <c r="O10" s="9">
        <f>$O$1*LN(E10/E9)</f>
        <v/>
      </c>
      <c r="P10" s="9">
        <f>$P$1*LN(F10/F9)</f>
        <v/>
      </c>
      <c r="Q10" s="9">
        <f>$Q$1*(G10-G9)</f>
        <v/>
      </c>
      <c r="R10" s="9">
        <f>$R$1*(H10-H9)</f>
        <v/>
      </c>
      <c r="S10" s="9">
        <f>$S$1*LN(I10/I9)</f>
        <v/>
      </c>
      <c r="T10" s="9">
        <f>$T$1*LN(J10/J9)</f>
        <v/>
      </c>
      <c r="U10" s="9">
        <f>$W$12+$W$4*M10+$W$5*N10+$W$6*O10+$W$7*P10+$W$8*Q10+$W$9*R10+$W$10*S10+$W$11*T10</f>
        <v/>
      </c>
      <c r="V10" t="inlineStr">
        <is>
          <t>S&amp;P 500 (price)</t>
        </is>
      </c>
      <c r="W10" s="9">
        <f>INDEX(LINEST($L$4:$L$284,$M$4:$T$284,TRUE,TRUE),1,2)</f>
        <v/>
      </c>
      <c r="X10" s="9">
        <f>INDEX(LINEST($L$4:$L$284,$M$4:$T$284,TRUE,TRUE),2,2)</f>
        <v/>
      </c>
      <c r="Y10" s="9">
        <f>W10/X10</f>
        <v/>
      </c>
    </row>
    <row r="11">
      <c r="A11" s="7" t="n">
        <v>37894</v>
      </c>
      <c r="B11" s="8" t="n">
        <v>388</v>
      </c>
      <c r="C11" s="8" t="n">
        <v>2.01</v>
      </c>
      <c r="D11" s="8" t="n">
        <v>1.95</v>
      </c>
      <c r="E11" s="8" t="n">
        <v>92.849998</v>
      </c>
      <c r="F11" s="8" t="n">
        <v>29.19</v>
      </c>
      <c r="G11" s="8" t="n">
        <v>22.72</v>
      </c>
      <c r="H11" s="8" t="n">
        <v>116.690002</v>
      </c>
      <c r="I11" s="8" t="n">
        <v>995.969971</v>
      </c>
      <c r="J11" s="8" t="n">
        <v>49.678352</v>
      </c>
      <c r="L11" s="9">
        <f>LN(B11/B10)</f>
        <v/>
      </c>
      <c r="M11" s="9">
        <f>$M$1*(C11-C10)</f>
        <v/>
      </c>
      <c r="N11" s="9">
        <f>$N$1*(D11-D10)</f>
        <v/>
      </c>
      <c r="O11" s="9">
        <f>$O$1*LN(E11/E10)</f>
        <v/>
      </c>
      <c r="P11" s="9">
        <f>$P$1*LN(F11/F10)</f>
        <v/>
      </c>
      <c r="Q11" s="9">
        <f>$Q$1*(G11-G10)</f>
        <v/>
      </c>
      <c r="R11" s="9">
        <f>$R$1*(H11-H10)</f>
        <v/>
      </c>
      <c r="S11" s="9">
        <f>$S$1*LN(I11/I10)</f>
        <v/>
      </c>
      <c r="T11" s="9">
        <f>$T$1*LN(J11/J10)</f>
        <v/>
      </c>
      <c r="U11" s="9">
        <f>$W$12+$W$4*M11+$W$5*N11+$W$6*O11+$W$7*P11+$W$8*Q11+$W$9*R11+$W$10*S11+$W$11*T11</f>
        <v/>
      </c>
      <c r="V11" t="inlineStr">
        <is>
          <t>US Agg bonds TR</t>
        </is>
      </c>
      <c r="W11" s="9">
        <f>INDEX(LINEST($L$4:$L$284,$M$4:$T$284,TRUE,TRUE),1,1)</f>
        <v/>
      </c>
      <c r="X11" s="9">
        <f>INDEX(LINEST($L$4:$L$284,$M$4:$T$284,TRUE,TRUE),2,1)</f>
        <v/>
      </c>
      <c r="Y11" s="9">
        <f>W11/X11</f>
        <v/>
      </c>
    </row>
    <row r="12">
      <c r="A12" s="7" t="n">
        <v>37925</v>
      </c>
      <c r="B12" s="8" t="n">
        <v>386.25</v>
      </c>
      <c r="C12" s="8" t="n">
        <v>2.4</v>
      </c>
      <c r="D12" s="8" t="n">
        <v>1.93</v>
      </c>
      <c r="E12" s="8" t="n">
        <v>92.730003</v>
      </c>
      <c r="F12" s="8" t="n">
        <v>29.24</v>
      </c>
      <c r="G12" s="8" t="n">
        <v>16.1</v>
      </c>
      <c r="H12" s="8" t="n">
        <v>118.760002</v>
      </c>
      <c r="I12" s="8" t="n">
        <v>1050.709961</v>
      </c>
      <c r="J12" s="8" t="n">
        <v>49.21402</v>
      </c>
      <c r="L12" s="9">
        <f>LN(B12/B11)</f>
        <v/>
      </c>
      <c r="M12" s="9">
        <f>$M$1*(C12-C11)</f>
        <v/>
      </c>
      <c r="N12" s="9">
        <f>$N$1*(D12-D11)</f>
        <v/>
      </c>
      <c r="O12" s="9">
        <f>$O$1*LN(E12/E11)</f>
        <v/>
      </c>
      <c r="P12" s="9">
        <f>$P$1*LN(F12/F11)</f>
        <v/>
      </c>
      <c r="Q12" s="9">
        <f>$Q$1*(G12-G11)</f>
        <v/>
      </c>
      <c r="R12" s="9">
        <f>$R$1*(H12-H11)</f>
        <v/>
      </c>
      <c r="S12" s="9">
        <f>$S$1*LN(I12/I11)</f>
        <v/>
      </c>
      <c r="T12" s="9">
        <f>$T$1*LN(J12/J11)</f>
        <v/>
      </c>
      <c r="U12" s="9">
        <f>$W$12+$W$4*M12+$W$5*N12+$W$6*O12+$W$7*P12+$W$8*Q12+$W$9*R12+$W$10*S12+$W$11*T12</f>
        <v/>
      </c>
      <c r="V12" t="inlineStr">
        <is>
          <t>Intercept α</t>
        </is>
      </c>
      <c r="W12" s="9">
        <f>INDEX(LINEST($L$4:$L$284,$M$4:$T$284,TRUE,TRUE),1,9)</f>
        <v/>
      </c>
      <c r="X12" s="9">
        <f>INDEX(LINEST($L$4:$L$284,$M$4:$T$284,TRUE,TRUE),2,9)</f>
        <v/>
      </c>
      <c r="Y12" s="9">
        <f>W12/X12</f>
        <v/>
      </c>
    </row>
    <row r="13">
      <c r="A13" s="7" t="n">
        <v>37955</v>
      </c>
      <c r="B13" s="8" t="n">
        <v>398.35</v>
      </c>
      <c r="C13" s="8" t="n">
        <v>2.31</v>
      </c>
      <c r="D13" s="8" t="n">
        <v>2.03</v>
      </c>
      <c r="E13" s="8" t="n">
        <v>90.209999</v>
      </c>
      <c r="F13" s="8" t="n">
        <v>30.33</v>
      </c>
      <c r="G13" s="8" t="n">
        <v>16.32</v>
      </c>
      <c r="H13" s="8" t="n">
        <v>104.910004</v>
      </c>
      <c r="I13" s="8" t="n">
        <v>1058.199951</v>
      </c>
      <c r="J13" s="8" t="n">
        <v>49.378567</v>
      </c>
      <c r="L13" s="9">
        <f>LN(B13/B12)</f>
        <v/>
      </c>
      <c r="M13" s="9">
        <f>$M$1*(C13-C12)</f>
        <v/>
      </c>
      <c r="N13" s="9">
        <f>$N$1*(D13-D12)</f>
        <v/>
      </c>
      <c r="O13" s="9">
        <f>$O$1*LN(E13/E12)</f>
        <v/>
      </c>
      <c r="P13" s="9">
        <f>$P$1*LN(F13/F12)</f>
        <v/>
      </c>
      <c r="Q13" s="9">
        <f>$Q$1*(G13-G12)</f>
        <v/>
      </c>
      <c r="R13" s="9">
        <f>$R$1*(H13-H12)</f>
        <v/>
      </c>
      <c r="S13" s="9">
        <f>$S$1*LN(I13/I12)</f>
        <v/>
      </c>
      <c r="T13" s="9">
        <f>$T$1*LN(J13/J12)</f>
        <v/>
      </c>
      <c r="U13" s="9">
        <f>$W$12+$W$4*M13+$W$5*N13+$W$6*O13+$W$7*P13+$W$8*Q13+$W$9*R13+$W$10*S13+$W$11*T13</f>
        <v/>
      </c>
    </row>
    <row r="14">
      <c r="A14" s="7" t="n">
        <v>37986</v>
      </c>
      <c r="B14" s="8" t="n">
        <v>416.25</v>
      </c>
      <c r="C14" s="8" t="n">
        <v>2.27</v>
      </c>
      <c r="D14" s="8" t="n">
        <v>2</v>
      </c>
      <c r="E14" s="8" t="n">
        <v>86.91999800000001</v>
      </c>
      <c r="F14" s="8" t="n">
        <v>32.51</v>
      </c>
      <c r="G14" s="8" t="n">
        <v>18.31</v>
      </c>
      <c r="H14" s="8" t="n">
        <v>117.910004</v>
      </c>
      <c r="I14" s="8" t="n">
        <v>1111.920044</v>
      </c>
      <c r="J14" s="8" t="n">
        <v>49.86211</v>
      </c>
      <c r="L14" s="9">
        <f>LN(B14/B13)</f>
        <v/>
      </c>
      <c r="M14" s="9">
        <f>$M$1*(C14-C13)</f>
        <v/>
      </c>
      <c r="N14" s="9">
        <f>$N$1*(D14-D13)</f>
        <v/>
      </c>
      <c r="O14" s="9">
        <f>$O$1*LN(E14/E13)</f>
        <v/>
      </c>
      <c r="P14" s="9">
        <f>$P$1*LN(F14/F13)</f>
        <v/>
      </c>
      <c r="Q14" s="9">
        <f>$Q$1*(G14-G13)</f>
        <v/>
      </c>
      <c r="R14" s="9">
        <f>$R$1*(H14-H13)</f>
        <v/>
      </c>
      <c r="S14" s="9">
        <f>$S$1*LN(I14/I13)</f>
        <v/>
      </c>
      <c r="T14" s="9">
        <f>$T$1*LN(J14/J13)</f>
        <v/>
      </c>
      <c r="U14" s="9">
        <f>$W$12+$W$4*M14+$W$5*N14+$W$6*O14+$W$7*P14+$W$8*Q14+$W$9*R14+$W$10*S14+$W$11*T14</f>
        <v/>
      </c>
      <c r="V14" t="inlineStr">
        <is>
          <t>R²</t>
        </is>
      </c>
      <c r="W14" s="10">
        <f>INDEX(LINEST($L$4:$L$284,$M$4:$T$284,TRUE,TRUE),3,1)</f>
        <v/>
      </c>
    </row>
    <row r="15">
      <c r="A15" s="7" t="n">
        <v>38017</v>
      </c>
      <c r="B15" s="8" t="n">
        <v>399.75</v>
      </c>
      <c r="C15" s="8" t="n">
        <v>2.31</v>
      </c>
      <c r="D15" s="8" t="n">
        <v>1.85</v>
      </c>
      <c r="E15" s="8" t="n">
        <v>87.199997</v>
      </c>
      <c r="F15" s="8" t="n">
        <v>33.16</v>
      </c>
      <c r="G15" s="8" t="n">
        <v>16.63</v>
      </c>
      <c r="H15" s="8" t="n">
        <v>116.75</v>
      </c>
      <c r="I15" s="8" t="n">
        <v>1131.130005</v>
      </c>
      <c r="J15" s="8" t="n">
        <v>50.081753</v>
      </c>
      <c r="L15" s="9">
        <f>LN(B15/B14)</f>
        <v/>
      </c>
      <c r="M15" s="9">
        <f>$M$1*(C15-C14)</f>
        <v/>
      </c>
      <c r="N15" s="9">
        <f>$N$1*(D15-D14)</f>
        <v/>
      </c>
      <c r="O15" s="9">
        <f>$O$1*LN(E15/E14)</f>
        <v/>
      </c>
      <c r="P15" s="9">
        <f>$P$1*LN(F15/F14)</f>
        <v/>
      </c>
      <c r="Q15" s="9">
        <f>$Q$1*(G15-G14)</f>
        <v/>
      </c>
      <c r="R15" s="9">
        <f>$R$1*(H15-H14)</f>
        <v/>
      </c>
      <c r="S15" s="9">
        <f>$S$1*LN(I15/I14)</f>
        <v/>
      </c>
      <c r="T15" s="9">
        <f>$T$1*LN(J15/J14)</f>
        <v/>
      </c>
      <c r="U15" s="9">
        <f>$W$12+$W$4*M15+$W$5*N15+$W$6*O15+$W$7*P15+$W$8*Q15+$W$9*R15+$W$10*S15+$W$11*T15</f>
        <v/>
      </c>
      <c r="V15" t="inlineStr">
        <is>
          <t>α annualized</t>
        </is>
      </c>
      <c r="W15" s="10">
        <f>W12*12</f>
        <v/>
      </c>
    </row>
    <row r="16">
      <c r="A16" s="7" t="n">
        <v>38046</v>
      </c>
      <c r="B16" s="8" t="n">
        <v>395.85</v>
      </c>
      <c r="C16" s="8" t="n">
        <v>2.38</v>
      </c>
      <c r="D16" s="8" t="n">
        <v>1.61</v>
      </c>
      <c r="E16" s="8" t="n">
        <v>87.30999799999999</v>
      </c>
      <c r="F16" s="8" t="n">
        <v>36.08</v>
      </c>
      <c r="G16" s="8" t="n">
        <v>14.55</v>
      </c>
      <c r="H16" s="8" t="n">
        <v>90.139999</v>
      </c>
      <c r="I16" s="8" t="n">
        <v>1144.939941</v>
      </c>
      <c r="J16" s="8" t="n">
        <v>50.653458</v>
      </c>
      <c r="L16" s="9">
        <f>LN(B16/B15)</f>
        <v/>
      </c>
      <c r="M16" s="9">
        <f>$M$1*(C16-C15)</f>
        <v/>
      </c>
      <c r="N16" s="9">
        <f>$N$1*(D16-D15)</f>
        <v/>
      </c>
      <c r="O16" s="9">
        <f>$O$1*LN(E16/E15)</f>
        <v/>
      </c>
      <c r="P16" s="9">
        <f>$P$1*LN(F16/F15)</f>
        <v/>
      </c>
      <c r="Q16" s="9">
        <f>$Q$1*(G16-G15)</f>
        <v/>
      </c>
      <c r="R16" s="9">
        <f>$R$1*(H16-H15)</f>
        <v/>
      </c>
      <c r="S16" s="9">
        <f>$S$1*LN(I16/I15)</f>
        <v/>
      </c>
      <c r="T16" s="9">
        <f>$T$1*LN(J16/J15)</f>
        <v/>
      </c>
      <c r="U16" s="9">
        <f>$W$12+$W$4*M16+$W$5*N16+$W$6*O16+$W$7*P16+$W$8*Q16+$W$9*R16+$W$10*S16+$W$11*T16</f>
        <v/>
      </c>
    </row>
    <row r="17">
      <c r="A17" s="7" t="n">
        <v>38077</v>
      </c>
      <c r="B17" s="8" t="n">
        <v>423.7</v>
      </c>
      <c r="C17" s="8" t="n">
        <v>2.38</v>
      </c>
      <c r="D17" s="8" t="n">
        <v>1.48</v>
      </c>
      <c r="E17" s="8" t="n">
        <v>87.610001</v>
      </c>
      <c r="F17" s="8" t="n">
        <v>35.75</v>
      </c>
      <c r="G17" s="8" t="n">
        <v>16.74</v>
      </c>
      <c r="H17" s="8" t="n">
        <v>105.919998</v>
      </c>
      <c r="I17" s="8" t="n">
        <v>1126.209961</v>
      </c>
      <c r="J17" s="8" t="n">
        <v>50.999817</v>
      </c>
      <c r="L17" s="9">
        <f>LN(B17/B16)</f>
        <v/>
      </c>
      <c r="M17" s="9">
        <f>$M$1*(C17-C16)</f>
        <v/>
      </c>
      <c r="N17" s="9">
        <f>$N$1*(D17-D16)</f>
        <v/>
      </c>
      <c r="O17" s="9">
        <f>$O$1*LN(E17/E16)</f>
        <v/>
      </c>
      <c r="P17" s="9">
        <f>$P$1*LN(F17/F16)</f>
        <v/>
      </c>
      <c r="Q17" s="9">
        <f>$Q$1*(G17-G16)</f>
        <v/>
      </c>
      <c r="R17" s="9">
        <f>$R$1*(H17-H16)</f>
        <v/>
      </c>
      <c r="S17" s="9">
        <f>$S$1*LN(I17/I16)</f>
        <v/>
      </c>
      <c r="T17" s="9">
        <f>$T$1*LN(J17/J16)</f>
        <v/>
      </c>
      <c r="U17" s="9">
        <f>$W$12+$W$4*M17+$W$5*N17+$W$6*O17+$W$7*P17+$W$8*Q17+$W$9*R17+$W$10*S17+$W$11*T17</f>
        <v/>
      </c>
      <c r="V17" s="6" t="inlineStr">
        <is>
          <t>Walk-forward OOS (rolling 60m → next)</t>
        </is>
      </c>
    </row>
    <row r="18">
      <c r="A18" s="7" t="n">
        <v>38107</v>
      </c>
      <c r="B18" s="8" t="n">
        <v>388.5</v>
      </c>
      <c r="C18" s="8" t="n">
        <v>2.42</v>
      </c>
      <c r="D18" s="8" t="n">
        <v>2.11</v>
      </c>
      <c r="E18" s="8" t="n">
        <v>90.480003</v>
      </c>
      <c r="F18" s="8" t="n">
        <v>37.31</v>
      </c>
      <c r="G18" s="8" t="n">
        <v>17.19</v>
      </c>
      <c r="H18" s="8" t="n">
        <v>122.93</v>
      </c>
      <c r="I18" s="8" t="n">
        <v>1107.300049</v>
      </c>
      <c r="J18" s="8" t="n">
        <v>49.568539</v>
      </c>
      <c r="L18" s="9">
        <f>LN(B18/B17)</f>
        <v/>
      </c>
      <c r="M18" s="9">
        <f>$M$1*(C18-C17)</f>
        <v/>
      </c>
      <c r="N18" s="9">
        <f>$N$1*(D18-D17)</f>
        <v/>
      </c>
      <c r="O18" s="9">
        <f>$O$1*LN(E18/E17)</f>
        <v/>
      </c>
      <c r="P18" s="9">
        <f>$P$1*LN(F18/F17)</f>
        <v/>
      </c>
      <c r="Q18" s="9">
        <f>$Q$1*(G18-G17)</f>
        <v/>
      </c>
      <c r="R18" s="9">
        <f>$R$1*(H18-H17)</f>
        <v/>
      </c>
      <c r="S18" s="9">
        <f>$S$1*LN(I18/I17)</f>
        <v/>
      </c>
      <c r="T18" s="9">
        <f>$T$1*LN(J18/J17)</f>
        <v/>
      </c>
      <c r="U18" s="9">
        <f>$W$12+$W$4*M18+$W$5*N18+$W$6*O18+$W$7*P18+$W$8*Q18+$W$9*R18+$W$10*S18+$W$11*T18</f>
        <v/>
      </c>
      <c r="V18" t="inlineStr">
        <is>
          <t>OOS R² vs RW (predict 0)</t>
        </is>
      </c>
      <c r="W18" s="10">
        <f>1-SUMPRODUCT((L64:L284-AK64:AK284)^2)/SUMPRODUCT(L64:L284,L64:L284)</f>
        <v/>
      </c>
    </row>
    <row r="19">
      <c r="A19" s="7" t="n">
        <v>38138</v>
      </c>
      <c r="B19" s="8" t="n">
        <v>393.25</v>
      </c>
      <c r="C19" s="8" t="n">
        <v>2.66</v>
      </c>
      <c r="D19" s="8" t="n">
        <v>2</v>
      </c>
      <c r="E19" s="8" t="n">
        <v>88.949997</v>
      </c>
      <c r="F19" s="8" t="n">
        <v>39.9</v>
      </c>
      <c r="G19" s="8" t="n">
        <v>15.5</v>
      </c>
      <c r="H19" s="8" t="n">
        <v>106.120003</v>
      </c>
      <c r="I19" s="8" t="n">
        <v>1120.680054</v>
      </c>
      <c r="J19" s="8" t="n">
        <v>49.381126</v>
      </c>
      <c r="L19" s="9">
        <f>LN(B19/B18)</f>
        <v/>
      </c>
      <c r="M19" s="9">
        <f>$M$1*(C19-C18)</f>
        <v/>
      </c>
      <c r="N19" s="9">
        <f>$N$1*(D19-D18)</f>
        <v/>
      </c>
      <c r="O19" s="9">
        <f>$O$1*LN(E19/E18)</f>
        <v/>
      </c>
      <c r="P19" s="9">
        <f>$P$1*LN(F19/F18)</f>
        <v/>
      </c>
      <c r="Q19" s="9">
        <f>$Q$1*(G19-G18)</f>
        <v/>
      </c>
      <c r="R19" s="9">
        <f>$R$1*(H19-H18)</f>
        <v/>
      </c>
      <c r="S19" s="9">
        <f>$S$1*LN(I19/I18)</f>
        <v/>
      </c>
      <c r="T19" s="9">
        <f>$T$1*LN(J19/J18)</f>
        <v/>
      </c>
      <c r="U19" s="9">
        <f>$W$12+$W$4*M19+$W$5*N19+$W$6*O19+$W$7*P19+$W$8*Q19+$W$9*R19+$W$10*S19+$W$11*T19</f>
        <v/>
      </c>
      <c r="V19" t="inlineStr">
        <is>
          <t>OOS R² vs RW+drift</t>
        </is>
      </c>
      <c r="W19" s="10">
        <f>1-SUMPRODUCT((L64:L284-AK64:AK284)^2)/SUMPRODUCT((L64:L284-AL64:AL284)^2)</f>
        <v/>
      </c>
    </row>
    <row r="20">
      <c r="A20" s="7" t="n">
        <v>38168</v>
      </c>
      <c r="B20" s="8" t="n">
        <v>395.8</v>
      </c>
      <c r="C20" s="8" t="n">
        <v>2.52</v>
      </c>
      <c r="D20" s="8" t="n">
        <v>2.1</v>
      </c>
      <c r="E20" s="8" t="n">
        <v>88.800003</v>
      </c>
      <c r="F20" s="8" t="n">
        <v>36.92</v>
      </c>
      <c r="G20" s="8" t="n">
        <v>14.34</v>
      </c>
      <c r="H20" s="8" t="n">
        <v>93.910004</v>
      </c>
      <c r="I20" s="8" t="n">
        <v>1140.839966</v>
      </c>
      <c r="J20" s="8" t="n">
        <v>49.74081</v>
      </c>
      <c r="L20" s="9">
        <f>LN(B20/B19)</f>
        <v/>
      </c>
      <c r="M20" s="9">
        <f>$M$1*(C20-C19)</f>
        <v/>
      </c>
      <c r="N20" s="9">
        <f>$N$1*(D20-D19)</f>
        <v/>
      </c>
      <c r="O20" s="9">
        <f>$O$1*LN(E20/E19)</f>
        <v/>
      </c>
      <c r="P20" s="9">
        <f>$P$1*LN(F20/F19)</f>
        <v/>
      </c>
      <c r="Q20" s="9">
        <f>$Q$1*(G20-G19)</f>
        <v/>
      </c>
      <c r="R20" s="9">
        <f>$R$1*(H20-H19)</f>
        <v/>
      </c>
      <c r="S20" s="9">
        <f>$S$1*LN(I20/I19)</f>
        <v/>
      </c>
      <c r="T20" s="9">
        <f>$T$1*LN(J20/J19)</f>
        <v/>
      </c>
      <c r="U20" s="9">
        <f>$W$12+$W$4*M20+$W$5*N20+$W$6*O20+$W$7*P20+$W$8*Q20+$W$9*R20+$W$10*S20+$W$11*T20</f>
        <v/>
      </c>
      <c r="V20" t="inlineStr">
        <is>
          <t>RMSE ratio (model/RW)</t>
        </is>
      </c>
      <c r="W20" s="11">
        <f>SQRT(SUMPRODUCT((L64:L284-AK64:AK284)^2)/SUMPRODUCT(L64:L284,L64:L284))</f>
        <v/>
      </c>
    </row>
    <row r="21">
      <c r="A21" s="7" t="n">
        <v>38199</v>
      </c>
      <c r="B21" s="8" t="n">
        <v>391.4</v>
      </c>
      <c r="C21" s="8" t="n">
        <v>2.49</v>
      </c>
      <c r="D21" s="8" t="n">
        <v>2.01</v>
      </c>
      <c r="E21" s="8" t="n">
        <v>89.959999</v>
      </c>
      <c r="F21" s="8" t="n">
        <v>43.72</v>
      </c>
      <c r="G21" s="8" t="n">
        <v>15.32</v>
      </c>
      <c r="H21" s="8" t="n">
        <v>97.209999</v>
      </c>
      <c r="I21" s="8" t="n">
        <v>1101.719971</v>
      </c>
      <c r="J21" s="8" t="n">
        <v>50.200871</v>
      </c>
      <c r="L21" s="9">
        <f>LN(B21/B20)</f>
        <v/>
      </c>
      <c r="M21" s="9">
        <f>$M$1*(C21-C20)</f>
        <v/>
      </c>
      <c r="N21" s="9">
        <f>$N$1*(D21-D20)</f>
        <v/>
      </c>
      <c r="O21" s="9">
        <f>$O$1*LN(E21/E20)</f>
        <v/>
      </c>
      <c r="P21" s="9">
        <f>$P$1*LN(F21/F20)</f>
        <v/>
      </c>
      <c r="Q21" s="9">
        <f>$Q$1*(G21-G20)</f>
        <v/>
      </c>
      <c r="R21" s="9">
        <f>$R$1*(H21-H20)</f>
        <v/>
      </c>
      <c r="S21" s="9">
        <f>$S$1*LN(I21/I20)</f>
        <v/>
      </c>
      <c r="T21" s="9">
        <f>$T$1*LN(J21/J20)</f>
        <v/>
      </c>
      <c r="U21" s="9">
        <f>$W$12+$W$4*M21+$W$5*N21+$W$6*O21+$W$7*P21+$W$8*Q21+$W$9*R21+$W$10*S21+$W$11*T21</f>
        <v/>
      </c>
      <c r="V21" t="inlineStr">
        <is>
          <t>OOS periods</t>
        </is>
      </c>
      <c r="W21" s="12">
        <f>COUNT(AK64:AK284)</f>
        <v/>
      </c>
    </row>
    <row r="22">
      <c r="A22" s="7" t="n">
        <v>38230</v>
      </c>
      <c r="B22" s="8" t="n">
        <v>407.25</v>
      </c>
      <c r="C22" s="8" t="n">
        <v>2.35</v>
      </c>
      <c r="D22" s="8" t="n">
        <v>1.78</v>
      </c>
      <c r="E22" s="8" t="n">
        <v>88.94000200000001</v>
      </c>
      <c r="F22" s="8" t="n">
        <v>42.23</v>
      </c>
      <c r="G22" s="8" t="n">
        <v>15.29</v>
      </c>
      <c r="H22" s="8" t="n">
        <v>102.660004</v>
      </c>
      <c r="I22" s="8" t="n">
        <v>1104.23999</v>
      </c>
      <c r="J22" s="8" t="n">
        <v>51.013432</v>
      </c>
      <c r="L22" s="9">
        <f>LN(B22/B21)</f>
        <v/>
      </c>
      <c r="M22" s="9">
        <f>$M$1*(C22-C21)</f>
        <v/>
      </c>
      <c r="N22" s="9">
        <f>$N$1*(D22-D21)</f>
        <v/>
      </c>
      <c r="O22" s="9">
        <f>$O$1*LN(E22/E21)</f>
        <v/>
      </c>
      <c r="P22" s="9">
        <f>$P$1*LN(F22/F21)</f>
        <v/>
      </c>
      <c r="Q22" s="9">
        <f>$Q$1*(G22-G21)</f>
        <v/>
      </c>
      <c r="R22" s="9">
        <f>$R$1*(H22-H21)</f>
        <v/>
      </c>
      <c r="S22" s="9">
        <f>$S$1*LN(I22/I21)</f>
        <v/>
      </c>
      <c r="T22" s="9">
        <f>$T$1*LN(J22/J21)</f>
        <v/>
      </c>
      <c r="U22" s="9">
        <f>$W$12+$W$4*M22+$W$5*N22+$W$6*O22+$W$7*P22+$W$8*Q22+$W$9*R22+$W$10*S22+$W$11*T22</f>
        <v/>
      </c>
    </row>
    <row r="23">
      <c r="A23" s="7" t="n">
        <v>38260</v>
      </c>
      <c r="B23" s="8" t="n">
        <v>415.65</v>
      </c>
      <c r="C23" s="8" t="n">
        <v>2.37</v>
      </c>
      <c r="D23" s="8" t="n">
        <v>1.77</v>
      </c>
      <c r="E23" s="8" t="n">
        <v>87.360001</v>
      </c>
      <c r="F23" s="8" t="n">
        <v>49.56</v>
      </c>
      <c r="G23" s="8" t="n">
        <v>13.34</v>
      </c>
      <c r="H23" s="8" t="n">
        <v>92.889999</v>
      </c>
      <c r="I23" s="8" t="n">
        <v>1114.579956</v>
      </c>
      <c r="J23" s="8" t="n">
        <v>51.277126</v>
      </c>
      <c r="L23" s="9">
        <f>LN(B23/B22)</f>
        <v/>
      </c>
      <c r="M23" s="9">
        <f>$M$1*(C23-C22)</f>
        <v/>
      </c>
      <c r="N23" s="9">
        <f>$N$1*(D23-D22)</f>
        <v/>
      </c>
      <c r="O23" s="9">
        <f>$O$1*LN(E23/E22)</f>
        <v/>
      </c>
      <c r="P23" s="9">
        <f>$P$1*LN(F23/F22)</f>
        <v/>
      </c>
      <c r="Q23" s="9">
        <f>$Q$1*(G23-G22)</f>
        <v/>
      </c>
      <c r="R23" s="9">
        <f>$R$1*(H23-H22)</f>
        <v/>
      </c>
      <c r="S23" s="9">
        <f>$S$1*LN(I23/I22)</f>
        <v/>
      </c>
      <c r="T23" s="9">
        <f>$T$1*LN(J23/J22)</f>
        <v/>
      </c>
      <c r="U23" s="9">
        <f>$W$12+$W$4*M23+$W$5*N23+$W$6*O23+$W$7*P23+$W$8*Q23+$W$9*R23+$W$10*S23+$W$11*T23</f>
        <v/>
      </c>
    </row>
    <row r="24">
      <c r="A24" s="7" t="n">
        <v>38291</v>
      </c>
      <c r="B24" s="8" t="n">
        <v>425.55</v>
      </c>
      <c r="C24" s="8" t="n">
        <v>2.42</v>
      </c>
      <c r="D24" s="8" t="n">
        <v>1.63</v>
      </c>
      <c r="E24" s="8" t="n">
        <v>84.910004</v>
      </c>
      <c r="F24" s="8" t="n">
        <v>51.78</v>
      </c>
      <c r="G24" s="8" t="n">
        <v>16.27</v>
      </c>
      <c r="H24" s="8" t="n">
        <v>96.449997</v>
      </c>
      <c r="I24" s="8" t="n">
        <v>1130.199951</v>
      </c>
      <c r="J24" s="8" t="n">
        <v>51.721451</v>
      </c>
      <c r="L24" s="9">
        <f>LN(B24/B23)</f>
        <v/>
      </c>
      <c r="M24" s="9">
        <f>$M$1*(C24-C23)</f>
        <v/>
      </c>
      <c r="N24" s="9">
        <f>$N$1*(D24-D23)</f>
        <v/>
      </c>
      <c r="O24" s="9">
        <f>$O$1*LN(E24/E23)</f>
        <v/>
      </c>
      <c r="P24" s="9">
        <f>$P$1*LN(F24/F23)</f>
        <v/>
      </c>
      <c r="Q24" s="9">
        <f>$Q$1*(G24-G23)</f>
        <v/>
      </c>
      <c r="R24" s="9">
        <f>$R$1*(H24-H23)</f>
        <v/>
      </c>
      <c r="S24" s="9">
        <f>$S$1*LN(I24/I23)</f>
        <v/>
      </c>
      <c r="T24" s="9">
        <f>$T$1*LN(J24/J23)</f>
        <v/>
      </c>
      <c r="U24" s="9">
        <f>$W$12+$W$4*M24+$W$5*N24+$W$6*O24+$W$7*P24+$W$8*Q24+$W$9*R24+$W$10*S24+$W$11*T24</f>
        <v/>
      </c>
    </row>
    <row r="25">
      <c r="A25" s="7" t="n">
        <v>38321</v>
      </c>
      <c r="B25" s="8" t="n">
        <v>453.4</v>
      </c>
      <c r="C25" s="8" t="n">
        <v>2.61</v>
      </c>
      <c r="D25" s="8" t="n">
        <v>1.75</v>
      </c>
      <c r="E25" s="8" t="n">
        <v>81.81999999999999</v>
      </c>
      <c r="F25" s="8" t="n">
        <v>49.16</v>
      </c>
      <c r="G25" s="8" t="n">
        <v>13.24</v>
      </c>
      <c r="H25" s="8" t="n">
        <v>89.55999799999999</v>
      </c>
      <c r="I25" s="8" t="n">
        <v>1173.819946</v>
      </c>
      <c r="J25" s="8" t="n">
        <v>51.339222</v>
      </c>
      <c r="L25" s="9">
        <f>LN(B25/B24)</f>
        <v/>
      </c>
      <c r="M25" s="9">
        <f>$M$1*(C25-C24)</f>
        <v/>
      </c>
      <c r="N25" s="9">
        <f>$N$1*(D25-D24)</f>
        <v/>
      </c>
      <c r="O25" s="9">
        <f>$O$1*LN(E25/E24)</f>
        <v/>
      </c>
      <c r="P25" s="9">
        <f>$P$1*LN(F25/F24)</f>
        <v/>
      </c>
      <c r="Q25" s="9">
        <f>$Q$1*(G25-G24)</f>
        <v/>
      </c>
      <c r="R25" s="9">
        <f>$R$1*(H25-H24)</f>
        <v/>
      </c>
      <c r="S25" s="9">
        <f>$S$1*LN(I25/I24)</f>
        <v/>
      </c>
      <c r="T25" s="9">
        <f>$T$1*LN(J25/J24)</f>
        <v/>
      </c>
      <c r="U25" s="9">
        <f>$W$12+$W$4*M25+$W$5*N25+$W$6*O25+$W$7*P25+$W$8*Q25+$W$9*R25+$W$10*S25+$W$11*T25</f>
        <v/>
      </c>
    </row>
    <row r="26">
      <c r="A26" s="7" t="n">
        <v>38352</v>
      </c>
      <c r="B26" s="8" t="n">
        <v>435.6</v>
      </c>
      <c r="C26" s="8" t="n">
        <v>2.56</v>
      </c>
      <c r="D26" s="8" t="n">
        <v>1.68</v>
      </c>
      <c r="E26" s="8" t="n">
        <v>80.849998</v>
      </c>
      <c r="F26" s="8" t="n">
        <v>43.36</v>
      </c>
      <c r="G26" s="8" t="n">
        <v>13.29</v>
      </c>
      <c r="H26" s="8" t="n">
        <v>86.599998</v>
      </c>
      <c r="I26" s="8" t="n">
        <v>1211.920044</v>
      </c>
      <c r="J26" s="8" t="n">
        <v>51.748566</v>
      </c>
      <c r="L26" s="9">
        <f>LN(B26/B25)</f>
        <v/>
      </c>
      <c r="M26" s="9">
        <f>$M$1*(C26-C25)</f>
        <v/>
      </c>
      <c r="N26" s="9">
        <f>$N$1*(D26-D25)</f>
        <v/>
      </c>
      <c r="O26" s="9">
        <f>$O$1*LN(E26/E25)</f>
        <v/>
      </c>
      <c r="P26" s="9">
        <f>$P$1*LN(F26/F25)</f>
        <v/>
      </c>
      <c r="Q26" s="9">
        <f>$Q$1*(G26-G25)</f>
        <v/>
      </c>
      <c r="R26" s="9">
        <f>$R$1*(H26-H25)</f>
        <v/>
      </c>
      <c r="S26" s="9">
        <f>$S$1*LN(I26/I25)</f>
        <v/>
      </c>
      <c r="T26" s="9">
        <f>$T$1*LN(J26/J25)</f>
        <v/>
      </c>
      <c r="U26" s="9">
        <f>$W$12+$W$4*M26+$W$5*N26+$W$6*O26+$W$7*P26+$W$8*Q26+$W$9*R26+$W$10*S26+$W$11*T26</f>
        <v/>
      </c>
    </row>
    <row r="27">
      <c r="A27" s="7" t="n">
        <v>38383</v>
      </c>
      <c r="B27" s="8" t="n">
        <v>422.15</v>
      </c>
      <c r="C27" s="8" t="n">
        <v>2.49</v>
      </c>
      <c r="D27" s="8" t="n">
        <v>1.65</v>
      </c>
      <c r="E27" s="8" t="n">
        <v>83.599998</v>
      </c>
      <c r="F27" s="8" t="n">
        <v>48.25</v>
      </c>
      <c r="G27" s="8" t="n">
        <v>12.82</v>
      </c>
      <c r="H27" s="8" t="n">
        <v>79.290001</v>
      </c>
      <c r="I27" s="8" t="n">
        <v>1181.27002</v>
      </c>
      <c r="J27" s="8" t="n">
        <v>52.001225</v>
      </c>
      <c r="L27" s="9">
        <f>LN(B27/B26)</f>
        <v/>
      </c>
      <c r="M27" s="9">
        <f>$M$1*(C27-C26)</f>
        <v/>
      </c>
      <c r="N27" s="9">
        <f>$N$1*(D27-D26)</f>
        <v/>
      </c>
      <c r="O27" s="9">
        <f>$O$1*LN(E27/E26)</f>
        <v/>
      </c>
      <c r="P27" s="9">
        <f>$P$1*LN(F27/F26)</f>
        <v/>
      </c>
      <c r="Q27" s="9">
        <f>$Q$1*(G27-G26)</f>
        <v/>
      </c>
      <c r="R27" s="9">
        <f>$R$1*(H27-H26)</f>
        <v/>
      </c>
      <c r="S27" s="9">
        <f>$S$1*LN(I27/I26)</f>
        <v/>
      </c>
      <c r="T27" s="9">
        <f>$T$1*LN(J27/J26)</f>
        <v/>
      </c>
      <c r="U27" s="9">
        <f>$W$12+$W$4*M27+$W$5*N27+$W$6*O27+$W$7*P27+$W$8*Q27+$W$9*R27+$W$10*S27+$W$11*T27</f>
        <v/>
      </c>
    </row>
    <row r="28">
      <c r="A28" s="7" t="n">
        <v>38411</v>
      </c>
      <c r="B28" s="8" t="n">
        <v>435.45</v>
      </c>
      <c r="C28" s="8" t="n">
        <v>2.66</v>
      </c>
      <c r="D28" s="8" t="n">
        <v>1.7</v>
      </c>
      <c r="E28" s="8" t="n">
        <v>82.510002</v>
      </c>
      <c r="F28" s="8" t="n">
        <v>51.75</v>
      </c>
      <c r="G28" s="8" t="n">
        <v>12.08</v>
      </c>
      <c r="H28" s="8" t="n">
        <v>90.050003</v>
      </c>
      <c r="I28" s="8" t="n">
        <v>1203.599976</v>
      </c>
      <c r="J28" s="8" t="n">
        <v>51.808109</v>
      </c>
      <c r="L28" s="9">
        <f>LN(B28/B27)</f>
        <v/>
      </c>
      <c r="M28" s="9">
        <f>$M$1*(C28-C27)</f>
        <v/>
      </c>
      <c r="N28" s="9">
        <f>$N$1*(D28-D27)</f>
        <v/>
      </c>
      <c r="O28" s="9">
        <f>$O$1*LN(E28/E27)</f>
        <v/>
      </c>
      <c r="P28" s="9">
        <f>$P$1*LN(F28/F27)</f>
        <v/>
      </c>
      <c r="Q28" s="9">
        <f>$Q$1*(G28-G27)</f>
        <v/>
      </c>
      <c r="R28" s="9">
        <f>$R$1*(H28-H27)</f>
        <v/>
      </c>
      <c r="S28" s="9">
        <f>$S$1*LN(I28/I27)</f>
        <v/>
      </c>
      <c r="T28" s="9">
        <f>$T$1*LN(J28/J27)</f>
        <v/>
      </c>
      <c r="U28" s="9">
        <f>$W$12+$W$4*M28+$W$5*N28+$W$6*O28+$W$7*P28+$W$8*Q28+$W$9*R28+$W$10*S28+$W$11*T28</f>
        <v/>
      </c>
    </row>
    <row r="29">
      <c r="A29" s="7" t="n">
        <v>38442</v>
      </c>
      <c r="B29" s="8" t="n">
        <v>427.5</v>
      </c>
      <c r="C29" s="8" t="n">
        <v>2.71</v>
      </c>
      <c r="D29" s="8" t="n">
        <v>1.79</v>
      </c>
      <c r="E29" s="8" t="n">
        <v>84.05999799999999</v>
      </c>
      <c r="F29" s="8" t="n">
        <v>55.31</v>
      </c>
      <c r="G29" s="8" t="n">
        <v>14.02</v>
      </c>
      <c r="H29" s="8" t="n">
        <v>87.699997</v>
      </c>
      <c r="I29" s="8" t="n">
        <v>1180.589966</v>
      </c>
      <c r="J29" s="8" t="n">
        <v>51.303345</v>
      </c>
      <c r="L29" s="9">
        <f>LN(B29/B28)</f>
        <v/>
      </c>
      <c r="M29" s="9">
        <f>$M$1*(C29-C28)</f>
        <v/>
      </c>
      <c r="N29" s="9">
        <f>$N$1*(D29-D28)</f>
        <v/>
      </c>
      <c r="O29" s="9">
        <f>$O$1*LN(E29/E28)</f>
        <v/>
      </c>
      <c r="P29" s="9">
        <f>$P$1*LN(F29/F28)</f>
        <v/>
      </c>
      <c r="Q29" s="9">
        <f>$Q$1*(G29-G28)</f>
        <v/>
      </c>
      <c r="R29" s="9">
        <f>$R$1*(H29-H28)</f>
        <v/>
      </c>
      <c r="S29" s="9">
        <f>$S$1*LN(I29/I28)</f>
        <v/>
      </c>
      <c r="T29" s="9">
        <f>$T$1*LN(J29/J28)</f>
        <v/>
      </c>
      <c r="U29" s="9">
        <f>$W$12+$W$4*M29+$W$5*N29+$W$6*O29+$W$7*P29+$W$8*Q29+$W$9*R29+$W$10*S29+$W$11*T29</f>
        <v/>
      </c>
    </row>
    <row r="30">
      <c r="A30" s="7" t="n">
        <v>38472</v>
      </c>
      <c r="B30" s="8" t="n">
        <v>435.7</v>
      </c>
      <c r="C30" s="8" t="n">
        <v>2.6</v>
      </c>
      <c r="D30" s="8" t="n">
        <v>1.61</v>
      </c>
      <c r="E30" s="8" t="n">
        <v>84.43000000000001</v>
      </c>
      <c r="F30" s="8" t="n">
        <v>49.2</v>
      </c>
      <c r="G30" s="8" t="n">
        <v>15.31</v>
      </c>
      <c r="H30" s="8" t="n">
        <v>82.529999</v>
      </c>
      <c r="I30" s="8" t="n">
        <v>1156.849976</v>
      </c>
      <c r="J30" s="8" t="n">
        <v>52.187256</v>
      </c>
      <c r="L30" s="9">
        <f>LN(B30/B29)</f>
        <v/>
      </c>
      <c r="M30" s="9">
        <f>$M$1*(C30-C29)</f>
        <v/>
      </c>
      <c r="N30" s="9">
        <f>$N$1*(D30-D29)</f>
        <v/>
      </c>
      <c r="O30" s="9">
        <f>$O$1*LN(E30/E29)</f>
        <v/>
      </c>
      <c r="P30" s="9">
        <f>$P$1*LN(F30/F29)</f>
        <v/>
      </c>
      <c r="Q30" s="9">
        <f>$Q$1*(G30-G29)</f>
        <v/>
      </c>
      <c r="R30" s="9">
        <f>$R$1*(H30-H29)</f>
        <v/>
      </c>
      <c r="S30" s="9">
        <f>$S$1*LN(I30/I29)</f>
        <v/>
      </c>
      <c r="T30" s="9">
        <f>$T$1*LN(J30/J29)</f>
        <v/>
      </c>
      <c r="U30" s="9">
        <f>$W$12+$W$4*M30+$W$5*N30+$W$6*O30+$W$7*P30+$W$8*Q30+$W$9*R30+$W$10*S30+$W$11*T30</f>
        <v/>
      </c>
    </row>
    <row r="31">
      <c r="A31" s="7" t="n">
        <v>38503</v>
      </c>
      <c r="B31" s="8" t="n">
        <v>414.45</v>
      </c>
      <c r="C31" s="8" t="n">
        <v>2.37</v>
      </c>
      <c r="D31" s="8" t="n">
        <v>1.63</v>
      </c>
      <c r="E31" s="8" t="n">
        <v>87.760002</v>
      </c>
      <c r="F31" s="8" t="n">
        <v>52.08</v>
      </c>
      <c r="G31" s="8" t="n">
        <v>13.29</v>
      </c>
      <c r="H31" s="8" t="n">
        <v>75</v>
      </c>
      <c r="I31" s="8" t="n">
        <v>1191.5</v>
      </c>
      <c r="J31" s="8" t="n">
        <v>52.619133</v>
      </c>
      <c r="L31" s="9">
        <f>LN(B31/B30)</f>
        <v/>
      </c>
      <c r="M31" s="9">
        <f>$M$1*(C31-C30)</f>
        <v/>
      </c>
      <c r="N31" s="9">
        <f>$N$1*(D31-D30)</f>
        <v/>
      </c>
      <c r="O31" s="9">
        <f>$O$1*LN(E31/E30)</f>
        <v/>
      </c>
      <c r="P31" s="9">
        <f>$P$1*LN(F31/F30)</f>
        <v/>
      </c>
      <c r="Q31" s="9">
        <f>$Q$1*(G31-G30)</f>
        <v/>
      </c>
      <c r="R31" s="9">
        <f>$R$1*(H31-H30)</f>
        <v/>
      </c>
      <c r="S31" s="9">
        <f>$S$1*LN(I31/I30)</f>
        <v/>
      </c>
      <c r="T31" s="9">
        <f>$T$1*LN(J31/J30)</f>
        <v/>
      </c>
      <c r="U31" s="9">
        <f>$W$12+$W$4*M31+$W$5*N31+$W$6*O31+$W$7*P31+$W$8*Q31+$W$9*R31+$W$10*S31+$W$11*T31</f>
        <v/>
      </c>
    </row>
    <row r="32">
      <c r="A32" s="7" t="n">
        <v>38533</v>
      </c>
      <c r="B32" s="8" t="n">
        <v>437.1</v>
      </c>
      <c r="C32" s="8" t="n">
        <v>2.27</v>
      </c>
      <c r="D32" s="8" t="n">
        <v>1.67</v>
      </c>
      <c r="E32" s="8" t="n">
        <v>89.110001</v>
      </c>
      <c r="F32" s="8" t="n">
        <v>56.63</v>
      </c>
      <c r="G32" s="8" t="n">
        <v>12.04</v>
      </c>
      <c r="H32" s="8" t="n">
        <v>75.599998</v>
      </c>
      <c r="I32" s="8" t="n">
        <v>1191.329956</v>
      </c>
      <c r="J32" s="8" t="n">
        <v>53.080238</v>
      </c>
      <c r="L32" s="9">
        <f>LN(B32/B31)</f>
        <v/>
      </c>
      <c r="M32" s="9">
        <f>$M$1*(C32-C31)</f>
        <v/>
      </c>
      <c r="N32" s="9">
        <f>$N$1*(D32-D31)</f>
        <v/>
      </c>
      <c r="O32" s="9">
        <f>$O$1*LN(E32/E31)</f>
        <v/>
      </c>
      <c r="P32" s="9">
        <f>$P$1*LN(F32/F31)</f>
        <v/>
      </c>
      <c r="Q32" s="9">
        <f>$Q$1*(G32-G31)</f>
        <v/>
      </c>
      <c r="R32" s="9">
        <f>$R$1*(H32-H31)</f>
        <v/>
      </c>
      <c r="S32" s="9">
        <f>$S$1*LN(I32/I31)</f>
        <v/>
      </c>
      <c r="T32" s="9">
        <f>$T$1*LN(J32/J31)</f>
        <v/>
      </c>
      <c r="U32" s="9">
        <f>$W$12+$W$4*M32+$W$5*N32+$W$6*O32+$W$7*P32+$W$8*Q32+$W$9*R32+$W$10*S32+$W$11*T32</f>
        <v/>
      </c>
    </row>
    <row r="33">
      <c r="A33" s="7" t="n">
        <v>38564</v>
      </c>
      <c r="B33" s="8" t="n">
        <v>429</v>
      </c>
      <c r="C33" s="8" t="n">
        <v>2.36</v>
      </c>
      <c r="D33" s="8" t="n">
        <v>1.92</v>
      </c>
      <c r="E33" s="8" t="n">
        <v>89.349998</v>
      </c>
      <c r="F33" s="8" t="n">
        <v>60.71</v>
      </c>
      <c r="G33" s="8" t="n">
        <v>11.57</v>
      </c>
      <c r="H33" s="8" t="n">
        <v>74.800003</v>
      </c>
      <c r="I33" s="8" t="n">
        <v>1234.180054</v>
      </c>
      <c r="J33" s="8" t="n">
        <v>52.530582</v>
      </c>
      <c r="L33" s="9">
        <f>LN(B33/B32)</f>
        <v/>
      </c>
      <c r="M33" s="9">
        <f>$M$1*(C33-C32)</f>
        <v/>
      </c>
      <c r="N33" s="9">
        <f>$N$1*(D33-D32)</f>
        <v/>
      </c>
      <c r="O33" s="9">
        <f>$O$1*LN(E33/E32)</f>
        <v/>
      </c>
      <c r="P33" s="9">
        <f>$P$1*LN(F33/F32)</f>
        <v/>
      </c>
      <c r="Q33" s="9">
        <f>$Q$1*(G33-G32)</f>
        <v/>
      </c>
      <c r="R33" s="9">
        <f>$R$1*(H33-H32)</f>
        <v/>
      </c>
      <c r="S33" s="9">
        <f>$S$1*LN(I33/I32)</f>
        <v/>
      </c>
      <c r="T33" s="9">
        <f>$T$1*LN(J33/J32)</f>
        <v/>
      </c>
      <c r="U33" s="9">
        <f>$W$12+$W$4*M33+$W$5*N33+$W$6*O33+$W$7*P33+$W$8*Q33+$W$9*R33+$W$10*S33+$W$11*T33</f>
        <v/>
      </c>
    </row>
    <row r="34">
      <c r="A34" s="7" t="n">
        <v>38595</v>
      </c>
      <c r="B34" s="8" t="n">
        <v>433.25</v>
      </c>
      <c r="C34" s="8" t="n">
        <v>2.37</v>
      </c>
      <c r="D34" s="8" t="n">
        <v>1.65</v>
      </c>
      <c r="E34" s="8" t="n">
        <v>87.58000199999999</v>
      </c>
      <c r="F34" s="8" t="n">
        <v>68.63</v>
      </c>
      <c r="G34" s="8" t="n">
        <v>12.6</v>
      </c>
      <c r="H34" s="8" t="n">
        <v>78.199997</v>
      </c>
      <c r="I34" s="8" t="n">
        <v>1220.329956</v>
      </c>
      <c r="J34" s="8" t="n">
        <v>53.151249</v>
      </c>
      <c r="L34" s="9">
        <f>LN(B34/B33)</f>
        <v/>
      </c>
      <c r="M34" s="9">
        <f>$M$1*(C34-C33)</f>
        <v/>
      </c>
      <c r="N34" s="9">
        <f>$N$1*(D34-D33)</f>
        <v/>
      </c>
      <c r="O34" s="9">
        <f>$O$1*LN(E34/E33)</f>
        <v/>
      </c>
      <c r="P34" s="9">
        <f>$P$1*LN(F34/F33)</f>
        <v/>
      </c>
      <c r="Q34" s="9">
        <f>$Q$1*(G34-G33)</f>
        <v/>
      </c>
      <c r="R34" s="9">
        <f>$R$1*(H34-H33)</f>
        <v/>
      </c>
      <c r="S34" s="9">
        <f>$S$1*LN(I34/I33)</f>
        <v/>
      </c>
      <c r="T34" s="9">
        <f>$T$1*LN(J34/J33)</f>
        <v/>
      </c>
      <c r="U34" s="9">
        <f>$W$12+$W$4*M34+$W$5*N34+$W$6*O34+$W$7*P34+$W$8*Q34+$W$9*R34+$W$10*S34+$W$11*T34</f>
        <v/>
      </c>
    </row>
    <row r="35">
      <c r="A35" s="7" t="n">
        <v>38625</v>
      </c>
      <c r="B35" s="8" t="n">
        <v>473.25</v>
      </c>
      <c r="C35" s="8" t="n">
        <v>2.56</v>
      </c>
      <c r="D35" s="8" t="n">
        <v>1.78</v>
      </c>
      <c r="E35" s="8" t="n">
        <v>89.519997</v>
      </c>
      <c r="F35" s="8" t="n">
        <v>66.20999999999999</v>
      </c>
      <c r="G35" s="8" t="n">
        <v>11.92</v>
      </c>
      <c r="H35" s="8" t="n">
        <v>76.709999</v>
      </c>
      <c r="I35" s="8" t="n">
        <v>1228.810059</v>
      </c>
      <c r="J35" s="8" t="n">
        <v>52.653507</v>
      </c>
      <c r="L35" s="9">
        <f>LN(B35/B34)</f>
        <v/>
      </c>
      <c r="M35" s="9">
        <f>$M$1*(C35-C34)</f>
        <v/>
      </c>
      <c r="N35" s="9">
        <f>$N$1*(D35-D34)</f>
        <v/>
      </c>
      <c r="O35" s="9">
        <f>$O$1*LN(E35/E34)</f>
        <v/>
      </c>
      <c r="P35" s="9">
        <f>$P$1*LN(F35/F34)</f>
        <v/>
      </c>
      <c r="Q35" s="9">
        <f>$Q$1*(G35-G34)</f>
        <v/>
      </c>
      <c r="R35" s="9">
        <f>$R$1*(H35-H34)</f>
        <v/>
      </c>
      <c r="S35" s="9">
        <f>$S$1*LN(I35/I34)</f>
        <v/>
      </c>
      <c r="T35" s="9">
        <f>$T$1*LN(J35/J34)</f>
        <v/>
      </c>
      <c r="U35" s="9">
        <f>$W$12+$W$4*M35+$W$5*N35+$W$6*O35+$W$7*P35+$W$8*Q35+$W$9*R35+$W$10*S35+$W$11*T35</f>
        <v/>
      </c>
    </row>
    <row r="36">
      <c r="A36" s="7" t="n">
        <v>38656</v>
      </c>
      <c r="B36" s="8" t="n">
        <v>470.75</v>
      </c>
      <c r="C36" s="8" t="n">
        <v>2.57</v>
      </c>
      <c r="D36" s="8" t="n">
        <v>2</v>
      </c>
      <c r="E36" s="8" t="n">
        <v>90.06999999999999</v>
      </c>
      <c r="F36" s="8" t="n">
        <v>59.8</v>
      </c>
      <c r="G36" s="8" t="n">
        <v>15.32</v>
      </c>
      <c r="H36" s="8" t="n">
        <v>80.08000199999999</v>
      </c>
      <c r="I36" s="8" t="n">
        <v>1207.01001</v>
      </c>
      <c r="J36" s="8" t="n">
        <v>52.131744</v>
      </c>
      <c r="L36" s="9">
        <f>LN(B36/B35)</f>
        <v/>
      </c>
      <c r="M36" s="9">
        <f>$M$1*(C36-C35)</f>
        <v/>
      </c>
      <c r="N36" s="9">
        <f>$N$1*(D36-D35)</f>
        <v/>
      </c>
      <c r="O36" s="9">
        <f>$O$1*LN(E36/E35)</f>
        <v/>
      </c>
      <c r="P36" s="9">
        <f>$P$1*LN(F36/F35)</f>
        <v/>
      </c>
      <c r="Q36" s="9">
        <f>$Q$1*(G36-G35)</f>
        <v/>
      </c>
      <c r="R36" s="9">
        <f>$R$1*(H36-H35)</f>
        <v/>
      </c>
      <c r="S36" s="9">
        <f>$S$1*LN(I36/I35)</f>
        <v/>
      </c>
      <c r="T36" s="9">
        <f>$T$1*LN(J36/J35)</f>
        <v/>
      </c>
      <c r="U36" s="9">
        <f>$W$12+$W$4*M36+$W$5*N36+$W$6*O36+$W$7*P36+$W$8*Q36+$W$9*R36+$W$10*S36+$W$11*T36</f>
        <v/>
      </c>
    </row>
    <row r="37">
      <c r="A37" s="7" t="n">
        <v>38686</v>
      </c>
      <c r="B37" s="8" t="n">
        <v>495.65</v>
      </c>
      <c r="C37" s="8" t="n">
        <v>2.37</v>
      </c>
      <c r="D37" s="8" t="n">
        <v>2.12</v>
      </c>
      <c r="E37" s="8" t="n">
        <v>91.56999999999999</v>
      </c>
      <c r="F37" s="8" t="n">
        <v>57.33</v>
      </c>
      <c r="G37" s="8" t="n">
        <v>12.06</v>
      </c>
      <c r="H37" s="8" t="n">
        <v>73.5</v>
      </c>
      <c r="I37" s="8" t="n">
        <v>1249.47998</v>
      </c>
      <c r="J37" s="8" t="n">
        <v>52.327057</v>
      </c>
      <c r="L37" s="9">
        <f>LN(B37/B36)</f>
        <v/>
      </c>
      <c r="M37" s="9">
        <f>$M$1*(C37-C36)</f>
        <v/>
      </c>
      <c r="N37" s="9">
        <f>$N$1*(D37-D36)</f>
        <v/>
      </c>
      <c r="O37" s="9">
        <f>$O$1*LN(E37/E36)</f>
        <v/>
      </c>
      <c r="P37" s="9">
        <f>$P$1*LN(F37/F36)</f>
        <v/>
      </c>
      <c r="Q37" s="9">
        <f>$Q$1*(G37-G36)</f>
        <v/>
      </c>
      <c r="R37" s="9">
        <f>$R$1*(H37-H36)</f>
        <v/>
      </c>
      <c r="S37" s="9">
        <f>$S$1*LN(I37/I36)</f>
        <v/>
      </c>
      <c r="T37" s="9">
        <f>$T$1*LN(J37/J36)</f>
        <v/>
      </c>
      <c r="U37" s="9">
        <f>$W$12+$W$4*M37+$W$5*N37+$W$6*O37+$W$7*P37+$W$8*Q37+$W$9*R37+$W$10*S37+$W$11*T37</f>
        <v/>
      </c>
    </row>
    <row r="38">
      <c r="A38" s="7" t="n">
        <v>38717</v>
      </c>
      <c r="B38" s="8" t="n">
        <v>513</v>
      </c>
      <c r="C38" s="8" t="n">
        <v>2.33</v>
      </c>
      <c r="D38" s="8" t="n">
        <v>2.06</v>
      </c>
      <c r="E38" s="8" t="n">
        <v>91.16999800000001</v>
      </c>
      <c r="F38" s="8" t="n">
        <v>61.06</v>
      </c>
      <c r="G38" s="8" t="n">
        <v>12.07</v>
      </c>
      <c r="H38" s="8" t="n">
        <v>72.089996</v>
      </c>
      <c r="I38" s="8" t="n">
        <v>1248.290039</v>
      </c>
      <c r="J38" s="8" t="n">
        <v>52.92046</v>
      </c>
      <c r="L38" s="9">
        <f>LN(B38/B37)</f>
        <v/>
      </c>
      <c r="M38" s="9">
        <f>$M$1*(C38-C37)</f>
        <v/>
      </c>
      <c r="N38" s="9">
        <f>$N$1*(D38-D37)</f>
        <v/>
      </c>
      <c r="O38" s="9">
        <f>$O$1*LN(E38/E37)</f>
        <v/>
      </c>
      <c r="P38" s="9">
        <f>$P$1*LN(F38/F37)</f>
        <v/>
      </c>
      <c r="Q38" s="9">
        <f>$Q$1*(G38-G37)</f>
        <v/>
      </c>
      <c r="R38" s="9">
        <f>$R$1*(H38-H37)</f>
        <v/>
      </c>
      <c r="S38" s="9">
        <f>$S$1*LN(I38/I37)</f>
        <v/>
      </c>
      <c r="T38" s="9">
        <f>$T$1*LN(J38/J37)</f>
        <v/>
      </c>
      <c r="U38" s="9">
        <f>$W$12+$W$4*M38+$W$5*N38+$W$6*O38+$W$7*P38+$W$8*Q38+$W$9*R38+$W$10*S38+$W$11*T38</f>
        <v/>
      </c>
    </row>
    <row r="39">
      <c r="A39" s="7" t="n">
        <v>38748</v>
      </c>
      <c r="B39" s="8" t="n">
        <v>568.75</v>
      </c>
      <c r="C39" s="8" t="n">
        <v>2.53</v>
      </c>
      <c r="D39" s="8" t="n">
        <v>2</v>
      </c>
      <c r="E39" s="8" t="n">
        <v>88.959999</v>
      </c>
      <c r="F39" s="8" t="n">
        <v>67.86</v>
      </c>
      <c r="G39" s="8" t="n">
        <v>12.95</v>
      </c>
      <c r="H39" s="8" t="n">
        <v>73.699997</v>
      </c>
      <c r="I39" s="8" t="n">
        <v>1280.079956</v>
      </c>
      <c r="J39" s="8" t="n">
        <v>52.888916</v>
      </c>
      <c r="L39" s="9">
        <f>LN(B39/B38)</f>
        <v/>
      </c>
      <c r="M39" s="9">
        <f>$M$1*(C39-C38)</f>
        <v/>
      </c>
      <c r="N39" s="9">
        <f>$N$1*(D39-D38)</f>
        <v/>
      </c>
      <c r="O39" s="9">
        <f>$O$1*LN(E39/E38)</f>
        <v/>
      </c>
      <c r="P39" s="9">
        <f>$P$1*LN(F39/F38)</f>
        <v/>
      </c>
      <c r="Q39" s="9">
        <f>$Q$1*(G39-G38)</f>
        <v/>
      </c>
      <c r="R39" s="9">
        <f>$R$1*(H39-H38)</f>
        <v/>
      </c>
      <c r="S39" s="9">
        <f>$S$1*LN(I39/I38)</f>
        <v/>
      </c>
      <c r="T39" s="9">
        <f>$T$1*LN(J39/J38)</f>
        <v/>
      </c>
      <c r="U39" s="9">
        <f>$W$12+$W$4*M39+$W$5*N39+$W$6*O39+$W$7*P39+$W$8*Q39+$W$9*R39+$W$10*S39+$W$11*T39</f>
        <v/>
      </c>
    </row>
    <row r="40">
      <c r="A40" s="7" t="n">
        <v>38776</v>
      </c>
      <c r="B40" s="8" t="n">
        <v>556</v>
      </c>
      <c r="C40" s="8" t="n">
        <v>2.53</v>
      </c>
      <c r="D40" s="8" t="n">
        <v>2.02</v>
      </c>
      <c r="E40" s="8" t="n">
        <v>90.110001</v>
      </c>
      <c r="F40" s="8" t="n">
        <v>61.37</v>
      </c>
      <c r="G40" s="8" t="n">
        <v>12.34</v>
      </c>
      <c r="H40" s="8" t="n">
        <v>56.860001</v>
      </c>
      <c r="I40" s="8" t="n">
        <v>1280.660034</v>
      </c>
      <c r="J40" s="8" t="n">
        <v>52.973904</v>
      </c>
      <c r="L40" s="9">
        <f>LN(B40/B39)</f>
        <v/>
      </c>
      <c r="M40" s="9">
        <f>$M$1*(C40-C39)</f>
        <v/>
      </c>
      <c r="N40" s="9">
        <f>$N$1*(D40-D39)</f>
        <v/>
      </c>
      <c r="O40" s="9">
        <f>$O$1*LN(E40/E39)</f>
        <v/>
      </c>
      <c r="P40" s="9">
        <f>$P$1*LN(F40/F39)</f>
        <v/>
      </c>
      <c r="Q40" s="9">
        <f>$Q$1*(G40-G39)</f>
        <v/>
      </c>
      <c r="R40" s="9">
        <f>$R$1*(H40-H39)</f>
        <v/>
      </c>
      <c r="S40" s="9">
        <f>$S$1*LN(I40/I39)</f>
        <v/>
      </c>
      <c r="T40" s="9">
        <f>$T$1*LN(J40/J39)</f>
        <v/>
      </c>
      <c r="U40" s="9">
        <f>$W$12+$W$4*M40+$W$5*N40+$W$6*O40+$W$7*P40+$W$8*Q40+$W$9*R40+$W$10*S40+$W$11*T40</f>
        <v/>
      </c>
    </row>
    <row r="41">
      <c r="A41" s="7" t="n">
        <v>38807</v>
      </c>
      <c r="B41" s="8" t="n">
        <v>582</v>
      </c>
      <c r="C41" s="8" t="n">
        <v>2.51</v>
      </c>
      <c r="D41" s="8" t="n">
        <v>2.35</v>
      </c>
      <c r="E41" s="8" t="n">
        <v>89.730003</v>
      </c>
      <c r="F41" s="8" t="n">
        <v>66.25</v>
      </c>
      <c r="G41" s="8" t="n">
        <v>11.39</v>
      </c>
      <c r="H41" s="8" t="n">
        <v>68.599998</v>
      </c>
      <c r="I41" s="8" t="n">
        <v>1294.869995</v>
      </c>
      <c r="J41" s="8" t="n">
        <v>52.514412</v>
      </c>
      <c r="L41" s="9">
        <f>LN(B41/B40)</f>
        <v/>
      </c>
      <c r="M41" s="9">
        <f>$M$1*(C41-C40)</f>
        <v/>
      </c>
      <c r="N41" s="9">
        <f>$N$1*(D41-D40)</f>
        <v/>
      </c>
      <c r="O41" s="9">
        <f>$O$1*LN(E41/E40)</f>
        <v/>
      </c>
      <c r="P41" s="9">
        <f>$P$1*LN(F41/F40)</f>
        <v/>
      </c>
      <c r="Q41" s="9">
        <f>$Q$1*(G41-G40)</f>
        <v/>
      </c>
      <c r="R41" s="9">
        <f>$R$1*(H41-H40)</f>
        <v/>
      </c>
      <c r="S41" s="9">
        <f>$S$1*LN(I41/I40)</f>
        <v/>
      </c>
      <c r="T41" s="9">
        <f>$T$1*LN(J41/J40)</f>
        <v/>
      </c>
      <c r="U41" s="9">
        <f>$W$12+$W$4*M41+$W$5*N41+$W$6*O41+$W$7*P41+$W$8*Q41+$W$9*R41+$W$10*S41+$W$11*T41</f>
        <v/>
      </c>
    </row>
    <row r="42">
      <c r="A42" s="7" t="n">
        <v>38837</v>
      </c>
      <c r="B42" s="8" t="n">
        <v>644</v>
      </c>
      <c r="C42" s="8" t="n">
        <v>2.68</v>
      </c>
      <c r="D42" s="8" t="n">
        <v>2.39</v>
      </c>
      <c r="E42" s="8" t="n">
        <v>86.110001</v>
      </c>
      <c r="F42" s="8" t="n">
        <v>71.8</v>
      </c>
      <c r="G42" s="8" t="n">
        <v>11.59</v>
      </c>
      <c r="H42" s="8" t="n">
        <v>63</v>
      </c>
      <c r="I42" s="8" t="n">
        <v>1310.609985</v>
      </c>
      <c r="J42" s="8" t="n">
        <v>52.436146</v>
      </c>
      <c r="L42" s="9">
        <f>LN(B42/B41)</f>
        <v/>
      </c>
      <c r="M42" s="9">
        <f>$M$1*(C42-C41)</f>
        <v/>
      </c>
      <c r="N42" s="9">
        <f>$N$1*(D42-D41)</f>
        <v/>
      </c>
      <c r="O42" s="9">
        <f>$O$1*LN(E42/E41)</f>
        <v/>
      </c>
      <c r="P42" s="9">
        <f>$P$1*LN(F42/F41)</f>
        <v/>
      </c>
      <c r="Q42" s="9">
        <f>$Q$1*(G42-G41)</f>
        <v/>
      </c>
      <c r="R42" s="9">
        <f>$R$1*(H42-H41)</f>
        <v/>
      </c>
      <c r="S42" s="9">
        <f>$S$1*LN(I42/I41)</f>
        <v/>
      </c>
      <c r="T42" s="9">
        <f>$T$1*LN(J42/J41)</f>
        <v/>
      </c>
      <c r="U42" s="9">
        <f>$W$12+$W$4*M42+$W$5*N42+$W$6*O42+$W$7*P42+$W$8*Q42+$W$9*R42+$W$10*S42+$W$11*T42</f>
        <v/>
      </c>
    </row>
    <row r="43">
      <c r="A43" s="7" t="n">
        <v>38868</v>
      </c>
      <c r="B43" s="8" t="n">
        <v>653</v>
      </c>
      <c r="C43" s="8" t="n">
        <v>2.64</v>
      </c>
      <c r="D43" s="8" t="n">
        <v>2.48</v>
      </c>
      <c r="E43" s="8" t="n">
        <v>84.720001</v>
      </c>
      <c r="F43" s="8" t="n">
        <v>71.42</v>
      </c>
      <c r="G43" s="8" t="n">
        <v>16.44</v>
      </c>
      <c r="H43" s="8" t="n">
        <v>67.099998</v>
      </c>
      <c r="I43" s="8" t="n">
        <v>1270.089966</v>
      </c>
      <c r="J43" s="8" t="n">
        <v>52.33202</v>
      </c>
      <c r="L43" s="9">
        <f>LN(B43/B42)</f>
        <v/>
      </c>
      <c r="M43" s="9">
        <f>$M$1*(C43-C42)</f>
        <v/>
      </c>
      <c r="N43" s="9">
        <f>$N$1*(D43-D42)</f>
        <v/>
      </c>
      <c r="O43" s="9">
        <f>$O$1*LN(E43/E42)</f>
        <v/>
      </c>
      <c r="P43" s="9">
        <f>$P$1*LN(F43/F42)</f>
        <v/>
      </c>
      <c r="Q43" s="9">
        <f>$Q$1*(G43-G42)</f>
        <v/>
      </c>
      <c r="R43" s="9">
        <f>$R$1*(H43-H42)</f>
        <v/>
      </c>
      <c r="S43" s="9">
        <f>$S$1*LN(I43/I42)</f>
        <v/>
      </c>
      <c r="T43" s="9">
        <f>$T$1*LN(J43/J42)</f>
        <v/>
      </c>
      <c r="U43" s="9">
        <f>$W$12+$W$4*M43+$W$5*N43+$W$6*O43+$W$7*P43+$W$8*Q43+$W$9*R43+$W$10*S43+$W$11*T43</f>
        <v/>
      </c>
    </row>
    <row r="44">
      <c r="A44" s="7" t="n">
        <v>38898</v>
      </c>
      <c r="B44" s="8" t="n">
        <v>613.5</v>
      </c>
      <c r="C44" s="8" t="n">
        <v>2.61</v>
      </c>
      <c r="D44" s="8" t="n">
        <v>2.54</v>
      </c>
      <c r="E44" s="8" t="n">
        <v>85.220001</v>
      </c>
      <c r="F44" s="8" t="n">
        <v>73.94</v>
      </c>
      <c r="G44" s="8" t="n">
        <v>13.08</v>
      </c>
      <c r="H44" s="8" t="n">
        <v>65.5</v>
      </c>
      <c r="I44" s="8" t="n">
        <v>1270.199951</v>
      </c>
      <c r="J44" s="8" t="n">
        <v>52.247799</v>
      </c>
      <c r="L44" s="9">
        <f>LN(B44/B43)</f>
        <v/>
      </c>
      <c r="M44" s="9">
        <f>$M$1*(C44-C43)</f>
        <v/>
      </c>
      <c r="N44" s="9">
        <f>$N$1*(D44-D43)</f>
        <v/>
      </c>
      <c r="O44" s="9">
        <f>$O$1*LN(E44/E43)</f>
        <v/>
      </c>
      <c r="P44" s="9">
        <f>$P$1*LN(F44/F43)</f>
        <v/>
      </c>
      <c r="Q44" s="9">
        <f>$Q$1*(G44-G43)</f>
        <v/>
      </c>
      <c r="R44" s="9">
        <f>$R$1*(H44-H43)</f>
        <v/>
      </c>
      <c r="S44" s="9">
        <f>$S$1*LN(I44/I43)</f>
        <v/>
      </c>
      <c r="T44" s="9">
        <f>$T$1*LN(J44/J43)</f>
        <v/>
      </c>
      <c r="U44" s="9">
        <f>$W$12+$W$4*M44+$W$5*N44+$W$6*O44+$W$7*P44+$W$8*Q44+$W$9*R44+$W$10*S44+$W$11*T44</f>
        <v/>
      </c>
    </row>
    <row r="45">
      <c r="A45" s="7" t="n">
        <v>38929</v>
      </c>
      <c r="B45" s="8" t="n">
        <v>632.5</v>
      </c>
      <c r="C45" s="8" t="n">
        <v>2.58</v>
      </c>
      <c r="D45" s="8" t="n">
        <v>2.41</v>
      </c>
      <c r="E45" s="8" t="n">
        <v>85.300003</v>
      </c>
      <c r="F45" s="8" t="n">
        <v>74.56</v>
      </c>
      <c r="G45" s="8" t="n">
        <v>14.95</v>
      </c>
      <c r="H45" s="8" t="n">
        <v>63.400002</v>
      </c>
      <c r="I45" s="8" t="n">
        <v>1276.660034</v>
      </c>
      <c r="J45" s="8" t="n">
        <v>52.973507</v>
      </c>
      <c r="L45" s="9">
        <f>LN(B45/B44)</f>
        <v/>
      </c>
      <c r="M45" s="9">
        <f>$M$1*(C45-C44)</f>
        <v/>
      </c>
      <c r="N45" s="9">
        <f>$N$1*(D45-D44)</f>
        <v/>
      </c>
      <c r="O45" s="9">
        <f>$O$1*LN(E45/E44)</f>
        <v/>
      </c>
      <c r="P45" s="9">
        <f>$P$1*LN(F45/F44)</f>
        <v/>
      </c>
      <c r="Q45" s="9">
        <f>$Q$1*(G45-G44)</f>
        <v/>
      </c>
      <c r="R45" s="9">
        <f>$R$1*(H45-H44)</f>
        <v/>
      </c>
      <c r="S45" s="9">
        <f>$S$1*LN(I45/I44)</f>
        <v/>
      </c>
      <c r="T45" s="9">
        <f>$T$1*LN(J45/J44)</f>
        <v/>
      </c>
      <c r="U45" s="9">
        <f>$W$12+$W$4*M45+$W$5*N45+$W$6*O45+$W$7*P45+$W$8*Q45+$W$9*R45+$W$10*S45+$W$11*T45</f>
        <v/>
      </c>
    </row>
    <row r="46">
      <c r="A46" s="7" t="n">
        <v>38960</v>
      </c>
      <c r="B46" s="8" t="n">
        <v>623.5</v>
      </c>
      <c r="C46" s="8" t="n">
        <v>2.5</v>
      </c>
      <c r="D46" s="8" t="n">
        <v>2.24</v>
      </c>
      <c r="E46" s="8" t="n">
        <v>85.050003</v>
      </c>
      <c r="F46" s="8" t="n">
        <v>70.38</v>
      </c>
      <c r="G46" s="8" t="n">
        <v>12.31</v>
      </c>
      <c r="H46" s="8" t="n">
        <v>59.799999</v>
      </c>
      <c r="I46" s="8" t="n">
        <v>1303.819946</v>
      </c>
      <c r="J46" s="8" t="n">
        <v>53.816322</v>
      </c>
      <c r="L46" s="9">
        <f>LN(B46/B45)</f>
        <v/>
      </c>
      <c r="M46" s="9">
        <f>$M$1*(C46-C45)</f>
        <v/>
      </c>
      <c r="N46" s="9">
        <f>$N$1*(D46-D45)</f>
        <v/>
      </c>
      <c r="O46" s="9">
        <f>$O$1*LN(E46/E45)</f>
        <v/>
      </c>
      <c r="P46" s="9">
        <f>$P$1*LN(F46/F45)</f>
        <v/>
      </c>
      <c r="Q46" s="9">
        <f>$Q$1*(G46-G45)</f>
        <v/>
      </c>
      <c r="R46" s="9">
        <f>$R$1*(H46-H45)</f>
        <v/>
      </c>
      <c r="S46" s="9">
        <f>$S$1*LN(I46/I45)</f>
        <v/>
      </c>
      <c r="T46" s="9">
        <f>$T$1*LN(J46/J45)</f>
        <v/>
      </c>
      <c r="U46" s="9">
        <f>$W$12+$W$4*M46+$W$5*N46+$W$6*O46+$W$7*P46+$W$8*Q46+$W$9*R46+$W$10*S46+$W$11*T46</f>
        <v/>
      </c>
    </row>
    <row r="47">
      <c r="A47" s="7" t="n">
        <v>38990</v>
      </c>
      <c r="B47" s="8" t="n">
        <v>599.25</v>
      </c>
      <c r="C47" s="8" t="n">
        <v>2.37</v>
      </c>
      <c r="D47" s="8" t="n">
        <v>2.27</v>
      </c>
      <c r="E47" s="8" t="n">
        <v>85.970001</v>
      </c>
      <c r="F47" s="8" t="n">
        <v>62.9</v>
      </c>
      <c r="G47" s="8" t="n">
        <v>11.98</v>
      </c>
      <c r="H47" s="8" t="n">
        <v>63.099998</v>
      </c>
      <c r="I47" s="8" t="n">
        <v>1335.849976</v>
      </c>
      <c r="J47" s="8" t="n">
        <v>54.360672</v>
      </c>
      <c r="L47" s="9">
        <f>LN(B47/B46)</f>
        <v/>
      </c>
      <c r="M47" s="9">
        <f>$M$1*(C47-C46)</f>
        <v/>
      </c>
      <c r="N47" s="9">
        <f>$N$1*(D47-D46)</f>
        <v/>
      </c>
      <c r="O47" s="9">
        <f>$O$1*LN(E47/E46)</f>
        <v/>
      </c>
      <c r="P47" s="9">
        <f>$P$1*LN(F47/F46)</f>
        <v/>
      </c>
      <c r="Q47" s="9">
        <f>$Q$1*(G47-G46)</f>
        <v/>
      </c>
      <c r="R47" s="9">
        <f>$R$1*(H47-H46)</f>
        <v/>
      </c>
      <c r="S47" s="9">
        <f>$S$1*LN(I47/I46)</f>
        <v/>
      </c>
      <c r="T47" s="9">
        <f>$T$1*LN(J47/J46)</f>
        <v/>
      </c>
      <c r="U47" s="9">
        <f>$W$12+$W$4*M47+$W$5*N47+$W$6*O47+$W$7*P47+$W$8*Q47+$W$9*R47+$W$10*S47+$W$11*T47</f>
        <v/>
      </c>
    </row>
    <row r="48">
      <c r="A48" s="7" t="n">
        <v>39021</v>
      </c>
      <c r="B48" s="8" t="n">
        <v>603.75</v>
      </c>
      <c r="C48" s="8" t="n">
        <v>2.27</v>
      </c>
      <c r="D48" s="8" t="n">
        <v>2.34</v>
      </c>
      <c r="E48" s="8" t="n">
        <v>85.31999999999999</v>
      </c>
      <c r="F48" s="8" t="n">
        <v>58.72</v>
      </c>
      <c r="G48" s="8" t="n">
        <v>11.1</v>
      </c>
      <c r="H48" s="8" t="n">
        <v>60.900002</v>
      </c>
      <c r="I48" s="8" t="n">
        <v>1377.939941</v>
      </c>
      <c r="J48" s="8" t="n">
        <v>54.733494</v>
      </c>
      <c r="L48" s="9">
        <f>LN(B48/B47)</f>
        <v/>
      </c>
      <c r="M48" s="9">
        <f>$M$1*(C48-C47)</f>
        <v/>
      </c>
      <c r="N48" s="9">
        <f>$N$1*(D48-D47)</f>
        <v/>
      </c>
      <c r="O48" s="9">
        <f>$O$1*LN(E48/E47)</f>
        <v/>
      </c>
      <c r="P48" s="9">
        <f>$P$1*LN(F48/F47)</f>
        <v/>
      </c>
      <c r="Q48" s="9">
        <f>$Q$1*(G48-G47)</f>
        <v/>
      </c>
      <c r="R48" s="9">
        <f>$R$1*(H48-H47)</f>
        <v/>
      </c>
      <c r="S48" s="9">
        <f>$S$1*LN(I48/I47)</f>
        <v/>
      </c>
      <c r="T48" s="9">
        <f>$T$1*LN(J48/J47)</f>
        <v/>
      </c>
      <c r="U48" s="9">
        <f>$W$12+$W$4*M48+$W$5*N48+$W$6*O48+$W$7*P48+$W$8*Q48+$W$9*R48+$W$10*S48+$W$11*T48</f>
        <v/>
      </c>
    </row>
    <row r="49">
      <c r="A49" s="7" t="n">
        <v>39051</v>
      </c>
      <c r="B49" s="8" t="n">
        <v>646.7</v>
      </c>
      <c r="C49" s="8" t="n">
        <v>2.3</v>
      </c>
      <c r="D49" s="8" t="n">
        <v>2.16</v>
      </c>
      <c r="E49" s="8" t="n">
        <v>82.91999800000001</v>
      </c>
      <c r="F49" s="8" t="n">
        <v>62.97</v>
      </c>
      <c r="G49" s="8" t="n">
        <v>10.91</v>
      </c>
      <c r="H49" s="8" t="n">
        <v>68.5</v>
      </c>
      <c r="I49" s="8" t="n">
        <v>1400.630005</v>
      </c>
      <c r="J49" s="8" t="n">
        <v>55.314651</v>
      </c>
      <c r="L49" s="9">
        <f>LN(B49/B48)</f>
        <v/>
      </c>
      <c r="M49" s="9">
        <f>$M$1*(C49-C48)</f>
        <v/>
      </c>
      <c r="N49" s="9">
        <f>$N$1*(D49-D48)</f>
        <v/>
      </c>
      <c r="O49" s="9">
        <f>$O$1*LN(E49/E48)</f>
        <v/>
      </c>
      <c r="P49" s="9">
        <f>$P$1*LN(F49/F48)</f>
        <v/>
      </c>
      <c r="Q49" s="9">
        <f>$Q$1*(G49-G48)</f>
        <v/>
      </c>
      <c r="R49" s="9">
        <f>$R$1*(H49-H48)</f>
        <v/>
      </c>
      <c r="S49" s="9">
        <f>$S$1*LN(I49/I48)</f>
        <v/>
      </c>
      <c r="T49" s="9">
        <f>$T$1*LN(J49/J48)</f>
        <v/>
      </c>
      <c r="U49" s="9">
        <f>$W$12+$W$4*M49+$W$5*N49+$W$6*O49+$W$7*P49+$W$8*Q49+$W$9*R49+$W$10*S49+$W$11*T49</f>
        <v/>
      </c>
    </row>
    <row r="50">
      <c r="A50" s="7" t="n">
        <v>39082</v>
      </c>
      <c r="B50" s="8" t="n">
        <v>632</v>
      </c>
      <c r="C50" s="8" t="n">
        <v>2.3</v>
      </c>
      <c r="D50" s="8" t="n">
        <v>2.41</v>
      </c>
      <c r="E50" s="8" t="n">
        <v>83.720001</v>
      </c>
      <c r="F50" s="8" t="n">
        <v>60.85</v>
      </c>
      <c r="G50" s="8" t="n">
        <v>11.56</v>
      </c>
      <c r="H50" s="8" t="n">
        <v>66.800003</v>
      </c>
      <c r="I50" s="8" t="n">
        <v>1418.300049</v>
      </c>
      <c r="J50" s="8" t="n">
        <v>54.982533</v>
      </c>
      <c r="L50" s="9">
        <f>LN(B50/B49)</f>
        <v/>
      </c>
      <c r="M50" s="9">
        <f>$M$1*(C50-C49)</f>
        <v/>
      </c>
      <c r="N50" s="9">
        <f>$N$1*(D50-D49)</f>
        <v/>
      </c>
      <c r="O50" s="9">
        <f>$O$1*LN(E50/E49)</f>
        <v/>
      </c>
      <c r="P50" s="9">
        <f>$P$1*LN(F50/F49)</f>
        <v/>
      </c>
      <c r="Q50" s="9">
        <f>$Q$1*(G50-G49)</f>
        <v/>
      </c>
      <c r="R50" s="9">
        <f>$R$1*(H50-H49)</f>
        <v/>
      </c>
      <c r="S50" s="9">
        <f>$S$1*LN(I50/I49)</f>
        <v/>
      </c>
      <c r="T50" s="9">
        <f>$T$1*LN(J50/J49)</f>
        <v/>
      </c>
      <c r="U50" s="9">
        <f>$W$12+$W$4*M50+$W$5*N50+$W$6*O50+$W$7*P50+$W$8*Q50+$W$9*R50+$W$10*S50+$W$11*T50</f>
        <v/>
      </c>
    </row>
    <row r="51">
      <c r="A51" s="7" t="n">
        <v>39113</v>
      </c>
      <c r="B51" s="8" t="n">
        <v>650.5</v>
      </c>
      <c r="C51" s="8" t="n">
        <v>2.43</v>
      </c>
      <c r="D51" s="8" t="n">
        <v>2.4</v>
      </c>
      <c r="E51" s="8" t="n">
        <v>84.610001</v>
      </c>
      <c r="F51" s="8" t="n">
        <v>58.17</v>
      </c>
      <c r="G51" s="8" t="n">
        <v>10.42</v>
      </c>
      <c r="H51" s="8" t="n">
        <v>61.599998</v>
      </c>
      <c r="I51" s="8" t="n">
        <v>1438.23999</v>
      </c>
      <c r="J51" s="8" t="n">
        <v>54.943932</v>
      </c>
      <c r="L51" s="9">
        <f>LN(B51/B50)</f>
        <v/>
      </c>
      <c r="M51" s="9">
        <f>$M$1*(C51-C50)</f>
        <v/>
      </c>
      <c r="N51" s="9">
        <f>$N$1*(D51-D50)</f>
        <v/>
      </c>
      <c r="O51" s="9">
        <f>$O$1*LN(E51/E50)</f>
        <v/>
      </c>
      <c r="P51" s="9">
        <f>$P$1*LN(F51/F50)</f>
        <v/>
      </c>
      <c r="Q51" s="9">
        <f>$Q$1*(G51-G50)</f>
        <v/>
      </c>
      <c r="R51" s="9">
        <f>$R$1*(H51-H50)</f>
        <v/>
      </c>
      <c r="S51" s="9">
        <f>$S$1*LN(I51/I50)</f>
        <v/>
      </c>
      <c r="T51" s="9">
        <f>$T$1*LN(J51/J50)</f>
        <v/>
      </c>
      <c r="U51" s="9">
        <f>$W$12+$W$4*M51+$W$5*N51+$W$6*O51+$W$7*P51+$W$8*Q51+$W$9*R51+$W$10*S51+$W$11*T51</f>
        <v/>
      </c>
    </row>
    <row r="52">
      <c r="A52" s="7" t="n">
        <v>39141</v>
      </c>
      <c r="B52" s="8" t="n">
        <v>664.2</v>
      </c>
      <c r="C52" s="8" t="n">
        <v>2.36</v>
      </c>
      <c r="D52" s="8" t="n">
        <v>2.2</v>
      </c>
      <c r="E52" s="8" t="n">
        <v>83.56999999999999</v>
      </c>
      <c r="F52" s="8" t="n">
        <v>61.78</v>
      </c>
      <c r="G52" s="8" t="n">
        <v>15.42</v>
      </c>
      <c r="H52" s="8" t="n">
        <v>69.800003</v>
      </c>
      <c r="I52" s="8" t="n">
        <v>1406.819946</v>
      </c>
      <c r="J52" s="8" t="n">
        <v>55.837017</v>
      </c>
      <c r="L52" s="9">
        <f>LN(B52/B51)</f>
        <v/>
      </c>
      <c r="M52" s="9">
        <f>$M$1*(C52-C51)</f>
        <v/>
      </c>
      <c r="N52" s="9">
        <f>$N$1*(D52-D51)</f>
        <v/>
      </c>
      <c r="O52" s="9">
        <f>$O$1*LN(E52/E51)</f>
        <v/>
      </c>
      <c r="P52" s="9">
        <f>$P$1*LN(F52/F51)</f>
        <v/>
      </c>
      <c r="Q52" s="9">
        <f>$Q$1*(G52-G51)</f>
        <v/>
      </c>
      <c r="R52" s="9">
        <f>$R$1*(H52-H51)</f>
        <v/>
      </c>
      <c r="S52" s="9">
        <f>$S$1*LN(I52/I51)</f>
        <v/>
      </c>
      <c r="T52" s="9">
        <f>$T$1*LN(J52/J51)</f>
        <v/>
      </c>
      <c r="U52" s="9">
        <f>$W$12+$W$4*M52+$W$5*N52+$W$6*O52+$W$7*P52+$W$8*Q52+$W$9*R52+$W$10*S52+$W$11*T52</f>
        <v/>
      </c>
    </row>
    <row r="53">
      <c r="A53" s="7" t="n">
        <v>39172</v>
      </c>
      <c r="B53" s="8" t="n">
        <v>661.75</v>
      </c>
      <c r="C53" s="8" t="n">
        <v>2.44</v>
      </c>
      <c r="D53" s="8" t="n">
        <v>2.21</v>
      </c>
      <c r="E53" s="8" t="n">
        <v>82.93000000000001</v>
      </c>
      <c r="F53" s="8" t="n">
        <v>65.94</v>
      </c>
      <c r="G53" s="8" t="n">
        <v>14.64</v>
      </c>
      <c r="H53" s="8" t="n">
        <v>67.900002</v>
      </c>
      <c r="I53" s="8" t="n">
        <v>1420.859985</v>
      </c>
      <c r="J53" s="8" t="n">
        <v>55.728016</v>
      </c>
      <c r="L53" s="9">
        <f>LN(B53/B52)</f>
        <v/>
      </c>
      <c r="M53" s="9">
        <f>$M$1*(C53-C52)</f>
        <v/>
      </c>
      <c r="N53" s="9">
        <f>$N$1*(D53-D52)</f>
        <v/>
      </c>
      <c r="O53" s="9">
        <f>$O$1*LN(E53/E52)</f>
        <v/>
      </c>
      <c r="P53" s="9">
        <f>$P$1*LN(F53/F52)</f>
        <v/>
      </c>
      <c r="Q53" s="9">
        <f>$Q$1*(G53-G52)</f>
        <v/>
      </c>
      <c r="R53" s="9">
        <f>$R$1*(H53-H52)</f>
        <v/>
      </c>
      <c r="S53" s="9">
        <f>$S$1*LN(I53/I52)</f>
        <v/>
      </c>
      <c r="T53" s="9">
        <f>$T$1*LN(J53/J52)</f>
        <v/>
      </c>
      <c r="U53" s="9">
        <f>$W$12+$W$4*M53+$W$5*N53+$W$6*O53+$W$7*P53+$W$8*Q53+$W$9*R53+$W$10*S53+$W$11*T53</f>
        <v/>
      </c>
    </row>
    <row r="54">
      <c r="A54" s="7" t="n">
        <v>39202</v>
      </c>
      <c r="B54" s="8" t="n">
        <v>677</v>
      </c>
      <c r="C54" s="8" t="n">
        <v>2.43</v>
      </c>
      <c r="D54" s="8" t="n">
        <v>2.2</v>
      </c>
      <c r="E54" s="8" t="n">
        <v>81.449997</v>
      </c>
      <c r="F54" s="8" t="n">
        <v>65.78</v>
      </c>
      <c r="G54" s="8" t="n">
        <v>14.22</v>
      </c>
      <c r="H54" s="8" t="n">
        <v>59.799999</v>
      </c>
      <c r="I54" s="8" t="n">
        <v>1482.369995</v>
      </c>
      <c r="J54" s="8" t="n">
        <v>56.056717</v>
      </c>
      <c r="L54" s="9">
        <f>LN(B54/B53)</f>
        <v/>
      </c>
      <c r="M54" s="9">
        <f>$M$1*(C54-C53)</f>
        <v/>
      </c>
      <c r="N54" s="9">
        <f>$N$1*(D54-D53)</f>
        <v/>
      </c>
      <c r="O54" s="9">
        <f>$O$1*LN(E54/E53)</f>
        <v/>
      </c>
      <c r="P54" s="9">
        <f>$P$1*LN(F54/F53)</f>
        <v/>
      </c>
      <c r="Q54" s="9">
        <f>$Q$1*(G54-G53)</f>
        <v/>
      </c>
      <c r="R54" s="9">
        <f>$R$1*(H54-H53)</f>
        <v/>
      </c>
      <c r="S54" s="9">
        <f>$S$1*LN(I54/I53)</f>
        <v/>
      </c>
      <c r="T54" s="9">
        <f>$T$1*LN(J54/J53)</f>
        <v/>
      </c>
      <c r="U54" s="9">
        <f>$W$12+$W$4*M54+$W$5*N54+$W$6*O54+$W$7*P54+$W$8*Q54+$W$9*R54+$W$10*S54+$W$11*T54</f>
        <v/>
      </c>
    </row>
    <row r="55">
      <c r="A55" s="7" t="n">
        <v>39233</v>
      </c>
      <c r="B55" s="8" t="n">
        <v>659.1</v>
      </c>
      <c r="C55" s="8" t="n">
        <v>2.36</v>
      </c>
      <c r="D55" s="8" t="n">
        <v>2.54</v>
      </c>
      <c r="E55" s="8" t="n">
        <v>82.300003</v>
      </c>
      <c r="F55" s="8" t="n">
        <v>64.02</v>
      </c>
      <c r="G55" s="8" t="n">
        <v>13.05</v>
      </c>
      <c r="H55" s="8" t="n">
        <v>58.900002</v>
      </c>
      <c r="I55" s="8" t="n">
        <v>1530.619995</v>
      </c>
      <c r="J55" s="8" t="n">
        <v>55.542511</v>
      </c>
      <c r="L55" s="9">
        <f>LN(B55/B54)</f>
        <v/>
      </c>
      <c r="M55" s="9">
        <f>$M$1*(C55-C54)</f>
        <v/>
      </c>
      <c r="N55" s="9">
        <f>$N$1*(D55-D54)</f>
        <v/>
      </c>
      <c r="O55" s="9">
        <f>$O$1*LN(E55/E54)</f>
        <v/>
      </c>
      <c r="P55" s="9">
        <f>$P$1*LN(F55/F54)</f>
        <v/>
      </c>
      <c r="Q55" s="9">
        <f>$Q$1*(G55-G54)</f>
        <v/>
      </c>
      <c r="R55" s="9">
        <f>$R$1*(H55-H54)</f>
        <v/>
      </c>
      <c r="S55" s="9">
        <f>$S$1*LN(I55/I54)</f>
        <v/>
      </c>
      <c r="T55" s="9">
        <f>$T$1*LN(J55/J54)</f>
        <v/>
      </c>
      <c r="U55" s="9">
        <f>$W$12+$W$4*M55+$W$5*N55+$W$6*O55+$W$7*P55+$W$8*Q55+$W$9*R55+$W$10*S55+$W$11*T55</f>
        <v/>
      </c>
    </row>
    <row r="56">
      <c r="A56" s="7" t="n">
        <v>39263</v>
      </c>
      <c r="B56" s="8" t="n">
        <v>650.5</v>
      </c>
      <c r="C56" s="8" t="n">
        <v>2.38</v>
      </c>
      <c r="D56" s="8" t="n">
        <v>2.65</v>
      </c>
      <c r="E56" s="8" t="n">
        <v>81.91999800000001</v>
      </c>
      <c r="F56" s="8" t="n">
        <v>70.47</v>
      </c>
      <c r="G56" s="8" t="n">
        <v>16.23</v>
      </c>
      <c r="H56" s="8" t="n">
        <v>77.5</v>
      </c>
      <c r="I56" s="8" t="n">
        <v>1503.349976</v>
      </c>
      <c r="J56" s="8" t="n">
        <v>55.333248</v>
      </c>
      <c r="L56" s="9">
        <f>LN(B56/B55)</f>
        <v/>
      </c>
      <c r="M56" s="9">
        <f>$M$1*(C56-C55)</f>
        <v/>
      </c>
      <c r="N56" s="9">
        <f>$N$1*(D56-D55)</f>
        <v/>
      </c>
      <c r="O56" s="9">
        <f>$O$1*LN(E56/E55)</f>
        <v/>
      </c>
      <c r="P56" s="9">
        <f>$P$1*LN(F56/F55)</f>
        <v/>
      </c>
      <c r="Q56" s="9">
        <f>$Q$1*(G56-G55)</f>
        <v/>
      </c>
      <c r="R56" s="9">
        <f>$R$1*(H56-H55)</f>
        <v/>
      </c>
      <c r="S56" s="9">
        <f>$S$1*LN(I56/I55)</f>
        <v/>
      </c>
      <c r="T56" s="9">
        <f>$T$1*LN(J56/J55)</f>
        <v/>
      </c>
      <c r="U56" s="9">
        <f>$W$12+$W$4*M56+$W$5*N56+$W$6*O56+$W$7*P56+$W$8*Q56+$W$9*R56+$W$10*S56+$W$11*T56</f>
        <v/>
      </c>
    </row>
    <row r="57">
      <c r="A57" s="7" t="n">
        <v>39294</v>
      </c>
      <c r="B57" s="8" t="n">
        <v>665.5</v>
      </c>
      <c r="C57" s="8" t="n">
        <v>2.34</v>
      </c>
      <c r="D57" s="8" t="n">
        <v>2.44</v>
      </c>
      <c r="E57" s="8" t="n">
        <v>80.769997</v>
      </c>
      <c r="F57" s="8" t="n">
        <v>78.2</v>
      </c>
      <c r="G57" s="8" t="n">
        <v>23.52</v>
      </c>
      <c r="H57" s="8" t="n">
        <v>96.400002</v>
      </c>
      <c r="I57" s="8" t="n">
        <v>1455.27002</v>
      </c>
      <c r="J57" s="8" t="n">
        <v>55.926975</v>
      </c>
      <c r="L57" s="9">
        <f>LN(B57/B56)</f>
        <v/>
      </c>
      <c r="M57" s="9">
        <f>$M$1*(C57-C56)</f>
        <v/>
      </c>
      <c r="N57" s="9">
        <f>$N$1*(D57-D56)</f>
        <v/>
      </c>
      <c r="O57" s="9">
        <f>$O$1*LN(E57/E56)</f>
        <v/>
      </c>
      <c r="P57" s="9">
        <f>$P$1*LN(F57/F56)</f>
        <v/>
      </c>
      <c r="Q57" s="9">
        <f>$Q$1*(G57-G56)</f>
        <v/>
      </c>
      <c r="R57" s="9">
        <f>$R$1*(H57-H56)</f>
        <v/>
      </c>
      <c r="S57" s="9">
        <f>$S$1*LN(I57/I56)</f>
        <v/>
      </c>
      <c r="T57" s="9">
        <f>$T$1*LN(J57/J56)</f>
        <v/>
      </c>
      <c r="U57" s="9">
        <f>$W$12+$W$4*M57+$W$5*N57+$W$6*O57+$W$7*P57+$W$8*Q57+$W$9*R57+$W$10*S57+$W$11*T57</f>
        <v/>
      </c>
    </row>
    <row r="58">
      <c r="A58" s="7" t="n">
        <v>39325</v>
      </c>
      <c r="B58" s="8" t="n">
        <v>672</v>
      </c>
      <c r="C58" s="8" t="n">
        <v>2.2</v>
      </c>
      <c r="D58" s="8" t="n">
        <v>2.34</v>
      </c>
      <c r="E58" s="8" t="n">
        <v>80.790001</v>
      </c>
      <c r="F58" s="8" t="n">
        <v>73.98</v>
      </c>
      <c r="G58" s="8" t="n">
        <v>23.38</v>
      </c>
      <c r="H58" s="8" t="n">
        <v>111</v>
      </c>
      <c r="I58" s="8" t="n">
        <v>1473.98999</v>
      </c>
      <c r="J58" s="8" t="n">
        <v>56.642548</v>
      </c>
      <c r="L58" s="9">
        <f>LN(B58/B57)</f>
        <v/>
      </c>
      <c r="M58" s="9">
        <f>$M$1*(C58-C57)</f>
        <v/>
      </c>
      <c r="N58" s="9">
        <f>$N$1*(D58-D57)</f>
        <v/>
      </c>
      <c r="O58" s="9">
        <f>$O$1*LN(E58/E57)</f>
        <v/>
      </c>
      <c r="P58" s="9">
        <f>$P$1*LN(F58/F57)</f>
        <v/>
      </c>
      <c r="Q58" s="9">
        <f>$Q$1*(G58-G57)</f>
        <v/>
      </c>
      <c r="R58" s="9">
        <f>$R$1*(H58-H57)</f>
        <v/>
      </c>
      <c r="S58" s="9">
        <f>$S$1*LN(I58/I57)</f>
        <v/>
      </c>
      <c r="T58" s="9">
        <f>$T$1*LN(J58/J57)</f>
        <v/>
      </c>
      <c r="U58" s="9">
        <f>$W$12+$W$4*M58+$W$5*N58+$W$6*O58+$W$7*P58+$W$8*Q58+$W$9*R58+$W$10*S58+$W$11*T58</f>
        <v/>
      </c>
    </row>
    <row r="59">
      <c r="A59" s="7" t="n">
        <v>39355</v>
      </c>
      <c r="B59" s="8" t="n">
        <v>743</v>
      </c>
      <c r="C59" s="8" t="n">
        <v>2.32</v>
      </c>
      <c r="D59" s="8" t="n">
        <v>2.27</v>
      </c>
      <c r="E59" s="8" t="n">
        <v>77.720001</v>
      </c>
      <c r="F59" s="8" t="n">
        <v>81.64</v>
      </c>
      <c r="G59" s="8" t="n">
        <v>18</v>
      </c>
      <c r="H59" s="8" t="n">
        <v>103.699997</v>
      </c>
      <c r="I59" s="8" t="n">
        <v>1526.75</v>
      </c>
      <c r="J59" s="8" t="n">
        <v>57.001057</v>
      </c>
      <c r="L59" s="9">
        <f>LN(B59/B58)</f>
        <v/>
      </c>
      <c r="M59" s="9">
        <f>$M$1*(C59-C58)</f>
        <v/>
      </c>
      <c r="N59" s="9">
        <f>$N$1*(D59-D58)</f>
        <v/>
      </c>
      <c r="O59" s="9">
        <f>$O$1*LN(E59/E58)</f>
        <v/>
      </c>
      <c r="P59" s="9">
        <f>$P$1*LN(F59/F58)</f>
        <v/>
      </c>
      <c r="Q59" s="9">
        <f>$Q$1*(G59-G58)</f>
        <v/>
      </c>
      <c r="R59" s="9">
        <f>$R$1*(H59-H58)</f>
        <v/>
      </c>
      <c r="S59" s="9">
        <f>$S$1*LN(I59/I58)</f>
        <v/>
      </c>
      <c r="T59" s="9">
        <f>$T$1*LN(J59/J58)</f>
        <v/>
      </c>
      <c r="U59" s="9">
        <f>$W$12+$W$4*M59+$W$5*N59+$W$6*O59+$W$7*P59+$W$8*Q59+$W$9*R59+$W$10*S59+$W$11*T59</f>
        <v/>
      </c>
    </row>
    <row r="60">
      <c r="A60" s="7" t="n">
        <v>39386</v>
      </c>
      <c r="B60" s="8" t="n">
        <v>789.5</v>
      </c>
      <c r="C60" s="8" t="n">
        <v>2.34</v>
      </c>
      <c r="D60" s="8" t="n">
        <v>2.14</v>
      </c>
      <c r="E60" s="8" t="n">
        <v>76.480003</v>
      </c>
      <c r="F60" s="8" t="n">
        <v>94.16</v>
      </c>
      <c r="G60" s="8" t="n">
        <v>18.53</v>
      </c>
      <c r="H60" s="8" t="n">
        <v>90.18000000000001</v>
      </c>
      <c r="I60" s="8" t="n">
        <v>1549.380005</v>
      </c>
      <c r="J60" s="8" t="n">
        <v>57.575638</v>
      </c>
      <c r="L60" s="9">
        <f>LN(B60/B59)</f>
        <v/>
      </c>
      <c r="M60" s="9">
        <f>$M$1*(C60-C59)</f>
        <v/>
      </c>
      <c r="N60" s="9">
        <f>$N$1*(D60-D59)</f>
        <v/>
      </c>
      <c r="O60" s="9">
        <f>$O$1*LN(E60/E59)</f>
        <v/>
      </c>
      <c r="P60" s="9">
        <f>$P$1*LN(F60/F59)</f>
        <v/>
      </c>
      <c r="Q60" s="9">
        <f>$Q$1*(G60-G59)</f>
        <v/>
      </c>
      <c r="R60" s="9">
        <f>$R$1*(H60-H59)</f>
        <v/>
      </c>
      <c r="S60" s="9">
        <f>$S$1*LN(I60/I59)</f>
        <v/>
      </c>
      <c r="T60" s="9">
        <f>$T$1*LN(J60/J59)</f>
        <v/>
      </c>
      <c r="U60" s="9">
        <f>$W$12+$W$4*M60+$W$5*N60+$W$6*O60+$W$7*P60+$W$8*Q60+$W$9*R60+$W$10*S60+$W$11*T60</f>
        <v/>
      </c>
    </row>
    <row r="61">
      <c r="A61" s="7" t="n">
        <v>39416</v>
      </c>
      <c r="B61" s="8" t="n">
        <v>783.5</v>
      </c>
      <c r="C61" s="8" t="n">
        <v>2.34</v>
      </c>
      <c r="D61" s="8" t="n">
        <v>1.63</v>
      </c>
      <c r="E61" s="8" t="n">
        <v>76.150002</v>
      </c>
      <c r="F61" s="8" t="n">
        <v>88.59999999999999</v>
      </c>
      <c r="G61" s="8" t="n">
        <v>22.87</v>
      </c>
      <c r="H61" s="8" t="n">
        <v>131.5</v>
      </c>
      <c r="I61" s="8" t="n">
        <v>1481.140015</v>
      </c>
      <c r="J61" s="8" t="n">
        <v>58.613979</v>
      </c>
      <c r="L61" s="9">
        <f>LN(B61/B60)</f>
        <v/>
      </c>
      <c r="M61" s="9">
        <f>$M$1*(C61-C60)</f>
        <v/>
      </c>
      <c r="N61" s="9">
        <f>$N$1*(D61-D60)</f>
        <v/>
      </c>
      <c r="O61" s="9">
        <f>$O$1*LN(E61/E60)</f>
        <v/>
      </c>
      <c r="P61" s="9">
        <f>$P$1*LN(F61/F60)</f>
        <v/>
      </c>
      <c r="Q61" s="9">
        <f>$Q$1*(G61-G60)</f>
        <v/>
      </c>
      <c r="R61" s="9">
        <f>$R$1*(H61-H60)</f>
        <v/>
      </c>
      <c r="S61" s="9">
        <f>$S$1*LN(I61/I60)</f>
        <v/>
      </c>
      <c r="T61" s="9">
        <f>$T$1*LN(J61/J60)</f>
        <v/>
      </c>
      <c r="U61" s="9">
        <f>$W$12+$W$4*M61+$W$5*N61+$W$6*O61+$W$7*P61+$W$8*Q61+$W$9*R61+$W$10*S61+$W$11*T61</f>
        <v/>
      </c>
    </row>
    <row r="62">
      <c r="A62" s="7" t="n">
        <v>39447</v>
      </c>
      <c r="B62" s="8" t="n">
        <v>833.75</v>
      </c>
      <c r="C62" s="8" t="n">
        <v>2.31</v>
      </c>
      <c r="D62" s="8" t="n">
        <v>1.73</v>
      </c>
      <c r="E62" s="8" t="n">
        <v>76.699997</v>
      </c>
      <c r="F62" s="8" t="n">
        <v>95.95</v>
      </c>
      <c r="G62" s="8" t="n">
        <v>22.5</v>
      </c>
      <c r="H62" s="8" t="n">
        <v>145.399994</v>
      </c>
      <c r="I62" s="8" t="n">
        <v>1468.359985</v>
      </c>
      <c r="J62" s="8" t="n">
        <v>58.608532</v>
      </c>
      <c r="L62" s="9">
        <f>LN(B62/B61)</f>
        <v/>
      </c>
      <c r="M62" s="9">
        <f>$M$1*(C62-C61)</f>
        <v/>
      </c>
      <c r="N62" s="9">
        <f>$N$1*(D62-D61)</f>
        <v/>
      </c>
      <c r="O62" s="9">
        <f>$O$1*LN(E62/E61)</f>
        <v/>
      </c>
      <c r="P62" s="9">
        <f>$P$1*LN(F62/F61)</f>
        <v/>
      </c>
      <c r="Q62" s="9">
        <f>$Q$1*(G62-G61)</f>
        <v/>
      </c>
      <c r="R62" s="9">
        <f>$R$1*(H62-H61)</f>
        <v/>
      </c>
      <c r="S62" s="9">
        <f>$S$1*LN(I62/I61)</f>
        <v/>
      </c>
      <c r="T62" s="9">
        <f>$T$1*LN(J62/J61)</f>
        <v/>
      </c>
      <c r="U62" s="9">
        <f>$W$12+$W$4*M62+$W$5*N62+$W$6*O62+$W$7*P62+$W$8*Q62+$W$9*R62+$W$10*S62+$W$11*T62</f>
        <v/>
      </c>
    </row>
    <row r="63">
      <c r="A63" s="7" t="n">
        <v>39478</v>
      </c>
      <c r="B63" s="8" t="n">
        <v>923.25</v>
      </c>
      <c r="C63" s="8" t="n">
        <v>2.34</v>
      </c>
      <c r="D63" s="8" t="n">
        <v>1.33</v>
      </c>
      <c r="E63" s="8" t="n">
        <v>75.18000000000001</v>
      </c>
      <c r="F63" s="8" t="n">
        <v>91.67</v>
      </c>
      <c r="G63" s="8" t="n">
        <v>26.2</v>
      </c>
      <c r="H63" s="8" t="n">
        <v>153.699997</v>
      </c>
      <c r="I63" s="8" t="n">
        <v>1378.550049</v>
      </c>
      <c r="J63" s="8" t="n">
        <v>59.964138</v>
      </c>
      <c r="L63" s="9">
        <f>LN(B63/B62)</f>
        <v/>
      </c>
      <c r="M63" s="9">
        <f>$M$1*(C63-C62)</f>
        <v/>
      </c>
      <c r="N63" s="9">
        <f>$N$1*(D63-D62)</f>
        <v/>
      </c>
      <c r="O63" s="9">
        <f>$O$1*LN(E63/E62)</f>
        <v/>
      </c>
      <c r="P63" s="9">
        <f>$P$1*LN(F63/F62)</f>
        <v/>
      </c>
      <c r="Q63" s="9">
        <f>$Q$1*(G63-G62)</f>
        <v/>
      </c>
      <c r="R63" s="9">
        <f>$R$1*(H63-H62)</f>
        <v/>
      </c>
      <c r="S63" s="9">
        <f>$S$1*LN(I63/I62)</f>
        <v/>
      </c>
      <c r="T63" s="9">
        <f>$T$1*LN(J63/J62)</f>
        <v/>
      </c>
      <c r="U63" s="9">
        <f>$W$12+$W$4*M63+$W$5*N63+$W$6*O63+$W$7*P63+$W$8*Q63+$W$9*R63+$W$10*S63+$W$11*T63</f>
        <v/>
      </c>
      <c r="AA63" s="10">
        <f>INDEX(LINEST(L4:L63,M4:T63,TRUE,TRUE),1,9)*12</f>
        <v/>
      </c>
      <c r="AB63" s="9">
        <f>INDEX(LINEST(L4:L63,M4:T63,TRUE,TRUE),1,8)</f>
        <v/>
      </c>
      <c r="AC63" s="9">
        <f>INDEX(LINEST(L4:L63,M4:T63,TRUE,TRUE),1,7)</f>
        <v/>
      </c>
      <c r="AD63" s="9">
        <f>INDEX(LINEST(L4:L63,M4:T63,TRUE,TRUE),1,6)</f>
        <v/>
      </c>
      <c r="AE63" s="9">
        <f>INDEX(LINEST(L4:L63,M4:T63,TRUE,TRUE),1,5)</f>
        <v/>
      </c>
      <c r="AF63" s="9">
        <f>INDEX(LINEST(L4:L63,M4:T63,TRUE,TRUE),1,4)</f>
        <v/>
      </c>
      <c r="AG63" s="9">
        <f>INDEX(LINEST(L4:L63,M4:T63,TRUE,TRUE),1,3)</f>
        <v/>
      </c>
      <c r="AH63" s="9">
        <f>INDEX(LINEST(L4:L63,M4:T63,TRUE,TRUE),1,2)</f>
        <v/>
      </c>
      <c r="AI63" s="9">
        <f>INDEX(LINEST(L4:L63,M4:T63,TRUE,TRUE),1,1)</f>
        <v/>
      </c>
      <c r="AJ63" s="10">
        <f>INDEX(LINEST(L4:L63,M4:T63,TRUE,TRUE),3,1)</f>
        <v/>
      </c>
    </row>
    <row r="64">
      <c r="A64" s="7" t="n">
        <v>39507</v>
      </c>
      <c r="B64" s="8" t="n">
        <v>971.5</v>
      </c>
      <c r="C64" s="8" t="n">
        <v>2.43</v>
      </c>
      <c r="D64" s="8" t="n">
        <v>1.1</v>
      </c>
      <c r="E64" s="8" t="n">
        <v>73.709999</v>
      </c>
      <c r="F64" s="8" t="n">
        <v>101.78</v>
      </c>
      <c r="G64" s="8" t="n">
        <v>26.54</v>
      </c>
      <c r="H64" s="8" t="n">
        <v>155.199997</v>
      </c>
      <c r="I64" s="8" t="n">
        <v>1330.630005</v>
      </c>
      <c r="J64" s="8" t="n">
        <v>59.868195</v>
      </c>
      <c r="L64" s="9">
        <f>LN(B64/B63)</f>
        <v/>
      </c>
      <c r="M64" s="9">
        <f>$M$1*(C64-C63)</f>
        <v/>
      </c>
      <c r="N64" s="9">
        <f>$N$1*(D64-D63)</f>
        <v/>
      </c>
      <c r="O64" s="9">
        <f>$O$1*LN(E64/E63)</f>
        <v/>
      </c>
      <c r="P64" s="9">
        <f>$P$1*LN(F64/F63)</f>
        <v/>
      </c>
      <c r="Q64" s="9">
        <f>$Q$1*(G64-G63)</f>
        <v/>
      </c>
      <c r="R64" s="9">
        <f>$R$1*(H64-H63)</f>
        <v/>
      </c>
      <c r="S64" s="9">
        <f>$S$1*LN(I64/I63)</f>
        <v/>
      </c>
      <c r="T64" s="9">
        <f>$T$1*LN(J64/J63)</f>
        <v/>
      </c>
      <c r="U64" s="9">
        <f>$W$12+$W$4*M64+$W$5*N64+$W$6*O64+$W$7*P64+$W$8*Q64+$W$9*R64+$W$10*S64+$W$11*T64</f>
        <v/>
      </c>
      <c r="AA64" s="10">
        <f>INDEX(LINEST(L5:L64,M5:T64,TRUE,TRUE),1,9)*12</f>
        <v/>
      </c>
      <c r="AB64" s="9">
        <f>INDEX(LINEST(L5:L64,M5:T64,TRUE,TRUE),1,8)</f>
        <v/>
      </c>
      <c r="AC64" s="9">
        <f>INDEX(LINEST(L5:L64,M5:T64,TRUE,TRUE),1,7)</f>
        <v/>
      </c>
      <c r="AD64" s="9">
        <f>INDEX(LINEST(L5:L64,M5:T64,TRUE,TRUE),1,6)</f>
        <v/>
      </c>
      <c r="AE64" s="9">
        <f>INDEX(LINEST(L5:L64,M5:T64,TRUE,TRUE),1,5)</f>
        <v/>
      </c>
      <c r="AF64" s="9">
        <f>INDEX(LINEST(L5:L64,M5:T64,TRUE,TRUE),1,4)</f>
        <v/>
      </c>
      <c r="AG64" s="9">
        <f>INDEX(LINEST(L5:L64,M5:T64,TRUE,TRUE),1,3)</f>
        <v/>
      </c>
      <c r="AH64" s="9">
        <f>INDEX(LINEST(L5:L64,M5:T64,TRUE,TRUE),1,2)</f>
        <v/>
      </c>
      <c r="AI64" s="9">
        <f>INDEX(LINEST(L5:L64,M5:T64,TRUE,TRUE),1,1)</f>
        <v/>
      </c>
      <c r="AJ64" s="10">
        <f>INDEX(LINEST(L5:L64,M5:T64,TRUE,TRUE),3,1)</f>
        <v/>
      </c>
      <c r="AK64" s="9">
        <f>AA63/12+AB63*M64+AC63*N64+AD63*O64+AE63*P64+AF63*Q64+AG63*R64+AH63*S64+AI63*T64</f>
        <v/>
      </c>
      <c r="AL64" s="9">
        <f>AVERAGE(L4:L63)</f>
        <v/>
      </c>
    </row>
    <row r="65">
      <c r="A65" s="7" t="n">
        <v>39538</v>
      </c>
      <c r="B65" s="8" t="n">
        <v>933.5</v>
      </c>
      <c r="C65" s="8" t="n">
        <v>2.34</v>
      </c>
      <c r="D65" s="8" t="n">
        <v>1.11</v>
      </c>
      <c r="E65" s="8" t="n">
        <v>71.800003</v>
      </c>
      <c r="F65" s="8" t="n">
        <v>101.54</v>
      </c>
      <c r="G65" s="8" t="n">
        <v>25.61</v>
      </c>
      <c r="H65" s="8" t="n">
        <v>145.5</v>
      </c>
      <c r="I65" s="8" t="n">
        <v>1322.699951</v>
      </c>
      <c r="J65" s="8" t="n">
        <v>59.945812</v>
      </c>
      <c r="L65" s="9">
        <f>LN(B65/B64)</f>
        <v/>
      </c>
      <c r="M65" s="9">
        <f>$M$1*(C65-C64)</f>
        <v/>
      </c>
      <c r="N65" s="9">
        <f>$N$1*(D65-D64)</f>
        <v/>
      </c>
      <c r="O65" s="9">
        <f>$O$1*LN(E65/E64)</f>
        <v/>
      </c>
      <c r="P65" s="9">
        <f>$P$1*LN(F65/F64)</f>
        <v/>
      </c>
      <c r="Q65" s="9">
        <f>$Q$1*(G65-G64)</f>
        <v/>
      </c>
      <c r="R65" s="9">
        <f>$R$1*(H65-H64)</f>
        <v/>
      </c>
      <c r="S65" s="9">
        <f>$S$1*LN(I65/I64)</f>
        <v/>
      </c>
      <c r="T65" s="9">
        <f>$T$1*LN(J65/J64)</f>
        <v/>
      </c>
      <c r="U65" s="9">
        <f>$W$12+$W$4*M65+$W$5*N65+$W$6*O65+$W$7*P65+$W$8*Q65+$W$9*R65+$W$10*S65+$W$11*T65</f>
        <v/>
      </c>
      <c r="AA65" s="10">
        <f>INDEX(LINEST(L6:L65,M6:T65,TRUE,TRUE),1,9)*12</f>
        <v/>
      </c>
      <c r="AB65" s="9">
        <f>INDEX(LINEST(L6:L65,M6:T65,TRUE,TRUE),1,8)</f>
        <v/>
      </c>
      <c r="AC65" s="9">
        <f>INDEX(LINEST(L6:L65,M6:T65,TRUE,TRUE),1,7)</f>
        <v/>
      </c>
      <c r="AD65" s="9">
        <f>INDEX(LINEST(L6:L65,M6:T65,TRUE,TRUE),1,6)</f>
        <v/>
      </c>
      <c r="AE65" s="9">
        <f>INDEX(LINEST(L6:L65,M6:T65,TRUE,TRUE),1,5)</f>
        <v/>
      </c>
      <c r="AF65" s="9">
        <f>INDEX(LINEST(L6:L65,M6:T65,TRUE,TRUE),1,4)</f>
        <v/>
      </c>
      <c r="AG65" s="9">
        <f>INDEX(LINEST(L6:L65,M6:T65,TRUE,TRUE),1,3)</f>
        <v/>
      </c>
      <c r="AH65" s="9">
        <f>INDEX(LINEST(L6:L65,M6:T65,TRUE,TRUE),1,2)</f>
        <v/>
      </c>
      <c r="AI65" s="9">
        <f>INDEX(LINEST(L6:L65,M6:T65,TRUE,TRUE),1,1)</f>
        <v/>
      </c>
      <c r="AJ65" s="10">
        <f>INDEX(LINEST(L6:L65,M6:T65,TRUE,TRUE),3,1)</f>
        <v/>
      </c>
      <c r="AK65" s="9">
        <f>AA64/12+AB64*M65+AC64*N65+AD64*O65+AE64*P65+AF64*Q65+AG64*R65+AH64*S65+AI64*T65</f>
        <v/>
      </c>
      <c r="AL65" s="9">
        <f>AVERAGE(L5:L64)</f>
        <v/>
      </c>
    </row>
    <row r="66">
      <c r="A66" s="7" t="n">
        <v>39568</v>
      </c>
      <c r="B66" s="8" t="n">
        <v>871</v>
      </c>
      <c r="C66" s="8" t="n">
        <v>2.27</v>
      </c>
      <c r="D66" s="8" t="n">
        <v>1.5</v>
      </c>
      <c r="E66" s="8" t="n">
        <v>72.510002</v>
      </c>
      <c r="F66" s="8" t="n">
        <v>113.7</v>
      </c>
      <c r="G66" s="8" t="n">
        <v>20.79</v>
      </c>
      <c r="H66" s="8" t="n">
        <v>119.099998</v>
      </c>
      <c r="I66" s="8" t="n">
        <v>1385.589966</v>
      </c>
      <c r="J66" s="8" t="n">
        <v>60.142166</v>
      </c>
      <c r="L66" s="9">
        <f>LN(B66/B65)</f>
        <v/>
      </c>
      <c r="M66" s="9">
        <f>$M$1*(C66-C65)</f>
        <v/>
      </c>
      <c r="N66" s="9">
        <f>$N$1*(D66-D65)</f>
        <v/>
      </c>
      <c r="O66" s="9">
        <f>$O$1*LN(E66/E65)</f>
        <v/>
      </c>
      <c r="P66" s="9">
        <f>$P$1*LN(F66/F65)</f>
        <v/>
      </c>
      <c r="Q66" s="9">
        <f>$Q$1*(G66-G65)</f>
        <v/>
      </c>
      <c r="R66" s="9">
        <f>$R$1*(H66-H65)</f>
        <v/>
      </c>
      <c r="S66" s="9">
        <f>$S$1*LN(I66/I65)</f>
        <v/>
      </c>
      <c r="T66" s="9">
        <f>$T$1*LN(J66/J65)</f>
        <v/>
      </c>
      <c r="U66" s="9">
        <f>$W$12+$W$4*M66+$W$5*N66+$W$6*O66+$W$7*P66+$W$8*Q66+$W$9*R66+$W$10*S66+$W$11*T66</f>
        <v/>
      </c>
      <c r="AA66" s="10">
        <f>INDEX(LINEST(L7:L66,M7:T66,TRUE,TRUE),1,9)*12</f>
        <v/>
      </c>
      <c r="AB66" s="9">
        <f>INDEX(LINEST(L7:L66,M7:T66,TRUE,TRUE),1,8)</f>
        <v/>
      </c>
      <c r="AC66" s="9">
        <f>INDEX(LINEST(L7:L66,M7:T66,TRUE,TRUE),1,7)</f>
        <v/>
      </c>
      <c r="AD66" s="9">
        <f>INDEX(LINEST(L7:L66,M7:T66,TRUE,TRUE),1,6)</f>
        <v/>
      </c>
      <c r="AE66" s="9">
        <f>INDEX(LINEST(L7:L66,M7:T66,TRUE,TRUE),1,5)</f>
        <v/>
      </c>
      <c r="AF66" s="9">
        <f>INDEX(LINEST(L7:L66,M7:T66,TRUE,TRUE),1,4)</f>
        <v/>
      </c>
      <c r="AG66" s="9">
        <f>INDEX(LINEST(L7:L66,M7:T66,TRUE,TRUE),1,3)</f>
        <v/>
      </c>
      <c r="AH66" s="9">
        <f>INDEX(LINEST(L7:L66,M7:T66,TRUE,TRUE),1,2)</f>
        <v/>
      </c>
      <c r="AI66" s="9">
        <f>INDEX(LINEST(L7:L66,M7:T66,TRUE,TRUE),1,1)</f>
        <v/>
      </c>
      <c r="AJ66" s="10">
        <f>INDEX(LINEST(L7:L66,M7:T66,TRUE,TRUE),3,1)</f>
        <v/>
      </c>
      <c r="AK66" s="9">
        <f>AA65/12+AB65*M66+AC65*N66+AD65*O66+AE65*P66+AF65*Q66+AG65*R66+AH65*S66+AI65*T66</f>
        <v/>
      </c>
      <c r="AL66" s="9">
        <f>AVERAGE(L6:L65)</f>
        <v/>
      </c>
    </row>
    <row r="67">
      <c r="A67" s="7" t="n">
        <v>39599</v>
      </c>
      <c r="B67" s="8" t="n">
        <v>885.75</v>
      </c>
      <c r="C67" s="8" t="n">
        <v>2.48</v>
      </c>
      <c r="D67" s="8" t="n">
        <v>1.58</v>
      </c>
      <c r="E67" s="8" t="n">
        <v>72.879997</v>
      </c>
      <c r="F67" s="8" t="n">
        <v>127.35</v>
      </c>
      <c r="G67" s="8" t="n">
        <v>17.83</v>
      </c>
      <c r="H67" s="8" t="n">
        <v>130.199997</v>
      </c>
      <c r="I67" s="8" t="n">
        <v>1400.380005</v>
      </c>
      <c r="J67" s="8" t="n">
        <v>59.381161</v>
      </c>
      <c r="L67" s="9">
        <f>LN(B67/B66)</f>
        <v/>
      </c>
      <c r="M67" s="9">
        <f>$M$1*(C67-C66)</f>
        <v/>
      </c>
      <c r="N67" s="9">
        <f>$N$1*(D67-D66)</f>
        <v/>
      </c>
      <c r="O67" s="9">
        <f>$O$1*LN(E67/E66)</f>
        <v/>
      </c>
      <c r="P67" s="9">
        <f>$P$1*LN(F67/F66)</f>
        <v/>
      </c>
      <c r="Q67" s="9">
        <f>$Q$1*(G67-G66)</f>
        <v/>
      </c>
      <c r="R67" s="9">
        <f>$R$1*(H67-H66)</f>
        <v/>
      </c>
      <c r="S67" s="9">
        <f>$S$1*LN(I67/I66)</f>
        <v/>
      </c>
      <c r="T67" s="9">
        <f>$T$1*LN(J67/J66)</f>
        <v/>
      </c>
      <c r="U67" s="9">
        <f>$W$12+$W$4*M67+$W$5*N67+$W$6*O67+$W$7*P67+$W$8*Q67+$W$9*R67+$W$10*S67+$W$11*T67</f>
        <v/>
      </c>
      <c r="AA67" s="10">
        <f>INDEX(LINEST(L8:L67,M8:T67,TRUE,TRUE),1,9)*12</f>
        <v/>
      </c>
      <c r="AB67" s="9">
        <f>INDEX(LINEST(L8:L67,M8:T67,TRUE,TRUE),1,8)</f>
        <v/>
      </c>
      <c r="AC67" s="9">
        <f>INDEX(LINEST(L8:L67,M8:T67,TRUE,TRUE),1,7)</f>
        <v/>
      </c>
      <c r="AD67" s="9">
        <f>INDEX(LINEST(L8:L67,M8:T67,TRUE,TRUE),1,6)</f>
        <v/>
      </c>
      <c r="AE67" s="9">
        <f>INDEX(LINEST(L8:L67,M8:T67,TRUE,TRUE),1,5)</f>
        <v/>
      </c>
      <c r="AF67" s="9">
        <f>INDEX(LINEST(L8:L67,M8:T67,TRUE,TRUE),1,4)</f>
        <v/>
      </c>
      <c r="AG67" s="9">
        <f>INDEX(LINEST(L8:L67,M8:T67,TRUE,TRUE),1,3)</f>
        <v/>
      </c>
      <c r="AH67" s="9">
        <f>INDEX(LINEST(L8:L67,M8:T67,TRUE,TRUE),1,2)</f>
        <v/>
      </c>
      <c r="AI67" s="9">
        <f>INDEX(LINEST(L8:L67,M8:T67,TRUE,TRUE),1,1)</f>
        <v/>
      </c>
      <c r="AJ67" s="10">
        <f>INDEX(LINEST(L8:L67,M8:T67,TRUE,TRUE),3,1)</f>
        <v/>
      </c>
      <c r="AK67" s="9">
        <f>AA66/12+AB66*M67+AC66*N67+AD66*O67+AE66*P67+AF66*Q67+AG66*R67+AH66*S67+AI66*T67</f>
        <v/>
      </c>
      <c r="AL67" s="9">
        <f>AVERAGE(L7:L66)</f>
        <v/>
      </c>
    </row>
    <row r="68">
      <c r="A68" s="7" t="n">
        <v>39629</v>
      </c>
      <c r="B68" s="8" t="n">
        <v>930.25</v>
      </c>
      <c r="C68" s="8" t="n">
        <v>2.51</v>
      </c>
      <c r="D68" s="8" t="n">
        <v>1.48</v>
      </c>
      <c r="E68" s="8" t="n">
        <v>72.459999</v>
      </c>
      <c r="F68" s="8" t="n">
        <v>139.96</v>
      </c>
      <c r="G68" s="8" t="n">
        <v>23.95</v>
      </c>
      <c r="H68" s="8" t="n">
        <v>126</v>
      </c>
      <c r="I68" s="8" t="n">
        <v>1280</v>
      </c>
      <c r="J68" s="8" t="n">
        <v>59.271442</v>
      </c>
      <c r="L68" s="9">
        <f>LN(B68/B67)</f>
        <v/>
      </c>
      <c r="M68" s="9">
        <f>$M$1*(C68-C67)</f>
        <v/>
      </c>
      <c r="N68" s="9">
        <f>$N$1*(D68-D67)</f>
        <v/>
      </c>
      <c r="O68" s="9">
        <f>$O$1*LN(E68/E67)</f>
        <v/>
      </c>
      <c r="P68" s="9">
        <f>$P$1*LN(F68/F67)</f>
        <v/>
      </c>
      <c r="Q68" s="9">
        <f>$Q$1*(G68-G67)</f>
        <v/>
      </c>
      <c r="R68" s="9">
        <f>$R$1*(H68-H67)</f>
        <v/>
      </c>
      <c r="S68" s="9">
        <f>$S$1*LN(I68/I67)</f>
        <v/>
      </c>
      <c r="T68" s="9">
        <f>$T$1*LN(J68/J67)</f>
        <v/>
      </c>
      <c r="U68" s="9">
        <f>$W$12+$W$4*M68+$W$5*N68+$W$6*O68+$W$7*P68+$W$8*Q68+$W$9*R68+$W$10*S68+$W$11*T68</f>
        <v/>
      </c>
      <c r="AA68" s="10">
        <f>INDEX(LINEST(L9:L68,M9:T68,TRUE,TRUE),1,9)*12</f>
        <v/>
      </c>
      <c r="AB68" s="9">
        <f>INDEX(LINEST(L9:L68,M9:T68,TRUE,TRUE),1,8)</f>
        <v/>
      </c>
      <c r="AC68" s="9">
        <f>INDEX(LINEST(L9:L68,M9:T68,TRUE,TRUE),1,7)</f>
        <v/>
      </c>
      <c r="AD68" s="9">
        <f>INDEX(LINEST(L9:L68,M9:T68,TRUE,TRUE),1,6)</f>
        <v/>
      </c>
      <c r="AE68" s="9">
        <f>INDEX(LINEST(L9:L68,M9:T68,TRUE,TRUE),1,5)</f>
        <v/>
      </c>
      <c r="AF68" s="9">
        <f>INDEX(LINEST(L9:L68,M9:T68,TRUE,TRUE),1,4)</f>
        <v/>
      </c>
      <c r="AG68" s="9">
        <f>INDEX(LINEST(L9:L68,M9:T68,TRUE,TRUE),1,3)</f>
        <v/>
      </c>
      <c r="AH68" s="9">
        <f>INDEX(LINEST(L9:L68,M9:T68,TRUE,TRUE),1,2)</f>
        <v/>
      </c>
      <c r="AI68" s="9">
        <f>INDEX(LINEST(L9:L68,M9:T68,TRUE,TRUE),1,1)</f>
        <v/>
      </c>
      <c r="AJ68" s="10">
        <f>INDEX(LINEST(L9:L68,M9:T68,TRUE,TRUE),3,1)</f>
        <v/>
      </c>
      <c r="AK68" s="9">
        <f>AA67/12+AB67*M68+AC67*N68+AD67*O68+AE67*P68+AF67*Q68+AG67*R68+AH67*S68+AI67*T68</f>
        <v/>
      </c>
      <c r="AL68" s="9">
        <f>AVERAGE(L8:L67)</f>
        <v/>
      </c>
    </row>
    <row r="69">
      <c r="A69" s="7" t="n">
        <v>39660</v>
      </c>
      <c r="B69" s="8" t="n">
        <v>918</v>
      </c>
      <c r="C69" s="8" t="n">
        <v>2.34</v>
      </c>
      <c r="D69" s="8" t="n">
        <v>1.65</v>
      </c>
      <c r="E69" s="8" t="n">
        <v>73.230003</v>
      </c>
      <c r="F69" s="8" t="n">
        <v>124.17</v>
      </c>
      <c r="G69" s="8" t="n">
        <v>22.94</v>
      </c>
      <c r="H69" s="8" t="n">
        <v>131.699997</v>
      </c>
      <c r="I69" s="8" t="n">
        <v>1267.380005</v>
      </c>
      <c r="J69" s="8" t="n">
        <v>59.504925</v>
      </c>
      <c r="L69" s="9">
        <f>LN(B69/B68)</f>
        <v/>
      </c>
      <c r="M69" s="9">
        <f>$M$1*(C69-C68)</f>
        <v/>
      </c>
      <c r="N69" s="9">
        <f>$N$1*(D69-D68)</f>
        <v/>
      </c>
      <c r="O69" s="9">
        <f>$O$1*LN(E69/E68)</f>
        <v/>
      </c>
      <c r="P69" s="9">
        <f>$P$1*LN(F69/F68)</f>
        <v/>
      </c>
      <c r="Q69" s="9">
        <f>$Q$1*(G69-G68)</f>
        <v/>
      </c>
      <c r="R69" s="9">
        <f>$R$1*(H69-H68)</f>
        <v/>
      </c>
      <c r="S69" s="9">
        <f>$S$1*LN(I69/I68)</f>
        <v/>
      </c>
      <c r="T69" s="9">
        <f>$T$1*LN(J69/J68)</f>
        <v/>
      </c>
      <c r="U69" s="9">
        <f>$W$12+$W$4*M69+$W$5*N69+$W$6*O69+$W$7*P69+$W$8*Q69+$W$9*R69+$W$10*S69+$W$11*T69</f>
        <v/>
      </c>
      <c r="AA69" s="10">
        <f>INDEX(LINEST(L10:L69,M10:T69,TRUE,TRUE),1,9)*12</f>
        <v/>
      </c>
      <c r="AB69" s="9">
        <f>INDEX(LINEST(L10:L69,M10:T69,TRUE,TRUE),1,8)</f>
        <v/>
      </c>
      <c r="AC69" s="9">
        <f>INDEX(LINEST(L10:L69,M10:T69,TRUE,TRUE),1,7)</f>
        <v/>
      </c>
      <c r="AD69" s="9">
        <f>INDEX(LINEST(L10:L69,M10:T69,TRUE,TRUE),1,6)</f>
        <v/>
      </c>
      <c r="AE69" s="9">
        <f>INDEX(LINEST(L10:L69,M10:T69,TRUE,TRUE),1,5)</f>
        <v/>
      </c>
      <c r="AF69" s="9">
        <f>INDEX(LINEST(L10:L69,M10:T69,TRUE,TRUE),1,4)</f>
        <v/>
      </c>
      <c r="AG69" s="9">
        <f>INDEX(LINEST(L10:L69,M10:T69,TRUE,TRUE),1,3)</f>
        <v/>
      </c>
      <c r="AH69" s="9">
        <f>INDEX(LINEST(L10:L69,M10:T69,TRUE,TRUE),1,2)</f>
        <v/>
      </c>
      <c r="AI69" s="9">
        <f>INDEX(LINEST(L10:L69,M10:T69,TRUE,TRUE),1,1)</f>
        <v/>
      </c>
      <c r="AJ69" s="10">
        <f>INDEX(LINEST(L10:L69,M10:T69,TRUE,TRUE),3,1)</f>
        <v/>
      </c>
      <c r="AK69" s="9">
        <f>AA68/12+AB68*M69+AC68*N69+AD68*O69+AE68*P69+AF68*Q69+AG68*R69+AH68*S69+AI68*T69</f>
        <v/>
      </c>
      <c r="AL69" s="9">
        <f>AVERAGE(L9:L68)</f>
        <v/>
      </c>
    </row>
    <row r="70">
      <c r="A70" s="7" t="n">
        <v>39691</v>
      </c>
      <c r="B70" s="8" t="n">
        <v>833</v>
      </c>
      <c r="C70" s="8" t="n">
        <v>2.15</v>
      </c>
      <c r="D70" s="8" t="n">
        <v>1.68</v>
      </c>
      <c r="E70" s="8" t="n">
        <v>77.379997</v>
      </c>
      <c r="F70" s="8" t="n">
        <v>115.55</v>
      </c>
      <c r="G70" s="8" t="n">
        <v>20.65</v>
      </c>
      <c r="H70" s="8" t="n">
        <v>103</v>
      </c>
      <c r="I70" s="8" t="n">
        <v>1282.829956</v>
      </c>
      <c r="J70" s="8" t="n">
        <v>59.946411</v>
      </c>
      <c r="L70" s="9">
        <f>LN(B70/B69)</f>
        <v/>
      </c>
      <c r="M70" s="9">
        <f>$M$1*(C70-C69)</f>
        <v/>
      </c>
      <c r="N70" s="9">
        <f>$N$1*(D70-D69)</f>
        <v/>
      </c>
      <c r="O70" s="9">
        <f>$O$1*LN(E70/E69)</f>
        <v/>
      </c>
      <c r="P70" s="9">
        <f>$P$1*LN(F70/F69)</f>
        <v/>
      </c>
      <c r="Q70" s="9">
        <f>$Q$1*(G70-G69)</f>
        <v/>
      </c>
      <c r="R70" s="9">
        <f>$R$1*(H70-H69)</f>
        <v/>
      </c>
      <c r="S70" s="9">
        <f>$S$1*LN(I70/I69)</f>
        <v/>
      </c>
      <c r="T70" s="9">
        <f>$T$1*LN(J70/J69)</f>
        <v/>
      </c>
      <c r="U70" s="9">
        <f>$W$12+$W$4*M70+$W$5*N70+$W$6*O70+$W$7*P70+$W$8*Q70+$W$9*R70+$W$10*S70+$W$11*T70</f>
        <v/>
      </c>
      <c r="AA70" s="10">
        <f>INDEX(LINEST(L11:L70,M11:T70,TRUE,TRUE),1,9)*12</f>
        <v/>
      </c>
      <c r="AB70" s="9">
        <f>INDEX(LINEST(L11:L70,M11:T70,TRUE,TRUE),1,8)</f>
        <v/>
      </c>
      <c r="AC70" s="9">
        <f>INDEX(LINEST(L11:L70,M11:T70,TRUE,TRUE),1,7)</f>
        <v/>
      </c>
      <c r="AD70" s="9">
        <f>INDEX(LINEST(L11:L70,M11:T70,TRUE,TRUE),1,6)</f>
        <v/>
      </c>
      <c r="AE70" s="9">
        <f>INDEX(LINEST(L11:L70,M11:T70,TRUE,TRUE),1,5)</f>
        <v/>
      </c>
      <c r="AF70" s="9">
        <f>INDEX(LINEST(L11:L70,M11:T70,TRUE,TRUE),1,4)</f>
        <v/>
      </c>
      <c r="AG70" s="9">
        <f>INDEX(LINEST(L11:L70,M11:T70,TRUE,TRUE),1,3)</f>
        <v/>
      </c>
      <c r="AH70" s="9">
        <f>INDEX(LINEST(L11:L70,M11:T70,TRUE,TRUE),1,2)</f>
        <v/>
      </c>
      <c r="AI70" s="9">
        <f>INDEX(LINEST(L11:L70,M11:T70,TRUE,TRUE),1,1)</f>
        <v/>
      </c>
      <c r="AJ70" s="10">
        <f>INDEX(LINEST(L11:L70,M11:T70,TRUE,TRUE),3,1)</f>
        <v/>
      </c>
      <c r="AK70" s="9">
        <f>AA69/12+AB69*M70+AC69*N70+AD69*O70+AE69*P70+AF69*Q70+AG69*R70+AH69*S70+AI69*T70</f>
        <v/>
      </c>
      <c r="AL70" s="9">
        <f>AVERAGE(L10:L69)</f>
        <v/>
      </c>
    </row>
    <row r="71">
      <c r="A71" s="7" t="n">
        <v>39721</v>
      </c>
      <c r="B71" s="8" t="n">
        <v>884.5</v>
      </c>
      <c r="C71" s="8" t="n">
        <v>1.6</v>
      </c>
      <c r="D71" s="8" t="n">
        <v>2.25</v>
      </c>
      <c r="E71" s="8" t="n">
        <v>79.449997</v>
      </c>
      <c r="F71" s="8" t="n">
        <v>100.7</v>
      </c>
      <c r="G71" s="8" t="n">
        <v>39.39</v>
      </c>
      <c r="H71" s="8" t="n">
        <v>208.5</v>
      </c>
      <c r="I71" s="8" t="n">
        <v>1166.359985</v>
      </c>
      <c r="J71" s="8" t="n">
        <v>58.891525</v>
      </c>
      <c r="L71" s="9">
        <f>LN(B71/B70)</f>
        <v/>
      </c>
      <c r="M71" s="9">
        <f>$M$1*(C71-C70)</f>
        <v/>
      </c>
      <c r="N71" s="9">
        <f>$N$1*(D71-D70)</f>
        <v/>
      </c>
      <c r="O71" s="9">
        <f>$O$1*LN(E71/E70)</f>
        <v/>
      </c>
      <c r="P71" s="9">
        <f>$P$1*LN(F71/F70)</f>
        <v/>
      </c>
      <c r="Q71" s="9">
        <f>$Q$1*(G71-G70)</f>
        <v/>
      </c>
      <c r="R71" s="9">
        <f>$R$1*(H71-H70)</f>
        <v/>
      </c>
      <c r="S71" s="9">
        <f>$S$1*LN(I71/I70)</f>
        <v/>
      </c>
      <c r="T71" s="9">
        <f>$T$1*LN(J71/J70)</f>
        <v/>
      </c>
      <c r="U71" s="9">
        <f>$W$12+$W$4*M71+$W$5*N71+$W$6*O71+$W$7*P71+$W$8*Q71+$W$9*R71+$W$10*S71+$W$11*T71</f>
        <v/>
      </c>
      <c r="AA71" s="10">
        <f>INDEX(LINEST(L12:L71,M12:T71,TRUE,TRUE),1,9)*12</f>
        <v/>
      </c>
      <c r="AB71" s="9">
        <f>INDEX(LINEST(L12:L71,M12:T71,TRUE,TRUE),1,8)</f>
        <v/>
      </c>
      <c r="AC71" s="9">
        <f>INDEX(LINEST(L12:L71,M12:T71,TRUE,TRUE),1,7)</f>
        <v/>
      </c>
      <c r="AD71" s="9">
        <f>INDEX(LINEST(L12:L71,M12:T71,TRUE,TRUE),1,6)</f>
        <v/>
      </c>
      <c r="AE71" s="9">
        <f>INDEX(LINEST(L12:L71,M12:T71,TRUE,TRUE),1,5)</f>
        <v/>
      </c>
      <c r="AF71" s="9">
        <f>INDEX(LINEST(L12:L71,M12:T71,TRUE,TRUE),1,4)</f>
        <v/>
      </c>
      <c r="AG71" s="9">
        <f>INDEX(LINEST(L12:L71,M12:T71,TRUE,TRUE),1,3)</f>
        <v/>
      </c>
      <c r="AH71" s="9">
        <f>INDEX(LINEST(L12:L71,M12:T71,TRUE,TRUE),1,2)</f>
        <v/>
      </c>
      <c r="AI71" s="9">
        <f>INDEX(LINEST(L12:L71,M12:T71,TRUE,TRUE),1,1)</f>
        <v/>
      </c>
      <c r="AJ71" s="10">
        <f>INDEX(LINEST(L12:L71,M12:T71,TRUE,TRUE),3,1)</f>
        <v/>
      </c>
      <c r="AK71" s="9">
        <f>AA70/12+AB70*M71+AC70*N71+AD70*O71+AE70*P71+AF70*Q71+AG70*R71+AH70*S71+AI70*T71</f>
        <v/>
      </c>
      <c r="AL71" s="9">
        <f>AVERAGE(L11:L70)</f>
        <v/>
      </c>
    </row>
    <row r="72">
      <c r="A72" s="7" t="n">
        <v>39752</v>
      </c>
      <c r="B72" s="8" t="n">
        <v>730.75</v>
      </c>
      <c r="C72" s="8" t="n">
        <v>0.87</v>
      </c>
      <c r="D72" s="8" t="n">
        <v>3.14</v>
      </c>
      <c r="E72" s="8" t="n">
        <v>85.629997</v>
      </c>
      <c r="F72" s="8" t="n">
        <v>68.09999999999999</v>
      </c>
      <c r="G72" s="8" t="n">
        <v>59.89</v>
      </c>
      <c r="H72" s="8" t="n">
        <v>207.199997</v>
      </c>
      <c r="I72" s="8" t="n">
        <v>968.75</v>
      </c>
      <c r="J72" s="8" t="n">
        <v>57.54818</v>
      </c>
      <c r="L72" s="9">
        <f>LN(B72/B71)</f>
        <v/>
      </c>
      <c r="M72" s="9">
        <f>$M$1*(C72-C71)</f>
        <v/>
      </c>
      <c r="N72" s="9">
        <f>$N$1*(D72-D71)</f>
        <v/>
      </c>
      <c r="O72" s="9">
        <f>$O$1*LN(E72/E71)</f>
        <v/>
      </c>
      <c r="P72" s="9">
        <f>$P$1*LN(F72/F71)</f>
        <v/>
      </c>
      <c r="Q72" s="9">
        <f>$Q$1*(G72-G71)</f>
        <v/>
      </c>
      <c r="R72" s="9">
        <f>$R$1*(H72-H71)</f>
        <v/>
      </c>
      <c r="S72" s="9">
        <f>$S$1*LN(I72/I71)</f>
        <v/>
      </c>
      <c r="T72" s="9">
        <f>$T$1*LN(J72/J71)</f>
        <v/>
      </c>
      <c r="U72" s="9">
        <f>$W$12+$W$4*M72+$W$5*N72+$W$6*O72+$W$7*P72+$W$8*Q72+$W$9*R72+$W$10*S72+$W$11*T72</f>
        <v/>
      </c>
      <c r="AA72" s="10">
        <f>INDEX(LINEST(L13:L72,M13:T72,TRUE,TRUE),1,9)*12</f>
        <v/>
      </c>
      <c r="AB72" s="9">
        <f>INDEX(LINEST(L13:L72,M13:T72,TRUE,TRUE),1,8)</f>
        <v/>
      </c>
      <c r="AC72" s="9">
        <f>INDEX(LINEST(L13:L72,M13:T72,TRUE,TRUE),1,7)</f>
        <v/>
      </c>
      <c r="AD72" s="9">
        <f>INDEX(LINEST(L13:L72,M13:T72,TRUE,TRUE),1,6)</f>
        <v/>
      </c>
      <c r="AE72" s="9">
        <f>INDEX(LINEST(L13:L72,M13:T72,TRUE,TRUE),1,5)</f>
        <v/>
      </c>
      <c r="AF72" s="9">
        <f>INDEX(LINEST(L13:L72,M13:T72,TRUE,TRUE),1,4)</f>
        <v/>
      </c>
      <c r="AG72" s="9">
        <f>INDEX(LINEST(L13:L72,M13:T72,TRUE,TRUE),1,3)</f>
        <v/>
      </c>
      <c r="AH72" s="9">
        <f>INDEX(LINEST(L13:L72,M13:T72,TRUE,TRUE),1,2)</f>
        <v/>
      </c>
      <c r="AI72" s="9">
        <f>INDEX(LINEST(L13:L72,M13:T72,TRUE,TRUE),1,1)</f>
        <v/>
      </c>
      <c r="AJ72" s="10">
        <f>INDEX(LINEST(L13:L72,M13:T72,TRUE,TRUE),3,1)</f>
        <v/>
      </c>
      <c r="AK72" s="9">
        <f>AA71/12+AB71*M72+AC71*N72+AD71*O72+AE71*P72+AF71*Q72+AG71*R72+AH71*S72+AI71*T72</f>
        <v/>
      </c>
      <c r="AL72" s="9">
        <f>AVERAGE(L12:L71)</f>
        <v/>
      </c>
    </row>
    <row r="73">
      <c r="A73" s="7" t="n">
        <v>39782</v>
      </c>
      <c r="B73" s="8" t="n">
        <v>814.5</v>
      </c>
      <c r="C73" s="8" t="n">
        <v>0.33</v>
      </c>
      <c r="D73" s="8" t="n">
        <v>2.6</v>
      </c>
      <c r="E73" s="8" t="n">
        <v>86.519997</v>
      </c>
      <c r="F73" s="8" t="n">
        <v>55.21</v>
      </c>
      <c r="G73" s="8" t="n">
        <v>55.84</v>
      </c>
      <c r="H73" s="8" t="n">
        <v>214</v>
      </c>
      <c r="I73" s="8" t="n">
        <v>896.23999</v>
      </c>
      <c r="J73" s="8" t="n">
        <v>59.288601</v>
      </c>
      <c r="L73" s="9">
        <f>LN(B73/B72)</f>
        <v/>
      </c>
      <c r="M73" s="9">
        <f>$M$1*(C73-C72)</f>
        <v/>
      </c>
      <c r="N73" s="9">
        <f>$N$1*(D73-D72)</f>
        <v/>
      </c>
      <c r="O73" s="9">
        <f>$O$1*LN(E73/E72)</f>
        <v/>
      </c>
      <c r="P73" s="9">
        <f>$P$1*LN(F73/F72)</f>
        <v/>
      </c>
      <c r="Q73" s="9">
        <f>$Q$1*(G73-G72)</f>
        <v/>
      </c>
      <c r="R73" s="9">
        <f>$R$1*(H73-H72)</f>
        <v/>
      </c>
      <c r="S73" s="9">
        <f>$S$1*LN(I73/I72)</f>
        <v/>
      </c>
      <c r="T73" s="9">
        <f>$T$1*LN(J73/J72)</f>
        <v/>
      </c>
      <c r="U73" s="9">
        <f>$W$12+$W$4*M73+$W$5*N73+$W$6*O73+$W$7*P73+$W$8*Q73+$W$9*R73+$W$10*S73+$W$11*T73</f>
        <v/>
      </c>
      <c r="AA73" s="10">
        <f>INDEX(LINEST(L14:L73,M14:T73,TRUE,TRUE),1,9)*12</f>
        <v/>
      </c>
      <c r="AB73" s="9">
        <f>INDEX(LINEST(L14:L73,M14:T73,TRUE,TRUE),1,8)</f>
        <v/>
      </c>
      <c r="AC73" s="9">
        <f>INDEX(LINEST(L14:L73,M14:T73,TRUE,TRUE),1,7)</f>
        <v/>
      </c>
      <c r="AD73" s="9">
        <f>INDEX(LINEST(L14:L73,M14:T73,TRUE,TRUE),1,6)</f>
        <v/>
      </c>
      <c r="AE73" s="9">
        <f>INDEX(LINEST(L14:L73,M14:T73,TRUE,TRUE),1,5)</f>
        <v/>
      </c>
      <c r="AF73" s="9">
        <f>INDEX(LINEST(L14:L73,M14:T73,TRUE,TRUE),1,4)</f>
        <v/>
      </c>
      <c r="AG73" s="9">
        <f>INDEX(LINEST(L14:L73,M14:T73,TRUE,TRUE),1,3)</f>
        <v/>
      </c>
      <c r="AH73" s="9">
        <f>INDEX(LINEST(L14:L73,M14:T73,TRUE,TRUE),1,2)</f>
        <v/>
      </c>
      <c r="AI73" s="9">
        <f>INDEX(LINEST(L14:L73,M14:T73,TRUE,TRUE),1,1)</f>
        <v/>
      </c>
      <c r="AJ73" s="10">
        <f>INDEX(LINEST(L14:L73,M14:T73,TRUE,TRUE),3,1)</f>
        <v/>
      </c>
      <c r="AK73" s="9">
        <f>AA72/12+AB72*M73+AC72*N73+AD72*O73+AE72*P73+AF72*Q73+AG72*R73+AH72*S73+AI72*T73</f>
        <v/>
      </c>
      <c r="AL73" s="9">
        <f>AVERAGE(L13:L72)</f>
        <v/>
      </c>
    </row>
    <row r="74">
      <c r="A74" s="7" t="n">
        <v>39813</v>
      </c>
      <c r="B74" s="8" t="n">
        <v>869.75</v>
      </c>
      <c r="C74" s="8" t="n">
        <v>0.11</v>
      </c>
      <c r="D74" s="8" t="n">
        <v>2.14</v>
      </c>
      <c r="E74" s="8" t="n">
        <v>81.30999799999999</v>
      </c>
      <c r="F74" s="8" t="n">
        <v>44.6</v>
      </c>
      <c r="G74" s="8" t="n">
        <v>40</v>
      </c>
      <c r="H74" s="8" t="n">
        <v>190</v>
      </c>
      <c r="I74" s="8" t="n">
        <v>903.25</v>
      </c>
      <c r="J74" s="8" t="n">
        <v>63.23864</v>
      </c>
      <c r="L74" s="9">
        <f>LN(B74/B73)</f>
        <v/>
      </c>
      <c r="M74" s="9">
        <f>$M$1*(C74-C73)</f>
        <v/>
      </c>
      <c r="N74" s="9">
        <f>$N$1*(D74-D73)</f>
        <v/>
      </c>
      <c r="O74" s="9">
        <f>$O$1*LN(E74/E73)</f>
        <v/>
      </c>
      <c r="P74" s="9">
        <f>$P$1*LN(F74/F73)</f>
        <v/>
      </c>
      <c r="Q74" s="9">
        <f>$Q$1*(G74-G73)</f>
        <v/>
      </c>
      <c r="R74" s="9">
        <f>$R$1*(H74-H73)</f>
        <v/>
      </c>
      <c r="S74" s="9">
        <f>$S$1*LN(I74/I73)</f>
        <v/>
      </c>
      <c r="T74" s="9">
        <f>$T$1*LN(J74/J73)</f>
        <v/>
      </c>
      <c r="U74" s="9">
        <f>$W$12+$W$4*M74+$W$5*N74+$W$6*O74+$W$7*P74+$W$8*Q74+$W$9*R74+$W$10*S74+$W$11*T74</f>
        <v/>
      </c>
      <c r="AA74" s="10">
        <f>INDEX(LINEST(L15:L74,M15:T74,TRUE,TRUE),1,9)*12</f>
        <v/>
      </c>
      <c r="AB74" s="9">
        <f>INDEX(LINEST(L15:L74,M15:T74,TRUE,TRUE),1,8)</f>
        <v/>
      </c>
      <c r="AC74" s="9">
        <f>INDEX(LINEST(L15:L74,M15:T74,TRUE,TRUE),1,7)</f>
        <v/>
      </c>
      <c r="AD74" s="9">
        <f>INDEX(LINEST(L15:L74,M15:T74,TRUE,TRUE),1,6)</f>
        <v/>
      </c>
      <c r="AE74" s="9">
        <f>INDEX(LINEST(L15:L74,M15:T74,TRUE,TRUE),1,5)</f>
        <v/>
      </c>
      <c r="AF74" s="9">
        <f>INDEX(LINEST(L15:L74,M15:T74,TRUE,TRUE),1,4)</f>
        <v/>
      </c>
      <c r="AG74" s="9">
        <f>INDEX(LINEST(L15:L74,M15:T74,TRUE,TRUE),1,3)</f>
        <v/>
      </c>
      <c r="AH74" s="9">
        <f>INDEX(LINEST(L15:L74,M15:T74,TRUE,TRUE),1,2)</f>
        <v/>
      </c>
      <c r="AI74" s="9">
        <f>INDEX(LINEST(L15:L74,M15:T74,TRUE,TRUE),1,1)</f>
        <v/>
      </c>
      <c r="AJ74" s="10">
        <f>INDEX(LINEST(L15:L74,M15:T74,TRUE,TRUE),3,1)</f>
        <v/>
      </c>
      <c r="AK74" s="9">
        <f>AA73/12+AB73*M74+AC73*N74+AD73*O74+AE73*P74+AF73*Q74+AG73*R74+AH73*S74+AI73*T74</f>
        <v/>
      </c>
      <c r="AL74" s="9">
        <f>AVERAGE(L14:L73)</f>
        <v/>
      </c>
    </row>
    <row r="75">
      <c r="A75" s="7" t="n">
        <v>39844</v>
      </c>
      <c r="B75" s="8" t="n">
        <v>919.5</v>
      </c>
      <c r="C75" s="8" t="n">
        <v>1.14</v>
      </c>
      <c r="D75" s="8" t="n">
        <v>1.73</v>
      </c>
      <c r="E75" s="8" t="n">
        <v>86</v>
      </c>
      <c r="F75" s="8" t="n">
        <v>41.73</v>
      </c>
      <c r="G75" s="8" t="n">
        <v>44.84</v>
      </c>
      <c r="H75" s="8" t="n">
        <v>162.899994</v>
      </c>
      <c r="I75" s="8" t="n">
        <v>825.880005</v>
      </c>
      <c r="J75" s="8" t="n">
        <v>61.982361</v>
      </c>
      <c r="L75" s="9">
        <f>LN(B75/B74)</f>
        <v/>
      </c>
      <c r="M75" s="9">
        <f>$M$1*(C75-C74)</f>
        <v/>
      </c>
      <c r="N75" s="9">
        <f>$N$1*(D75-D74)</f>
        <v/>
      </c>
      <c r="O75" s="9">
        <f>$O$1*LN(E75/E74)</f>
        <v/>
      </c>
      <c r="P75" s="9">
        <f>$P$1*LN(F75/F74)</f>
        <v/>
      </c>
      <c r="Q75" s="9">
        <f>$Q$1*(G75-G74)</f>
        <v/>
      </c>
      <c r="R75" s="9">
        <f>$R$1*(H75-H74)</f>
        <v/>
      </c>
      <c r="S75" s="9">
        <f>$S$1*LN(I75/I74)</f>
        <v/>
      </c>
      <c r="T75" s="9">
        <f>$T$1*LN(J75/J74)</f>
        <v/>
      </c>
      <c r="U75" s="9">
        <f>$W$12+$W$4*M75+$W$5*N75+$W$6*O75+$W$7*P75+$W$8*Q75+$W$9*R75+$W$10*S75+$W$11*T75</f>
        <v/>
      </c>
      <c r="AA75" s="10">
        <f>INDEX(LINEST(L16:L75,M16:T75,TRUE,TRUE),1,9)*12</f>
        <v/>
      </c>
      <c r="AB75" s="9">
        <f>INDEX(LINEST(L16:L75,M16:T75,TRUE,TRUE),1,8)</f>
        <v/>
      </c>
      <c r="AC75" s="9">
        <f>INDEX(LINEST(L16:L75,M16:T75,TRUE,TRUE),1,7)</f>
        <v/>
      </c>
      <c r="AD75" s="9">
        <f>INDEX(LINEST(L16:L75,M16:T75,TRUE,TRUE),1,6)</f>
        <v/>
      </c>
      <c r="AE75" s="9">
        <f>INDEX(LINEST(L16:L75,M16:T75,TRUE,TRUE),1,5)</f>
        <v/>
      </c>
      <c r="AF75" s="9">
        <f>INDEX(LINEST(L16:L75,M16:T75,TRUE,TRUE),1,4)</f>
        <v/>
      </c>
      <c r="AG75" s="9">
        <f>INDEX(LINEST(L16:L75,M16:T75,TRUE,TRUE),1,3)</f>
        <v/>
      </c>
      <c r="AH75" s="9">
        <f>INDEX(LINEST(L16:L75,M16:T75,TRUE,TRUE),1,2)</f>
        <v/>
      </c>
      <c r="AI75" s="9">
        <f>INDEX(LINEST(L16:L75,M16:T75,TRUE,TRUE),1,1)</f>
        <v/>
      </c>
      <c r="AJ75" s="10">
        <f>INDEX(LINEST(L16:L75,M16:T75,TRUE,TRUE),3,1)</f>
        <v/>
      </c>
      <c r="AK75" s="9">
        <f>AA74/12+AB74*M75+AC74*N75+AD74*O75+AE74*P75+AF74*Q75+AG74*R75+AH74*S75+AI74*T75</f>
        <v/>
      </c>
      <c r="AL75" s="9">
        <f>AVERAGE(L15:L74)</f>
        <v/>
      </c>
    </row>
    <row r="76">
      <c r="A76" s="7" t="n">
        <v>39872</v>
      </c>
      <c r="B76" s="8" t="n">
        <v>952</v>
      </c>
      <c r="C76" s="8" t="n">
        <v>0.96</v>
      </c>
      <c r="D76" s="8" t="n">
        <v>2.06</v>
      </c>
      <c r="E76" s="8" t="n">
        <v>88.010002</v>
      </c>
      <c r="F76" s="8" t="n">
        <v>44.15</v>
      </c>
      <c r="G76" s="8" t="n">
        <v>46.35</v>
      </c>
      <c r="H76" s="8" t="n">
        <v>166.600006</v>
      </c>
      <c r="I76" s="8" t="n">
        <v>735.090027</v>
      </c>
      <c r="J76" s="8" t="n">
        <v>61.328178</v>
      </c>
      <c r="L76" s="9">
        <f>LN(B76/B75)</f>
        <v/>
      </c>
      <c r="M76" s="9">
        <f>$M$1*(C76-C75)</f>
        <v/>
      </c>
      <c r="N76" s="9">
        <f>$N$1*(D76-D75)</f>
        <v/>
      </c>
      <c r="O76" s="9">
        <f>$O$1*LN(E76/E75)</f>
        <v/>
      </c>
      <c r="P76" s="9">
        <f>$P$1*LN(F76/F75)</f>
        <v/>
      </c>
      <c r="Q76" s="9">
        <f>$Q$1*(G76-G75)</f>
        <v/>
      </c>
      <c r="R76" s="9">
        <f>$R$1*(H76-H75)</f>
        <v/>
      </c>
      <c r="S76" s="9">
        <f>$S$1*LN(I76/I75)</f>
        <v/>
      </c>
      <c r="T76" s="9">
        <f>$T$1*LN(J76/J75)</f>
        <v/>
      </c>
      <c r="U76" s="9">
        <f>$W$12+$W$4*M76+$W$5*N76+$W$6*O76+$W$7*P76+$W$8*Q76+$W$9*R76+$W$10*S76+$W$11*T76</f>
        <v/>
      </c>
      <c r="AA76" s="10">
        <f>INDEX(LINEST(L17:L76,M17:T76,TRUE,TRUE),1,9)*12</f>
        <v/>
      </c>
      <c r="AB76" s="9">
        <f>INDEX(LINEST(L17:L76,M17:T76,TRUE,TRUE),1,8)</f>
        <v/>
      </c>
      <c r="AC76" s="9">
        <f>INDEX(LINEST(L17:L76,M17:T76,TRUE,TRUE),1,7)</f>
        <v/>
      </c>
      <c r="AD76" s="9">
        <f>INDEX(LINEST(L17:L76,M17:T76,TRUE,TRUE),1,6)</f>
        <v/>
      </c>
      <c r="AE76" s="9">
        <f>INDEX(LINEST(L17:L76,M17:T76,TRUE,TRUE),1,5)</f>
        <v/>
      </c>
      <c r="AF76" s="9">
        <f>INDEX(LINEST(L17:L76,M17:T76,TRUE,TRUE),1,4)</f>
        <v/>
      </c>
      <c r="AG76" s="9">
        <f>INDEX(LINEST(L17:L76,M17:T76,TRUE,TRUE),1,3)</f>
        <v/>
      </c>
      <c r="AH76" s="9">
        <f>INDEX(LINEST(L17:L76,M17:T76,TRUE,TRUE),1,2)</f>
        <v/>
      </c>
      <c r="AI76" s="9">
        <f>INDEX(LINEST(L17:L76,M17:T76,TRUE,TRUE),1,1)</f>
        <v/>
      </c>
      <c r="AJ76" s="10">
        <f>INDEX(LINEST(L17:L76,M17:T76,TRUE,TRUE),3,1)</f>
        <v/>
      </c>
      <c r="AK76" s="9">
        <f>AA75/12+AB75*M76+AC75*N76+AD75*O76+AE75*P76+AF75*Q76+AG75*R76+AH75*S76+AI75*T76</f>
        <v/>
      </c>
      <c r="AL76" s="9">
        <f>AVERAGE(L16:L75)</f>
        <v/>
      </c>
    </row>
    <row r="77">
      <c r="A77" s="7" t="n">
        <v>39903</v>
      </c>
      <c r="B77" s="8" t="n">
        <v>916.5</v>
      </c>
      <c r="C77" s="8" t="n">
        <v>1.28</v>
      </c>
      <c r="D77" s="8" t="n">
        <v>1.43</v>
      </c>
      <c r="E77" s="8" t="n">
        <v>85.43000000000001</v>
      </c>
      <c r="F77" s="8" t="n">
        <v>49.64</v>
      </c>
      <c r="G77" s="8" t="n">
        <v>44.14</v>
      </c>
      <c r="H77" s="8" t="n">
        <v>117.300003</v>
      </c>
      <c r="I77" s="8" t="n">
        <v>797.869995</v>
      </c>
      <c r="J77" s="8" t="n">
        <v>62.004642</v>
      </c>
      <c r="L77" s="9">
        <f>LN(B77/B76)</f>
        <v/>
      </c>
      <c r="M77" s="9">
        <f>$M$1*(C77-C76)</f>
        <v/>
      </c>
      <c r="N77" s="9">
        <f>$N$1*(D77-D76)</f>
        <v/>
      </c>
      <c r="O77" s="9">
        <f>$O$1*LN(E77/E76)</f>
        <v/>
      </c>
      <c r="P77" s="9">
        <f>$P$1*LN(F77/F76)</f>
        <v/>
      </c>
      <c r="Q77" s="9">
        <f>$Q$1*(G77-G76)</f>
        <v/>
      </c>
      <c r="R77" s="9">
        <f>$R$1*(H77-H76)</f>
        <v/>
      </c>
      <c r="S77" s="9">
        <f>$S$1*LN(I77/I76)</f>
        <v/>
      </c>
      <c r="T77" s="9">
        <f>$T$1*LN(J77/J76)</f>
        <v/>
      </c>
      <c r="U77" s="9">
        <f>$W$12+$W$4*M77+$W$5*N77+$W$6*O77+$W$7*P77+$W$8*Q77+$W$9*R77+$W$10*S77+$W$11*T77</f>
        <v/>
      </c>
      <c r="AA77" s="10">
        <f>INDEX(LINEST(L18:L77,M18:T77,TRUE,TRUE),1,9)*12</f>
        <v/>
      </c>
      <c r="AB77" s="9">
        <f>INDEX(LINEST(L18:L77,M18:T77,TRUE,TRUE),1,8)</f>
        <v/>
      </c>
      <c r="AC77" s="9">
        <f>INDEX(LINEST(L18:L77,M18:T77,TRUE,TRUE),1,7)</f>
        <v/>
      </c>
      <c r="AD77" s="9">
        <f>INDEX(LINEST(L18:L77,M18:T77,TRUE,TRUE),1,6)</f>
        <v/>
      </c>
      <c r="AE77" s="9">
        <f>INDEX(LINEST(L18:L77,M18:T77,TRUE,TRUE),1,5)</f>
        <v/>
      </c>
      <c r="AF77" s="9">
        <f>INDEX(LINEST(L18:L77,M18:T77,TRUE,TRUE),1,4)</f>
        <v/>
      </c>
      <c r="AG77" s="9">
        <f>INDEX(LINEST(L18:L77,M18:T77,TRUE,TRUE),1,3)</f>
        <v/>
      </c>
      <c r="AH77" s="9">
        <f>INDEX(LINEST(L18:L77,M18:T77,TRUE,TRUE),1,2)</f>
        <v/>
      </c>
      <c r="AI77" s="9">
        <f>INDEX(LINEST(L18:L77,M18:T77,TRUE,TRUE),1,1)</f>
        <v/>
      </c>
      <c r="AJ77" s="10">
        <f>INDEX(LINEST(L18:L77,M18:T77,TRUE,TRUE),3,1)</f>
        <v/>
      </c>
      <c r="AK77" s="9">
        <f>AA76/12+AB76*M77+AC76*N77+AD76*O77+AE76*P77+AF76*Q77+AG76*R77+AH76*S77+AI76*T77</f>
        <v/>
      </c>
      <c r="AL77" s="9">
        <f>AVERAGE(L17:L76)</f>
        <v/>
      </c>
    </row>
    <row r="78">
      <c r="A78" s="7" t="n">
        <v>39933</v>
      </c>
      <c r="B78" s="8" t="n">
        <v>883.25</v>
      </c>
      <c r="C78" s="8" t="n">
        <v>1.47</v>
      </c>
      <c r="D78" s="8" t="n">
        <v>1.69</v>
      </c>
      <c r="E78" s="8" t="n">
        <v>84.610001</v>
      </c>
      <c r="F78" s="8" t="n">
        <v>50.35</v>
      </c>
      <c r="G78" s="8" t="n">
        <v>36.5</v>
      </c>
      <c r="H78" s="8" t="n">
        <v>124.199997</v>
      </c>
      <c r="I78" s="8" t="n">
        <v>872.809998</v>
      </c>
      <c r="J78" s="8" t="n">
        <v>62.324139</v>
      </c>
      <c r="L78" s="9">
        <f>LN(B78/B77)</f>
        <v/>
      </c>
      <c r="M78" s="9">
        <f>$M$1*(C78-C77)</f>
        <v/>
      </c>
      <c r="N78" s="9">
        <f>$N$1*(D78-D77)</f>
        <v/>
      </c>
      <c r="O78" s="9">
        <f>$O$1*LN(E78/E77)</f>
        <v/>
      </c>
      <c r="P78" s="9">
        <f>$P$1*LN(F78/F77)</f>
        <v/>
      </c>
      <c r="Q78" s="9">
        <f>$Q$1*(G78-G77)</f>
        <v/>
      </c>
      <c r="R78" s="9">
        <f>$R$1*(H78-H77)</f>
        <v/>
      </c>
      <c r="S78" s="9">
        <f>$S$1*LN(I78/I77)</f>
        <v/>
      </c>
      <c r="T78" s="9">
        <f>$T$1*LN(J78/J77)</f>
        <v/>
      </c>
      <c r="U78" s="9">
        <f>$W$12+$W$4*M78+$W$5*N78+$W$6*O78+$W$7*P78+$W$8*Q78+$W$9*R78+$W$10*S78+$W$11*T78</f>
        <v/>
      </c>
      <c r="AA78" s="10">
        <f>INDEX(LINEST(L19:L78,M19:T78,TRUE,TRUE),1,9)*12</f>
        <v/>
      </c>
      <c r="AB78" s="9">
        <f>INDEX(LINEST(L19:L78,M19:T78,TRUE,TRUE),1,8)</f>
        <v/>
      </c>
      <c r="AC78" s="9">
        <f>INDEX(LINEST(L19:L78,M19:T78,TRUE,TRUE),1,7)</f>
        <v/>
      </c>
      <c r="AD78" s="9">
        <f>INDEX(LINEST(L19:L78,M19:T78,TRUE,TRUE),1,6)</f>
        <v/>
      </c>
      <c r="AE78" s="9">
        <f>INDEX(LINEST(L19:L78,M19:T78,TRUE,TRUE),1,5)</f>
        <v/>
      </c>
      <c r="AF78" s="9">
        <f>INDEX(LINEST(L19:L78,M19:T78,TRUE,TRUE),1,4)</f>
        <v/>
      </c>
      <c r="AG78" s="9">
        <f>INDEX(LINEST(L19:L78,M19:T78,TRUE,TRUE),1,3)</f>
        <v/>
      </c>
      <c r="AH78" s="9">
        <f>INDEX(LINEST(L19:L78,M19:T78,TRUE,TRUE),1,2)</f>
        <v/>
      </c>
      <c r="AI78" s="9">
        <f>INDEX(LINEST(L19:L78,M19:T78,TRUE,TRUE),1,1)</f>
        <v/>
      </c>
      <c r="AJ78" s="10">
        <f>INDEX(LINEST(L19:L78,M19:T78,TRUE,TRUE),3,1)</f>
        <v/>
      </c>
      <c r="AK78" s="9">
        <f>AA77/12+AB77*M78+AC77*N78+AD77*O78+AE77*P78+AF77*Q78+AG77*R78+AH77*S78+AI77*T78</f>
        <v/>
      </c>
      <c r="AL78" s="9">
        <f>AVERAGE(L18:L77)</f>
        <v/>
      </c>
    </row>
    <row r="79">
      <c r="A79" s="7" t="n">
        <v>39964</v>
      </c>
      <c r="B79" s="8" t="n">
        <v>975.5</v>
      </c>
      <c r="C79" s="8" t="n">
        <v>1.8</v>
      </c>
      <c r="D79" s="8" t="n">
        <v>1.67</v>
      </c>
      <c r="E79" s="8" t="n">
        <v>80.43000000000001</v>
      </c>
      <c r="F79" s="8" t="n">
        <v>66.31</v>
      </c>
      <c r="G79" s="8" t="n">
        <v>28.92</v>
      </c>
      <c r="H79" s="8" t="n">
        <v>165.399994</v>
      </c>
      <c r="I79" s="8" t="n">
        <v>919.1400149999999</v>
      </c>
      <c r="J79" s="8" t="n">
        <v>62.766438</v>
      </c>
      <c r="L79" s="9">
        <f>LN(B79/B78)</f>
        <v/>
      </c>
      <c r="M79" s="9">
        <f>$M$1*(C79-C78)</f>
        <v/>
      </c>
      <c r="N79" s="9">
        <f>$N$1*(D79-D78)</f>
        <v/>
      </c>
      <c r="O79" s="9">
        <f>$O$1*LN(E79/E78)</f>
        <v/>
      </c>
      <c r="P79" s="9">
        <f>$P$1*LN(F79/F78)</f>
        <v/>
      </c>
      <c r="Q79" s="9">
        <f>$Q$1*(G79-G78)</f>
        <v/>
      </c>
      <c r="R79" s="9">
        <f>$R$1*(H79-H78)</f>
        <v/>
      </c>
      <c r="S79" s="9">
        <f>$S$1*LN(I79/I78)</f>
        <v/>
      </c>
      <c r="T79" s="9">
        <f>$T$1*LN(J79/J78)</f>
        <v/>
      </c>
      <c r="U79" s="9">
        <f>$W$12+$W$4*M79+$W$5*N79+$W$6*O79+$W$7*P79+$W$8*Q79+$W$9*R79+$W$10*S79+$W$11*T79</f>
        <v/>
      </c>
      <c r="AA79" s="10">
        <f>INDEX(LINEST(L20:L79,M20:T79,TRUE,TRUE),1,9)*12</f>
        <v/>
      </c>
      <c r="AB79" s="9">
        <f>INDEX(LINEST(L20:L79,M20:T79,TRUE,TRUE),1,8)</f>
        <v/>
      </c>
      <c r="AC79" s="9">
        <f>INDEX(LINEST(L20:L79,M20:T79,TRUE,TRUE),1,7)</f>
        <v/>
      </c>
      <c r="AD79" s="9">
        <f>INDEX(LINEST(L20:L79,M20:T79,TRUE,TRUE),1,6)</f>
        <v/>
      </c>
      <c r="AE79" s="9">
        <f>INDEX(LINEST(L20:L79,M20:T79,TRUE,TRUE),1,5)</f>
        <v/>
      </c>
      <c r="AF79" s="9">
        <f>INDEX(LINEST(L20:L79,M20:T79,TRUE,TRUE),1,4)</f>
        <v/>
      </c>
      <c r="AG79" s="9">
        <f>INDEX(LINEST(L20:L79,M20:T79,TRUE,TRUE),1,3)</f>
        <v/>
      </c>
      <c r="AH79" s="9">
        <f>INDEX(LINEST(L20:L79,M20:T79,TRUE,TRUE),1,2)</f>
        <v/>
      </c>
      <c r="AI79" s="9">
        <f>INDEX(LINEST(L20:L79,M20:T79,TRUE,TRUE),1,1)</f>
        <v/>
      </c>
      <c r="AJ79" s="10">
        <f>INDEX(LINEST(L20:L79,M20:T79,TRUE,TRUE),3,1)</f>
        <v/>
      </c>
      <c r="AK79" s="9">
        <f>AA78/12+AB78*M79+AC78*N79+AD78*O79+AE78*P79+AF78*Q79+AG78*R79+AH78*S79+AI78*T79</f>
        <v/>
      </c>
      <c r="AL79" s="9">
        <f>AVERAGE(L19:L78)</f>
        <v/>
      </c>
    </row>
    <row r="80">
      <c r="A80" s="7" t="n">
        <v>39994</v>
      </c>
      <c r="B80" s="8" t="n">
        <v>934.5</v>
      </c>
      <c r="C80" s="8" t="n">
        <v>1.75</v>
      </c>
      <c r="D80" s="8" t="n">
        <v>1.78</v>
      </c>
      <c r="E80" s="8" t="n">
        <v>80.129997</v>
      </c>
      <c r="F80" s="8" t="n">
        <v>69.81999999999999</v>
      </c>
      <c r="G80" s="8" t="n">
        <v>26.35</v>
      </c>
      <c r="H80" s="8" t="n">
        <v>162.5</v>
      </c>
      <c r="I80" s="8" t="n">
        <v>919.320007</v>
      </c>
      <c r="J80" s="8" t="n">
        <v>63.030571</v>
      </c>
      <c r="L80" s="9">
        <f>LN(B80/B79)</f>
        <v/>
      </c>
      <c r="M80" s="9">
        <f>$M$1*(C80-C79)</f>
        <v/>
      </c>
      <c r="N80" s="9">
        <f>$N$1*(D80-D79)</f>
        <v/>
      </c>
      <c r="O80" s="9">
        <f>$O$1*LN(E80/E79)</f>
        <v/>
      </c>
      <c r="P80" s="9">
        <f>$P$1*LN(F80/F79)</f>
        <v/>
      </c>
      <c r="Q80" s="9">
        <f>$Q$1*(G80-G79)</f>
        <v/>
      </c>
      <c r="R80" s="9">
        <f>$R$1*(H80-H79)</f>
        <v/>
      </c>
      <c r="S80" s="9">
        <f>$S$1*LN(I80/I79)</f>
        <v/>
      </c>
      <c r="T80" s="9">
        <f>$T$1*LN(J80/J79)</f>
        <v/>
      </c>
      <c r="U80" s="9">
        <f>$W$12+$W$4*M80+$W$5*N80+$W$6*O80+$W$7*P80+$W$8*Q80+$W$9*R80+$W$10*S80+$W$11*T80</f>
        <v/>
      </c>
      <c r="AA80" s="10">
        <f>INDEX(LINEST(L21:L80,M21:T80,TRUE,TRUE),1,9)*12</f>
        <v/>
      </c>
      <c r="AB80" s="9">
        <f>INDEX(LINEST(L21:L80,M21:T80,TRUE,TRUE),1,8)</f>
        <v/>
      </c>
      <c r="AC80" s="9">
        <f>INDEX(LINEST(L21:L80,M21:T80,TRUE,TRUE),1,7)</f>
        <v/>
      </c>
      <c r="AD80" s="9">
        <f>INDEX(LINEST(L21:L80,M21:T80,TRUE,TRUE),1,6)</f>
        <v/>
      </c>
      <c r="AE80" s="9">
        <f>INDEX(LINEST(L21:L80,M21:T80,TRUE,TRUE),1,5)</f>
        <v/>
      </c>
      <c r="AF80" s="9">
        <f>INDEX(LINEST(L21:L80,M21:T80,TRUE,TRUE),1,4)</f>
        <v/>
      </c>
      <c r="AG80" s="9">
        <f>INDEX(LINEST(L21:L80,M21:T80,TRUE,TRUE),1,3)</f>
        <v/>
      </c>
      <c r="AH80" s="9">
        <f>INDEX(LINEST(L21:L80,M21:T80,TRUE,TRUE),1,2)</f>
        <v/>
      </c>
      <c r="AI80" s="9">
        <f>INDEX(LINEST(L21:L80,M21:T80,TRUE,TRUE),1,1)</f>
        <v/>
      </c>
      <c r="AJ80" s="10">
        <f>INDEX(LINEST(L21:L80,M21:T80,TRUE,TRUE),3,1)</f>
        <v/>
      </c>
      <c r="AK80" s="9">
        <f>AA79/12+AB79*M80+AC79*N80+AD79*O80+AE79*P80+AF79*Q80+AG79*R80+AH79*S80+AI79*T80</f>
        <v/>
      </c>
      <c r="AL80" s="9">
        <f>AVERAGE(L20:L79)</f>
        <v/>
      </c>
    </row>
    <row r="81">
      <c r="A81" s="7" t="n">
        <v>40025</v>
      </c>
      <c r="B81" s="8" t="n">
        <v>939</v>
      </c>
      <c r="C81" s="8" t="n">
        <v>1.81</v>
      </c>
      <c r="D81" s="8" t="n">
        <v>1.71</v>
      </c>
      <c r="E81" s="8" t="n">
        <v>78.349998</v>
      </c>
      <c r="F81" s="8" t="n">
        <v>69.26000000000001</v>
      </c>
      <c r="G81" s="8" t="n">
        <v>25.92</v>
      </c>
      <c r="H81" s="8" t="n">
        <v>138.5</v>
      </c>
      <c r="I81" s="8" t="n">
        <v>987.47998</v>
      </c>
      <c r="J81" s="8" t="n">
        <v>63.830391</v>
      </c>
      <c r="L81" s="9">
        <f>LN(B81/B80)</f>
        <v/>
      </c>
      <c r="M81" s="9">
        <f>$M$1*(C81-C80)</f>
        <v/>
      </c>
      <c r="N81" s="9">
        <f>$N$1*(D81-D80)</f>
        <v/>
      </c>
      <c r="O81" s="9">
        <f>$O$1*LN(E81/E80)</f>
        <v/>
      </c>
      <c r="P81" s="9">
        <f>$P$1*LN(F81/F80)</f>
        <v/>
      </c>
      <c r="Q81" s="9">
        <f>$Q$1*(G81-G80)</f>
        <v/>
      </c>
      <c r="R81" s="9">
        <f>$R$1*(H81-H80)</f>
        <v/>
      </c>
      <c r="S81" s="9">
        <f>$S$1*LN(I81/I80)</f>
        <v/>
      </c>
      <c r="T81" s="9">
        <f>$T$1*LN(J81/J80)</f>
        <v/>
      </c>
      <c r="U81" s="9">
        <f>$W$12+$W$4*M81+$W$5*N81+$W$6*O81+$W$7*P81+$W$8*Q81+$W$9*R81+$W$10*S81+$W$11*T81</f>
        <v/>
      </c>
      <c r="AA81" s="10">
        <f>INDEX(LINEST(L22:L81,M22:T81,TRUE,TRUE),1,9)*12</f>
        <v/>
      </c>
      <c r="AB81" s="9">
        <f>INDEX(LINEST(L22:L81,M22:T81,TRUE,TRUE),1,8)</f>
        <v/>
      </c>
      <c r="AC81" s="9">
        <f>INDEX(LINEST(L22:L81,M22:T81,TRUE,TRUE),1,7)</f>
        <v/>
      </c>
      <c r="AD81" s="9">
        <f>INDEX(LINEST(L22:L81,M22:T81,TRUE,TRUE),1,6)</f>
        <v/>
      </c>
      <c r="AE81" s="9">
        <f>INDEX(LINEST(L22:L81,M22:T81,TRUE,TRUE),1,5)</f>
        <v/>
      </c>
      <c r="AF81" s="9">
        <f>INDEX(LINEST(L22:L81,M22:T81,TRUE,TRUE),1,4)</f>
        <v/>
      </c>
      <c r="AG81" s="9">
        <f>INDEX(LINEST(L22:L81,M22:T81,TRUE,TRUE),1,3)</f>
        <v/>
      </c>
      <c r="AH81" s="9">
        <f>INDEX(LINEST(L22:L81,M22:T81,TRUE,TRUE),1,2)</f>
        <v/>
      </c>
      <c r="AI81" s="9">
        <f>INDEX(LINEST(L22:L81,M22:T81,TRUE,TRUE),1,1)</f>
        <v/>
      </c>
      <c r="AJ81" s="10">
        <f>INDEX(LINEST(L22:L81,M22:T81,TRUE,TRUE),3,1)</f>
        <v/>
      </c>
      <c r="AK81" s="9">
        <f>AA80/12+AB80*M81+AC80*N81+AD80*O81+AE80*P81+AF80*Q81+AG80*R81+AH80*S81+AI80*T81</f>
        <v/>
      </c>
      <c r="AL81" s="9">
        <f>AVERAGE(L21:L80)</f>
        <v/>
      </c>
    </row>
    <row r="82">
      <c r="A82" s="7" t="n">
        <v>40056</v>
      </c>
      <c r="B82" s="8" t="n">
        <v>955.5</v>
      </c>
      <c r="C82" s="8" t="n">
        <v>1.64</v>
      </c>
      <c r="D82" s="8" t="n">
        <v>1.76</v>
      </c>
      <c r="E82" s="8" t="n">
        <v>78.16999800000001</v>
      </c>
      <c r="F82" s="8" t="n">
        <v>69.97</v>
      </c>
      <c r="G82" s="8" t="n">
        <v>26.01</v>
      </c>
      <c r="H82" s="8" t="n">
        <v>130.699997</v>
      </c>
      <c r="I82" s="8" t="n">
        <v>1020.619995</v>
      </c>
      <c r="J82" s="8" t="n">
        <v>64.609329</v>
      </c>
      <c r="L82" s="9">
        <f>LN(B82/B81)</f>
        <v/>
      </c>
      <c r="M82" s="9">
        <f>$M$1*(C82-C81)</f>
        <v/>
      </c>
      <c r="N82" s="9">
        <f>$N$1*(D82-D81)</f>
        <v/>
      </c>
      <c r="O82" s="9">
        <f>$O$1*LN(E82/E81)</f>
        <v/>
      </c>
      <c r="P82" s="9">
        <f>$P$1*LN(F82/F81)</f>
        <v/>
      </c>
      <c r="Q82" s="9">
        <f>$Q$1*(G82-G81)</f>
        <v/>
      </c>
      <c r="R82" s="9">
        <f>$R$1*(H82-H81)</f>
        <v/>
      </c>
      <c r="S82" s="9">
        <f>$S$1*LN(I82/I81)</f>
        <v/>
      </c>
      <c r="T82" s="9">
        <f>$T$1*LN(J82/J81)</f>
        <v/>
      </c>
      <c r="U82" s="9">
        <f>$W$12+$W$4*M82+$W$5*N82+$W$6*O82+$W$7*P82+$W$8*Q82+$W$9*R82+$W$10*S82+$W$11*T82</f>
        <v/>
      </c>
      <c r="AA82" s="10">
        <f>INDEX(LINEST(L23:L82,M23:T82,TRUE,TRUE),1,9)*12</f>
        <v/>
      </c>
      <c r="AB82" s="9">
        <f>INDEX(LINEST(L23:L82,M23:T82,TRUE,TRUE),1,8)</f>
        <v/>
      </c>
      <c r="AC82" s="9">
        <f>INDEX(LINEST(L23:L82,M23:T82,TRUE,TRUE),1,7)</f>
        <v/>
      </c>
      <c r="AD82" s="9">
        <f>INDEX(LINEST(L23:L82,M23:T82,TRUE,TRUE),1,6)</f>
        <v/>
      </c>
      <c r="AE82" s="9">
        <f>INDEX(LINEST(L23:L82,M23:T82,TRUE,TRUE),1,5)</f>
        <v/>
      </c>
      <c r="AF82" s="9">
        <f>INDEX(LINEST(L23:L82,M23:T82,TRUE,TRUE),1,4)</f>
        <v/>
      </c>
      <c r="AG82" s="9">
        <f>INDEX(LINEST(L23:L82,M23:T82,TRUE,TRUE),1,3)</f>
        <v/>
      </c>
      <c r="AH82" s="9">
        <f>INDEX(LINEST(L23:L82,M23:T82,TRUE,TRUE),1,2)</f>
        <v/>
      </c>
      <c r="AI82" s="9">
        <f>INDEX(LINEST(L23:L82,M23:T82,TRUE,TRUE),1,1)</f>
        <v/>
      </c>
      <c r="AJ82" s="10">
        <f>INDEX(LINEST(L23:L82,M23:T82,TRUE,TRUE),3,1)</f>
        <v/>
      </c>
      <c r="AK82" s="9">
        <f>AA81/12+AB81*M82+AC81*N82+AD81*O82+AE81*P82+AF81*Q82+AG81*R82+AH81*S82+AI81*T82</f>
        <v/>
      </c>
      <c r="AL82" s="9">
        <f>AVERAGE(L22:L81)</f>
        <v/>
      </c>
    </row>
    <row r="83">
      <c r="A83" s="7" t="n">
        <v>40086</v>
      </c>
      <c r="B83" s="8" t="n">
        <v>995.75</v>
      </c>
      <c r="C83" s="8" t="n">
        <v>1.75</v>
      </c>
      <c r="D83" s="8" t="n">
        <v>1.56</v>
      </c>
      <c r="E83" s="8" t="n">
        <v>76.650002</v>
      </c>
      <c r="F83" s="8" t="n">
        <v>70.45999999999999</v>
      </c>
      <c r="G83" s="8" t="n">
        <v>25.61</v>
      </c>
      <c r="H83" s="8" t="n">
        <v>113.800003</v>
      </c>
      <c r="I83" s="8" t="n">
        <v>1057.079956</v>
      </c>
      <c r="J83" s="8" t="n">
        <v>65.376999</v>
      </c>
      <c r="L83" s="9">
        <f>LN(B83/B82)</f>
        <v/>
      </c>
      <c r="M83" s="9">
        <f>$M$1*(C83-C82)</f>
        <v/>
      </c>
      <c r="N83" s="9">
        <f>$N$1*(D83-D82)</f>
        <v/>
      </c>
      <c r="O83" s="9">
        <f>$O$1*LN(E83/E82)</f>
        <v/>
      </c>
      <c r="P83" s="9">
        <f>$P$1*LN(F83/F82)</f>
        <v/>
      </c>
      <c r="Q83" s="9">
        <f>$Q$1*(G83-G82)</f>
        <v/>
      </c>
      <c r="R83" s="9">
        <f>$R$1*(H83-H82)</f>
        <v/>
      </c>
      <c r="S83" s="9">
        <f>$S$1*LN(I83/I82)</f>
        <v/>
      </c>
      <c r="T83" s="9">
        <f>$T$1*LN(J83/J82)</f>
        <v/>
      </c>
      <c r="U83" s="9">
        <f>$W$12+$W$4*M83+$W$5*N83+$W$6*O83+$W$7*P83+$W$8*Q83+$W$9*R83+$W$10*S83+$W$11*T83</f>
        <v/>
      </c>
      <c r="AA83" s="10">
        <f>INDEX(LINEST(L24:L83,M24:T83,TRUE,TRUE),1,9)*12</f>
        <v/>
      </c>
      <c r="AB83" s="9">
        <f>INDEX(LINEST(L24:L83,M24:T83,TRUE,TRUE),1,8)</f>
        <v/>
      </c>
      <c r="AC83" s="9">
        <f>INDEX(LINEST(L24:L83,M24:T83,TRUE,TRUE),1,7)</f>
        <v/>
      </c>
      <c r="AD83" s="9">
        <f>INDEX(LINEST(L24:L83,M24:T83,TRUE,TRUE),1,6)</f>
        <v/>
      </c>
      <c r="AE83" s="9">
        <f>INDEX(LINEST(L24:L83,M24:T83,TRUE,TRUE),1,5)</f>
        <v/>
      </c>
      <c r="AF83" s="9">
        <f>INDEX(LINEST(L24:L83,M24:T83,TRUE,TRUE),1,4)</f>
        <v/>
      </c>
      <c r="AG83" s="9">
        <f>INDEX(LINEST(L24:L83,M24:T83,TRUE,TRUE),1,3)</f>
        <v/>
      </c>
      <c r="AH83" s="9">
        <f>INDEX(LINEST(L24:L83,M24:T83,TRUE,TRUE),1,2)</f>
        <v/>
      </c>
      <c r="AI83" s="9">
        <f>INDEX(LINEST(L24:L83,M24:T83,TRUE,TRUE),1,1)</f>
        <v/>
      </c>
      <c r="AJ83" s="10">
        <f>INDEX(LINEST(L24:L83,M24:T83,TRUE,TRUE),3,1)</f>
        <v/>
      </c>
      <c r="AK83" s="9">
        <f>AA82/12+AB82*M83+AC82*N83+AD82*O83+AE82*P83+AF82*Q83+AG82*R83+AH82*S83+AI82*T83</f>
        <v/>
      </c>
      <c r="AL83" s="9">
        <f>AVERAGE(L23:L82)</f>
        <v/>
      </c>
    </row>
    <row r="84">
      <c r="A84" s="7" t="n">
        <v>40117</v>
      </c>
      <c r="B84" s="8" t="n">
        <v>1040</v>
      </c>
      <c r="C84" s="8" t="n">
        <v>2</v>
      </c>
      <c r="D84" s="8" t="n">
        <v>1.41</v>
      </c>
      <c r="E84" s="8" t="n">
        <v>76.300003</v>
      </c>
      <c r="F84" s="8" t="n">
        <v>77.04000000000001</v>
      </c>
      <c r="G84" s="8" t="n">
        <v>30.69</v>
      </c>
      <c r="H84" s="8" t="n">
        <v>113.5</v>
      </c>
      <c r="I84" s="8" t="n">
        <v>1036.189941</v>
      </c>
      <c r="J84" s="8" t="n">
        <v>65.522018</v>
      </c>
      <c r="L84" s="9">
        <f>LN(B84/B83)</f>
        <v/>
      </c>
      <c r="M84" s="9">
        <f>$M$1*(C84-C83)</f>
        <v/>
      </c>
      <c r="N84" s="9">
        <f>$N$1*(D84-D83)</f>
        <v/>
      </c>
      <c r="O84" s="9">
        <f>$O$1*LN(E84/E83)</f>
        <v/>
      </c>
      <c r="P84" s="9">
        <f>$P$1*LN(F84/F83)</f>
        <v/>
      </c>
      <c r="Q84" s="9">
        <f>$Q$1*(G84-G83)</f>
        <v/>
      </c>
      <c r="R84" s="9">
        <f>$R$1*(H84-H83)</f>
        <v/>
      </c>
      <c r="S84" s="9">
        <f>$S$1*LN(I84/I83)</f>
        <v/>
      </c>
      <c r="T84" s="9">
        <f>$T$1*LN(J84/J83)</f>
        <v/>
      </c>
      <c r="U84" s="9">
        <f>$W$12+$W$4*M84+$W$5*N84+$W$6*O84+$W$7*P84+$W$8*Q84+$W$9*R84+$W$10*S84+$W$11*T84</f>
        <v/>
      </c>
      <c r="AA84" s="10">
        <f>INDEX(LINEST(L25:L84,M25:T84,TRUE,TRUE),1,9)*12</f>
        <v/>
      </c>
      <c r="AB84" s="9">
        <f>INDEX(LINEST(L25:L84,M25:T84,TRUE,TRUE),1,8)</f>
        <v/>
      </c>
      <c r="AC84" s="9">
        <f>INDEX(LINEST(L25:L84,M25:T84,TRUE,TRUE),1,7)</f>
        <v/>
      </c>
      <c r="AD84" s="9">
        <f>INDEX(LINEST(L25:L84,M25:T84,TRUE,TRUE),1,6)</f>
        <v/>
      </c>
      <c r="AE84" s="9">
        <f>INDEX(LINEST(L25:L84,M25:T84,TRUE,TRUE),1,5)</f>
        <v/>
      </c>
      <c r="AF84" s="9">
        <f>INDEX(LINEST(L25:L84,M25:T84,TRUE,TRUE),1,4)</f>
        <v/>
      </c>
      <c r="AG84" s="9">
        <f>INDEX(LINEST(L25:L84,M25:T84,TRUE,TRUE),1,3)</f>
        <v/>
      </c>
      <c r="AH84" s="9">
        <f>INDEX(LINEST(L25:L84,M25:T84,TRUE,TRUE),1,2)</f>
        <v/>
      </c>
      <c r="AI84" s="9">
        <f>INDEX(LINEST(L25:L84,M25:T84,TRUE,TRUE),1,1)</f>
        <v/>
      </c>
      <c r="AJ84" s="10">
        <f>INDEX(LINEST(L25:L84,M25:T84,TRUE,TRUE),3,1)</f>
        <v/>
      </c>
      <c r="AK84" s="9">
        <f>AA83/12+AB83*M84+AC83*N84+AD83*O84+AE83*P84+AF83*Q84+AG83*R84+AH83*S84+AI83*T84</f>
        <v/>
      </c>
      <c r="AL84" s="9">
        <f>AVERAGE(L24:L83)</f>
        <v/>
      </c>
    </row>
    <row r="85">
      <c r="A85" s="7" t="n">
        <v>40147</v>
      </c>
      <c r="B85" s="8" t="n">
        <v>1175.75</v>
      </c>
      <c r="C85" s="8" t="n">
        <v>2.08</v>
      </c>
      <c r="D85" s="8" t="n">
        <v>1.13</v>
      </c>
      <c r="E85" s="8" t="n">
        <v>74.879997</v>
      </c>
      <c r="F85" s="8" t="n">
        <v>77.19</v>
      </c>
      <c r="G85" s="8" t="n">
        <v>24.51</v>
      </c>
      <c r="H85" s="8" t="n">
        <v>86.099998</v>
      </c>
      <c r="I85" s="8" t="n">
        <v>1095.630005</v>
      </c>
      <c r="J85" s="8" t="n">
        <v>66.36481499999999</v>
      </c>
      <c r="L85" s="9">
        <f>LN(B85/B84)</f>
        <v/>
      </c>
      <c r="M85" s="9">
        <f>$M$1*(C85-C84)</f>
        <v/>
      </c>
      <c r="N85" s="9">
        <f>$N$1*(D85-D84)</f>
        <v/>
      </c>
      <c r="O85" s="9">
        <f>$O$1*LN(E85/E84)</f>
        <v/>
      </c>
      <c r="P85" s="9">
        <f>$P$1*LN(F85/F84)</f>
        <v/>
      </c>
      <c r="Q85" s="9">
        <f>$Q$1*(G85-G84)</f>
        <v/>
      </c>
      <c r="R85" s="9">
        <f>$R$1*(H85-H84)</f>
        <v/>
      </c>
      <c r="S85" s="9">
        <f>$S$1*LN(I85/I84)</f>
        <v/>
      </c>
      <c r="T85" s="9">
        <f>$T$1*LN(J85/J84)</f>
        <v/>
      </c>
      <c r="U85" s="9">
        <f>$W$12+$W$4*M85+$W$5*N85+$W$6*O85+$W$7*P85+$W$8*Q85+$W$9*R85+$W$10*S85+$W$11*T85</f>
        <v/>
      </c>
      <c r="AA85" s="10">
        <f>INDEX(LINEST(L26:L85,M26:T85,TRUE,TRUE),1,9)*12</f>
        <v/>
      </c>
      <c r="AB85" s="9">
        <f>INDEX(LINEST(L26:L85,M26:T85,TRUE,TRUE),1,8)</f>
        <v/>
      </c>
      <c r="AC85" s="9">
        <f>INDEX(LINEST(L26:L85,M26:T85,TRUE,TRUE),1,7)</f>
        <v/>
      </c>
      <c r="AD85" s="9">
        <f>INDEX(LINEST(L26:L85,M26:T85,TRUE,TRUE),1,6)</f>
        <v/>
      </c>
      <c r="AE85" s="9">
        <f>INDEX(LINEST(L26:L85,M26:T85,TRUE,TRUE),1,5)</f>
        <v/>
      </c>
      <c r="AF85" s="9">
        <f>INDEX(LINEST(L26:L85,M26:T85,TRUE,TRUE),1,4)</f>
        <v/>
      </c>
      <c r="AG85" s="9">
        <f>INDEX(LINEST(L26:L85,M26:T85,TRUE,TRUE),1,3)</f>
        <v/>
      </c>
      <c r="AH85" s="9">
        <f>INDEX(LINEST(L26:L85,M26:T85,TRUE,TRUE),1,2)</f>
        <v/>
      </c>
      <c r="AI85" s="9">
        <f>INDEX(LINEST(L26:L85,M26:T85,TRUE,TRUE),1,1)</f>
        <v/>
      </c>
      <c r="AJ85" s="10">
        <f>INDEX(LINEST(L26:L85,M26:T85,TRUE,TRUE),3,1)</f>
        <v/>
      </c>
      <c r="AK85" s="9">
        <f>AA84/12+AB84*M85+AC84*N85+AD84*O85+AE84*P85+AF84*Q85+AG84*R85+AH84*S85+AI84*T85</f>
        <v/>
      </c>
      <c r="AL85" s="9">
        <f>AVERAGE(L25:L84)</f>
        <v/>
      </c>
    </row>
    <row r="86">
      <c r="A86" s="7" t="n">
        <v>40178</v>
      </c>
      <c r="B86" s="8" t="n">
        <v>1087.5</v>
      </c>
      <c r="C86" s="8" t="n">
        <v>2.37</v>
      </c>
      <c r="D86" s="8" t="n">
        <v>1.48</v>
      </c>
      <c r="E86" s="8" t="n">
        <v>77.860001</v>
      </c>
      <c r="F86" s="8" t="n">
        <v>79.39</v>
      </c>
      <c r="G86" s="8" t="n">
        <v>21.68</v>
      </c>
      <c r="H86" s="8" t="n">
        <v>107.5</v>
      </c>
      <c r="I86" s="8" t="n">
        <v>1115.099976</v>
      </c>
      <c r="J86" s="8" t="n">
        <v>65.116364</v>
      </c>
      <c r="L86" s="9">
        <f>LN(B86/B85)</f>
        <v/>
      </c>
      <c r="M86" s="9">
        <f>$M$1*(C86-C85)</f>
        <v/>
      </c>
      <c r="N86" s="9">
        <f>$N$1*(D86-D85)</f>
        <v/>
      </c>
      <c r="O86" s="9">
        <f>$O$1*LN(E86/E85)</f>
        <v/>
      </c>
      <c r="P86" s="9">
        <f>$P$1*LN(F86/F85)</f>
        <v/>
      </c>
      <c r="Q86" s="9">
        <f>$Q$1*(G86-G85)</f>
        <v/>
      </c>
      <c r="R86" s="9">
        <f>$R$1*(H86-H85)</f>
        <v/>
      </c>
      <c r="S86" s="9">
        <f>$S$1*LN(I86/I85)</f>
        <v/>
      </c>
      <c r="T86" s="9">
        <f>$T$1*LN(J86/J85)</f>
        <v/>
      </c>
      <c r="U86" s="9">
        <f>$W$12+$W$4*M86+$W$5*N86+$W$6*O86+$W$7*P86+$W$8*Q86+$W$9*R86+$W$10*S86+$W$11*T86</f>
        <v/>
      </c>
      <c r="AA86" s="10">
        <f>INDEX(LINEST(L27:L86,M27:T86,TRUE,TRUE),1,9)*12</f>
        <v/>
      </c>
      <c r="AB86" s="9">
        <f>INDEX(LINEST(L27:L86,M27:T86,TRUE,TRUE),1,8)</f>
        <v/>
      </c>
      <c r="AC86" s="9">
        <f>INDEX(LINEST(L27:L86,M27:T86,TRUE,TRUE),1,7)</f>
        <v/>
      </c>
      <c r="AD86" s="9">
        <f>INDEX(LINEST(L27:L86,M27:T86,TRUE,TRUE),1,6)</f>
        <v/>
      </c>
      <c r="AE86" s="9">
        <f>INDEX(LINEST(L27:L86,M27:T86,TRUE,TRUE),1,5)</f>
        <v/>
      </c>
      <c r="AF86" s="9">
        <f>INDEX(LINEST(L27:L86,M27:T86,TRUE,TRUE),1,4)</f>
        <v/>
      </c>
      <c r="AG86" s="9">
        <f>INDEX(LINEST(L27:L86,M27:T86,TRUE,TRUE),1,3)</f>
        <v/>
      </c>
      <c r="AH86" s="9">
        <f>INDEX(LINEST(L27:L86,M27:T86,TRUE,TRUE),1,2)</f>
        <v/>
      </c>
      <c r="AI86" s="9">
        <f>INDEX(LINEST(L27:L86,M27:T86,TRUE,TRUE),1,1)</f>
        <v/>
      </c>
      <c r="AJ86" s="10">
        <f>INDEX(LINEST(L27:L86,M27:T86,TRUE,TRUE),3,1)</f>
        <v/>
      </c>
      <c r="AK86" s="9">
        <f>AA85/12+AB85*M86+AC85*N86+AD85*O86+AE85*P86+AF85*Q86+AG85*R86+AH85*S86+AI85*T86</f>
        <v/>
      </c>
      <c r="AL86" s="9">
        <f>AVERAGE(L26:L85)</f>
        <v/>
      </c>
    </row>
    <row r="87">
      <c r="A87" s="7" t="n">
        <v>40209</v>
      </c>
      <c r="B87" s="8" t="n">
        <v>1078.5</v>
      </c>
      <c r="C87" s="8" t="n">
        <v>2.33</v>
      </c>
      <c r="D87" s="8" t="n">
        <v>1.3</v>
      </c>
      <c r="E87" s="8" t="n">
        <v>79.459999</v>
      </c>
      <c r="F87" s="8" t="n">
        <v>72.84999999999999</v>
      </c>
      <c r="G87" s="8" t="n">
        <v>24.62</v>
      </c>
      <c r="H87" s="8" t="n">
        <v>86.300003</v>
      </c>
      <c r="I87" s="8" t="n">
        <v>1073.869995</v>
      </c>
      <c r="J87" s="8" t="n">
        <v>66.037689</v>
      </c>
      <c r="L87" s="9">
        <f>LN(B87/B86)</f>
        <v/>
      </c>
      <c r="M87" s="9">
        <f>$M$1*(C87-C86)</f>
        <v/>
      </c>
      <c r="N87" s="9">
        <f>$N$1*(D87-D86)</f>
        <v/>
      </c>
      <c r="O87" s="9">
        <f>$O$1*LN(E87/E86)</f>
        <v/>
      </c>
      <c r="P87" s="9">
        <f>$P$1*LN(F87/F86)</f>
        <v/>
      </c>
      <c r="Q87" s="9">
        <f>$Q$1*(G87-G86)</f>
        <v/>
      </c>
      <c r="R87" s="9">
        <f>$R$1*(H87-H86)</f>
        <v/>
      </c>
      <c r="S87" s="9">
        <f>$S$1*LN(I87/I86)</f>
        <v/>
      </c>
      <c r="T87" s="9">
        <f>$T$1*LN(J87/J86)</f>
        <v/>
      </c>
      <c r="U87" s="9">
        <f>$W$12+$W$4*M87+$W$5*N87+$W$6*O87+$W$7*P87+$W$8*Q87+$W$9*R87+$W$10*S87+$W$11*T87</f>
        <v/>
      </c>
      <c r="AA87" s="10">
        <f>INDEX(LINEST(L28:L87,M28:T87,TRUE,TRUE),1,9)*12</f>
        <v/>
      </c>
      <c r="AB87" s="9">
        <f>INDEX(LINEST(L28:L87,M28:T87,TRUE,TRUE),1,8)</f>
        <v/>
      </c>
      <c r="AC87" s="9">
        <f>INDEX(LINEST(L28:L87,M28:T87,TRUE,TRUE),1,7)</f>
        <v/>
      </c>
      <c r="AD87" s="9">
        <f>INDEX(LINEST(L28:L87,M28:T87,TRUE,TRUE),1,6)</f>
        <v/>
      </c>
      <c r="AE87" s="9">
        <f>INDEX(LINEST(L28:L87,M28:T87,TRUE,TRUE),1,5)</f>
        <v/>
      </c>
      <c r="AF87" s="9">
        <f>INDEX(LINEST(L28:L87,M28:T87,TRUE,TRUE),1,4)</f>
        <v/>
      </c>
      <c r="AG87" s="9">
        <f>INDEX(LINEST(L28:L87,M28:T87,TRUE,TRUE),1,3)</f>
        <v/>
      </c>
      <c r="AH87" s="9">
        <f>INDEX(LINEST(L28:L87,M28:T87,TRUE,TRUE),1,2)</f>
        <v/>
      </c>
      <c r="AI87" s="9">
        <f>INDEX(LINEST(L28:L87,M28:T87,TRUE,TRUE),1,1)</f>
        <v/>
      </c>
      <c r="AJ87" s="10">
        <f>INDEX(LINEST(L28:L87,M28:T87,TRUE,TRUE),3,1)</f>
        <v/>
      </c>
      <c r="AK87" s="9">
        <f>AA86/12+AB86*M87+AC86*N87+AD86*O87+AE86*P87+AF86*Q87+AG86*R87+AH86*S87+AI86*T87</f>
        <v/>
      </c>
      <c r="AL87" s="9">
        <f>AVERAGE(L27:L86)</f>
        <v/>
      </c>
    </row>
    <row r="88">
      <c r="A88" s="7" t="n">
        <v>40237</v>
      </c>
      <c r="B88" s="8" t="n">
        <v>1108.25</v>
      </c>
      <c r="C88" s="8" t="n">
        <v>2.13</v>
      </c>
      <c r="D88" s="8" t="n">
        <v>1.48</v>
      </c>
      <c r="E88" s="8" t="n">
        <v>80.360001</v>
      </c>
      <c r="F88" s="8" t="n">
        <v>79.72</v>
      </c>
      <c r="G88" s="8" t="n">
        <v>19.5</v>
      </c>
      <c r="H88" s="8" t="n">
        <v>81.199997</v>
      </c>
      <c r="I88" s="8" t="n">
        <v>1104.48999</v>
      </c>
      <c r="J88" s="8" t="n">
        <v>66.16873200000001</v>
      </c>
      <c r="L88" s="9">
        <f>LN(B88/B87)</f>
        <v/>
      </c>
      <c r="M88" s="9">
        <f>$M$1*(C88-C87)</f>
        <v/>
      </c>
      <c r="N88" s="9">
        <f>$N$1*(D88-D87)</f>
        <v/>
      </c>
      <c r="O88" s="9">
        <f>$O$1*LN(E88/E87)</f>
        <v/>
      </c>
      <c r="P88" s="9">
        <f>$P$1*LN(F88/F87)</f>
        <v/>
      </c>
      <c r="Q88" s="9">
        <f>$Q$1*(G88-G87)</f>
        <v/>
      </c>
      <c r="R88" s="9">
        <f>$R$1*(H88-H87)</f>
        <v/>
      </c>
      <c r="S88" s="9">
        <f>$S$1*LN(I88/I87)</f>
        <v/>
      </c>
      <c r="T88" s="9">
        <f>$T$1*LN(J88/J87)</f>
        <v/>
      </c>
      <c r="U88" s="9">
        <f>$W$12+$W$4*M88+$W$5*N88+$W$6*O88+$W$7*P88+$W$8*Q88+$W$9*R88+$W$10*S88+$W$11*T88</f>
        <v/>
      </c>
      <c r="AA88" s="10">
        <f>INDEX(LINEST(L29:L88,M29:T88,TRUE,TRUE),1,9)*12</f>
        <v/>
      </c>
      <c r="AB88" s="9">
        <f>INDEX(LINEST(L29:L88,M29:T88,TRUE,TRUE),1,8)</f>
        <v/>
      </c>
      <c r="AC88" s="9">
        <f>INDEX(LINEST(L29:L88,M29:T88,TRUE,TRUE),1,7)</f>
        <v/>
      </c>
      <c r="AD88" s="9">
        <f>INDEX(LINEST(L29:L88,M29:T88,TRUE,TRUE),1,6)</f>
        <v/>
      </c>
      <c r="AE88" s="9">
        <f>INDEX(LINEST(L29:L88,M29:T88,TRUE,TRUE),1,5)</f>
        <v/>
      </c>
      <c r="AF88" s="9">
        <f>INDEX(LINEST(L29:L88,M29:T88,TRUE,TRUE),1,4)</f>
        <v/>
      </c>
      <c r="AG88" s="9">
        <f>INDEX(LINEST(L29:L88,M29:T88,TRUE,TRUE),1,3)</f>
        <v/>
      </c>
      <c r="AH88" s="9">
        <f>INDEX(LINEST(L29:L88,M29:T88,TRUE,TRUE),1,2)</f>
        <v/>
      </c>
      <c r="AI88" s="9">
        <f>INDEX(LINEST(L29:L88,M29:T88,TRUE,TRUE),1,1)</f>
        <v/>
      </c>
      <c r="AJ88" s="10">
        <f>INDEX(LINEST(L29:L88,M29:T88,TRUE,TRUE),3,1)</f>
        <v/>
      </c>
      <c r="AK88" s="9">
        <f>AA87/12+AB87*M88+AC87*N88+AD87*O88+AE87*P88+AF87*Q88+AG87*R88+AH87*S88+AI87*T88</f>
        <v/>
      </c>
      <c r="AL88" s="9">
        <f>AVERAGE(L28:L87)</f>
        <v/>
      </c>
    </row>
    <row r="89">
      <c r="A89" s="7" t="n">
        <v>40268</v>
      </c>
      <c r="B89" s="8" t="n">
        <v>1115.5</v>
      </c>
      <c r="C89" s="8" t="n">
        <v>2.24</v>
      </c>
      <c r="D89" s="8" t="n">
        <v>1.6</v>
      </c>
      <c r="E89" s="8" t="n">
        <v>81.06999999999999</v>
      </c>
      <c r="F89" s="8" t="n">
        <v>83.45</v>
      </c>
      <c r="G89" s="8" t="n">
        <v>17.59</v>
      </c>
      <c r="H89" s="8" t="n">
        <v>85.300003</v>
      </c>
      <c r="I89" s="8" t="n">
        <v>1169.430054</v>
      </c>
      <c r="J89" s="8" t="n">
        <v>66.16429100000001</v>
      </c>
      <c r="L89" s="9">
        <f>LN(B89/B88)</f>
        <v/>
      </c>
      <c r="M89" s="9">
        <f>$M$1*(C89-C88)</f>
        <v/>
      </c>
      <c r="N89" s="9">
        <f>$N$1*(D89-D88)</f>
        <v/>
      </c>
      <c r="O89" s="9">
        <f>$O$1*LN(E89/E88)</f>
        <v/>
      </c>
      <c r="P89" s="9">
        <f>$P$1*LN(F89/F88)</f>
        <v/>
      </c>
      <c r="Q89" s="9">
        <f>$Q$1*(G89-G88)</f>
        <v/>
      </c>
      <c r="R89" s="9">
        <f>$R$1*(H89-H88)</f>
        <v/>
      </c>
      <c r="S89" s="9">
        <f>$S$1*LN(I89/I88)</f>
        <v/>
      </c>
      <c r="T89" s="9">
        <f>$T$1*LN(J89/J88)</f>
        <v/>
      </c>
      <c r="U89" s="9">
        <f>$W$12+$W$4*M89+$W$5*N89+$W$6*O89+$W$7*P89+$W$8*Q89+$W$9*R89+$W$10*S89+$W$11*T89</f>
        <v/>
      </c>
      <c r="AA89" s="10">
        <f>INDEX(LINEST(L30:L89,M30:T89,TRUE,TRUE),1,9)*12</f>
        <v/>
      </c>
      <c r="AB89" s="9">
        <f>INDEX(LINEST(L30:L89,M30:T89,TRUE,TRUE),1,8)</f>
        <v/>
      </c>
      <c r="AC89" s="9">
        <f>INDEX(LINEST(L30:L89,M30:T89,TRUE,TRUE),1,7)</f>
        <v/>
      </c>
      <c r="AD89" s="9">
        <f>INDEX(LINEST(L30:L89,M30:T89,TRUE,TRUE),1,6)</f>
        <v/>
      </c>
      <c r="AE89" s="9">
        <f>INDEX(LINEST(L30:L89,M30:T89,TRUE,TRUE),1,5)</f>
        <v/>
      </c>
      <c r="AF89" s="9">
        <f>INDEX(LINEST(L30:L89,M30:T89,TRUE,TRUE),1,4)</f>
        <v/>
      </c>
      <c r="AG89" s="9">
        <f>INDEX(LINEST(L30:L89,M30:T89,TRUE,TRUE),1,3)</f>
        <v/>
      </c>
      <c r="AH89" s="9">
        <f>INDEX(LINEST(L30:L89,M30:T89,TRUE,TRUE),1,2)</f>
        <v/>
      </c>
      <c r="AI89" s="9">
        <f>INDEX(LINEST(L30:L89,M30:T89,TRUE,TRUE),1,1)</f>
        <v/>
      </c>
      <c r="AJ89" s="10">
        <f>INDEX(LINEST(L30:L89,M30:T89,TRUE,TRUE),3,1)</f>
        <v/>
      </c>
      <c r="AK89" s="9">
        <f>AA88/12+AB88*M89+AC88*N89+AD88*O89+AE88*P89+AF88*Q89+AG88*R89+AH88*S89+AI88*T89</f>
        <v/>
      </c>
      <c r="AL89" s="9">
        <f>AVERAGE(L29:L88)</f>
        <v/>
      </c>
    </row>
    <row r="90">
      <c r="A90" s="7" t="n">
        <v>40298</v>
      </c>
      <c r="B90" s="8" t="n">
        <v>1179.25</v>
      </c>
      <c r="C90" s="8" t="n">
        <v>2.4</v>
      </c>
      <c r="D90" s="8" t="n">
        <v>1.29</v>
      </c>
      <c r="E90" s="8" t="n">
        <v>81.870003</v>
      </c>
      <c r="F90" s="8" t="n">
        <v>86.06999999999999</v>
      </c>
      <c r="G90" s="8" t="n">
        <v>22.05</v>
      </c>
      <c r="H90" s="8" t="n">
        <v>85.5</v>
      </c>
      <c r="I90" s="8" t="n">
        <v>1186.689941</v>
      </c>
      <c r="J90" s="8" t="n">
        <v>66.808228</v>
      </c>
      <c r="L90" s="9">
        <f>LN(B90/B89)</f>
        <v/>
      </c>
      <c r="M90" s="9">
        <f>$M$1*(C90-C89)</f>
        <v/>
      </c>
      <c r="N90" s="9">
        <f>$N$1*(D90-D89)</f>
        <v/>
      </c>
      <c r="O90" s="9">
        <f>$O$1*LN(E90/E89)</f>
        <v/>
      </c>
      <c r="P90" s="9">
        <f>$P$1*LN(F90/F89)</f>
        <v/>
      </c>
      <c r="Q90" s="9">
        <f>$Q$1*(G90-G89)</f>
        <v/>
      </c>
      <c r="R90" s="9">
        <f>$R$1*(H90-H89)</f>
        <v/>
      </c>
      <c r="S90" s="9">
        <f>$S$1*LN(I90/I89)</f>
        <v/>
      </c>
      <c r="T90" s="9">
        <f>$T$1*LN(J90/J89)</f>
        <v/>
      </c>
      <c r="U90" s="9">
        <f>$W$12+$W$4*M90+$W$5*N90+$W$6*O90+$W$7*P90+$W$8*Q90+$W$9*R90+$W$10*S90+$W$11*T90</f>
        <v/>
      </c>
      <c r="AA90" s="10">
        <f>INDEX(LINEST(L31:L90,M31:T90,TRUE,TRUE),1,9)*12</f>
        <v/>
      </c>
      <c r="AB90" s="9">
        <f>INDEX(LINEST(L31:L90,M31:T90,TRUE,TRUE),1,8)</f>
        <v/>
      </c>
      <c r="AC90" s="9">
        <f>INDEX(LINEST(L31:L90,M31:T90,TRUE,TRUE),1,7)</f>
        <v/>
      </c>
      <c r="AD90" s="9">
        <f>INDEX(LINEST(L31:L90,M31:T90,TRUE,TRUE),1,6)</f>
        <v/>
      </c>
      <c r="AE90" s="9">
        <f>INDEX(LINEST(L31:L90,M31:T90,TRUE,TRUE),1,5)</f>
        <v/>
      </c>
      <c r="AF90" s="9">
        <f>INDEX(LINEST(L31:L90,M31:T90,TRUE,TRUE),1,4)</f>
        <v/>
      </c>
      <c r="AG90" s="9">
        <f>INDEX(LINEST(L31:L90,M31:T90,TRUE,TRUE),1,3)</f>
        <v/>
      </c>
      <c r="AH90" s="9">
        <f>INDEX(LINEST(L31:L90,M31:T90,TRUE,TRUE),1,2)</f>
        <v/>
      </c>
      <c r="AI90" s="9">
        <f>INDEX(LINEST(L31:L90,M31:T90,TRUE,TRUE),1,1)</f>
        <v/>
      </c>
      <c r="AJ90" s="10">
        <f>INDEX(LINEST(L31:L90,M31:T90,TRUE,TRUE),3,1)</f>
        <v/>
      </c>
      <c r="AK90" s="9">
        <f>AA89/12+AB89*M90+AC89*N90+AD89*O90+AE89*P90+AF89*Q90+AG89*R90+AH89*S90+AI89*T90</f>
        <v/>
      </c>
      <c r="AL90" s="9">
        <f>AVERAGE(L30:L89)</f>
        <v/>
      </c>
    </row>
    <row r="91">
      <c r="A91" s="7" t="n">
        <v>40329</v>
      </c>
      <c r="B91" s="8" t="n">
        <v>1207.5</v>
      </c>
      <c r="C91" s="8" t="n">
        <v>1.99</v>
      </c>
      <c r="D91" s="8" t="n">
        <v>1.32</v>
      </c>
      <c r="E91" s="8" t="n">
        <v>86.480003</v>
      </c>
      <c r="F91" s="8" t="n">
        <v>74</v>
      </c>
      <c r="G91" s="8" t="n">
        <v>32.07</v>
      </c>
      <c r="H91" s="8" t="n">
        <v>112.099998</v>
      </c>
      <c r="I91" s="8" t="n">
        <v>1089.410034</v>
      </c>
      <c r="J91" s="8" t="n">
        <v>67.531387</v>
      </c>
      <c r="L91" s="9">
        <f>LN(B91/B90)</f>
        <v/>
      </c>
      <c r="M91" s="9">
        <f>$M$1*(C91-C90)</f>
        <v/>
      </c>
      <c r="N91" s="9">
        <f>$N$1*(D91-D90)</f>
        <v/>
      </c>
      <c r="O91" s="9">
        <f>$O$1*LN(E91/E90)</f>
        <v/>
      </c>
      <c r="P91" s="9">
        <f>$P$1*LN(F91/F90)</f>
        <v/>
      </c>
      <c r="Q91" s="9">
        <f>$Q$1*(G91-G90)</f>
        <v/>
      </c>
      <c r="R91" s="9">
        <f>$R$1*(H91-H90)</f>
        <v/>
      </c>
      <c r="S91" s="9">
        <f>$S$1*LN(I91/I90)</f>
        <v/>
      </c>
      <c r="T91" s="9">
        <f>$T$1*LN(J91/J90)</f>
        <v/>
      </c>
      <c r="U91" s="9">
        <f>$W$12+$W$4*M91+$W$5*N91+$W$6*O91+$W$7*P91+$W$8*Q91+$W$9*R91+$W$10*S91+$W$11*T91</f>
        <v/>
      </c>
      <c r="AA91" s="10">
        <f>INDEX(LINEST(L32:L91,M32:T91,TRUE,TRUE),1,9)*12</f>
        <v/>
      </c>
      <c r="AB91" s="9">
        <f>INDEX(LINEST(L32:L91,M32:T91,TRUE,TRUE),1,8)</f>
        <v/>
      </c>
      <c r="AC91" s="9">
        <f>INDEX(LINEST(L32:L91,M32:T91,TRUE,TRUE),1,7)</f>
        <v/>
      </c>
      <c r="AD91" s="9">
        <f>INDEX(LINEST(L32:L91,M32:T91,TRUE,TRUE),1,6)</f>
        <v/>
      </c>
      <c r="AE91" s="9">
        <f>INDEX(LINEST(L32:L91,M32:T91,TRUE,TRUE),1,5)</f>
        <v/>
      </c>
      <c r="AF91" s="9">
        <f>INDEX(LINEST(L32:L91,M32:T91,TRUE,TRUE),1,4)</f>
        <v/>
      </c>
      <c r="AG91" s="9">
        <f>INDEX(LINEST(L32:L91,M32:T91,TRUE,TRUE),1,3)</f>
        <v/>
      </c>
      <c r="AH91" s="9">
        <f>INDEX(LINEST(L32:L91,M32:T91,TRUE,TRUE),1,2)</f>
        <v/>
      </c>
      <c r="AI91" s="9">
        <f>INDEX(LINEST(L32:L91,M32:T91,TRUE,TRUE),1,1)</f>
        <v/>
      </c>
      <c r="AJ91" s="10">
        <f>INDEX(LINEST(L32:L91,M32:T91,TRUE,TRUE),3,1)</f>
        <v/>
      </c>
      <c r="AK91" s="9">
        <f>AA90/12+AB90*M91+AC90*N91+AD90*O91+AE90*P91+AF90*Q91+AG90*R91+AH90*S91+AI90*T91</f>
        <v/>
      </c>
      <c r="AL91" s="9">
        <f>AVERAGE(L31:L90)</f>
        <v/>
      </c>
    </row>
    <row r="92">
      <c r="A92" s="7" t="n">
        <v>40359</v>
      </c>
      <c r="B92" s="8" t="n">
        <v>1244</v>
      </c>
      <c r="C92" s="8" t="n">
        <v>1.82</v>
      </c>
      <c r="D92" s="8" t="n">
        <v>1.15</v>
      </c>
      <c r="E92" s="8" t="n">
        <v>86.019997</v>
      </c>
      <c r="F92" s="8" t="n">
        <v>75.59</v>
      </c>
      <c r="G92" s="8" t="n">
        <v>34.54</v>
      </c>
      <c r="H92" s="8" t="n">
        <v>89.699997</v>
      </c>
      <c r="I92" s="8" t="n">
        <v>1030.709961</v>
      </c>
      <c r="J92" s="8" t="n">
        <v>68.72580000000001</v>
      </c>
      <c r="L92" s="9">
        <f>LN(B92/B91)</f>
        <v/>
      </c>
      <c r="M92" s="9">
        <f>$M$1*(C92-C91)</f>
        <v/>
      </c>
      <c r="N92" s="9">
        <f>$N$1*(D92-D91)</f>
        <v/>
      </c>
      <c r="O92" s="9">
        <f>$O$1*LN(E92/E91)</f>
        <v/>
      </c>
      <c r="P92" s="9">
        <f>$P$1*LN(F92/F91)</f>
        <v/>
      </c>
      <c r="Q92" s="9">
        <f>$Q$1*(G92-G91)</f>
        <v/>
      </c>
      <c r="R92" s="9">
        <f>$R$1*(H92-H91)</f>
        <v/>
      </c>
      <c r="S92" s="9">
        <f>$S$1*LN(I92/I91)</f>
        <v/>
      </c>
      <c r="T92" s="9">
        <f>$T$1*LN(J92/J91)</f>
        <v/>
      </c>
      <c r="U92" s="9">
        <f>$W$12+$W$4*M92+$W$5*N92+$W$6*O92+$W$7*P92+$W$8*Q92+$W$9*R92+$W$10*S92+$W$11*T92</f>
        <v/>
      </c>
      <c r="AA92" s="10">
        <f>INDEX(LINEST(L33:L92,M33:T92,TRUE,TRUE),1,9)*12</f>
        <v/>
      </c>
      <c r="AB92" s="9">
        <f>INDEX(LINEST(L33:L92,M33:T92,TRUE,TRUE),1,8)</f>
        <v/>
      </c>
      <c r="AC92" s="9">
        <f>INDEX(LINEST(L33:L92,M33:T92,TRUE,TRUE),1,7)</f>
        <v/>
      </c>
      <c r="AD92" s="9">
        <f>INDEX(LINEST(L33:L92,M33:T92,TRUE,TRUE),1,6)</f>
        <v/>
      </c>
      <c r="AE92" s="9">
        <f>INDEX(LINEST(L33:L92,M33:T92,TRUE,TRUE),1,5)</f>
        <v/>
      </c>
      <c r="AF92" s="9">
        <f>INDEX(LINEST(L33:L92,M33:T92,TRUE,TRUE),1,4)</f>
        <v/>
      </c>
      <c r="AG92" s="9">
        <f>INDEX(LINEST(L33:L92,M33:T92,TRUE,TRUE),1,3)</f>
        <v/>
      </c>
      <c r="AH92" s="9">
        <f>INDEX(LINEST(L33:L92,M33:T92,TRUE,TRUE),1,2)</f>
        <v/>
      </c>
      <c r="AI92" s="9">
        <f>INDEX(LINEST(L33:L92,M33:T92,TRUE,TRUE),1,1)</f>
        <v/>
      </c>
      <c r="AJ92" s="10">
        <f>INDEX(LINEST(L33:L92,M33:T92,TRUE,TRUE),3,1)</f>
        <v/>
      </c>
      <c r="AK92" s="9">
        <f>AA91/12+AB91*M92+AC91*N92+AD91*O92+AE91*P92+AF91*Q92+AG91*R92+AH91*S92+AI91*T92</f>
        <v/>
      </c>
      <c r="AL92" s="9">
        <f>AVERAGE(L32:L91)</f>
        <v/>
      </c>
    </row>
    <row r="93">
      <c r="A93" s="7" t="n">
        <v>40390</v>
      </c>
      <c r="B93" s="8" t="n">
        <v>1169</v>
      </c>
      <c r="C93" s="8" t="n">
        <v>1.8</v>
      </c>
      <c r="D93" s="8" t="n">
        <v>1.14</v>
      </c>
      <c r="E93" s="8" t="n">
        <v>81.540001</v>
      </c>
      <c r="F93" s="8" t="n">
        <v>78.84999999999999</v>
      </c>
      <c r="G93" s="8" t="n">
        <v>23.5</v>
      </c>
      <c r="H93" s="8" t="n">
        <v>78.199997</v>
      </c>
      <c r="I93" s="8" t="n">
        <v>1101.599976</v>
      </c>
      <c r="J93" s="8" t="n">
        <v>69.313248</v>
      </c>
      <c r="L93" s="9">
        <f>LN(B93/B92)</f>
        <v/>
      </c>
      <c r="M93" s="9">
        <f>$M$1*(C93-C92)</f>
        <v/>
      </c>
      <c r="N93" s="9">
        <f>$N$1*(D93-D92)</f>
        <v/>
      </c>
      <c r="O93" s="9">
        <f>$O$1*LN(E93/E92)</f>
        <v/>
      </c>
      <c r="P93" s="9">
        <f>$P$1*LN(F93/F92)</f>
        <v/>
      </c>
      <c r="Q93" s="9">
        <f>$Q$1*(G93-G92)</f>
        <v/>
      </c>
      <c r="R93" s="9">
        <f>$R$1*(H93-H92)</f>
        <v/>
      </c>
      <c r="S93" s="9">
        <f>$S$1*LN(I93/I92)</f>
        <v/>
      </c>
      <c r="T93" s="9">
        <f>$T$1*LN(J93/J92)</f>
        <v/>
      </c>
      <c r="U93" s="9">
        <f>$W$12+$W$4*M93+$W$5*N93+$W$6*O93+$W$7*P93+$W$8*Q93+$W$9*R93+$W$10*S93+$W$11*T93</f>
        <v/>
      </c>
      <c r="AA93" s="10">
        <f>INDEX(LINEST(L34:L93,M34:T93,TRUE,TRUE),1,9)*12</f>
        <v/>
      </c>
      <c r="AB93" s="9">
        <f>INDEX(LINEST(L34:L93,M34:T93,TRUE,TRUE),1,8)</f>
        <v/>
      </c>
      <c r="AC93" s="9">
        <f>INDEX(LINEST(L34:L93,M34:T93,TRUE,TRUE),1,7)</f>
        <v/>
      </c>
      <c r="AD93" s="9">
        <f>INDEX(LINEST(L34:L93,M34:T93,TRUE,TRUE),1,6)</f>
        <v/>
      </c>
      <c r="AE93" s="9">
        <f>INDEX(LINEST(L34:L93,M34:T93,TRUE,TRUE),1,5)</f>
        <v/>
      </c>
      <c r="AF93" s="9">
        <f>INDEX(LINEST(L34:L93,M34:T93,TRUE,TRUE),1,4)</f>
        <v/>
      </c>
      <c r="AG93" s="9">
        <f>INDEX(LINEST(L34:L93,M34:T93,TRUE,TRUE),1,3)</f>
        <v/>
      </c>
      <c r="AH93" s="9">
        <f>INDEX(LINEST(L34:L93,M34:T93,TRUE,TRUE),1,2)</f>
        <v/>
      </c>
      <c r="AI93" s="9">
        <f>INDEX(LINEST(L34:L93,M34:T93,TRUE,TRUE),1,1)</f>
        <v/>
      </c>
      <c r="AJ93" s="10">
        <f>INDEX(LINEST(L34:L93,M34:T93,TRUE,TRUE),3,1)</f>
        <v/>
      </c>
      <c r="AK93" s="9">
        <f>AA92/12+AB92*M93+AC92*N93+AD92*O93+AE92*P93+AF92*Q93+AG92*R93+AH92*S93+AI92*T93</f>
        <v/>
      </c>
      <c r="AL93" s="9">
        <f>AVERAGE(L33:L92)</f>
        <v/>
      </c>
    </row>
    <row r="94">
      <c r="A94" s="7" t="n">
        <v>40421</v>
      </c>
      <c r="B94" s="8" t="n">
        <v>1246</v>
      </c>
      <c r="C94" s="8" t="n">
        <v>1.52</v>
      </c>
      <c r="D94" s="8" t="n">
        <v>0.95</v>
      </c>
      <c r="E94" s="8" t="n">
        <v>83.199997</v>
      </c>
      <c r="F94" s="8" t="n">
        <v>71.93000000000001</v>
      </c>
      <c r="G94" s="8" t="n">
        <v>26.05</v>
      </c>
      <c r="H94" s="8" t="n">
        <v>103.699997</v>
      </c>
      <c r="I94" s="8" t="n">
        <v>1049.329956</v>
      </c>
      <c r="J94" s="8" t="n">
        <v>70.205139</v>
      </c>
      <c r="L94" s="9">
        <f>LN(B94/B93)</f>
        <v/>
      </c>
      <c r="M94" s="9">
        <f>$M$1*(C94-C93)</f>
        <v/>
      </c>
      <c r="N94" s="9">
        <f>$N$1*(D94-D93)</f>
        <v/>
      </c>
      <c r="O94" s="9">
        <f>$O$1*LN(E94/E93)</f>
        <v/>
      </c>
      <c r="P94" s="9">
        <f>$P$1*LN(F94/F93)</f>
        <v/>
      </c>
      <c r="Q94" s="9">
        <f>$Q$1*(G94-G93)</f>
        <v/>
      </c>
      <c r="R94" s="9">
        <f>$R$1*(H94-H93)</f>
        <v/>
      </c>
      <c r="S94" s="9">
        <f>$S$1*LN(I94/I93)</f>
        <v/>
      </c>
      <c r="T94" s="9">
        <f>$T$1*LN(J94/J93)</f>
        <v/>
      </c>
      <c r="U94" s="9">
        <f>$W$12+$W$4*M94+$W$5*N94+$W$6*O94+$W$7*P94+$W$8*Q94+$W$9*R94+$W$10*S94+$W$11*T94</f>
        <v/>
      </c>
      <c r="AA94" s="10">
        <f>INDEX(LINEST(L35:L94,M35:T94,TRUE,TRUE),1,9)*12</f>
        <v/>
      </c>
      <c r="AB94" s="9">
        <f>INDEX(LINEST(L35:L94,M35:T94,TRUE,TRUE),1,8)</f>
        <v/>
      </c>
      <c r="AC94" s="9">
        <f>INDEX(LINEST(L35:L94,M35:T94,TRUE,TRUE),1,7)</f>
        <v/>
      </c>
      <c r="AD94" s="9">
        <f>INDEX(LINEST(L35:L94,M35:T94,TRUE,TRUE),1,6)</f>
        <v/>
      </c>
      <c r="AE94" s="9">
        <f>INDEX(LINEST(L35:L94,M35:T94,TRUE,TRUE),1,5)</f>
        <v/>
      </c>
      <c r="AF94" s="9">
        <f>INDEX(LINEST(L35:L94,M35:T94,TRUE,TRUE),1,4)</f>
        <v/>
      </c>
      <c r="AG94" s="9">
        <f>INDEX(LINEST(L35:L94,M35:T94,TRUE,TRUE),1,3)</f>
        <v/>
      </c>
      <c r="AH94" s="9">
        <f>INDEX(LINEST(L35:L94,M35:T94,TRUE,TRUE),1,2)</f>
        <v/>
      </c>
      <c r="AI94" s="9">
        <f>INDEX(LINEST(L35:L94,M35:T94,TRUE,TRUE),1,1)</f>
        <v/>
      </c>
      <c r="AJ94" s="10">
        <f>INDEX(LINEST(L35:L94,M35:T94,TRUE,TRUE),3,1)</f>
        <v/>
      </c>
      <c r="AK94" s="9">
        <f>AA93/12+AB93*M94+AC93*N94+AD93*O94+AE93*P94+AF93*Q94+AG93*R94+AH93*S94+AI93*T94</f>
        <v/>
      </c>
      <c r="AL94" s="9">
        <f>AVERAGE(L34:L93)</f>
        <v/>
      </c>
    </row>
    <row r="95">
      <c r="A95" s="7" t="n">
        <v>40451</v>
      </c>
      <c r="B95" s="8" t="n">
        <v>1307</v>
      </c>
      <c r="C95" s="8" t="n">
        <v>1.78</v>
      </c>
      <c r="D95" s="8" t="n">
        <v>0.75</v>
      </c>
      <c r="E95" s="8" t="n">
        <v>78.720001</v>
      </c>
      <c r="F95" s="8" t="n">
        <v>79.95</v>
      </c>
      <c r="G95" s="8" t="n">
        <v>23.7</v>
      </c>
      <c r="H95" s="8" t="n">
        <v>85.099998</v>
      </c>
      <c r="I95" s="8" t="n">
        <v>1141.199951</v>
      </c>
      <c r="J95" s="8" t="n">
        <v>70.21032</v>
      </c>
      <c r="L95" s="9">
        <f>LN(B95/B94)</f>
        <v/>
      </c>
      <c r="M95" s="9">
        <f>$M$1*(C95-C94)</f>
        <v/>
      </c>
      <c r="N95" s="9">
        <f>$N$1*(D95-D94)</f>
        <v/>
      </c>
      <c r="O95" s="9">
        <f>$O$1*LN(E95/E94)</f>
        <v/>
      </c>
      <c r="P95" s="9">
        <f>$P$1*LN(F95/F94)</f>
        <v/>
      </c>
      <c r="Q95" s="9">
        <f>$Q$1*(G95-G94)</f>
        <v/>
      </c>
      <c r="R95" s="9">
        <f>$R$1*(H95-H94)</f>
        <v/>
      </c>
      <c r="S95" s="9">
        <f>$S$1*LN(I95/I94)</f>
        <v/>
      </c>
      <c r="T95" s="9">
        <f>$T$1*LN(J95/J94)</f>
        <v/>
      </c>
      <c r="U95" s="9">
        <f>$W$12+$W$4*M95+$W$5*N95+$W$6*O95+$W$7*P95+$W$8*Q95+$W$9*R95+$W$10*S95+$W$11*T95</f>
        <v/>
      </c>
      <c r="AA95" s="10">
        <f>INDEX(LINEST(L36:L95,M36:T95,TRUE,TRUE),1,9)*12</f>
        <v/>
      </c>
      <c r="AB95" s="9">
        <f>INDEX(LINEST(L36:L95,M36:T95,TRUE,TRUE),1,8)</f>
        <v/>
      </c>
      <c r="AC95" s="9">
        <f>INDEX(LINEST(L36:L95,M36:T95,TRUE,TRUE),1,7)</f>
        <v/>
      </c>
      <c r="AD95" s="9">
        <f>INDEX(LINEST(L36:L95,M36:T95,TRUE,TRUE),1,6)</f>
        <v/>
      </c>
      <c r="AE95" s="9">
        <f>INDEX(LINEST(L36:L95,M36:T95,TRUE,TRUE),1,5)</f>
        <v/>
      </c>
      <c r="AF95" s="9">
        <f>INDEX(LINEST(L36:L95,M36:T95,TRUE,TRUE),1,4)</f>
        <v/>
      </c>
      <c r="AG95" s="9">
        <f>INDEX(LINEST(L36:L95,M36:T95,TRUE,TRUE),1,3)</f>
        <v/>
      </c>
      <c r="AH95" s="9">
        <f>INDEX(LINEST(L36:L95,M36:T95,TRUE,TRUE),1,2)</f>
        <v/>
      </c>
      <c r="AI95" s="9">
        <f>INDEX(LINEST(L36:L95,M36:T95,TRUE,TRUE),1,1)</f>
        <v/>
      </c>
      <c r="AJ95" s="10">
        <f>INDEX(LINEST(L36:L95,M36:T95,TRUE,TRUE),3,1)</f>
        <v/>
      </c>
      <c r="AK95" s="9">
        <f>AA94/12+AB94*M95+AC94*N95+AD94*O95+AE94*P95+AF94*Q95+AG94*R95+AH94*S95+AI94*T95</f>
        <v/>
      </c>
      <c r="AL95" s="9">
        <f>AVERAGE(L35:L94)</f>
        <v/>
      </c>
    </row>
    <row r="96">
      <c r="A96" s="7" t="n">
        <v>40482</v>
      </c>
      <c r="B96" s="8" t="n">
        <v>1346.75</v>
      </c>
      <c r="C96" s="8" t="n">
        <v>2.13</v>
      </c>
      <c r="D96" s="8" t="n">
        <v>0.5</v>
      </c>
      <c r="E96" s="8" t="n">
        <v>77.269997</v>
      </c>
      <c r="F96" s="8" t="n">
        <v>81.45</v>
      </c>
      <c r="G96" s="8" t="n">
        <v>21.2</v>
      </c>
      <c r="H96" s="8" t="n">
        <v>99.800003</v>
      </c>
      <c r="I96" s="8" t="n">
        <v>1183.26001</v>
      </c>
      <c r="J96" s="8" t="n">
        <v>70.31719200000001</v>
      </c>
      <c r="L96" s="9">
        <f>LN(B96/B95)</f>
        <v/>
      </c>
      <c r="M96" s="9">
        <f>$M$1*(C96-C95)</f>
        <v/>
      </c>
      <c r="N96" s="9">
        <f>$N$1*(D96-D95)</f>
        <v/>
      </c>
      <c r="O96" s="9">
        <f>$O$1*LN(E96/E95)</f>
        <v/>
      </c>
      <c r="P96" s="9">
        <f>$P$1*LN(F96/F95)</f>
        <v/>
      </c>
      <c r="Q96" s="9">
        <f>$Q$1*(G96-G95)</f>
        <v/>
      </c>
      <c r="R96" s="9">
        <f>$R$1*(H96-H95)</f>
        <v/>
      </c>
      <c r="S96" s="9">
        <f>$S$1*LN(I96/I95)</f>
        <v/>
      </c>
      <c r="T96" s="9">
        <f>$T$1*LN(J96/J95)</f>
        <v/>
      </c>
      <c r="U96" s="9">
        <f>$W$12+$W$4*M96+$W$5*N96+$W$6*O96+$W$7*P96+$W$8*Q96+$W$9*R96+$W$10*S96+$W$11*T96</f>
        <v/>
      </c>
      <c r="AA96" s="10">
        <f>INDEX(LINEST(L37:L96,M37:T96,TRUE,TRUE),1,9)*12</f>
        <v/>
      </c>
      <c r="AB96" s="9">
        <f>INDEX(LINEST(L37:L96,M37:T96,TRUE,TRUE),1,8)</f>
        <v/>
      </c>
      <c r="AC96" s="9">
        <f>INDEX(LINEST(L37:L96,M37:T96,TRUE,TRUE),1,7)</f>
        <v/>
      </c>
      <c r="AD96" s="9">
        <f>INDEX(LINEST(L37:L96,M37:T96,TRUE,TRUE),1,6)</f>
        <v/>
      </c>
      <c r="AE96" s="9">
        <f>INDEX(LINEST(L37:L96,M37:T96,TRUE,TRUE),1,5)</f>
        <v/>
      </c>
      <c r="AF96" s="9">
        <f>INDEX(LINEST(L37:L96,M37:T96,TRUE,TRUE),1,4)</f>
        <v/>
      </c>
      <c r="AG96" s="9">
        <f>INDEX(LINEST(L37:L96,M37:T96,TRUE,TRUE),1,3)</f>
        <v/>
      </c>
      <c r="AH96" s="9">
        <f>INDEX(LINEST(L37:L96,M37:T96,TRUE,TRUE),1,2)</f>
        <v/>
      </c>
      <c r="AI96" s="9">
        <f>INDEX(LINEST(L37:L96,M37:T96,TRUE,TRUE),1,1)</f>
        <v/>
      </c>
      <c r="AJ96" s="10">
        <f>INDEX(LINEST(L37:L96,M37:T96,TRUE,TRUE),3,1)</f>
        <v/>
      </c>
      <c r="AK96" s="9">
        <f>AA95/12+AB95*M96+AC95*N96+AD95*O96+AE95*P96+AF95*Q96+AG95*R96+AH95*S96+AI95*T96</f>
        <v/>
      </c>
      <c r="AL96" s="9">
        <f>AVERAGE(L36:L95)</f>
        <v/>
      </c>
    </row>
    <row r="97">
      <c r="A97" s="7" t="n">
        <v>40512</v>
      </c>
      <c r="B97" s="8" t="n">
        <v>1383.5</v>
      </c>
      <c r="C97" s="8" t="n">
        <v>2.07</v>
      </c>
      <c r="D97" s="8" t="n">
        <v>0.74</v>
      </c>
      <c r="E97" s="8" t="n">
        <v>81.199997</v>
      </c>
      <c r="F97" s="8" t="n">
        <v>84.12</v>
      </c>
      <c r="G97" s="8" t="n">
        <v>23.54</v>
      </c>
      <c r="H97" s="8" t="n">
        <v>101.900002</v>
      </c>
      <c r="I97" s="8" t="n">
        <v>1180.550049</v>
      </c>
      <c r="J97" s="8" t="n">
        <v>69.730064</v>
      </c>
      <c r="L97" s="9">
        <f>LN(B97/B96)</f>
        <v/>
      </c>
      <c r="M97" s="9">
        <f>$M$1*(C97-C96)</f>
        <v/>
      </c>
      <c r="N97" s="9">
        <f>$N$1*(D97-D96)</f>
        <v/>
      </c>
      <c r="O97" s="9">
        <f>$O$1*LN(E97/E96)</f>
        <v/>
      </c>
      <c r="P97" s="9">
        <f>$P$1*LN(F97/F96)</f>
        <v/>
      </c>
      <c r="Q97" s="9">
        <f>$Q$1*(G97-G96)</f>
        <v/>
      </c>
      <c r="R97" s="9">
        <f>$R$1*(H97-H96)</f>
        <v/>
      </c>
      <c r="S97" s="9">
        <f>$S$1*LN(I97/I96)</f>
        <v/>
      </c>
      <c r="T97" s="9">
        <f>$T$1*LN(J97/J96)</f>
        <v/>
      </c>
      <c r="U97" s="9">
        <f>$W$12+$W$4*M97+$W$5*N97+$W$6*O97+$W$7*P97+$W$8*Q97+$W$9*R97+$W$10*S97+$W$11*T97</f>
        <v/>
      </c>
      <c r="AA97" s="10">
        <f>INDEX(LINEST(L38:L97,M38:T97,TRUE,TRUE),1,9)*12</f>
        <v/>
      </c>
      <c r="AB97" s="9">
        <f>INDEX(LINEST(L38:L97,M38:T97,TRUE,TRUE),1,8)</f>
        <v/>
      </c>
      <c r="AC97" s="9">
        <f>INDEX(LINEST(L38:L97,M38:T97,TRUE,TRUE),1,7)</f>
        <v/>
      </c>
      <c r="AD97" s="9">
        <f>INDEX(LINEST(L38:L97,M38:T97,TRUE,TRUE),1,6)</f>
        <v/>
      </c>
      <c r="AE97" s="9">
        <f>INDEX(LINEST(L38:L97,M38:T97,TRUE,TRUE),1,5)</f>
        <v/>
      </c>
      <c r="AF97" s="9">
        <f>INDEX(LINEST(L38:L97,M38:T97,TRUE,TRUE),1,4)</f>
        <v/>
      </c>
      <c r="AG97" s="9">
        <f>INDEX(LINEST(L38:L97,M38:T97,TRUE,TRUE),1,3)</f>
        <v/>
      </c>
      <c r="AH97" s="9">
        <f>INDEX(LINEST(L38:L97,M38:T97,TRUE,TRUE),1,2)</f>
        <v/>
      </c>
      <c r="AI97" s="9">
        <f>INDEX(LINEST(L38:L97,M38:T97,TRUE,TRUE),1,1)</f>
        <v/>
      </c>
      <c r="AJ97" s="10">
        <f>INDEX(LINEST(L38:L97,M38:T97,TRUE,TRUE),3,1)</f>
        <v/>
      </c>
      <c r="AK97" s="9">
        <f>AA96/12+AB96*M97+AC96*N97+AD96*O97+AE96*P97+AF96*Q97+AG96*R97+AH96*S97+AI96*T97</f>
        <v/>
      </c>
      <c r="AL97" s="9">
        <f>AVERAGE(L37:L96)</f>
        <v/>
      </c>
    </row>
    <row r="98">
      <c r="A98" s="7" t="n">
        <v>40543</v>
      </c>
      <c r="B98" s="8" t="n">
        <v>1405.5</v>
      </c>
      <c r="C98" s="8" t="n">
        <v>2.3</v>
      </c>
      <c r="D98" s="8" t="n">
        <v>1</v>
      </c>
      <c r="E98" s="8" t="n">
        <v>79.029999</v>
      </c>
      <c r="F98" s="8" t="n">
        <v>91.38</v>
      </c>
      <c r="G98" s="8" t="n">
        <v>17.75</v>
      </c>
      <c r="H98" s="8" t="n">
        <v>110.400002</v>
      </c>
      <c r="I98" s="8" t="n">
        <v>1257.640015</v>
      </c>
      <c r="J98" s="8" t="n">
        <v>69.259125</v>
      </c>
      <c r="L98" s="9">
        <f>LN(B98/B97)</f>
        <v/>
      </c>
      <c r="M98" s="9">
        <f>$M$1*(C98-C97)</f>
        <v/>
      </c>
      <c r="N98" s="9">
        <f>$N$1*(D98-D97)</f>
        <v/>
      </c>
      <c r="O98" s="9">
        <f>$O$1*LN(E98/E97)</f>
        <v/>
      </c>
      <c r="P98" s="9">
        <f>$P$1*LN(F98/F97)</f>
        <v/>
      </c>
      <c r="Q98" s="9">
        <f>$Q$1*(G98-G97)</f>
        <v/>
      </c>
      <c r="R98" s="9">
        <f>$R$1*(H98-H97)</f>
        <v/>
      </c>
      <c r="S98" s="9">
        <f>$S$1*LN(I98/I97)</f>
        <v/>
      </c>
      <c r="T98" s="9">
        <f>$T$1*LN(J98/J97)</f>
        <v/>
      </c>
      <c r="U98" s="9">
        <f>$W$12+$W$4*M98+$W$5*N98+$W$6*O98+$W$7*P98+$W$8*Q98+$W$9*R98+$W$10*S98+$W$11*T98</f>
        <v/>
      </c>
      <c r="AA98" s="10">
        <f>INDEX(LINEST(L39:L98,M39:T98,TRUE,TRUE),1,9)*12</f>
        <v/>
      </c>
      <c r="AB98" s="9">
        <f>INDEX(LINEST(L39:L98,M39:T98,TRUE,TRUE),1,8)</f>
        <v/>
      </c>
      <c r="AC98" s="9">
        <f>INDEX(LINEST(L39:L98,M39:T98,TRUE,TRUE),1,7)</f>
        <v/>
      </c>
      <c r="AD98" s="9">
        <f>INDEX(LINEST(L39:L98,M39:T98,TRUE,TRUE),1,6)</f>
        <v/>
      </c>
      <c r="AE98" s="9">
        <f>INDEX(LINEST(L39:L98,M39:T98,TRUE,TRUE),1,5)</f>
        <v/>
      </c>
      <c r="AF98" s="9">
        <f>INDEX(LINEST(L39:L98,M39:T98,TRUE,TRUE),1,4)</f>
        <v/>
      </c>
      <c r="AG98" s="9">
        <f>INDEX(LINEST(L39:L98,M39:T98,TRUE,TRUE),1,3)</f>
        <v/>
      </c>
      <c r="AH98" s="9">
        <f>INDEX(LINEST(L39:L98,M39:T98,TRUE,TRUE),1,2)</f>
        <v/>
      </c>
      <c r="AI98" s="9">
        <f>INDEX(LINEST(L39:L98,M39:T98,TRUE,TRUE),1,1)</f>
        <v/>
      </c>
      <c r="AJ98" s="10">
        <f>INDEX(LINEST(L39:L98,M39:T98,TRUE,TRUE),3,1)</f>
        <v/>
      </c>
      <c r="AK98" s="9">
        <f>AA97/12+AB97*M98+AC97*N98+AD97*O98+AE97*P98+AF97*Q98+AG97*R98+AH97*S98+AI97*T98</f>
        <v/>
      </c>
      <c r="AL98" s="9">
        <f>AVERAGE(L38:L97)</f>
        <v/>
      </c>
    </row>
    <row r="99">
      <c r="A99" s="7" t="n">
        <v>40574</v>
      </c>
      <c r="B99" s="8" t="n">
        <v>1327</v>
      </c>
      <c r="C99" s="8" t="n">
        <v>2.34</v>
      </c>
      <c r="D99" s="8" t="n">
        <v>1.08</v>
      </c>
      <c r="E99" s="8" t="n">
        <v>77.739998</v>
      </c>
      <c r="F99" s="8" t="n">
        <v>90.98999999999999</v>
      </c>
      <c r="G99" s="8" t="n">
        <v>19.53</v>
      </c>
      <c r="H99" s="8" t="n">
        <v>96.199997</v>
      </c>
      <c r="I99" s="8" t="n">
        <v>1286.119995</v>
      </c>
      <c r="J99" s="8" t="n">
        <v>69.200142</v>
      </c>
      <c r="L99" s="9">
        <f>LN(B99/B98)</f>
        <v/>
      </c>
      <c r="M99" s="9">
        <f>$M$1*(C99-C98)</f>
        <v/>
      </c>
      <c r="N99" s="9">
        <f>$N$1*(D99-D98)</f>
        <v/>
      </c>
      <c r="O99" s="9">
        <f>$O$1*LN(E99/E98)</f>
        <v/>
      </c>
      <c r="P99" s="9">
        <f>$P$1*LN(F99/F98)</f>
        <v/>
      </c>
      <c r="Q99" s="9">
        <f>$Q$1*(G99-G98)</f>
        <v/>
      </c>
      <c r="R99" s="9">
        <f>$R$1*(H99-H98)</f>
        <v/>
      </c>
      <c r="S99" s="9">
        <f>$S$1*LN(I99/I98)</f>
        <v/>
      </c>
      <c r="T99" s="9">
        <f>$T$1*LN(J99/J98)</f>
        <v/>
      </c>
      <c r="U99" s="9">
        <f>$W$12+$W$4*M99+$W$5*N99+$W$6*O99+$W$7*P99+$W$8*Q99+$W$9*R99+$W$10*S99+$W$11*T99</f>
        <v/>
      </c>
      <c r="AA99" s="10">
        <f>INDEX(LINEST(L40:L99,M40:T99,TRUE,TRUE),1,9)*12</f>
        <v/>
      </c>
      <c r="AB99" s="9">
        <f>INDEX(LINEST(L40:L99,M40:T99,TRUE,TRUE),1,8)</f>
        <v/>
      </c>
      <c r="AC99" s="9">
        <f>INDEX(LINEST(L40:L99,M40:T99,TRUE,TRUE),1,7)</f>
        <v/>
      </c>
      <c r="AD99" s="9">
        <f>INDEX(LINEST(L40:L99,M40:T99,TRUE,TRUE),1,6)</f>
        <v/>
      </c>
      <c r="AE99" s="9">
        <f>INDEX(LINEST(L40:L99,M40:T99,TRUE,TRUE),1,5)</f>
        <v/>
      </c>
      <c r="AF99" s="9">
        <f>INDEX(LINEST(L40:L99,M40:T99,TRUE,TRUE),1,4)</f>
        <v/>
      </c>
      <c r="AG99" s="9">
        <f>INDEX(LINEST(L40:L99,M40:T99,TRUE,TRUE),1,3)</f>
        <v/>
      </c>
      <c r="AH99" s="9">
        <f>INDEX(LINEST(L40:L99,M40:T99,TRUE,TRUE),1,2)</f>
        <v/>
      </c>
      <c r="AI99" s="9">
        <f>INDEX(LINEST(L40:L99,M40:T99,TRUE,TRUE),1,1)</f>
        <v/>
      </c>
      <c r="AJ99" s="10">
        <f>INDEX(LINEST(L40:L99,M40:T99,TRUE,TRUE),3,1)</f>
        <v/>
      </c>
      <c r="AK99" s="9">
        <f>AA98/12+AB98*M99+AC98*N99+AD98*O99+AE98*P99+AF98*Q99+AG98*R99+AH98*S99+AI98*T99</f>
        <v/>
      </c>
      <c r="AL99" s="9">
        <f>AVERAGE(L39:L98)</f>
        <v/>
      </c>
    </row>
    <row r="100">
      <c r="A100" s="7" t="n">
        <v>40602</v>
      </c>
      <c r="B100" s="8" t="n">
        <v>1411</v>
      </c>
      <c r="C100" s="8" t="n">
        <v>2.39</v>
      </c>
      <c r="D100" s="8" t="n">
        <v>1.03</v>
      </c>
      <c r="E100" s="8" t="n">
        <v>76.889999</v>
      </c>
      <c r="F100" s="8" t="n">
        <v>97.09999999999999</v>
      </c>
      <c r="G100" s="8" t="n">
        <v>18.35</v>
      </c>
      <c r="H100" s="8" t="n">
        <v>90.5</v>
      </c>
      <c r="I100" s="8" t="n">
        <v>1327.219971</v>
      </c>
      <c r="J100" s="8" t="n">
        <v>69.401161</v>
      </c>
      <c r="L100" s="9">
        <f>LN(B100/B99)</f>
        <v/>
      </c>
      <c r="M100" s="9">
        <f>$M$1*(C100-C99)</f>
        <v/>
      </c>
      <c r="N100" s="9">
        <f>$N$1*(D100-D99)</f>
        <v/>
      </c>
      <c r="O100" s="9">
        <f>$O$1*LN(E100/E99)</f>
        <v/>
      </c>
      <c r="P100" s="9">
        <f>$P$1*LN(F100/F99)</f>
        <v/>
      </c>
      <c r="Q100" s="9">
        <f>$Q$1*(G100-G99)</f>
        <v/>
      </c>
      <c r="R100" s="9">
        <f>$R$1*(H100-H99)</f>
        <v/>
      </c>
      <c r="S100" s="9">
        <f>$S$1*LN(I100/I99)</f>
        <v/>
      </c>
      <c r="T100" s="9">
        <f>$T$1*LN(J100/J99)</f>
        <v/>
      </c>
      <c r="U100" s="9">
        <f>$W$12+$W$4*M100+$W$5*N100+$W$6*O100+$W$7*P100+$W$8*Q100+$W$9*R100+$W$10*S100+$W$11*T100</f>
        <v/>
      </c>
      <c r="AA100" s="10">
        <f>INDEX(LINEST(L41:L100,M41:T100,TRUE,TRUE),1,9)*12</f>
        <v/>
      </c>
      <c r="AB100" s="9">
        <f>INDEX(LINEST(L41:L100,M41:T100,TRUE,TRUE),1,8)</f>
        <v/>
      </c>
      <c r="AC100" s="9">
        <f>INDEX(LINEST(L41:L100,M41:T100,TRUE,TRUE),1,7)</f>
        <v/>
      </c>
      <c r="AD100" s="9">
        <f>INDEX(LINEST(L41:L100,M41:T100,TRUE,TRUE),1,6)</f>
        <v/>
      </c>
      <c r="AE100" s="9">
        <f>INDEX(LINEST(L41:L100,M41:T100,TRUE,TRUE),1,5)</f>
        <v/>
      </c>
      <c r="AF100" s="9">
        <f>INDEX(LINEST(L41:L100,M41:T100,TRUE,TRUE),1,4)</f>
        <v/>
      </c>
      <c r="AG100" s="9">
        <f>INDEX(LINEST(L41:L100,M41:T100,TRUE,TRUE),1,3)</f>
        <v/>
      </c>
      <c r="AH100" s="9">
        <f>INDEX(LINEST(L41:L100,M41:T100,TRUE,TRUE),1,2)</f>
        <v/>
      </c>
      <c r="AI100" s="9">
        <f>INDEX(LINEST(L41:L100,M41:T100,TRUE,TRUE),1,1)</f>
        <v/>
      </c>
      <c r="AJ100" s="10">
        <f>INDEX(LINEST(L41:L100,M41:T100,TRUE,TRUE),3,1)</f>
        <v/>
      </c>
      <c r="AK100" s="9">
        <f>AA99/12+AB99*M100+AC99*N100+AD99*O100+AE99*P100+AF99*Q100+AG99*R100+AH99*S100+AI99*T100</f>
        <v/>
      </c>
      <c r="AL100" s="9">
        <f>AVERAGE(L40:L99)</f>
        <v/>
      </c>
    </row>
    <row r="101">
      <c r="A101" s="7" t="n">
        <v>40633</v>
      </c>
      <c r="B101" s="8" t="n">
        <v>1439</v>
      </c>
      <c r="C101" s="8" t="n">
        <v>2.48</v>
      </c>
      <c r="D101" s="8" t="n">
        <v>0.99</v>
      </c>
      <c r="E101" s="8" t="n">
        <v>75.860001</v>
      </c>
      <c r="F101" s="8" t="n">
        <v>106.19</v>
      </c>
      <c r="G101" s="8" t="n">
        <v>17.74</v>
      </c>
      <c r="H101" s="8" t="n">
        <v>90.900002</v>
      </c>
      <c r="I101" s="8" t="n">
        <v>1325.829956</v>
      </c>
      <c r="J101" s="8" t="n">
        <v>69.246391</v>
      </c>
      <c r="L101" s="9">
        <f>LN(B101/B100)</f>
        <v/>
      </c>
      <c r="M101" s="9">
        <f>$M$1*(C101-C100)</f>
        <v/>
      </c>
      <c r="N101" s="9">
        <f>$N$1*(D101-D100)</f>
        <v/>
      </c>
      <c r="O101" s="9">
        <f>$O$1*LN(E101/E100)</f>
        <v/>
      </c>
      <c r="P101" s="9">
        <f>$P$1*LN(F101/F100)</f>
        <v/>
      </c>
      <c r="Q101" s="9">
        <f>$Q$1*(G101-G100)</f>
        <v/>
      </c>
      <c r="R101" s="9">
        <f>$R$1*(H101-H100)</f>
        <v/>
      </c>
      <c r="S101" s="9">
        <f>$S$1*LN(I101/I100)</f>
        <v/>
      </c>
      <c r="T101" s="9">
        <f>$T$1*LN(J101/J100)</f>
        <v/>
      </c>
      <c r="U101" s="9">
        <f>$W$12+$W$4*M101+$W$5*N101+$W$6*O101+$W$7*P101+$W$8*Q101+$W$9*R101+$W$10*S101+$W$11*T101</f>
        <v/>
      </c>
      <c r="AA101" s="10">
        <f>INDEX(LINEST(L42:L101,M42:T101,TRUE,TRUE),1,9)*12</f>
        <v/>
      </c>
      <c r="AB101" s="9">
        <f>INDEX(LINEST(L42:L101,M42:T101,TRUE,TRUE),1,8)</f>
        <v/>
      </c>
      <c r="AC101" s="9">
        <f>INDEX(LINEST(L42:L101,M42:T101,TRUE,TRUE),1,7)</f>
        <v/>
      </c>
      <c r="AD101" s="9">
        <f>INDEX(LINEST(L42:L101,M42:T101,TRUE,TRUE),1,6)</f>
        <v/>
      </c>
      <c r="AE101" s="9">
        <f>INDEX(LINEST(L42:L101,M42:T101,TRUE,TRUE),1,5)</f>
        <v/>
      </c>
      <c r="AF101" s="9">
        <f>INDEX(LINEST(L42:L101,M42:T101,TRUE,TRUE),1,4)</f>
        <v/>
      </c>
      <c r="AG101" s="9">
        <f>INDEX(LINEST(L42:L101,M42:T101,TRUE,TRUE),1,3)</f>
        <v/>
      </c>
      <c r="AH101" s="9">
        <f>INDEX(LINEST(L42:L101,M42:T101,TRUE,TRUE),1,2)</f>
        <v/>
      </c>
      <c r="AI101" s="9">
        <f>INDEX(LINEST(L42:L101,M42:T101,TRUE,TRUE),1,1)</f>
        <v/>
      </c>
      <c r="AJ101" s="10">
        <f>INDEX(LINEST(L42:L101,M42:T101,TRUE,TRUE),3,1)</f>
        <v/>
      </c>
      <c r="AK101" s="9">
        <f>AA100/12+AB100*M101+AC100*N101+AD100*O101+AE100*P101+AF100*Q101+AG100*R101+AH100*S101+AI100*T101</f>
        <v/>
      </c>
      <c r="AL101" s="9">
        <f>AVERAGE(L41:L100)</f>
        <v/>
      </c>
    </row>
    <row r="102">
      <c r="A102" s="7" t="n">
        <v>40663</v>
      </c>
      <c r="B102" s="8" t="n">
        <v>1535.5</v>
      </c>
      <c r="C102" s="8" t="n">
        <v>2.57</v>
      </c>
      <c r="D102" s="8" t="n">
        <v>0.75</v>
      </c>
      <c r="E102" s="8" t="n">
        <v>72.93000000000001</v>
      </c>
      <c r="F102" s="8" t="n">
        <v>113.39</v>
      </c>
      <c r="G102" s="8" t="n">
        <v>14.75</v>
      </c>
      <c r="H102" s="8" t="n">
        <v>76.800003</v>
      </c>
      <c r="I102" s="8" t="n">
        <v>1363.609985</v>
      </c>
      <c r="J102" s="8" t="n">
        <v>70.33182499999999</v>
      </c>
      <c r="L102" s="9">
        <f>LN(B102/B101)</f>
        <v/>
      </c>
      <c r="M102" s="9">
        <f>$M$1*(C102-C101)</f>
        <v/>
      </c>
      <c r="N102" s="9">
        <f>$N$1*(D102-D101)</f>
        <v/>
      </c>
      <c r="O102" s="9">
        <f>$O$1*LN(E102/E101)</f>
        <v/>
      </c>
      <c r="P102" s="9">
        <f>$P$1*LN(F102/F101)</f>
        <v/>
      </c>
      <c r="Q102" s="9">
        <f>$Q$1*(G102-G101)</f>
        <v/>
      </c>
      <c r="R102" s="9">
        <f>$R$1*(H102-H101)</f>
        <v/>
      </c>
      <c r="S102" s="9">
        <f>$S$1*LN(I102/I101)</f>
        <v/>
      </c>
      <c r="T102" s="9">
        <f>$T$1*LN(J102/J101)</f>
        <v/>
      </c>
      <c r="U102" s="9">
        <f>$W$12+$W$4*M102+$W$5*N102+$W$6*O102+$W$7*P102+$W$8*Q102+$W$9*R102+$W$10*S102+$W$11*T102</f>
        <v/>
      </c>
      <c r="AA102" s="10">
        <f>INDEX(LINEST(L43:L102,M43:T102,TRUE,TRUE),1,9)*12</f>
        <v/>
      </c>
      <c r="AB102" s="9">
        <f>INDEX(LINEST(L43:L102,M43:T102,TRUE,TRUE),1,8)</f>
        <v/>
      </c>
      <c r="AC102" s="9">
        <f>INDEX(LINEST(L43:L102,M43:T102,TRUE,TRUE),1,7)</f>
        <v/>
      </c>
      <c r="AD102" s="9">
        <f>INDEX(LINEST(L43:L102,M43:T102,TRUE,TRUE),1,6)</f>
        <v/>
      </c>
      <c r="AE102" s="9">
        <f>INDEX(LINEST(L43:L102,M43:T102,TRUE,TRUE),1,5)</f>
        <v/>
      </c>
      <c r="AF102" s="9">
        <f>INDEX(LINEST(L43:L102,M43:T102,TRUE,TRUE),1,4)</f>
        <v/>
      </c>
      <c r="AG102" s="9">
        <f>INDEX(LINEST(L43:L102,M43:T102,TRUE,TRUE),1,3)</f>
        <v/>
      </c>
      <c r="AH102" s="9">
        <f>INDEX(LINEST(L43:L102,M43:T102,TRUE,TRUE),1,2)</f>
        <v/>
      </c>
      <c r="AI102" s="9">
        <f>INDEX(LINEST(L43:L102,M43:T102,TRUE,TRUE),1,1)</f>
        <v/>
      </c>
      <c r="AJ102" s="10">
        <f>INDEX(LINEST(L43:L102,M43:T102,TRUE,TRUE),3,1)</f>
        <v/>
      </c>
      <c r="AK102" s="9">
        <f>AA101/12+AB101*M102+AC101*N102+AD101*O102+AE101*P102+AF101*Q102+AG101*R102+AH101*S102+AI101*T102</f>
        <v/>
      </c>
      <c r="AL102" s="9">
        <f>AVERAGE(L42:L101)</f>
        <v/>
      </c>
    </row>
    <row r="103">
      <c r="A103" s="7" t="n">
        <v>40694</v>
      </c>
      <c r="B103" s="8" t="n">
        <v>1536.5</v>
      </c>
      <c r="C103" s="8" t="n">
        <v>2.25</v>
      </c>
      <c r="D103" s="8" t="n">
        <v>0.8</v>
      </c>
      <c r="E103" s="8" t="n">
        <v>74.639999</v>
      </c>
      <c r="F103" s="8" t="n">
        <v>102.7</v>
      </c>
      <c r="G103" s="8" t="n">
        <v>15.45</v>
      </c>
      <c r="H103" s="8" t="n">
        <v>71.5</v>
      </c>
      <c r="I103" s="8" t="n">
        <v>1345.199951</v>
      </c>
      <c r="J103" s="8" t="n">
        <v>71.20380400000001</v>
      </c>
      <c r="L103" s="9">
        <f>LN(B103/B102)</f>
        <v/>
      </c>
      <c r="M103" s="9">
        <f>$M$1*(C103-C102)</f>
        <v/>
      </c>
      <c r="N103" s="9">
        <f>$N$1*(D103-D102)</f>
        <v/>
      </c>
      <c r="O103" s="9">
        <f>$O$1*LN(E103/E102)</f>
        <v/>
      </c>
      <c r="P103" s="9">
        <f>$P$1*LN(F103/F102)</f>
        <v/>
      </c>
      <c r="Q103" s="9">
        <f>$Q$1*(G103-G102)</f>
        <v/>
      </c>
      <c r="R103" s="9">
        <f>$R$1*(H103-H102)</f>
        <v/>
      </c>
      <c r="S103" s="9">
        <f>$S$1*LN(I103/I102)</f>
        <v/>
      </c>
      <c r="T103" s="9">
        <f>$T$1*LN(J103/J102)</f>
        <v/>
      </c>
      <c r="U103" s="9">
        <f>$W$12+$W$4*M103+$W$5*N103+$W$6*O103+$W$7*P103+$W$8*Q103+$W$9*R103+$W$10*S103+$W$11*T103</f>
        <v/>
      </c>
      <c r="AA103" s="10">
        <f>INDEX(LINEST(L44:L103,M44:T103,TRUE,TRUE),1,9)*12</f>
        <v/>
      </c>
      <c r="AB103" s="9">
        <f>INDEX(LINEST(L44:L103,M44:T103,TRUE,TRUE),1,8)</f>
        <v/>
      </c>
      <c r="AC103" s="9">
        <f>INDEX(LINEST(L44:L103,M44:T103,TRUE,TRUE),1,7)</f>
        <v/>
      </c>
      <c r="AD103" s="9">
        <f>INDEX(LINEST(L44:L103,M44:T103,TRUE,TRUE),1,6)</f>
        <v/>
      </c>
      <c r="AE103" s="9">
        <f>INDEX(LINEST(L44:L103,M44:T103,TRUE,TRUE),1,5)</f>
        <v/>
      </c>
      <c r="AF103" s="9">
        <f>INDEX(LINEST(L44:L103,M44:T103,TRUE,TRUE),1,4)</f>
        <v/>
      </c>
      <c r="AG103" s="9">
        <f>INDEX(LINEST(L44:L103,M44:T103,TRUE,TRUE),1,3)</f>
        <v/>
      </c>
      <c r="AH103" s="9">
        <f>INDEX(LINEST(L44:L103,M44:T103,TRUE,TRUE),1,2)</f>
        <v/>
      </c>
      <c r="AI103" s="9">
        <f>INDEX(LINEST(L44:L103,M44:T103,TRUE,TRUE),1,1)</f>
        <v/>
      </c>
      <c r="AJ103" s="10">
        <f>INDEX(LINEST(L44:L103,M44:T103,TRUE,TRUE),3,1)</f>
        <v/>
      </c>
      <c r="AK103" s="9">
        <f>AA102/12+AB102*M103+AC102*N103+AD102*O103+AE102*P103+AF102*Q103+AG102*R103+AH102*S103+AI102*T103</f>
        <v/>
      </c>
      <c r="AL103" s="9">
        <f>AVERAGE(L43:L102)</f>
        <v/>
      </c>
    </row>
    <row r="104">
      <c r="A104" s="7" t="n">
        <v>40724</v>
      </c>
      <c r="B104" s="8" t="n">
        <v>1505.5</v>
      </c>
      <c r="C104" s="8" t="n">
        <v>2.43</v>
      </c>
      <c r="D104" s="8" t="n">
        <v>0.75</v>
      </c>
      <c r="E104" s="8" t="n">
        <v>74.300003</v>
      </c>
      <c r="F104" s="8" t="n">
        <v>95.3</v>
      </c>
      <c r="G104" s="8" t="n">
        <v>16.52</v>
      </c>
      <c r="H104" s="8" t="n">
        <v>88.900002</v>
      </c>
      <c r="I104" s="8" t="n">
        <v>1320.640015</v>
      </c>
      <c r="J104" s="8" t="n">
        <v>70.88679500000001</v>
      </c>
      <c r="L104" s="9">
        <f>LN(B104/B103)</f>
        <v/>
      </c>
      <c r="M104" s="9">
        <f>$M$1*(C104-C103)</f>
        <v/>
      </c>
      <c r="N104" s="9">
        <f>$N$1*(D104-D103)</f>
        <v/>
      </c>
      <c r="O104" s="9">
        <f>$O$1*LN(E104/E103)</f>
        <v/>
      </c>
      <c r="P104" s="9">
        <f>$P$1*LN(F104/F103)</f>
        <v/>
      </c>
      <c r="Q104" s="9">
        <f>$Q$1*(G104-G103)</f>
        <v/>
      </c>
      <c r="R104" s="9">
        <f>$R$1*(H104-H103)</f>
        <v/>
      </c>
      <c r="S104" s="9">
        <f>$S$1*LN(I104/I103)</f>
        <v/>
      </c>
      <c r="T104" s="9">
        <f>$T$1*LN(J104/J103)</f>
        <v/>
      </c>
      <c r="U104" s="9">
        <f>$W$12+$W$4*M104+$W$5*N104+$W$6*O104+$W$7*P104+$W$8*Q104+$W$9*R104+$W$10*S104+$W$11*T104</f>
        <v/>
      </c>
      <c r="AA104" s="10">
        <f>INDEX(LINEST(L45:L104,M45:T104,TRUE,TRUE),1,9)*12</f>
        <v/>
      </c>
      <c r="AB104" s="9">
        <f>INDEX(LINEST(L45:L104,M45:T104,TRUE,TRUE),1,8)</f>
        <v/>
      </c>
      <c r="AC104" s="9">
        <f>INDEX(LINEST(L45:L104,M45:T104,TRUE,TRUE),1,7)</f>
        <v/>
      </c>
      <c r="AD104" s="9">
        <f>INDEX(LINEST(L45:L104,M45:T104,TRUE,TRUE),1,6)</f>
        <v/>
      </c>
      <c r="AE104" s="9">
        <f>INDEX(LINEST(L45:L104,M45:T104,TRUE,TRUE),1,5)</f>
        <v/>
      </c>
      <c r="AF104" s="9">
        <f>INDEX(LINEST(L45:L104,M45:T104,TRUE,TRUE),1,4)</f>
        <v/>
      </c>
      <c r="AG104" s="9">
        <f>INDEX(LINEST(L45:L104,M45:T104,TRUE,TRUE),1,3)</f>
        <v/>
      </c>
      <c r="AH104" s="9">
        <f>INDEX(LINEST(L45:L104,M45:T104,TRUE,TRUE),1,2)</f>
        <v/>
      </c>
      <c r="AI104" s="9">
        <f>INDEX(LINEST(L45:L104,M45:T104,TRUE,TRUE),1,1)</f>
        <v/>
      </c>
      <c r="AJ104" s="10">
        <f>INDEX(LINEST(L45:L104,M45:T104,TRUE,TRUE),3,1)</f>
        <v/>
      </c>
      <c r="AK104" s="9">
        <f>AA103/12+AB103*M104+AC103*N104+AD103*O104+AE103*P104+AF103*Q104+AG103*R104+AH103*S104+AI103*T104</f>
        <v/>
      </c>
      <c r="AL104" s="9">
        <f>AVERAGE(L44:L103)</f>
        <v/>
      </c>
    </row>
    <row r="105">
      <c r="A105" s="7" t="n">
        <v>40755</v>
      </c>
      <c r="B105" s="8" t="n">
        <v>1628.5</v>
      </c>
      <c r="C105" s="8" t="n">
        <v>2.44</v>
      </c>
      <c r="D105" s="8" t="n">
        <v>0.38</v>
      </c>
      <c r="E105" s="8" t="n">
        <v>73.900002</v>
      </c>
      <c r="F105" s="8" t="n">
        <v>95.68000000000001</v>
      </c>
      <c r="G105" s="8" t="n">
        <v>25.25</v>
      </c>
      <c r="H105" s="8" t="n">
        <v>88</v>
      </c>
      <c r="I105" s="8" t="n">
        <v>1292.280029</v>
      </c>
      <c r="J105" s="8" t="n">
        <v>72.08245100000001</v>
      </c>
      <c r="L105" s="9">
        <f>LN(B105/B104)</f>
        <v/>
      </c>
      <c r="M105" s="9">
        <f>$M$1*(C105-C104)</f>
        <v/>
      </c>
      <c r="N105" s="9">
        <f>$N$1*(D105-D104)</f>
        <v/>
      </c>
      <c r="O105" s="9">
        <f>$O$1*LN(E105/E104)</f>
        <v/>
      </c>
      <c r="P105" s="9">
        <f>$P$1*LN(F105/F104)</f>
        <v/>
      </c>
      <c r="Q105" s="9">
        <f>$Q$1*(G105-G104)</f>
        <v/>
      </c>
      <c r="R105" s="9">
        <f>$R$1*(H105-H104)</f>
        <v/>
      </c>
      <c r="S105" s="9">
        <f>$S$1*LN(I105/I104)</f>
        <v/>
      </c>
      <c r="T105" s="9">
        <f>$T$1*LN(J105/J104)</f>
        <v/>
      </c>
      <c r="U105" s="9">
        <f>$W$12+$W$4*M105+$W$5*N105+$W$6*O105+$W$7*P105+$W$8*Q105+$W$9*R105+$W$10*S105+$W$11*T105</f>
        <v/>
      </c>
      <c r="AA105" s="10">
        <f>INDEX(LINEST(L46:L105,M46:T105,TRUE,TRUE),1,9)*12</f>
        <v/>
      </c>
      <c r="AB105" s="9">
        <f>INDEX(LINEST(L46:L105,M46:T105,TRUE,TRUE),1,8)</f>
        <v/>
      </c>
      <c r="AC105" s="9">
        <f>INDEX(LINEST(L46:L105,M46:T105,TRUE,TRUE),1,7)</f>
        <v/>
      </c>
      <c r="AD105" s="9">
        <f>INDEX(LINEST(L46:L105,M46:T105,TRUE,TRUE),1,6)</f>
        <v/>
      </c>
      <c r="AE105" s="9">
        <f>INDEX(LINEST(L46:L105,M46:T105,TRUE,TRUE),1,5)</f>
        <v/>
      </c>
      <c r="AF105" s="9">
        <f>INDEX(LINEST(L46:L105,M46:T105,TRUE,TRUE),1,4)</f>
        <v/>
      </c>
      <c r="AG105" s="9">
        <f>INDEX(LINEST(L46:L105,M46:T105,TRUE,TRUE),1,3)</f>
        <v/>
      </c>
      <c r="AH105" s="9">
        <f>INDEX(LINEST(L46:L105,M46:T105,TRUE,TRUE),1,2)</f>
        <v/>
      </c>
      <c r="AI105" s="9">
        <f>INDEX(LINEST(L46:L105,M46:T105,TRUE,TRUE),1,1)</f>
        <v/>
      </c>
      <c r="AJ105" s="10">
        <f>INDEX(LINEST(L46:L105,M46:T105,TRUE,TRUE),3,1)</f>
        <v/>
      </c>
      <c r="AK105" s="9">
        <f>AA104/12+AB104*M105+AC104*N105+AD104*O105+AE104*P105+AF104*Q105+AG104*R105+AH104*S105+AI104*T105</f>
        <v/>
      </c>
      <c r="AL105" s="9">
        <f>AVERAGE(L45:L104)</f>
        <v/>
      </c>
    </row>
    <row r="106">
      <c r="A106" s="7" t="n">
        <v>40786</v>
      </c>
      <c r="B106" s="8" t="n">
        <v>1813.5</v>
      </c>
      <c r="C106" s="8" t="n">
        <v>2.05</v>
      </c>
      <c r="D106" s="8" t="n">
        <v>0.18</v>
      </c>
      <c r="E106" s="8" t="n">
        <v>74.129997</v>
      </c>
      <c r="F106" s="8" t="n">
        <v>88.81</v>
      </c>
      <c r="G106" s="8" t="n">
        <v>31.62</v>
      </c>
      <c r="H106" s="8" t="n">
        <v>97.900002</v>
      </c>
      <c r="I106" s="8" t="n">
        <v>1218.890015</v>
      </c>
      <c r="J106" s="8" t="n">
        <v>73.17845199999999</v>
      </c>
      <c r="L106" s="9">
        <f>LN(B106/B105)</f>
        <v/>
      </c>
      <c r="M106" s="9">
        <f>$M$1*(C106-C105)</f>
        <v/>
      </c>
      <c r="N106" s="9">
        <f>$N$1*(D106-D105)</f>
        <v/>
      </c>
      <c r="O106" s="9">
        <f>$O$1*LN(E106/E105)</f>
        <v/>
      </c>
      <c r="P106" s="9">
        <f>$P$1*LN(F106/F105)</f>
        <v/>
      </c>
      <c r="Q106" s="9">
        <f>$Q$1*(G106-G105)</f>
        <v/>
      </c>
      <c r="R106" s="9">
        <f>$R$1*(H106-H105)</f>
        <v/>
      </c>
      <c r="S106" s="9">
        <f>$S$1*LN(I106/I105)</f>
        <v/>
      </c>
      <c r="T106" s="9">
        <f>$T$1*LN(J106/J105)</f>
        <v/>
      </c>
      <c r="U106" s="9">
        <f>$W$12+$W$4*M106+$W$5*N106+$W$6*O106+$W$7*P106+$W$8*Q106+$W$9*R106+$W$10*S106+$W$11*T106</f>
        <v/>
      </c>
      <c r="AA106" s="10">
        <f>INDEX(LINEST(L47:L106,M47:T106,TRUE,TRUE),1,9)*12</f>
        <v/>
      </c>
      <c r="AB106" s="9">
        <f>INDEX(LINEST(L47:L106,M47:T106,TRUE,TRUE),1,8)</f>
        <v/>
      </c>
      <c r="AC106" s="9">
        <f>INDEX(LINEST(L47:L106,M47:T106,TRUE,TRUE),1,7)</f>
        <v/>
      </c>
      <c r="AD106" s="9">
        <f>INDEX(LINEST(L47:L106,M47:T106,TRUE,TRUE),1,6)</f>
        <v/>
      </c>
      <c r="AE106" s="9">
        <f>INDEX(LINEST(L47:L106,M47:T106,TRUE,TRUE),1,5)</f>
        <v/>
      </c>
      <c r="AF106" s="9">
        <f>INDEX(LINEST(L47:L106,M47:T106,TRUE,TRUE),1,4)</f>
        <v/>
      </c>
      <c r="AG106" s="9">
        <f>INDEX(LINEST(L47:L106,M47:T106,TRUE,TRUE),1,3)</f>
        <v/>
      </c>
      <c r="AH106" s="9">
        <f>INDEX(LINEST(L47:L106,M47:T106,TRUE,TRUE),1,2)</f>
        <v/>
      </c>
      <c r="AI106" s="9">
        <f>INDEX(LINEST(L47:L106,M47:T106,TRUE,TRUE),1,1)</f>
        <v/>
      </c>
      <c r="AJ106" s="10">
        <f>INDEX(LINEST(L47:L106,M47:T106,TRUE,TRUE),3,1)</f>
        <v/>
      </c>
      <c r="AK106" s="9">
        <f>AA105/12+AB105*M106+AC105*N106+AD105*O106+AE105*P106+AF105*Q106+AG105*R106+AH105*S106+AI105*T106</f>
        <v/>
      </c>
      <c r="AL106" s="9">
        <f>AVERAGE(L46:L105)</f>
        <v/>
      </c>
    </row>
    <row r="107">
      <c r="A107" s="7" t="n">
        <v>40816</v>
      </c>
      <c r="B107" s="8" t="n">
        <v>1620</v>
      </c>
      <c r="C107" s="8" t="n">
        <v>1.75</v>
      </c>
      <c r="D107" s="8" t="n">
        <v>0.17</v>
      </c>
      <c r="E107" s="8" t="n">
        <v>78.550003</v>
      </c>
      <c r="F107" s="8" t="n">
        <v>78.93000000000001</v>
      </c>
      <c r="G107" s="8" t="n">
        <v>42.96</v>
      </c>
      <c r="H107" s="8" t="n">
        <v>100.599998</v>
      </c>
      <c r="I107" s="8" t="n">
        <v>1131.420044</v>
      </c>
      <c r="J107" s="8" t="n">
        <v>73.742401</v>
      </c>
      <c r="L107" s="9">
        <f>LN(B107/B106)</f>
        <v/>
      </c>
      <c r="M107" s="9">
        <f>$M$1*(C107-C106)</f>
        <v/>
      </c>
      <c r="N107" s="9">
        <f>$N$1*(D107-D106)</f>
        <v/>
      </c>
      <c r="O107" s="9">
        <f>$O$1*LN(E107/E106)</f>
        <v/>
      </c>
      <c r="P107" s="9">
        <f>$P$1*LN(F107/F106)</f>
        <v/>
      </c>
      <c r="Q107" s="9">
        <f>$Q$1*(G107-G106)</f>
        <v/>
      </c>
      <c r="R107" s="9">
        <f>$R$1*(H107-H106)</f>
        <v/>
      </c>
      <c r="S107" s="9">
        <f>$S$1*LN(I107/I106)</f>
        <v/>
      </c>
      <c r="T107" s="9">
        <f>$T$1*LN(J107/J106)</f>
        <v/>
      </c>
      <c r="U107" s="9">
        <f>$W$12+$W$4*M107+$W$5*N107+$W$6*O107+$W$7*P107+$W$8*Q107+$W$9*R107+$W$10*S107+$W$11*T107</f>
        <v/>
      </c>
      <c r="AA107" s="10">
        <f>INDEX(LINEST(L48:L107,M48:T107,TRUE,TRUE),1,9)*12</f>
        <v/>
      </c>
      <c r="AB107" s="9">
        <f>INDEX(LINEST(L48:L107,M48:T107,TRUE,TRUE),1,8)</f>
        <v/>
      </c>
      <c r="AC107" s="9">
        <f>INDEX(LINEST(L48:L107,M48:T107,TRUE,TRUE),1,7)</f>
        <v/>
      </c>
      <c r="AD107" s="9">
        <f>INDEX(LINEST(L48:L107,M48:T107,TRUE,TRUE),1,6)</f>
        <v/>
      </c>
      <c r="AE107" s="9">
        <f>INDEX(LINEST(L48:L107,M48:T107,TRUE,TRUE),1,5)</f>
        <v/>
      </c>
      <c r="AF107" s="9">
        <f>INDEX(LINEST(L48:L107,M48:T107,TRUE,TRUE),1,4)</f>
        <v/>
      </c>
      <c r="AG107" s="9">
        <f>INDEX(LINEST(L48:L107,M48:T107,TRUE,TRUE),1,3)</f>
        <v/>
      </c>
      <c r="AH107" s="9">
        <f>INDEX(LINEST(L48:L107,M48:T107,TRUE,TRUE),1,2)</f>
        <v/>
      </c>
      <c r="AI107" s="9">
        <f>INDEX(LINEST(L48:L107,M48:T107,TRUE,TRUE),1,1)</f>
        <v/>
      </c>
      <c r="AJ107" s="10">
        <f>INDEX(LINEST(L48:L107,M48:T107,TRUE,TRUE),3,1)</f>
        <v/>
      </c>
      <c r="AK107" s="9">
        <f>AA106/12+AB106*M107+AC106*N107+AD106*O107+AE106*P107+AF106*Q107+AG106*R107+AH106*S107+AI106*T107</f>
        <v/>
      </c>
      <c r="AL107" s="9">
        <f>AVERAGE(L47:L106)</f>
        <v/>
      </c>
    </row>
    <row r="108">
      <c r="A108" s="7" t="n">
        <v>40847</v>
      </c>
      <c r="B108" s="8" t="n">
        <v>1722</v>
      </c>
      <c r="C108" s="8" t="n">
        <v>2.09</v>
      </c>
      <c r="D108" s="8" t="n">
        <v>0.08</v>
      </c>
      <c r="E108" s="8" t="n">
        <v>76.16999800000001</v>
      </c>
      <c r="F108" s="8" t="n">
        <v>93.19</v>
      </c>
      <c r="G108" s="8" t="n">
        <v>29.96</v>
      </c>
      <c r="H108" s="8" t="n">
        <v>107.199997</v>
      </c>
      <c r="I108" s="8" t="n">
        <v>1253.300049</v>
      </c>
      <c r="J108" s="8" t="n">
        <v>73.835617</v>
      </c>
      <c r="L108" s="9">
        <f>LN(B108/B107)</f>
        <v/>
      </c>
      <c r="M108" s="9">
        <f>$M$1*(C108-C107)</f>
        <v/>
      </c>
      <c r="N108" s="9">
        <f>$N$1*(D108-D107)</f>
        <v/>
      </c>
      <c r="O108" s="9">
        <f>$O$1*LN(E108/E107)</f>
        <v/>
      </c>
      <c r="P108" s="9">
        <f>$P$1*LN(F108/F107)</f>
        <v/>
      </c>
      <c r="Q108" s="9">
        <f>$Q$1*(G108-G107)</f>
        <v/>
      </c>
      <c r="R108" s="9">
        <f>$R$1*(H108-H107)</f>
        <v/>
      </c>
      <c r="S108" s="9">
        <f>$S$1*LN(I108/I107)</f>
        <v/>
      </c>
      <c r="T108" s="9">
        <f>$T$1*LN(J108/J107)</f>
        <v/>
      </c>
      <c r="U108" s="9">
        <f>$W$12+$W$4*M108+$W$5*N108+$W$6*O108+$W$7*P108+$W$8*Q108+$W$9*R108+$W$10*S108+$W$11*T108</f>
        <v/>
      </c>
      <c r="AA108" s="10">
        <f>INDEX(LINEST(L49:L108,M49:T108,TRUE,TRUE),1,9)*12</f>
        <v/>
      </c>
      <c r="AB108" s="9">
        <f>INDEX(LINEST(L49:L108,M49:T108,TRUE,TRUE),1,8)</f>
        <v/>
      </c>
      <c r="AC108" s="9">
        <f>INDEX(LINEST(L49:L108,M49:T108,TRUE,TRUE),1,7)</f>
        <v/>
      </c>
      <c r="AD108" s="9">
        <f>INDEX(LINEST(L49:L108,M49:T108,TRUE,TRUE),1,6)</f>
        <v/>
      </c>
      <c r="AE108" s="9">
        <f>INDEX(LINEST(L49:L108,M49:T108,TRUE,TRUE),1,5)</f>
        <v/>
      </c>
      <c r="AF108" s="9">
        <f>INDEX(LINEST(L49:L108,M49:T108,TRUE,TRUE),1,4)</f>
        <v/>
      </c>
      <c r="AG108" s="9">
        <f>INDEX(LINEST(L49:L108,M49:T108,TRUE,TRUE),1,3)</f>
        <v/>
      </c>
      <c r="AH108" s="9">
        <f>INDEX(LINEST(L49:L108,M49:T108,TRUE,TRUE),1,2)</f>
        <v/>
      </c>
      <c r="AI108" s="9">
        <f>INDEX(LINEST(L49:L108,M49:T108,TRUE,TRUE),1,1)</f>
        <v/>
      </c>
      <c r="AJ108" s="10">
        <f>INDEX(LINEST(L49:L108,M49:T108,TRUE,TRUE),3,1)</f>
        <v/>
      </c>
      <c r="AK108" s="9">
        <f>AA107/12+AB107*M108+AC107*N108+AD107*O108+AE107*P108+AF107*Q108+AG107*R108+AH107*S108+AI107*T108</f>
        <v/>
      </c>
      <c r="AL108" s="9">
        <f>AVERAGE(L48:L107)</f>
        <v/>
      </c>
    </row>
    <row r="109">
      <c r="A109" s="7" t="n">
        <v>40877</v>
      </c>
      <c r="B109" s="8" t="n">
        <v>1746</v>
      </c>
      <c r="C109" s="8" t="n">
        <v>2.05</v>
      </c>
      <c r="D109" s="8" t="n">
        <v>0.03</v>
      </c>
      <c r="E109" s="8" t="n">
        <v>78.389999</v>
      </c>
      <c r="F109" s="8" t="n">
        <v>100.36</v>
      </c>
      <c r="G109" s="8" t="n">
        <v>27.8</v>
      </c>
      <c r="H109" s="8" t="n">
        <v>99.699997</v>
      </c>
      <c r="I109" s="8" t="n">
        <v>1246.959961</v>
      </c>
      <c r="J109" s="8" t="n">
        <v>73.59139999999999</v>
      </c>
      <c r="L109" s="9">
        <f>LN(B109/B108)</f>
        <v/>
      </c>
      <c r="M109" s="9">
        <f>$M$1*(C109-C108)</f>
        <v/>
      </c>
      <c r="N109" s="9">
        <f>$N$1*(D109-D108)</f>
        <v/>
      </c>
      <c r="O109" s="9">
        <f>$O$1*LN(E109/E108)</f>
        <v/>
      </c>
      <c r="P109" s="9">
        <f>$P$1*LN(F109/F108)</f>
        <v/>
      </c>
      <c r="Q109" s="9">
        <f>$Q$1*(G109-G108)</f>
        <v/>
      </c>
      <c r="R109" s="9">
        <f>$R$1*(H109-H108)</f>
        <v/>
      </c>
      <c r="S109" s="9">
        <f>$S$1*LN(I109/I108)</f>
        <v/>
      </c>
      <c r="T109" s="9">
        <f>$T$1*LN(J109/J108)</f>
        <v/>
      </c>
      <c r="U109" s="9">
        <f>$W$12+$W$4*M109+$W$5*N109+$W$6*O109+$W$7*P109+$W$8*Q109+$W$9*R109+$W$10*S109+$W$11*T109</f>
        <v/>
      </c>
      <c r="AA109" s="10">
        <f>INDEX(LINEST(L50:L109,M50:T109,TRUE,TRUE),1,9)*12</f>
        <v/>
      </c>
      <c r="AB109" s="9">
        <f>INDEX(LINEST(L50:L109,M50:T109,TRUE,TRUE),1,8)</f>
        <v/>
      </c>
      <c r="AC109" s="9">
        <f>INDEX(LINEST(L50:L109,M50:T109,TRUE,TRUE),1,7)</f>
        <v/>
      </c>
      <c r="AD109" s="9">
        <f>INDEX(LINEST(L50:L109,M50:T109,TRUE,TRUE),1,6)</f>
        <v/>
      </c>
      <c r="AE109" s="9">
        <f>INDEX(LINEST(L50:L109,M50:T109,TRUE,TRUE),1,5)</f>
        <v/>
      </c>
      <c r="AF109" s="9">
        <f>INDEX(LINEST(L50:L109,M50:T109,TRUE,TRUE),1,4)</f>
        <v/>
      </c>
      <c r="AG109" s="9">
        <f>INDEX(LINEST(L50:L109,M50:T109,TRUE,TRUE),1,3)</f>
        <v/>
      </c>
      <c r="AH109" s="9">
        <f>INDEX(LINEST(L50:L109,M50:T109,TRUE,TRUE),1,2)</f>
        <v/>
      </c>
      <c r="AI109" s="9">
        <f>INDEX(LINEST(L50:L109,M50:T109,TRUE,TRUE),1,1)</f>
        <v/>
      </c>
      <c r="AJ109" s="10">
        <f>INDEX(LINEST(L50:L109,M50:T109,TRUE,TRUE),3,1)</f>
        <v/>
      </c>
      <c r="AK109" s="9">
        <f>AA108/12+AB108*M109+AC108*N109+AD108*O109+AE108*P109+AF108*Q109+AG108*R109+AH108*S109+AI108*T109</f>
        <v/>
      </c>
      <c r="AL109" s="9">
        <f>AVERAGE(L49:L108)</f>
        <v/>
      </c>
    </row>
    <row r="110">
      <c r="A110" s="7" t="n">
        <v>40908</v>
      </c>
      <c r="B110" s="8" t="n">
        <v>1531</v>
      </c>
      <c r="C110" s="8" t="n">
        <v>1.96</v>
      </c>
      <c r="D110" s="8" t="n">
        <v>-0.07000000000000001</v>
      </c>
      <c r="E110" s="8" t="n">
        <v>80.16999800000001</v>
      </c>
      <c r="F110" s="8" t="n">
        <v>98.83</v>
      </c>
      <c r="G110" s="8" t="n">
        <v>23.4</v>
      </c>
      <c r="H110" s="8" t="n">
        <v>91.099998</v>
      </c>
      <c r="I110" s="8" t="n">
        <v>1257.599976</v>
      </c>
      <c r="J110" s="8" t="n">
        <v>74.58981300000001</v>
      </c>
      <c r="L110" s="9">
        <f>LN(B110/B109)</f>
        <v/>
      </c>
      <c r="M110" s="9">
        <f>$M$1*(C110-C109)</f>
        <v/>
      </c>
      <c r="N110" s="9">
        <f>$N$1*(D110-D109)</f>
        <v/>
      </c>
      <c r="O110" s="9">
        <f>$O$1*LN(E110/E109)</f>
        <v/>
      </c>
      <c r="P110" s="9">
        <f>$P$1*LN(F110/F109)</f>
        <v/>
      </c>
      <c r="Q110" s="9">
        <f>$Q$1*(G110-G109)</f>
        <v/>
      </c>
      <c r="R110" s="9">
        <f>$R$1*(H110-H109)</f>
        <v/>
      </c>
      <c r="S110" s="9">
        <f>$S$1*LN(I110/I109)</f>
        <v/>
      </c>
      <c r="T110" s="9">
        <f>$T$1*LN(J110/J109)</f>
        <v/>
      </c>
      <c r="U110" s="9">
        <f>$W$12+$W$4*M110+$W$5*N110+$W$6*O110+$W$7*P110+$W$8*Q110+$W$9*R110+$W$10*S110+$W$11*T110</f>
        <v/>
      </c>
      <c r="AA110" s="10">
        <f>INDEX(LINEST(L51:L110,M51:T110,TRUE,TRUE),1,9)*12</f>
        <v/>
      </c>
      <c r="AB110" s="9">
        <f>INDEX(LINEST(L51:L110,M51:T110,TRUE,TRUE),1,8)</f>
        <v/>
      </c>
      <c r="AC110" s="9">
        <f>INDEX(LINEST(L51:L110,M51:T110,TRUE,TRUE),1,7)</f>
        <v/>
      </c>
      <c r="AD110" s="9">
        <f>INDEX(LINEST(L51:L110,M51:T110,TRUE,TRUE),1,6)</f>
        <v/>
      </c>
      <c r="AE110" s="9">
        <f>INDEX(LINEST(L51:L110,M51:T110,TRUE,TRUE),1,5)</f>
        <v/>
      </c>
      <c r="AF110" s="9">
        <f>INDEX(LINEST(L51:L110,M51:T110,TRUE,TRUE),1,4)</f>
        <v/>
      </c>
      <c r="AG110" s="9">
        <f>INDEX(LINEST(L51:L110,M51:T110,TRUE,TRUE),1,3)</f>
        <v/>
      </c>
      <c r="AH110" s="9">
        <f>INDEX(LINEST(L51:L110,M51:T110,TRUE,TRUE),1,2)</f>
        <v/>
      </c>
      <c r="AI110" s="9">
        <f>INDEX(LINEST(L51:L110,M51:T110,TRUE,TRUE),1,1)</f>
        <v/>
      </c>
      <c r="AJ110" s="10">
        <f>INDEX(LINEST(L51:L110,M51:T110,TRUE,TRUE),3,1)</f>
        <v/>
      </c>
      <c r="AK110" s="9">
        <f>AA109/12+AB109*M110+AC109*N110+AD109*O110+AE109*P110+AF109*Q110+AG109*R110+AH109*S110+AI109*T110</f>
        <v/>
      </c>
      <c r="AL110" s="9">
        <f>AVERAGE(L50:L109)</f>
        <v/>
      </c>
    </row>
    <row r="111">
      <c r="A111" s="7" t="n">
        <v>40939</v>
      </c>
      <c r="B111" s="8" t="n">
        <v>1744</v>
      </c>
      <c r="C111" s="8" t="n">
        <v>2.11</v>
      </c>
      <c r="D111" s="8" t="n">
        <v>-0.28</v>
      </c>
      <c r="E111" s="8" t="n">
        <v>79.279999</v>
      </c>
      <c r="F111" s="8" t="n">
        <v>98.45999999999999</v>
      </c>
      <c r="G111" s="8" t="n">
        <v>19.44</v>
      </c>
      <c r="H111" s="8" t="n">
        <v>72.099998</v>
      </c>
      <c r="I111" s="8" t="n">
        <v>1312.410034</v>
      </c>
      <c r="J111" s="8" t="n">
        <v>75.131073</v>
      </c>
      <c r="L111" s="9">
        <f>LN(B111/B110)</f>
        <v/>
      </c>
      <c r="M111" s="9">
        <f>$M$1*(C111-C110)</f>
        <v/>
      </c>
      <c r="N111" s="9">
        <f>$N$1*(D111-D110)</f>
        <v/>
      </c>
      <c r="O111" s="9">
        <f>$O$1*LN(E111/E110)</f>
        <v/>
      </c>
      <c r="P111" s="9">
        <f>$P$1*LN(F111/F110)</f>
        <v/>
      </c>
      <c r="Q111" s="9">
        <f>$Q$1*(G111-G110)</f>
        <v/>
      </c>
      <c r="R111" s="9">
        <f>$R$1*(H111-H110)</f>
        <v/>
      </c>
      <c r="S111" s="9">
        <f>$S$1*LN(I111/I110)</f>
        <v/>
      </c>
      <c r="T111" s="9">
        <f>$T$1*LN(J111/J110)</f>
        <v/>
      </c>
      <c r="U111" s="9">
        <f>$W$12+$W$4*M111+$W$5*N111+$W$6*O111+$W$7*P111+$W$8*Q111+$W$9*R111+$W$10*S111+$W$11*T111</f>
        <v/>
      </c>
      <c r="AA111" s="10">
        <f>INDEX(LINEST(L52:L111,M52:T111,TRUE,TRUE),1,9)*12</f>
        <v/>
      </c>
      <c r="AB111" s="9">
        <f>INDEX(LINEST(L52:L111,M52:T111,TRUE,TRUE),1,8)</f>
        <v/>
      </c>
      <c r="AC111" s="9">
        <f>INDEX(LINEST(L52:L111,M52:T111,TRUE,TRUE),1,7)</f>
        <v/>
      </c>
      <c r="AD111" s="9">
        <f>INDEX(LINEST(L52:L111,M52:T111,TRUE,TRUE),1,6)</f>
        <v/>
      </c>
      <c r="AE111" s="9">
        <f>INDEX(LINEST(L52:L111,M52:T111,TRUE,TRUE),1,5)</f>
        <v/>
      </c>
      <c r="AF111" s="9">
        <f>INDEX(LINEST(L52:L111,M52:T111,TRUE,TRUE),1,4)</f>
        <v/>
      </c>
      <c r="AG111" s="9">
        <f>INDEX(LINEST(L52:L111,M52:T111,TRUE,TRUE),1,3)</f>
        <v/>
      </c>
      <c r="AH111" s="9">
        <f>INDEX(LINEST(L52:L111,M52:T111,TRUE,TRUE),1,2)</f>
        <v/>
      </c>
      <c r="AI111" s="9">
        <f>INDEX(LINEST(L52:L111,M52:T111,TRUE,TRUE),1,1)</f>
        <v/>
      </c>
      <c r="AJ111" s="10">
        <f>INDEX(LINEST(L52:L111,M52:T111,TRUE,TRUE),3,1)</f>
        <v/>
      </c>
      <c r="AK111" s="9">
        <f>AA110/12+AB110*M111+AC110*N111+AD110*O111+AE110*P111+AF110*Q111+AG110*R111+AH110*S111+AI110*T111</f>
        <v/>
      </c>
      <c r="AL111" s="9">
        <f>AVERAGE(L51:L110)</f>
        <v/>
      </c>
    </row>
    <row r="112">
      <c r="A112" s="7" t="n">
        <v>40968</v>
      </c>
      <c r="B112" s="8" t="n">
        <v>1770</v>
      </c>
      <c r="C112" s="8" t="n">
        <v>2.26</v>
      </c>
      <c r="D112" s="8" t="n">
        <v>-0.28</v>
      </c>
      <c r="E112" s="8" t="n">
        <v>78.730003</v>
      </c>
      <c r="F112" s="8" t="n">
        <v>107.08</v>
      </c>
      <c r="G112" s="8" t="n">
        <v>18.43</v>
      </c>
      <c r="H112" s="8" t="n">
        <v>75.900002</v>
      </c>
      <c r="I112" s="8" t="n">
        <v>1365.680054</v>
      </c>
      <c r="J112" s="8" t="n">
        <v>75.12088</v>
      </c>
      <c r="L112" s="9">
        <f>LN(B112/B111)</f>
        <v/>
      </c>
      <c r="M112" s="9">
        <f>$M$1*(C112-C111)</f>
        <v/>
      </c>
      <c r="N112" s="9">
        <f>$N$1*(D112-D111)</f>
        <v/>
      </c>
      <c r="O112" s="9">
        <f>$O$1*LN(E112/E111)</f>
        <v/>
      </c>
      <c r="P112" s="9">
        <f>$P$1*LN(F112/F111)</f>
        <v/>
      </c>
      <c r="Q112" s="9">
        <f>$Q$1*(G112-G111)</f>
        <v/>
      </c>
      <c r="R112" s="9">
        <f>$R$1*(H112-H111)</f>
        <v/>
      </c>
      <c r="S112" s="9">
        <f>$S$1*LN(I112/I111)</f>
        <v/>
      </c>
      <c r="T112" s="9">
        <f>$T$1*LN(J112/J111)</f>
        <v/>
      </c>
      <c r="U112" s="9">
        <f>$W$12+$W$4*M112+$W$5*N112+$W$6*O112+$W$7*P112+$W$8*Q112+$W$9*R112+$W$10*S112+$W$11*T112</f>
        <v/>
      </c>
      <c r="AA112" s="10">
        <f>INDEX(LINEST(L53:L112,M53:T112,TRUE,TRUE),1,9)*12</f>
        <v/>
      </c>
      <c r="AB112" s="9">
        <f>INDEX(LINEST(L53:L112,M53:T112,TRUE,TRUE),1,8)</f>
        <v/>
      </c>
      <c r="AC112" s="9">
        <f>INDEX(LINEST(L53:L112,M53:T112,TRUE,TRUE),1,7)</f>
        <v/>
      </c>
      <c r="AD112" s="9">
        <f>INDEX(LINEST(L53:L112,M53:T112,TRUE,TRUE),1,6)</f>
        <v/>
      </c>
      <c r="AE112" s="9">
        <f>INDEX(LINEST(L53:L112,M53:T112,TRUE,TRUE),1,5)</f>
        <v/>
      </c>
      <c r="AF112" s="9">
        <f>INDEX(LINEST(L53:L112,M53:T112,TRUE,TRUE),1,4)</f>
        <v/>
      </c>
      <c r="AG112" s="9">
        <f>INDEX(LINEST(L53:L112,M53:T112,TRUE,TRUE),1,3)</f>
        <v/>
      </c>
      <c r="AH112" s="9">
        <f>INDEX(LINEST(L53:L112,M53:T112,TRUE,TRUE),1,2)</f>
        <v/>
      </c>
      <c r="AI112" s="9">
        <f>INDEX(LINEST(L53:L112,M53:T112,TRUE,TRUE),1,1)</f>
        <v/>
      </c>
      <c r="AJ112" s="10">
        <f>INDEX(LINEST(L53:L112,M53:T112,TRUE,TRUE),3,1)</f>
        <v/>
      </c>
      <c r="AK112" s="9">
        <f>AA111/12+AB111*M112+AC111*N112+AD111*O112+AE111*P112+AF111*Q112+AG111*R112+AH111*S112+AI111*T112</f>
        <v/>
      </c>
      <c r="AL112" s="9">
        <f>AVERAGE(L52:L111)</f>
        <v/>
      </c>
    </row>
    <row r="113">
      <c r="A113" s="7" t="n">
        <v>40999</v>
      </c>
      <c r="B113" s="8" t="n">
        <v>1662.5</v>
      </c>
      <c r="C113" s="8" t="n">
        <v>2.32</v>
      </c>
      <c r="D113" s="8" t="n">
        <v>-0.09</v>
      </c>
      <c r="E113" s="8" t="n">
        <v>78.93000000000001</v>
      </c>
      <c r="F113" s="8" t="n">
        <v>103.03</v>
      </c>
      <c r="G113" s="8" t="n">
        <v>15.5</v>
      </c>
      <c r="H113" s="8" t="n">
        <v>78.599998</v>
      </c>
      <c r="I113" s="8" t="n">
        <v>1408.469971</v>
      </c>
      <c r="J113" s="8" t="n">
        <v>74.69049099999999</v>
      </c>
      <c r="L113" s="9">
        <f>LN(B113/B112)</f>
        <v/>
      </c>
      <c r="M113" s="9">
        <f>$M$1*(C113-C112)</f>
        <v/>
      </c>
      <c r="N113" s="9">
        <f>$N$1*(D113-D112)</f>
        <v/>
      </c>
      <c r="O113" s="9">
        <f>$O$1*LN(E113/E112)</f>
        <v/>
      </c>
      <c r="P113" s="9">
        <f>$P$1*LN(F113/F112)</f>
        <v/>
      </c>
      <c r="Q113" s="9">
        <f>$Q$1*(G113-G112)</f>
        <v/>
      </c>
      <c r="R113" s="9">
        <f>$R$1*(H113-H112)</f>
        <v/>
      </c>
      <c r="S113" s="9">
        <f>$S$1*LN(I113/I112)</f>
        <v/>
      </c>
      <c r="T113" s="9">
        <f>$T$1*LN(J113/J112)</f>
        <v/>
      </c>
      <c r="U113" s="9">
        <f>$W$12+$W$4*M113+$W$5*N113+$W$6*O113+$W$7*P113+$W$8*Q113+$W$9*R113+$W$10*S113+$W$11*T113</f>
        <v/>
      </c>
      <c r="AA113" s="10">
        <f>INDEX(LINEST(L54:L113,M54:T113,TRUE,TRUE),1,9)*12</f>
        <v/>
      </c>
      <c r="AB113" s="9">
        <f>INDEX(LINEST(L54:L113,M54:T113,TRUE,TRUE),1,8)</f>
        <v/>
      </c>
      <c r="AC113" s="9">
        <f>INDEX(LINEST(L54:L113,M54:T113,TRUE,TRUE),1,7)</f>
        <v/>
      </c>
      <c r="AD113" s="9">
        <f>INDEX(LINEST(L54:L113,M54:T113,TRUE,TRUE),1,6)</f>
        <v/>
      </c>
      <c r="AE113" s="9">
        <f>INDEX(LINEST(L54:L113,M54:T113,TRUE,TRUE),1,5)</f>
        <v/>
      </c>
      <c r="AF113" s="9">
        <f>INDEX(LINEST(L54:L113,M54:T113,TRUE,TRUE),1,4)</f>
        <v/>
      </c>
      <c r="AG113" s="9">
        <f>INDEX(LINEST(L54:L113,M54:T113,TRUE,TRUE),1,3)</f>
        <v/>
      </c>
      <c r="AH113" s="9">
        <f>INDEX(LINEST(L54:L113,M54:T113,TRUE,TRUE),1,2)</f>
        <v/>
      </c>
      <c r="AI113" s="9">
        <f>INDEX(LINEST(L54:L113,M54:T113,TRUE,TRUE),1,1)</f>
        <v/>
      </c>
      <c r="AJ113" s="10">
        <f>INDEX(LINEST(L54:L113,M54:T113,TRUE,TRUE),3,1)</f>
        <v/>
      </c>
      <c r="AK113" s="9">
        <f>AA112/12+AB112*M113+AC112*N113+AD112*O113+AE112*P113+AF112*Q113+AG112*R113+AH112*S113+AI112*T113</f>
        <v/>
      </c>
      <c r="AL113" s="9">
        <f>AVERAGE(L53:L112)</f>
        <v/>
      </c>
    </row>
    <row r="114">
      <c r="A114" s="7" t="n">
        <v>41029</v>
      </c>
      <c r="B114" s="8" t="n">
        <v>1651.25</v>
      </c>
      <c r="C114" s="8" t="n">
        <v>2.25</v>
      </c>
      <c r="D114" s="8" t="n">
        <v>-0.3</v>
      </c>
      <c r="E114" s="8" t="n">
        <v>78.790001</v>
      </c>
      <c r="F114" s="8" t="n">
        <v>104.89</v>
      </c>
      <c r="G114" s="8" t="n">
        <v>17.15</v>
      </c>
      <c r="H114" s="8" t="n">
        <v>62.900002</v>
      </c>
      <c r="I114" s="8" t="n">
        <v>1397.910034</v>
      </c>
      <c r="J114" s="8" t="n">
        <v>75.36713399999999</v>
      </c>
      <c r="L114" s="9">
        <f>LN(B114/B113)</f>
        <v/>
      </c>
      <c r="M114" s="9">
        <f>$M$1*(C114-C113)</f>
        <v/>
      </c>
      <c r="N114" s="9">
        <f>$N$1*(D114-D113)</f>
        <v/>
      </c>
      <c r="O114" s="9">
        <f>$O$1*LN(E114/E113)</f>
        <v/>
      </c>
      <c r="P114" s="9">
        <f>$P$1*LN(F114/F113)</f>
        <v/>
      </c>
      <c r="Q114" s="9">
        <f>$Q$1*(G114-G113)</f>
        <v/>
      </c>
      <c r="R114" s="9">
        <f>$R$1*(H114-H113)</f>
        <v/>
      </c>
      <c r="S114" s="9">
        <f>$S$1*LN(I114/I113)</f>
        <v/>
      </c>
      <c r="T114" s="9">
        <f>$T$1*LN(J114/J113)</f>
        <v/>
      </c>
      <c r="U114" s="9">
        <f>$W$12+$W$4*M114+$W$5*N114+$W$6*O114+$W$7*P114+$W$8*Q114+$W$9*R114+$W$10*S114+$W$11*T114</f>
        <v/>
      </c>
      <c r="AA114" s="10">
        <f>INDEX(LINEST(L55:L114,M55:T114,TRUE,TRUE),1,9)*12</f>
        <v/>
      </c>
      <c r="AB114" s="9">
        <f>INDEX(LINEST(L55:L114,M55:T114,TRUE,TRUE),1,8)</f>
        <v/>
      </c>
      <c r="AC114" s="9">
        <f>INDEX(LINEST(L55:L114,M55:T114,TRUE,TRUE),1,7)</f>
        <v/>
      </c>
      <c r="AD114" s="9">
        <f>INDEX(LINEST(L55:L114,M55:T114,TRUE,TRUE),1,6)</f>
        <v/>
      </c>
      <c r="AE114" s="9">
        <f>INDEX(LINEST(L55:L114,M55:T114,TRUE,TRUE),1,5)</f>
        <v/>
      </c>
      <c r="AF114" s="9">
        <f>INDEX(LINEST(L55:L114,M55:T114,TRUE,TRUE),1,4)</f>
        <v/>
      </c>
      <c r="AG114" s="9">
        <f>INDEX(LINEST(L55:L114,M55:T114,TRUE,TRUE),1,3)</f>
        <v/>
      </c>
      <c r="AH114" s="9">
        <f>INDEX(LINEST(L55:L114,M55:T114,TRUE,TRUE),1,2)</f>
        <v/>
      </c>
      <c r="AI114" s="9">
        <f>INDEX(LINEST(L55:L114,M55:T114,TRUE,TRUE),1,1)</f>
        <v/>
      </c>
      <c r="AJ114" s="10">
        <f>INDEX(LINEST(L55:L114,M55:T114,TRUE,TRUE),3,1)</f>
        <v/>
      </c>
      <c r="AK114" s="9">
        <f>AA113/12+AB113*M114+AC113*N114+AD113*O114+AE113*P114+AF113*Q114+AG113*R114+AH113*S114+AI113*T114</f>
        <v/>
      </c>
      <c r="AL114" s="9">
        <f>AVERAGE(L54:L113)</f>
        <v/>
      </c>
    </row>
    <row r="115">
      <c r="A115" s="7" t="n">
        <v>41060</v>
      </c>
      <c r="B115" s="8" t="n">
        <v>1558</v>
      </c>
      <c r="C115" s="8" t="n">
        <v>2.09</v>
      </c>
      <c r="D115" s="8" t="n">
        <v>-0.5</v>
      </c>
      <c r="E115" s="8" t="n">
        <v>83.040001</v>
      </c>
      <c r="F115" s="8" t="n">
        <v>86.52</v>
      </c>
      <c r="G115" s="8" t="n">
        <v>24.06</v>
      </c>
      <c r="H115" s="8" t="n">
        <v>74.400002</v>
      </c>
      <c r="I115" s="8" t="n">
        <v>1310.329956</v>
      </c>
      <c r="J115" s="8" t="n">
        <v>76.179749</v>
      </c>
      <c r="L115" s="9">
        <f>LN(B115/B114)</f>
        <v/>
      </c>
      <c r="M115" s="9">
        <f>$M$1*(C115-C114)</f>
        <v/>
      </c>
      <c r="N115" s="9">
        <f>$N$1*(D115-D114)</f>
        <v/>
      </c>
      <c r="O115" s="9">
        <f>$O$1*LN(E115/E114)</f>
        <v/>
      </c>
      <c r="P115" s="9">
        <f>$P$1*LN(F115/F114)</f>
        <v/>
      </c>
      <c r="Q115" s="9">
        <f>$Q$1*(G115-G114)</f>
        <v/>
      </c>
      <c r="R115" s="9">
        <f>$R$1*(H115-H114)</f>
        <v/>
      </c>
      <c r="S115" s="9">
        <f>$S$1*LN(I115/I114)</f>
        <v/>
      </c>
      <c r="T115" s="9">
        <f>$T$1*LN(J115/J114)</f>
        <v/>
      </c>
      <c r="U115" s="9">
        <f>$W$12+$W$4*M115+$W$5*N115+$W$6*O115+$W$7*P115+$W$8*Q115+$W$9*R115+$W$10*S115+$W$11*T115</f>
        <v/>
      </c>
      <c r="AA115" s="10">
        <f>INDEX(LINEST(L56:L115,M56:T115,TRUE,TRUE),1,9)*12</f>
        <v/>
      </c>
      <c r="AB115" s="9">
        <f>INDEX(LINEST(L56:L115,M56:T115,TRUE,TRUE),1,8)</f>
        <v/>
      </c>
      <c r="AC115" s="9">
        <f>INDEX(LINEST(L56:L115,M56:T115,TRUE,TRUE),1,7)</f>
        <v/>
      </c>
      <c r="AD115" s="9">
        <f>INDEX(LINEST(L56:L115,M56:T115,TRUE,TRUE),1,6)</f>
        <v/>
      </c>
      <c r="AE115" s="9">
        <f>INDEX(LINEST(L56:L115,M56:T115,TRUE,TRUE),1,5)</f>
        <v/>
      </c>
      <c r="AF115" s="9">
        <f>INDEX(LINEST(L56:L115,M56:T115,TRUE,TRUE),1,4)</f>
        <v/>
      </c>
      <c r="AG115" s="9">
        <f>INDEX(LINEST(L56:L115,M56:T115,TRUE,TRUE),1,3)</f>
        <v/>
      </c>
      <c r="AH115" s="9">
        <f>INDEX(LINEST(L56:L115,M56:T115,TRUE,TRUE),1,2)</f>
        <v/>
      </c>
      <c r="AI115" s="9">
        <f>INDEX(LINEST(L56:L115,M56:T115,TRUE,TRUE),1,1)</f>
        <v/>
      </c>
      <c r="AJ115" s="10">
        <f>INDEX(LINEST(L56:L115,M56:T115,TRUE,TRUE),3,1)</f>
        <v/>
      </c>
      <c r="AK115" s="9">
        <f>AA114/12+AB114*M115+AC114*N115+AD114*O115+AE114*P115+AF114*Q115+AG114*R115+AH114*S115+AI114*T115</f>
        <v/>
      </c>
      <c r="AL115" s="9">
        <f>AVERAGE(L55:L114)</f>
        <v/>
      </c>
    </row>
    <row r="116">
      <c r="A116" s="7" t="n">
        <v>41090</v>
      </c>
      <c r="B116" s="8" t="n">
        <v>1598.5</v>
      </c>
      <c r="C116" s="8" t="n">
        <v>2.13</v>
      </c>
      <c r="D116" s="8" t="n">
        <v>-0.46</v>
      </c>
      <c r="E116" s="8" t="n">
        <v>81.650002</v>
      </c>
      <c r="F116" s="8" t="n">
        <v>85.04000000000001</v>
      </c>
      <c r="G116" s="8" t="n">
        <v>17.08</v>
      </c>
      <c r="H116" s="8" t="n">
        <v>73.199997</v>
      </c>
      <c r="I116" s="8" t="n">
        <v>1362.160034</v>
      </c>
      <c r="J116" s="8" t="n">
        <v>76.16471900000001</v>
      </c>
      <c r="L116" s="9">
        <f>LN(B116/B115)</f>
        <v/>
      </c>
      <c r="M116" s="9">
        <f>$M$1*(C116-C115)</f>
        <v/>
      </c>
      <c r="N116" s="9">
        <f>$N$1*(D116-D115)</f>
        <v/>
      </c>
      <c r="O116" s="9">
        <f>$O$1*LN(E116/E115)</f>
        <v/>
      </c>
      <c r="P116" s="9">
        <f>$P$1*LN(F116/F115)</f>
        <v/>
      </c>
      <c r="Q116" s="9">
        <f>$Q$1*(G116-G115)</f>
        <v/>
      </c>
      <c r="R116" s="9">
        <f>$R$1*(H116-H115)</f>
        <v/>
      </c>
      <c r="S116" s="9">
        <f>$S$1*LN(I116/I115)</f>
        <v/>
      </c>
      <c r="T116" s="9">
        <f>$T$1*LN(J116/J115)</f>
        <v/>
      </c>
      <c r="U116" s="9">
        <f>$W$12+$W$4*M116+$W$5*N116+$W$6*O116+$W$7*P116+$W$8*Q116+$W$9*R116+$W$10*S116+$W$11*T116</f>
        <v/>
      </c>
      <c r="AA116" s="10">
        <f>INDEX(LINEST(L57:L116,M57:T116,TRUE,TRUE),1,9)*12</f>
        <v/>
      </c>
      <c r="AB116" s="9">
        <f>INDEX(LINEST(L57:L116,M57:T116,TRUE,TRUE),1,8)</f>
        <v/>
      </c>
      <c r="AC116" s="9">
        <f>INDEX(LINEST(L57:L116,M57:T116,TRUE,TRUE),1,7)</f>
        <v/>
      </c>
      <c r="AD116" s="9">
        <f>INDEX(LINEST(L57:L116,M57:T116,TRUE,TRUE),1,6)</f>
        <v/>
      </c>
      <c r="AE116" s="9">
        <f>INDEX(LINEST(L57:L116,M57:T116,TRUE,TRUE),1,5)</f>
        <v/>
      </c>
      <c r="AF116" s="9">
        <f>INDEX(LINEST(L57:L116,M57:T116,TRUE,TRUE),1,4)</f>
        <v/>
      </c>
      <c r="AG116" s="9">
        <f>INDEX(LINEST(L57:L116,M57:T116,TRUE,TRUE),1,3)</f>
        <v/>
      </c>
      <c r="AH116" s="9">
        <f>INDEX(LINEST(L57:L116,M57:T116,TRUE,TRUE),1,2)</f>
        <v/>
      </c>
      <c r="AI116" s="9">
        <f>INDEX(LINEST(L57:L116,M57:T116,TRUE,TRUE),1,1)</f>
        <v/>
      </c>
      <c r="AJ116" s="10">
        <f>INDEX(LINEST(L57:L116,M57:T116,TRUE,TRUE),3,1)</f>
        <v/>
      </c>
      <c r="AK116" s="9">
        <f>AA115/12+AB115*M116+AC115*N116+AD115*O116+AE115*P116+AF115*Q116+AG115*R116+AH115*S116+AI115*T116</f>
        <v/>
      </c>
      <c r="AL116" s="9">
        <f>AVERAGE(L56:L115)</f>
        <v/>
      </c>
    </row>
    <row r="117">
      <c r="A117" s="7" t="n">
        <v>41121</v>
      </c>
      <c r="B117" s="8" t="n">
        <v>1622</v>
      </c>
      <c r="C117" s="8" t="n">
        <v>2.2</v>
      </c>
      <c r="D117" s="8" t="n">
        <v>-0.6899999999999999</v>
      </c>
      <c r="E117" s="8" t="n">
        <v>82.639999</v>
      </c>
      <c r="F117" s="8" t="n">
        <v>88.08</v>
      </c>
      <c r="G117" s="8" t="n">
        <v>18.93</v>
      </c>
      <c r="H117" s="8" t="n">
        <v>69.800003</v>
      </c>
      <c r="I117" s="8" t="n">
        <v>1379.319946</v>
      </c>
      <c r="J117" s="8" t="n">
        <v>77.20214799999999</v>
      </c>
      <c r="L117" s="9">
        <f>LN(B117/B116)</f>
        <v/>
      </c>
      <c r="M117" s="9">
        <f>$M$1*(C117-C116)</f>
        <v/>
      </c>
      <c r="N117" s="9">
        <f>$N$1*(D117-D116)</f>
        <v/>
      </c>
      <c r="O117" s="9">
        <f>$O$1*LN(E117/E116)</f>
        <v/>
      </c>
      <c r="P117" s="9">
        <f>$P$1*LN(F117/F116)</f>
        <v/>
      </c>
      <c r="Q117" s="9">
        <f>$Q$1*(G117-G116)</f>
        <v/>
      </c>
      <c r="R117" s="9">
        <f>$R$1*(H117-H116)</f>
        <v/>
      </c>
      <c r="S117" s="9">
        <f>$S$1*LN(I117/I116)</f>
        <v/>
      </c>
      <c r="T117" s="9">
        <f>$T$1*LN(J117/J116)</f>
        <v/>
      </c>
      <c r="U117" s="9">
        <f>$W$12+$W$4*M117+$W$5*N117+$W$6*O117+$W$7*P117+$W$8*Q117+$W$9*R117+$W$10*S117+$W$11*T117</f>
        <v/>
      </c>
      <c r="AA117" s="10">
        <f>INDEX(LINEST(L58:L117,M58:T117,TRUE,TRUE),1,9)*12</f>
        <v/>
      </c>
      <c r="AB117" s="9">
        <f>INDEX(LINEST(L58:L117,M58:T117,TRUE,TRUE),1,8)</f>
        <v/>
      </c>
      <c r="AC117" s="9">
        <f>INDEX(LINEST(L58:L117,M58:T117,TRUE,TRUE),1,7)</f>
        <v/>
      </c>
      <c r="AD117" s="9">
        <f>INDEX(LINEST(L58:L117,M58:T117,TRUE,TRUE),1,6)</f>
        <v/>
      </c>
      <c r="AE117" s="9">
        <f>INDEX(LINEST(L58:L117,M58:T117,TRUE,TRUE),1,5)</f>
        <v/>
      </c>
      <c r="AF117" s="9">
        <f>INDEX(LINEST(L58:L117,M58:T117,TRUE,TRUE),1,4)</f>
        <v/>
      </c>
      <c r="AG117" s="9">
        <f>INDEX(LINEST(L58:L117,M58:T117,TRUE,TRUE),1,3)</f>
        <v/>
      </c>
      <c r="AH117" s="9">
        <f>INDEX(LINEST(L58:L117,M58:T117,TRUE,TRUE),1,2)</f>
        <v/>
      </c>
      <c r="AI117" s="9">
        <f>INDEX(LINEST(L58:L117,M58:T117,TRUE,TRUE),1,1)</f>
        <v/>
      </c>
      <c r="AJ117" s="10">
        <f>INDEX(LINEST(L58:L117,M58:T117,TRUE,TRUE),3,1)</f>
        <v/>
      </c>
      <c r="AK117" s="9">
        <f>AA116/12+AB116*M117+AC116*N117+AD116*O117+AE116*P117+AF116*Q117+AG116*R117+AH116*S117+AI116*T117</f>
        <v/>
      </c>
      <c r="AL117" s="9">
        <f>AVERAGE(L57:L116)</f>
        <v/>
      </c>
    </row>
    <row r="118">
      <c r="A118" s="7" t="n">
        <v>41152</v>
      </c>
      <c r="B118" s="8" t="n">
        <v>1648.5</v>
      </c>
      <c r="C118" s="8" t="n">
        <v>2.25</v>
      </c>
      <c r="D118" s="8" t="n">
        <v>-0.68</v>
      </c>
      <c r="E118" s="8" t="n">
        <v>81.25</v>
      </c>
      <c r="F118" s="8" t="n">
        <v>96.47</v>
      </c>
      <c r="G118" s="8" t="n">
        <v>17.47</v>
      </c>
      <c r="H118" s="8" t="n">
        <v>68.699997</v>
      </c>
      <c r="I118" s="8" t="n">
        <v>1406.579956</v>
      </c>
      <c r="J118" s="8" t="n">
        <v>77.202217</v>
      </c>
      <c r="L118" s="9">
        <f>LN(B118/B117)</f>
        <v/>
      </c>
      <c r="M118" s="9">
        <f>$M$1*(C118-C117)</f>
        <v/>
      </c>
      <c r="N118" s="9">
        <f>$N$1*(D118-D117)</f>
        <v/>
      </c>
      <c r="O118" s="9">
        <f>$O$1*LN(E118/E117)</f>
        <v/>
      </c>
      <c r="P118" s="9">
        <f>$P$1*LN(F118/F117)</f>
        <v/>
      </c>
      <c r="Q118" s="9">
        <f>$Q$1*(G118-G117)</f>
        <v/>
      </c>
      <c r="R118" s="9">
        <f>$R$1*(H118-H117)</f>
        <v/>
      </c>
      <c r="S118" s="9">
        <f>$S$1*LN(I118/I117)</f>
        <v/>
      </c>
      <c r="T118" s="9">
        <f>$T$1*LN(J118/J117)</f>
        <v/>
      </c>
      <c r="U118" s="9">
        <f>$W$12+$W$4*M118+$W$5*N118+$W$6*O118+$W$7*P118+$W$8*Q118+$W$9*R118+$W$10*S118+$W$11*T118</f>
        <v/>
      </c>
      <c r="AA118" s="10">
        <f>INDEX(LINEST(L59:L118,M59:T118,TRUE,TRUE),1,9)*12</f>
        <v/>
      </c>
      <c r="AB118" s="9">
        <f>INDEX(LINEST(L59:L118,M59:T118,TRUE,TRUE),1,8)</f>
        <v/>
      </c>
      <c r="AC118" s="9">
        <f>INDEX(LINEST(L59:L118,M59:T118,TRUE,TRUE),1,7)</f>
        <v/>
      </c>
      <c r="AD118" s="9">
        <f>INDEX(LINEST(L59:L118,M59:T118,TRUE,TRUE),1,6)</f>
        <v/>
      </c>
      <c r="AE118" s="9">
        <f>INDEX(LINEST(L59:L118,M59:T118,TRUE,TRUE),1,5)</f>
        <v/>
      </c>
      <c r="AF118" s="9">
        <f>INDEX(LINEST(L59:L118,M59:T118,TRUE,TRUE),1,4)</f>
        <v/>
      </c>
      <c r="AG118" s="9">
        <f>INDEX(LINEST(L59:L118,M59:T118,TRUE,TRUE),1,3)</f>
        <v/>
      </c>
      <c r="AH118" s="9">
        <f>INDEX(LINEST(L59:L118,M59:T118,TRUE,TRUE),1,2)</f>
        <v/>
      </c>
      <c r="AI118" s="9">
        <f>INDEX(LINEST(L59:L118,M59:T118,TRUE,TRUE),1,1)</f>
        <v/>
      </c>
      <c r="AJ118" s="10">
        <f>INDEX(LINEST(L59:L118,M59:T118,TRUE,TRUE),3,1)</f>
        <v/>
      </c>
      <c r="AK118" s="9">
        <f>AA117/12+AB117*M118+AC117*N118+AD117*O118+AE117*P118+AF117*Q118+AG117*R118+AH117*S118+AI117*T118</f>
        <v/>
      </c>
      <c r="AL118" s="9">
        <f>AVERAGE(L58:L117)</f>
        <v/>
      </c>
    </row>
    <row r="119">
      <c r="A119" s="7" t="n">
        <v>41182</v>
      </c>
      <c r="B119" s="8" t="n">
        <v>1776</v>
      </c>
      <c r="C119" s="8" t="n">
        <v>2.42</v>
      </c>
      <c r="D119" s="8" t="n">
        <v>-0.77</v>
      </c>
      <c r="E119" s="8" t="n">
        <v>79.94000200000001</v>
      </c>
      <c r="F119" s="8" t="n">
        <v>92.18000000000001</v>
      </c>
      <c r="G119" s="8" t="n">
        <v>15.73</v>
      </c>
      <c r="H119" s="8" t="n">
        <v>60.470001</v>
      </c>
      <c r="I119" s="8" t="n">
        <v>1440.670044</v>
      </c>
      <c r="J119" s="8" t="n">
        <v>77.40801999999999</v>
      </c>
      <c r="L119" s="9">
        <f>LN(B119/B118)</f>
        <v/>
      </c>
      <c r="M119" s="9">
        <f>$M$1*(C119-C118)</f>
        <v/>
      </c>
      <c r="N119" s="9">
        <f>$N$1*(D119-D118)</f>
        <v/>
      </c>
      <c r="O119" s="9">
        <f>$O$1*LN(E119/E118)</f>
        <v/>
      </c>
      <c r="P119" s="9">
        <f>$P$1*LN(F119/F118)</f>
        <v/>
      </c>
      <c r="Q119" s="9">
        <f>$Q$1*(G119-G118)</f>
        <v/>
      </c>
      <c r="R119" s="9">
        <f>$R$1*(H119-H118)</f>
        <v/>
      </c>
      <c r="S119" s="9">
        <f>$S$1*LN(I119/I118)</f>
        <v/>
      </c>
      <c r="T119" s="9">
        <f>$T$1*LN(J119/J118)</f>
        <v/>
      </c>
      <c r="U119" s="9">
        <f>$W$12+$W$4*M119+$W$5*N119+$W$6*O119+$W$7*P119+$W$8*Q119+$W$9*R119+$W$10*S119+$W$11*T119</f>
        <v/>
      </c>
      <c r="AA119" s="10">
        <f>INDEX(LINEST(L60:L119,M60:T119,TRUE,TRUE),1,9)*12</f>
        <v/>
      </c>
      <c r="AB119" s="9">
        <f>INDEX(LINEST(L60:L119,M60:T119,TRUE,TRUE),1,8)</f>
        <v/>
      </c>
      <c r="AC119" s="9">
        <f>INDEX(LINEST(L60:L119,M60:T119,TRUE,TRUE),1,7)</f>
        <v/>
      </c>
      <c r="AD119" s="9">
        <f>INDEX(LINEST(L60:L119,M60:T119,TRUE,TRUE),1,6)</f>
        <v/>
      </c>
      <c r="AE119" s="9">
        <f>INDEX(LINEST(L60:L119,M60:T119,TRUE,TRUE),1,5)</f>
        <v/>
      </c>
      <c r="AF119" s="9">
        <f>INDEX(LINEST(L60:L119,M60:T119,TRUE,TRUE),1,4)</f>
        <v/>
      </c>
      <c r="AG119" s="9">
        <f>INDEX(LINEST(L60:L119,M60:T119,TRUE,TRUE),1,3)</f>
        <v/>
      </c>
      <c r="AH119" s="9">
        <f>INDEX(LINEST(L60:L119,M60:T119,TRUE,TRUE),1,2)</f>
        <v/>
      </c>
      <c r="AI119" s="9">
        <f>INDEX(LINEST(L60:L119,M60:T119,TRUE,TRUE),1,1)</f>
        <v/>
      </c>
      <c r="AJ119" s="10">
        <f>INDEX(LINEST(L60:L119,M60:T119,TRUE,TRUE),3,1)</f>
        <v/>
      </c>
      <c r="AK119" s="9">
        <f>AA118/12+AB118*M119+AC118*N119+AD118*O119+AE118*P119+AF118*Q119+AG118*R119+AH118*S119+AI118*T119</f>
        <v/>
      </c>
      <c r="AL119" s="9">
        <f>AVERAGE(L59:L118)</f>
        <v/>
      </c>
    </row>
    <row r="120">
      <c r="A120" s="7" t="n">
        <v>41213</v>
      </c>
      <c r="B120" s="8" t="n">
        <v>1719</v>
      </c>
      <c r="C120" s="8" t="n">
        <v>2.5</v>
      </c>
      <c r="D120" s="8" t="n">
        <v>-0.78</v>
      </c>
      <c r="E120" s="8" t="n">
        <v>79.91999800000001</v>
      </c>
      <c r="F120" s="8" t="n">
        <v>86.23</v>
      </c>
      <c r="G120" s="8" t="n">
        <v>18.6</v>
      </c>
      <c r="H120" s="8" t="n">
        <v>71.43000000000001</v>
      </c>
      <c r="I120" s="8" t="n">
        <v>1412.160034</v>
      </c>
      <c r="J120" s="8" t="n">
        <v>77.371475</v>
      </c>
      <c r="L120" s="9">
        <f>LN(B120/B119)</f>
        <v/>
      </c>
      <c r="M120" s="9">
        <f>$M$1*(C120-C119)</f>
        <v/>
      </c>
      <c r="N120" s="9">
        <f>$N$1*(D120-D119)</f>
        <v/>
      </c>
      <c r="O120" s="9">
        <f>$O$1*LN(E120/E119)</f>
        <v/>
      </c>
      <c r="P120" s="9">
        <f>$P$1*LN(F120/F119)</f>
        <v/>
      </c>
      <c r="Q120" s="9">
        <f>$Q$1*(G120-G119)</f>
        <v/>
      </c>
      <c r="R120" s="9">
        <f>$R$1*(H120-H119)</f>
        <v/>
      </c>
      <c r="S120" s="9">
        <f>$S$1*LN(I120/I119)</f>
        <v/>
      </c>
      <c r="T120" s="9">
        <f>$T$1*LN(J120/J119)</f>
        <v/>
      </c>
      <c r="U120" s="9">
        <f>$W$12+$W$4*M120+$W$5*N120+$W$6*O120+$W$7*P120+$W$8*Q120+$W$9*R120+$W$10*S120+$W$11*T120</f>
        <v/>
      </c>
      <c r="AA120" s="10">
        <f>INDEX(LINEST(L61:L120,M61:T120,TRUE,TRUE),1,9)*12</f>
        <v/>
      </c>
      <c r="AB120" s="9">
        <f>INDEX(LINEST(L61:L120,M61:T120,TRUE,TRUE),1,8)</f>
        <v/>
      </c>
      <c r="AC120" s="9">
        <f>INDEX(LINEST(L61:L120,M61:T120,TRUE,TRUE),1,7)</f>
        <v/>
      </c>
      <c r="AD120" s="9">
        <f>INDEX(LINEST(L61:L120,M61:T120,TRUE,TRUE),1,6)</f>
        <v/>
      </c>
      <c r="AE120" s="9">
        <f>INDEX(LINEST(L61:L120,M61:T120,TRUE,TRUE),1,5)</f>
        <v/>
      </c>
      <c r="AF120" s="9">
        <f>INDEX(LINEST(L61:L120,M61:T120,TRUE,TRUE),1,4)</f>
        <v/>
      </c>
      <c r="AG120" s="9">
        <f>INDEX(LINEST(L61:L120,M61:T120,TRUE,TRUE),1,3)</f>
        <v/>
      </c>
      <c r="AH120" s="9">
        <f>INDEX(LINEST(L61:L120,M61:T120,TRUE,TRUE),1,2)</f>
        <v/>
      </c>
      <c r="AI120" s="9">
        <f>INDEX(LINEST(L61:L120,M61:T120,TRUE,TRUE),1,1)</f>
        <v/>
      </c>
      <c r="AJ120" s="10">
        <f>INDEX(LINEST(L61:L120,M61:T120,TRUE,TRUE),3,1)</f>
        <v/>
      </c>
      <c r="AK120" s="9">
        <f>AA119/12+AB119*M120+AC119*N120+AD119*O120+AE119*P120+AF119*Q120+AG119*R120+AH119*S120+AI119*T120</f>
        <v/>
      </c>
      <c r="AL120" s="9">
        <f>AVERAGE(L60:L119)</f>
        <v/>
      </c>
    </row>
    <row r="121">
      <c r="A121" s="7" t="n">
        <v>41243</v>
      </c>
      <c r="B121" s="8" t="n">
        <v>1726</v>
      </c>
      <c r="C121" s="8" t="n">
        <v>2.41</v>
      </c>
      <c r="D121" s="8" t="n">
        <v>-0.79</v>
      </c>
      <c r="E121" s="8" t="n">
        <v>80.150002</v>
      </c>
      <c r="F121" s="8" t="n">
        <v>88.54000000000001</v>
      </c>
      <c r="G121" s="8" t="n">
        <v>15.87</v>
      </c>
      <c r="H121" s="8" t="n">
        <v>51.799999</v>
      </c>
      <c r="I121" s="8" t="n">
        <v>1416.180054</v>
      </c>
      <c r="J121" s="8" t="n">
        <v>77.580833</v>
      </c>
      <c r="L121" s="9">
        <f>LN(B121/B120)</f>
        <v/>
      </c>
      <c r="M121" s="9">
        <f>$M$1*(C121-C120)</f>
        <v/>
      </c>
      <c r="N121" s="9">
        <f>$N$1*(D121-D120)</f>
        <v/>
      </c>
      <c r="O121" s="9">
        <f>$O$1*LN(E121/E120)</f>
        <v/>
      </c>
      <c r="P121" s="9">
        <f>$P$1*LN(F121/F120)</f>
        <v/>
      </c>
      <c r="Q121" s="9">
        <f>$Q$1*(G121-G120)</f>
        <v/>
      </c>
      <c r="R121" s="9">
        <f>$R$1*(H121-H120)</f>
        <v/>
      </c>
      <c r="S121" s="9">
        <f>$S$1*LN(I121/I120)</f>
        <v/>
      </c>
      <c r="T121" s="9">
        <f>$T$1*LN(J121/J120)</f>
        <v/>
      </c>
      <c r="U121" s="9">
        <f>$W$12+$W$4*M121+$W$5*N121+$W$6*O121+$W$7*P121+$W$8*Q121+$W$9*R121+$W$10*S121+$W$11*T121</f>
        <v/>
      </c>
      <c r="AA121" s="10">
        <f>INDEX(LINEST(L62:L121,M62:T121,TRUE,TRUE),1,9)*12</f>
        <v/>
      </c>
      <c r="AB121" s="9">
        <f>INDEX(LINEST(L62:L121,M62:T121,TRUE,TRUE),1,8)</f>
        <v/>
      </c>
      <c r="AC121" s="9">
        <f>INDEX(LINEST(L62:L121,M62:T121,TRUE,TRUE),1,7)</f>
        <v/>
      </c>
      <c r="AD121" s="9">
        <f>INDEX(LINEST(L62:L121,M62:T121,TRUE,TRUE),1,6)</f>
        <v/>
      </c>
      <c r="AE121" s="9">
        <f>INDEX(LINEST(L62:L121,M62:T121,TRUE,TRUE),1,5)</f>
        <v/>
      </c>
      <c r="AF121" s="9">
        <f>INDEX(LINEST(L62:L121,M62:T121,TRUE,TRUE),1,4)</f>
        <v/>
      </c>
      <c r="AG121" s="9">
        <f>INDEX(LINEST(L62:L121,M62:T121,TRUE,TRUE),1,3)</f>
        <v/>
      </c>
      <c r="AH121" s="9">
        <f>INDEX(LINEST(L62:L121,M62:T121,TRUE,TRUE),1,2)</f>
        <v/>
      </c>
      <c r="AI121" s="9">
        <f>INDEX(LINEST(L62:L121,M62:T121,TRUE,TRUE),1,1)</f>
        <v/>
      </c>
      <c r="AJ121" s="10">
        <f>INDEX(LINEST(L62:L121,M62:T121,TRUE,TRUE),3,1)</f>
        <v/>
      </c>
      <c r="AK121" s="9">
        <f>AA120/12+AB120*M121+AC120*N121+AD120*O121+AE120*P121+AF120*Q121+AG120*R121+AH120*S121+AI120*T121</f>
        <v/>
      </c>
      <c r="AL121" s="9">
        <f>AVERAGE(L61:L120)</f>
        <v/>
      </c>
    </row>
    <row r="122">
      <c r="A122" s="7" t="n">
        <v>41274</v>
      </c>
      <c r="B122" s="8" t="n">
        <v>1657.5</v>
      </c>
      <c r="C122" s="8" t="n">
        <v>2.45</v>
      </c>
      <c r="D122" s="8" t="n">
        <v>-0.67</v>
      </c>
      <c r="E122" s="8" t="n">
        <v>79.769997</v>
      </c>
      <c r="F122" s="8" t="n">
        <v>91.83</v>
      </c>
      <c r="G122" s="8" t="n">
        <v>18.02</v>
      </c>
      <c r="H122" s="8" t="n">
        <v>59.400002</v>
      </c>
      <c r="I122" s="8" t="n">
        <v>1426.189941</v>
      </c>
      <c r="J122" s="8" t="n">
        <v>77.390625</v>
      </c>
      <c r="L122" s="9">
        <f>LN(B122/B121)</f>
        <v/>
      </c>
      <c r="M122" s="9">
        <f>$M$1*(C122-C121)</f>
        <v/>
      </c>
      <c r="N122" s="9">
        <f>$N$1*(D122-D121)</f>
        <v/>
      </c>
      <c r="O122" s="9">
        <f>$O$1*LN(E122/E121)</f>
        <v/>
      </c>
      <c r="P122" s="9">
        <f>$P$1*LN(F122/F121)</f>
        <v/>
      </c>
      <c r="Q122" s="9">
        <f>$Q$1*(G122-G121)</f>
        <v/>
      </c>
      <c r="R122" s="9">
        <f>$R$1*(H122-H121)</f>
        <v/>
      </c>
      <c r="S122" s="9">
        <f>$S$1*LN(I122/I121)</f>
        <v/>
      </c>
      <c r="T122" s="9">
        <f>$T$1*LN(J122/J121)</f>
        <v/>
      </c>
      <c r="U122" s="9">
        <f>$W$12+$W$4*M122+$W$5*N122+$W$6*O122+$W$7*P122+$W$8*Q122+$W$9*R122+$W$10*S122+$W$11*T122</f>
        <v/>
      </c>
      <c r="AA122" s="10">
        <f>INDEX(LINEST(L63:L122,M63:T122,TRUE,TRUE),1,9)*12</f>
        <v/>
      </c>
      <c r="AB122" s="9">
        <f>INDEX(LINEST(L63:L122,M63:T122,TRUE,TRUE),1,8)</f>
        <v/>
      </c>
      <c r="AC122" s="9">
        <f>INDEX(LINEST(L63:L122,M63:T122,TRUE,TRUE),1,7)</f>
        <v/>
      </c>
      <c r="AD122" s="9">
        <f>INDEX(LINEST(L63:L122,M63:T122,TRUE,TRUE),1,6)</f>
        <v/>
      </c>
      <c r="AE122" s="9">
        <f>INDEX(LINEST(L63:L122,M63:T122,TRUE,TRUE),1,5)</f>
        <v/>
      </c>
      <c r="AF122" s="9">
        <f>INDEX(LINEST(L63:L122,M63:T122,TRUE,TRUE),1,4)</f>
        <v/>
      </c>
      <c r="AG122" s="9">
        <f>INDEX(LINEST(L63:L122,M63:T122,TRUE,TRUE),1,3)</f>
        <v/>
      </c>
      <c r="AH122" s="9">
        <f>INDEX(LINEST(L63:L122,M63:T122,TRUE,TRUE),1,2)</f>
        <v/>
      </c>
      <c r="AI122" s="9">
        <f>INDEX(LINEST(L63:L122,M63:T122,TRUE,TRUE),1,1)</f>
        <v/>
      </c>
      <c r="AJ122" s="10">
        <f>INDEX(LINEST(L63:L122,M63:T122,TRUE,TRUE),3,1)</f>
        <v/>
      </c>
      <c r="AK122" s="9">
        <f>AA121/12+AB121*M122+AC121*N122+AD121*O122+AE121*P122+AF121*Q122+AG121*R122+AH121*S122+AI121*T122</f>
        <v/>
      </c>
      <c r="AL122" s="9">
        <f>AVERAGE(L62:L121)</f>
        <v/>
      </c>
    </row>
    <row r="123">
      <c r="A123" s="7" t="n">
        <v>41305</v>
      </c>
      <c r="B123" s="8" t="n">
        <v>1664.75</v>
      </c>
      <c r="C123" s="8" t="n">
        <v>2.59</v>
      </c>
      <c r="D123" s="8" t="n">
        <v>-0.57</v>
      </c>
      <c r="E123" s="8" t="n">
        <v>79.209999</v>
      </c>
      <c r="F123" s="8" t="n">
        <v>97.65000000000001</v>
      </c>
      <c r="G123" s="8" t="n">
        <v>14.28</v>
      </c>
      <c r="H123" s="8" t="n">
        <v>65.599998</v>
      </c>
      <c r="I123" s="8" t="n">
        <v>1498.109985</v>
      </c>
      <c r="J123" s="8" t="n">
        <v>76.90992</v>
      </c>
      <c r="L123" s="9">
        <f>LN(B123/B122)</f>
        <v/>
      </c>
      <c r="M123" s="9">
        <f>$M$1*(C123-C122)</f>
        <v/>
      </c>
      <c r="N123" s="9">
        <f>$N$1*(D123-D122)</f>
        <v/>
      </c>
      <c r="O123" s="9">
        <f>$O$1*LN(E123/E122)</f>
        <v/>
      </c>
      <c r="P123" s="9">
        <f>$P$1*LN(F123/F122)</f>
        <v/>
      </c>
      <c r="Q123" s="9">
        <f>$Q$1*(G123-G122)</f>
        <v/>
      </c>
      <c r="R123" s="9">
        <f>$R$1*(H123-H122)</f>
        <v/>
      </c>
      <c r="S123" s="9">
        <f>$S$1*LN(I123/I122)</f>
        <v/>
      </c>
      <c r="T123" s="9">
        <f>$T$1*LN(J123/J122)</f>
        <v/>
      </c>
      <c r="U123" s="9">
        <f>$W$12+$W$4*M123+$W$5*N123+$W$6*O123+$W$7*P123+$W$8*Q123+$W$9*R123+$W$10*S123+$W$11*T123</f>
        <v/>
      </c>
      <c r="AA123" s="10">
        <f>INDEX(LINEST(L64:L123,M64:T123,TRUE,TRUE),1,9)*12</f>
        <v/>
      </c>
      <c r="AB123" s="9">
        <f>INDEX(LINEST(L64:L123,M64:T123,TRUE,TRUE),1,8)</f>
        <v/>
      </c>
      <c r="AC123" s="9">
        <f>INDEX(LINEST(L64:L123,M64:T123,TRUE,TRUE),1,7)</f>
        <v/>
      </c>
      <c r="AD123" s="9">
        <f>INDEX(LINEST(L64:L123,M64:T123,TRUE,TRUE),1,6)</f>
        <v/>
      </c>
      <c r="AE123" s="9">
        <f>INDEX(LINEST(L64:L123,M64:T123,TRUE,TRUE),1,5)</f>
        <v/>
      </c>
      <c r="AF123" s="9">
        <f>INDEX(LINEST(L64:L123,M64:T123,TRUE,TRUE),1,4)</f>
        <v/>
      </c>
      <c r="AG123" s="9">
        <f>INDEX(LINEST(L64:L123,M64:T123,TRUE,TRUE),1,3)</f>
        <v/>
      </c>
      <c r="AH123" s="9">
        <f>INDEX(LINEST(L64:L123,M64:T123,TRUE,TRUE),1,2)</f>
        <v/>
      </c>
      <c r="AI123" s="9">
        <f>INDEX(LINEST(L64:L123,M64:T123,TRUE,TRUE),1,1)</f>
        <v/>
      </c>
      <c r="AJ123" s="10">
        <f>INDEX(LINEST(L64:L123,M64:T123,TRUE,TRUE),3,1)</f>
        <v/>
      </c>
      <c r="AK123" s="9">
        <f>AA122/12+AB122*M123+AC122*N123+AD122*O123+AE122*P123+AF122*Q123+AG122*R123+AH122*S123+AI122*T123</f>
        <v/>
      </c>
      <c r="AL123" s="9">
        <f>AVERAGE(L63:L122)</f>
        <v/>
      </c>
    </row>
    <row r="124">
      <c r="A124" s="7" t="n">
        <v>41333</v>
      </c>
      <c r="B124" s="8" t="n">
        <v>1588.5</v>
      </c>
      <c r="C124" s="8" t="n">
        <v>2.53</v>
      </c>
      <c r="D124" s="8" t="n">
        <v>-0.64</v>
      </c>
      <c r="E124" s="8" t="n">
        <v>81.980003</v>
      </c>
      <c r="F124" s="8" t="n">
        <v>92.03</v>
      </c>
      <c r="G124" s="8" t="n">
        <v>15.51</v>
      </c>
      <c r="H124" s="8" t="n">
        <v>55.880001</v>
      </c>
      <c r="I124" s="8" t="n">
        <v>1514.680054</v>
      </c>
      <c r="J124" s="8" t="n">
        <v>77.36425</v>
      </c>
      <c r="L124" s="9">
        <f>LN(B124/B123)</f>
        <v/>
      </c>
      <c r="M124" s="9">
        <f>$M$1*(C124-C123)</f>
        <v/>
      </c>
      <c r="N124" s="9">
        <f>$N$1*(D124-D123)</f>
        <v/>
      </c>
      <c r="O124" s="9">
        <f>$O$1*LN(E124/E123)</f>
        <v/>
      </c>
      <c r="P124" s="9">
        <f>$P$1*LN(F124/F123)</f>
        <v/>
      </c>
      <c r="Q124" s="9">
        <f>$Q$1*(G124-G123)</f>
        <v/>
      </c>
      <c r="R124" s="9">
        <f>$R$1*(H124-H123)</f>
        <v/>
      </c>
      <c r="S124" s="9">
        <f>$S$1*LN(I124/I123)</f>
        <v/>
      </c>
      <c r="T124" s="9">
        <f>$T$1*LN(J124/J123)</f>
        <v/>
      </c>
      <c r="U124" s="9">
        <f>$W$12+$W$4*M124+$W$5*N124+$W$6*O124+$W$7*P124+$W$8*Q124+$W$9*R124+$W$10*S124+$W$11*T124</f>
        <v/>
      </c>
      <c r="AA124" s="10">
        <f>INDEX(LINEST(L65:L124,M65:T124,TRUE,TRUE),1,9)*12</f>
        <v/>
      </c>
      <c r="AB124" s="9">
        <f>INDEX(LINEST(L65:L124,M65:T124,TRUE,TRUE),1,8)</f>
        <v/>
      </c>
      <c r="AC124" s="9">
        <f>INDEX(LINEST(L65:L124,M65:T124,TRUE,TRUE),1,7)</f>
        <v/>
      </c>
      <c r="AD124" s="9">
        <f>INDEX(LINEST(L65:L124,M65:T124,TRUE,TRUE),1,6)</f>
        <v/>
      </c>
      <c r="AE124" s="9">
        <f>INDEX(LINEST(L65:L124,M65:T124,TRUE,TRUE),1,5)</f>
        <v/>
      </c>
      <c r="AF124" s="9">
        <f>INDEX(LINEST(L65:L124,M65:T124,TRUE,TRUE),1,4)</f>
        <v/>
      </c>
      <c r="AG124" s="9">
        <f>INDEX(LINEST(L65:L124,M65:T124,TRUE,TRUE),1,3)</f>
        <v/>
      </c>
      <c r="AH124" s="9">
        <f>INDEX(LINEST(L65:L124,M65:T124,TRUE,TRUE),1,2)</f>
        <v/>
      </c>
      <c r="AI124" s="9">
        <f>INDEX(LINEST(L65:L124,M65:T124,TRUE,TRUE),1,1)</f>
        <v/>
      </c>
      <c r="AJ124" s="10">
        <f>INDEX(LINEST(L65:L124,M65:T124,TRUE,TRUE),3,1)</f>
        <v/>
      </c>
      <c r="AK124" s="9">
        <f>AA123/12+AB123*M124+AC123*N124+AD123*O124+AE123*P124+AF123*Q124+AG123*R124+AH123*S124+AI123*T124</f>
        <v/>
      </c>
      <c r="AL124" s="9">
        <f>AVERAGE(L64:L123)</f>
        <v/>
      </c>
    </row>
    <row r="125">
      <c r="A125" s="7" t="n">
        <v>41364</v>
      </c>
      <c r="B125" s="8" t="n">
        <v>1598.25</v>
      </c>
      <c r="C125" s="8" t="n">
        <v>2.51</v>
      </c>
      <c r="D125" s="8" t="n">
        <v>-0.64</v>
      </c>
      <c r="E125" s="8" t="n">
        <v>82.989998</v>
      </c>
      <c r="F125" s="8" t="n">
        <v>97.23999999999999</v>
      </c>
      <c r="G125" s="8" t="n">
        <v>12.7</v>
      </c>
      <c r="H125" s="8" t="n">
        <v>57.299999</v>
      </c>
      <c r="I125" s="8" t="n">
        <v>1569.189941</v>
      </c>
      <c r="J125" s="8" t="n">
        <v>77.44053599999999</v>
      </c>
      <c r="L125" s="9">
        <f>LN(B125/B124)</f>
        <v/>
      </c>
      <c r="M125" s="9">
        <f>$M$1*(C125-C124)</f>
        <v/>
      </c>
      <c r="N125" s="9">
        <f>$N$1*(D125-D124)</f>
        <v/>
      </c>
      <c r="O125" s="9">
        <f>$O$1*LN(E125/E124)</f>
        <v/>
      </c>
      <c r="P125" s="9">
        <f>$P$1*LN(F125/F124)</f>
        <v/>
      </c>
      <c r="Q125" s="9">
        <f>$Q$1*(G125-G124)</f>
        <v/>
      </c>
      <c r="R125" s="9">
        <f>$R$1*(H125-H124)</f>
        <v/>
      </c>
      <c r="S125" s="9">
        <f>$S$1*LN(I125/I124)</f>
        <v/>
      </c>
      <c r="T125" s="9">
        <f>$T$1*LN(J125/J124)</f>
        <v/>
      </c>
      <c r="U125" s="9">
        <f>$W$12+$W$4*M125+$W$5*N125+$W$6*O125+$W$7*P125+$W$8*Q125+$W$9*R125+$W$10*S125+$W$11*T125</f>
        <v/>
      </c>
      <c r="AA125" s="10">
        <f>INDEX(LINEST(L66:L125,M66:T125,TRUE,TRUE),1,9)*12</f>
        <v/>
      </c>
      <c r="AB125" s="9">
        <f>INDEX(LINEST(L66:L125,M66:T125,TRUE,TRUE),1,8)</f>
        <v/>
      </c>
      <c r="AC125" s="9">
        <f>INDEX(LINEST(L66:L125,M66:T125,TRUE,TRUE),1,7)</f>
        <v/>
      </c>
      <c r="AD125" s="9">
        <f>INDEX(LINEST(L66:L125,M66:T125,TRUE,TRUE),1,6)</f>
        <v/>
      </c>
      <c r="AE125" s="9">
        <f>INDEX(LINEST(L66:L125,M66:T125,TRUE,TRUE),1,5)</f>
        <v/>
      </c>
      <c r="AF125" s="9">
        <f>INDEX(LINEST(L66:L125,M66:T125,TRUE,TRUE),1,4)</f>
        <v/>
      </c>
      <c r="AG125" s="9">
        <f>INDEX(LINEST(L66:L125,M66:T125,TRUE,TRUE),1,3)</f>
        <v/>
      </c>
      <c r="AH125" s="9">
        <f>INDEX(LINEST(L66:L125,M66:T125,TRUE,TRUE),1,2)</f>
        <v/>
      </c>
      <c r="AI125" s="9">
        <f>INDEX(LINEST(L66:L125,M66:T125,TRUE,TRUE),1,1)</f>
        <v/>
      </c>
      <c r="AJ125" s="10">
        <f>INDEX(LINEST(L66:L125,M66:T125,TRUE,TRUE),3,1)</f>
        <v/>
      </c>
      <c r="AK125" s="9">
        <f>AA124/12+AB124*M125+AC124*N125+AD124*O125+AE124*P125+AF124*Q125+AG124*R125+AH124*S125+AI124*T125</f>
        <v/>
      </c>
      <c r="AL125" s="9">
        <f>AVERAGE(L65:L124)</f>
        <v/>
      </c>
    </row>
    <row r="126">
      <c r="A126" s="7" t="n">
        <v>41394</v>
      </c>
      <c r="B126" s="8" t="n">
        <v>1469</v>
      </c>
      <c r="C126" s="8" t="n">
        <v>2.34</v>
      </c>
      <c r="D126" s="8" t="n">
        <v>-0.64</v>
      </c>
      <c r="E126" s="8" t="n">
        <v>81.730003</v>
      </c>
      <c r="F126" s="8" t="n">
        <v>93.22</v>
      </c>
      <c r="G126" s="8" t="n">
        <v>13.52</v>
      </c>
      <c r="H126" s="8" t="n">
        <v>49.200001</v>
      </c>
      <c r="I126" s="8" t="n">
        <v>1597.569946</v>
      </c>
      <c r="J126" s="8" t="n">
        <v>78.190567</v>
      </c>
      <c r="L126" s="9">
        <f>LN(B126/B125)</f>
        <v/>
      </c>
      <c r="M126" s="9">
        <f>$M$1*(C126-C125)</f>
        <v/>
      </c>
      <c r="N126" s="9">
        <f>$N$1*(D126-D125)</f>
        <v/>
      </c>
      <c r="O126" s="9">
        <f>$O$1*LN(E126/E125)</f>
        <v/>
      </c>
      <c r="P126" s="9">
        <f>$P$1*LN(F126/F125)</f>
        <v/>
      </c>
      <c r="Q126" s="9">
        <f>$Q$1*(G126-G125)</f>
        <v/>
      </c>
      <c r="R126" s="9">
        <f>$R$1*(H126-H125)</f>
        <v/>
      </c>
      <c r="S126" s="9">
        <f>$S$1*LN(I126/I125)</f>
        <v/>
      </c>
      <c r="T126" s="9">
        <f>$T$1*LN(J126/J125)</f>
        <v/>
      </c>
      <c r="U126" s="9">
        <f>$W$12+$W$4*M126+$W$5*N126+$W$6*O126+$W$7*P126+$W$8*Q126+$W$9*R126+$W$10*S126+$W$11*T126</f>
        <v/>
      </c>
      <c r="AA126" s="10">
        <f>INDEX(LINEST(L67:L126,M67:T126,TRUE,TRUE),1,9)*12</f>
        <v/>
      </c>
      <c r="AB126" s="9">
        <f>INDEX(LINEST(L67:L126,M67:T126,TRUE,TRUE),1,8)</f>
        <v/>
      </c>
      <c r="AC126" s="9">
        <f>INDEX(LINEST(L67:L126,M67:T126,TRUE,TRUE),1,7)</f>
        <v/>
      </c>
      <c r="AD126" s="9">
        <f>INDEX(LINEST(L67:L126,M67:T126,TRUE,TRUE),1,6)</f>
        <v/>
      </c>
      <c r="AE126" s="9">
        <f>INDEX(LINEST(L67:L126,M67:T126,TRUE,TRUE),1,5)</f>
        <v/>
      </c>
      <c r="AF126" s="9">
        <f>INDEX(LINEST(L67:L126,M67:T126,TRUE,TRUE),1,4)</f>
        <v/>
      </c>
      <c r="AG126" s="9">
        <f>INDEX(LINEST(L67:L126,M67:T126,TRUE,TRUE),1,3)</f>
        <v/>
      </c>
      <c r="AH126" s="9">
        <f>INDEX(LINEST(L67:L126,M67:T126,TRUE,TRUE),1,2)</f>
        <v/>
      </c>
      <c r="AI126" s="9">
        <f>INDEX(LINEST(L67:L126,M67:T126,TRUE,TRUE),1,1)</f>
        <v/>
      </c>
      <c r="AJ126" s="10">
        <f>INDEX(LINEST(L67:L126,M67:T126,TRUE,TRUE),3,1)</f>
        <v/>
      </c>
      <c r="AK126" s="9">
        <f>AA125/12+AB125*M126+AC125*N126+AD125*O126+AE125*P126+AF125*Q126+AG125*R126+AH125*S126+AI125*T126</f>
        <v/>
      </c>
      <c r="AL126" s="9">
        <f>AVERAGE(L66:L125)</f>
        <v/>
      </c>
    </row>
    <row r="127">
      <c r="A127" s="7" t="n">
        <v>41425</v>
      </c>
      <c r="B127" s="8" t="n">
        <v>1394.5</v>
      </c>
      <c r="C127" s="8" t="n">
        <v>2.21</v>
      </c>
      <c r="D127" s="8" t="n">
        <v>-0.05</v>
      </c>
      <c r="E127" s="8" t="n">
        <v>83.379997</v>
      </c>
      <c r="F127" s="8" t="n">
        <v>91.93000000000001</v>
      </c>
      <c r="G127" s="8" t="n">
        <v>16.3</v>
      </c>
      <c r="H127" s="8" t="n">
        <v>80</v>
      </c>
      <c r="I127" s="8" t="n">
        <v>1630.73999</v>
      </c>
      <c r="J127" s="8" t="n">
        <v>76.625885</v>
      </c>
      <c r="L127" s="9">
        <f>LN(B127/B126)</f>
        <v/>
      </c>
      <c r="M127" s="9">
        <f>$M$1*(C127-C126)</f>
        <v/>
      </c>
      <c r="N127" s="9">
        <f>$N$1*(D127-D126)</f>
        <v/>
      </c>
      <c r="O127" s="9">
        <f>$O$1*LN(E127/E126)</f>
        <v/>
      </c>
      <c r="P127" s="9">
        <f>$P$1*LN(F127/F126)</f>
        <v/>
      </c>
      <c r="Q127" s="9">
        <f>$Q$1*(G127-G126)</f>
        <v/>
      </c>
      <c r="R127" s="9">
        <f>$R$1*(H127-H126)</f>
        <v/>
      </c>
      <c r="S127" s="9">
        <f>$S$1*LN(I127/I126)</f>
        <v/>
      </c>
      <c r="T127" s="9">
        <f>$T$1*LN(J127/J126)</f>
        <v/>
      </c>
      <c r="U127" s="9">
        <f>$W$12+$W$4*M127+$W$5*N127+$W$6*O127+$W$7*P127+$W$8*Q127+$W$9*R127+$W$10*S127+$W$11*T127</f>
        <v/>
      </c>
      <c r="AA127" s="10">
        <f>INDEX(LINEST(L68:L127,M68:T127,TRUE,TRUE),1,9)*12</f>
        <v/>
      </c>
      <c r="AB127" s="9">
        <f>INDEX(LINEST(L68:L127,M68:T127,TRUE,TRUE),1,8)</f>
        <v/>
      </c>
      <c r="AC127" s="9">
        <f>INDEX(LINEST(L68:L127,M68:T127,TRUE,TRUE),1,7)</f>
        <v/>
      </c>
      <c r="AD127" s="9">
        <f>INDEX(LINEST(L68:L127,M68:T127,TRUE,TRUE),1,6)</f>
        <v/>
      </c>
      <c r="AE127" s="9">
        <f>INDEX(LINEST(L68:L127,M68:T127,TRUE,TRUE),1,5)</f>
        <v/>
      </c>
      <c r="AF127" s="9">
        <f>INDEX(LINEST(L68:L127,M68:T127,TRUE,TRUE),1,4)</f>
        <v/>
      </c>
      <c r="AG127" s="9">
        <f>INDEX(LINEST(L68:L127,M68:T127,TRUE,TRUE),1,3)</f>
        <v/>
      </c>
      <c r="AH127" s="9">
        <f>INDEX(LINEST(L68:L127,M68:T127,TRUE,TRUE),1,2)</f>
        <v/>
      </c>
      <c r="AI127" s="9">
        <f>INDEX(LINEST(L68:L127,M68:T127,TRUE,TRUE),1,1)</f>
        <v/>
      </c>
      <c r="AJ127" s="10">
        <f>INDEX(LINEST(L68:L127,M68:T127,TRUE,TRUE),3,1)</f>
        <v/>
      </c>
      <c r="AK127" s="9">
        <f>AA126/12+AB126*M127+AC126*N127+AD126*O127+AE126*P127+AF126*Q127+AG126*R127+AH126*S127+AI126*T127</f>
        <v/>
      </c>
      <c r="AL127" s="9">
        <f>AVERAGE(L67:L126)</f>
        <v/>
      </c>
    </row>
    <row r="128">
      <c r="A128" s="7" t="n">
        <v>41455</v>
      </c>
      <c r="B128" s="8" t="n">
        <v>1192</v>
      </c>
      <c r="C128" s="8" t="n">
        <v>1.99</v>
      </c>
      <c r="D128" s="8" t="n">
        <v>0.53</v>
      </c>
      <c r="E128" s="8" t="n">
        <v>83.16999800000001</v>
      </c>
      <c r="F128" s="8" t="n">
        <v>96.36</v>
      </c>
      <c r="G128" s="8" t="n">
        <v>16.86</v>
      </c>
      <c r="H128" s="8" t="n">
        <v>99.800003</v>
      </c>
      <c r="I128" s="8" t="n">
        <v>1606.280029</v>
      </c>
      <c r="J128" s="8" t="n">
        <v>75.426376</v>
      </c>
      <c r="L128" s="9">
        <f>LN(B128/B127)</f>
        <v/>
      </c>
      <c r="M128" s="9">
        <f>$M$1*(C128-C127)</f>
        <v/>
      </c>
      <c r="N128" s="9">
        <f>$N$1*(D128-D127)</f>
        <v/>
      </c>
      <c r="O128" s="9">
        <f>$O$1*LN(E128/E127)</f>
        <v/>
      </c>
      <c r="P128" s="9">
        <f>$P$1*LN(F128/F127)</f>
        <v/>
      </c>
      <c r="Q128" s="9">
        <f>$Q$1*(G128-G127)</f>
        <v/>
      </c>
      <c r="R128" s="9">
        <f>$R$1*(H128-H127)</f>
        <v/>
      </c>
      <c r="S128" s="9">
        <f>$S$1*LN(I128/I127)</f>
        <v/>
      </c>
      <c r="T128" s="9">
        <f>$T$1*LN(J128/J127)</f>
        <v/>
      </c>
      <c r="U128" s="9">
        <f>$W$12+$W$4*M128+$W$5*N128+$W$6*O128+$W$7*P128+$W$8*Q128+$W$9*R128+$W$10*S128+$W$11*T128</f>
        <v/>
      </c>
      <c r="AA128" s="10">
        <f>INDEX(LINEST(L69:L128,M69:T128,TRUE,TRUE),1,9)*12</f>
        <v/>
      </c>
      <c r="AB128" s="9">
        <f>INDEX(LINEST(L69:L128,M69:T128,TRUE,TRUE),1,8)</f>
        <v/>
      </c>
      <c r="AC128" s="9">
        <f>INDEX(LINEST(L69:L128,M69:T128,TRUE,TRUE),1,7)</f>
        <v/>
      </c>
      <c r="AD128" s="9">
        <f>INDEX(LINEST(L69:L128,M69:T128,TRUE,TRUE),1,6)</f>
        <v/>
      </c>
      <c r="AE128" s="9">
        <f>INDEX(LINEST(L69:L128,M69:T128,TRUE,TRUE),1,5)</f>
        <v/>
      </c>
      <c r="AF128" s="9">
        <f>INDEX(LINEST(L69:L128,M69:T128,TRUE,TRUE),1,4)</f>
        <v/>
      </c>
      <c r="AG128" s="9">
        <f>INDEX(LINEST(L69:L128,M69:T128,TRUE,TRUE),1,3)</f>
        <v/>
      </c>
      <c r="AH128" s="9">
        <f>INDEX(LINEST(L69:L128,M69:T128,TRUE,TRUE),1,2)</f>
        <v/>
      </c>
      <c r="AI128" s="9">
        <f>INDEX(LINEST(L69:L128,M69:T128,TRUE,TRUE),1,1)</f>
        <v/>
      </c>
      <c r="AJ128" s="10">
        <f>INDEX(LINEST(L69:L128,M69:T128,TRUE,TRUE),3,1)</f>
        <v/>
      </c>
      <c r="AK128" s="9">
        <f>AA127/12+AB127*M128+AC127*N128+AD127*O128+AE127*P128+AF127*Q128+AG127*R128+AH127*S128+AI127*T128</f>
        <v/>
      </c>
      <c r="AL128" s="9">
        <f>AVERAGE(L68:L127)</f>
        <v/>
      </c>
    </row>
    <row r="129">
      <c r="A129" s="7" t="n">
        <v>41486</v>
      </c>
      <c r="B129" s="8" t="n">
        <v>1314.5</v>
      </c>
      <c r="C129" s="8" t="n">
        <v>2.22</v>
      </c>
      <c r="D129" s="8" t="n">
        <v>0.38</v>
      </c>
      <c r="E129" s="8" t="n">
        <v>81.449997</v>
      </c>
      <c r="F129" s="8" t="n">
        <v>105.1</v>
      </c>
      <c r="G129" s="8" t="n">
        <v>13.45</v>
      </c>
      <c r="H129" s="8" t="n">
        <v>82.599998</v>
      </c>
      <c r="I129" s="8" t="n">
        <v>1685.72998</v>
      </c>
      <c r="J129" s="8" t="n">
        <v>75.629372</v>
      </c>
      <c r="L129" s="9">
        <f>LN(B129/B128)</f>
        <v/>
      </c>
      <c r="M129" s="9">
        <f>$M$1*(C129-C128)</f>
        <v/>
      </c>
      <c r="N129" s="9">
        <f>$N$1*(D129-D128)</f>
        <v/>
      </c>
      <c r="O129" s="9">
        <f>$O$1*LN(E129/E128)</f>
        <v/>
      </c>
      <c r="P129" s="9">
        <f>$P$1*LN(F129/F128)</f>
        <v/>
      </c>
      <c r="Q129" s="9">
        <f>$Q$1*(G129-G128)</f>
        <v/>
      </c>
      <c r="R129" s="9">
        <f>$R$1*(H129-H128)</f>
        <v/>
      </c>
      <c r="S129" s="9">
        <f>$S$1*LN(I129/I128)</f>
        <v/>
      </c>
      <c r="T129" s="9">
        <f>$T$1*LN(J129/J128)</f>
        <v/>
      </c>
      <c r="U129" s="9">
        <f>$W$12+$W$4*M129+$W$5*N129+$W$6*O129+$W$7*P129+$W$8*Q129+$W$9*R129+$W$10*S129+$W$11*T129</f>
        <v/>
      </c>
      <c r="AA129" s="10">
        <f>INDEX(LINEST(L70:L129,M70:T129,TRUE,TRUE),1,9)*12</f>
        <v/>
      </c>
      <c r="AB129" s="9">
        <f>INDEX(LINEST(L70:L129,M70:T129,TRUE,TRUE),1,8)</f>
        <v/>
      </c>
      <c r="AC129" s="9">
        <f>INDEX(LINEST(L70:L129,M70:T129,TRUE,TRUE),1,7)</f>
        <v/>
      </c>
      <c r="AD129" s="9">
        <f>INDEX(LINEST(L70:L129,M70:T129,TRUE,TRUE),1,6)</f>
        <v/>
      </c>
      <c r="AE129" s="9">
        <f>INDEX(LINEST(L70:L129,M70:T129,TRUE,TRUE),1,5)</f>
        <v/>
      </c>
      <c r="AF129" s="9">
        <f>INDEX(LINEST(L70:L129,M70:T129,TRUE,TRUE),1,4)</f>
        <v/>
      </c>
      <c r="AG129" s="9">
        <f>INDEX(LINEST(L70:L129,M70:T129,TRUE,TRUE),1,3)</f>
        <v/>
      </c>
      <c r="AH129" s="9">
        <f>INDEX(LINEST(L70:L129,M70:T129,TRUE,TRUE),1,2)</f>
        <v/>
      </c>
      <c r="AI129" s="9">
        <f>INDEX(LINEST(L70:L129,M70:T129,TRUE,TRUE),1,1)</f>
        <v/>
      </c>
      <c r="AJ129" s="10">
        <f>INDEX(LINEST(L70:L129,M70:T129,TRUE,TRUE),3,1)</f>
        <v/>
      </c>
      <c r="AK129" s="9">
        <f>AA128/12+AB128*M129+AC128*N129+AD128*O129+AE128*P129+AF128*Q129+AG128*R129+AH128*S129+AI128*T129</f>
        <v/>
      </c>
      <c r="AL129" s="9">
        <f>AVERAGE(L69:L128)</f>
        <v/>
      </c>
    </row>
    <row r="130">
      <c r="A130" s="7" t="n">
        <v>41517</v>
      </c>
      <c r="B130" s="8" t="n">
        <v>1394.75</v>
      </c>
      <c r="C130" s="8" t="n">
        <v>2.1</v>
      </c>
      <c r="D130" s="8" t="n">
        <v>0.68</v>
      </c>
      <c r="E130" s="8" t="n">
        <v>82.089996</v>
      </c>
      <c r="F130" s="8" t="n">
        <v>107.98</v>
      </c>
      <c r="G130" s="8" t="n">
        <v>17.01</v>
      </c>
      <c r="H130" s="8" t="n">
        <v>103.5</v>
      </c>
      <c r="I130" s="8" t="n">
        <v>1632.969971</v>
      </c>
      <c r="J130" s="8" t="n">
        <v>75.00438699999999</v>
      </c>
      <c r="L130" s="9">
        <f>LN(B130/B129)</f>
        <v/>
      </c>
      <c r="M130" s="9">
        <f>$M$1*(C130-C129)</f>
        <v/>
      </c>
      <c r="N130" s="9">
        <f>$N$1*(D130-D129)</f>
        <v/>
      </c>
      <c r="O130" s="9">
        <f>$O$1*LN(E130/E129)</f>
        <v/>
      </c>
      <c r="P130" s="9">
        <f>$P$1*LN(F130/F129)</f>
        <v/>
      </c>
      <c r="Q130" s="9">
        <f>$Q$1*(G130-G129)</f>
        <v/>
      </c>
      <c r="R130" s="9">
        <f>$R$1*(H130-H129)</f>
        <v/>
      </c>
      <c r="S130" s="9">
        <f>$S$1*LN(I130/I129)</f>
        <v/>
      </c>
      <c r="T130" s="9">
        <f>$T$1*LN(J130/J129)</f>
        <v/>
      </c>
      <c r="U130" s="9">
        <f>$W$12+$W$4*M130+$W$5*N130+$W$6*O130+$W$7*P130+$W$8*Q130+$W$9*R130+$W$10*S130+$W$11*T130</f>
        <v/>
      </c>
      <c r="AA130" s="10">
        <f>INDEX(LINEST(L71:L130,M71:T130,TRUE,TRUE),1,9)*12</f>
        <v/>
      </c>
      <c r="AB130" s="9">
        <f>INDEX(LINEST(L71:L130,M71:T130,TRUE,TRUE),1,8)</f>
        <v/>
      </c>
      <c r="AC130" s="9">
        <f>INDEX(LINEST(L71:L130,M71:T130,TRUE,TRUE),1,7)</f>
        <v/>
      </c>
      <c r="AD130" s="9">
        <f>INDEX(LINEST(L71:L130,M71:T130,TRUE,TRUE),1,6)</f>
        <v/>
      </c>
      <c r="AE130" s="9">
        <f>INDEX(LINEST(L71:L130,M71:T130,TRUE,TRUE),1,5)</f>
        <v/>
      </c>
      <c r="AF130" s="9">
        <f>INDEX(LINEST(L71:L130,M71:T130,TRUE,TRUE),1,4)</f>
        <v/>
      </c>
      <c r="AG130" s="9">
        <f>INDEX(LINEST(L71:L130,M71:T130,TRUE,TRUE),1,3)</f>
        <v/>
      </c>
      <c r="AH130" s="9">
        <f>INDEX(LINEST(L71:L130,M71:T130,TRUE,TRUE),1,2)</f>
        <v/>
      </c>
      <c r="AI130" s="9">
        <f>INDEX(LINEST(L71:L130,M71:T130,TRUE,TRUE),1,1)</f>
        <v/>
      </c>
      <c r="AJ130" s="10">
        <f>INDEX(LINEST(L71:L130,M71:T130,TRUE,TRUE),3,1)</f>
        <v/>
      </c>
      <c r="AK130" s="9">
        <f>AA129/12+AB129*M130+AC129*N130+AD129*O130+AE129*P130+AF129*Q130+AG129*R130+AH129*S130+AI129*T130</f>
        <v/>
      </c>
      <c r="AL130" s="9">
        <f>AVERAGE(L70:L129)</f>
        <v/>
      </c>
    </row>
    <row r="131">
      <c r="A131" s="7" t="n">
        <v>41547</v>
      </c>
      <c r="B131" s="8" t="n">
        <v>1326.5</v>
      </c>
      <c r="C131" s="8" t="n">
        <v>2.19</v>
      </c>
      <c r="D131" s="8" t="n">
        <v>0.45</v>
      </c>
      <c r="E131" s="8" t="n">
        <v>80.220001</v>
      </c>
      <c r="F131" s="8" t="n">
        <v>102.36</v>
      </c>
      <c r="G131" s="8" t="n">
        <v>16.6</v>
      </c>
      <c r="H131" s="8" t="n">
        <v>80.199997</v>
      </c>
      <c r="I131" s="8" t="n">
        <v>1681.550049</v>
      </c>
      <c r="J131" s="8" t="n">
        <v>75.844917</v>
      </c>
      <c r="L131" s="9">
        <f>LN(B131/B130)</f>
        <v/>
      </c>
      <c r="M131" s="9">
        <f>$M$1*(C131-C130)</f>
        <v/>
      </c>
      <c r="N131" s="9">
        <f>$N$1*(D131-D130)</f>
        <v/>
      </c>
      <c r="O131" s="9">
        <f>$O$1*LN(E131/E130)</f>
        <v/>
      </c>
      <c r="P131" s="9">
        <f>$P$1*LN(F131/F130)</f>
        <v/>
      </c>
      <c r="Q131" s="9">
        <f>$Q$1*(G131-G130)</f>
        <v/>
      </c>
      <c r="R131" s="9">
        <f>$R$1*(H131-H130)</f>
        <v/>
      </c>
      <c r="S131" s="9">
        <f>$S$1*LN(I131/I130)</f>
        <v/>
      </c>
      <c r="T131" s="9">
        <f>$T$1*LN(J131/J130)</f>
        <v/>
      </c>
      <c r="U131" s="9">
        <f>$W$12+$W$4*M131+$W$5*N131+$W$6*O131+$W$7*P131+$W$8*Q131+$W$9*R131+$W$10*S131+$W$11*T131</f>
        <v/>
      </c>
      <c r="AA131" s="10">
        <f>INDEX(LINEST(L72:L131,M72:T131,TRUE,TRUE),1,9)*12</f>
        <v/>
      </c>
      <c r="AB131" s="9">
        <f>INDEX(LINEST(L72:L131,M72:T131,TRUE,TRUE),1,8)</f>
        <v/>
      </c>
      <c r="AC131" s="9">
        <f>INDEX(LINEST(L72:L131,M72:T131,TRUE,TRUE),1,7)</f>
        <v/>
      </c>
      <c r="AD131" s="9">
        <f>INDEX(LINEST(L72:L131,M72:T131,TRUE,TRUE),1,6)</f>
        <v/>
      </c>
      <c r="AE131" s="9">
        <f>INDEX(LINEST(L72:L131,M72:T131,TRUE,TRUE),1,5)</f>
        <v/>
      </c>
      <c r="AF131" s="9">
        <f>INDEX(LINEST(L72:L131,M72:T131,TRUE,TRUE),1,4)</f>
        <v/>
      </c>
      <c r="AG131" s="9">
        <f>INDEX(LINEST(L72:L131,M72:T131,TRUE,TRUE),1,3)</f>
        <v/>
      </c>
      <c r="AH131" s="9">
        <f>INDEX(LINEST(L72:L131,M72:T131,TRUE,TRUE),1,2)</f>
        <v/>
      </c>
      <c r="AI131" s="9">
        <f>INDEX(LINEST(L72:L131,M72:T131,TRUE,TRUE),1,1)</f>
        <v/>
      </c>
      <c r="AJ131" s="10">
        <f>INDEX(LINEST(L72:L131,M72:T131,TRUE,TRUE),3,1)</f>
        <v/>
      </c>
      <c r="AK131" s="9">
        <f>AA130/12+AB130*M131+AC130*N131+AD130*O131+AE130*P131+AF130*Q131+AG130*R131+AH130*S131+AI130*T131</f>
        <v/>
      </c>
      <c r="AL131" s="9">
        <f>AVERAGE(L71:L130)</f>
        <v/>
      </c>
    </row>
    <row r="132">
      <c r="A132" s="7" t="n">
        <v>41578</v>
      </c>
      <c r="B132" s="8" t="n">
        <v>1324</v>
      </c>
      <c r="C132" s="8" t="n">
        <v>2.17</v>
      </c>
      <c r="D132" s="8" t="n">
        <v>0.4</v>
      </c>
      <c r="E132" s="8" t="n">
        <v>80.199997</v>
      </c>
      <c r="F132" s="8" t="n">
        <v>96.29000000000001</v>
      </c>
      <c r="G132" s="8" t="n">
        <v>13.75</v>
      </c>
      <c r="H132" s="8" t="n">
        <v>61.700001</v>
      </c>
      <c r="I132" s="8" t="n">
        <v>1756.540039</v>
      </c>
      <c r="J132" s="8" t="n">
        <v>76.476479</v>
      </c>
      <c r="L132" s="9">
        <f>LN(B132/B131)</f>
        <v/>
      </c>
      <c r="M132" s="9">
        <f>$M$1*(C132-C131)</f>
        <v/>
      </c>
      <c r="N132" s="9">
        <f>$N$1*(D132-D131)</f>
        <v/>
      </c>
      <c r="O132" s="9">
        <f>$O$1*LN(E132/E131)</f>
        <v/>
      </c>
      <c r="P132" s="9">
        <f>$P$1*LN(F132/F131)</f>
        <v/>
      </c>
      <c r="Q132" s="9">
        <f>$Q$1*(G132-G131)</f>
        <v/>
      </c>
      <c r="R132" s="9">
        <f>$R$1*(H132-H131)</f>
        <v/>
      </c>
      <c r="S132" s="9">
        <f>$S$1*LN(I132/I131)</f>
        <v/>
      </c>
      <c r="T132" s="9">
        <f>$T$1*LN(J132/J131)</f>
        <v/>
      </c>
      <c r="U132" s="9">
        <f>$W$12+$W$4*M132+$W$5*N132+$W$6*O132+$W$7*P132+$W$8*Q132+$W$9*R132+$W$10*S132+$W$11*T132</f>
        <v/>
      </c>
      <c r="AA132" s="10">
        <f>INDEX(LINEST(L73:L132,M73:T132,TRUE,TRUE),1,9)*12</f>
        <v/>
      </c>
      <c r="AB132" s="9">
        <f>INDEX(LINEST(L73:L132,M73:T132,TRUE,TRUE),1,8)</f>
        <v/>
      </c>
      <c r="AC132" s="9">
        <f>INDEX(LINEST(L73:L132,M73:T132,TRUE,TRUE),1,7)</f>
        <v/>
      </c>
      <c r="AD132" s="9">
        <f>INDEX(LINEST(L73:L132,M73:T132,TRUE,TRUE),1,6)</f>
        <v/>
      </c>
      <c r="AE132" s="9">
        <f>INDEX(LINEST(L73:L132,M73:T132,TRUE,TRUE),1,5)</f>
        <v/>
      </c>
      <c r="AF132" s="9">
        <f>INDEX(LINEST(L73:L132,M73:T132,TRUE,TRUE),1,4)</f>
        <v/>
      </c>
      <c r="AG132" s="9">
        <f>INDEX(LINEST(L73:L132,M73:T132,TRUE,TRUE),1,3)</f>
        <v/>
      </c>
      <c r="AH132" s="9">
        <f>INDEX(LINEST(L73:L132,M73:T132,TRUE,TRUE),1,2)</f>
        <v/>
      </c>
      <c r="AI132" s="9">
        <f>INDEX(LINEST(L73:L132,M73:T132,TRUE,TRUE),1,1)</f>
        <v/>
      </c>
      <c r="AJ132" s="10">
        <f>INDEX(LINEST(L73:L132,M73:T132,TRUE,TRUE),3,1)</f>
        <v/>
      </c>
      <c r="AK132" s="9">
        <f>AA131/12+AB131*M132+AC131*N132+AD131*O132+AE131*P132+AF131*Q132+AG131*R132+AH131*S132+AI131*T132</f>
        <v/>
      </c>
      <c r="AL132" s="9">
        <f>AVERAGE(L72:L131)</f>
        <v/>
      </c>
    </row>
    <row r="133">
      <c r="A133" s="7" t="n">
        <v>41608</v>
      </c>
      <c r="B133" s="8" t="n">
        <v>1253</v>
      </c>
      <c r="C133" s="8" t="n">
        <v>2.15</v>
      </c>
      <c r="D133" s="8" t="n">
        <v>0.6</v>
      </c>
      <c r="E133" s="8" t="n">
        <v>80.68000000000001</v>
      </c>
      <c r="F133" s="8" t="n">
        <v>92.55</v>
      </c>
      <c r="G133" s="8" t="n">
        <v>13.7</v>
      </c>
      <c r="H133" s="8" t="n">
        <v>68</v>
      </c>
      <c r="I133" s="8" t="n">
        <v>1805.810059</v>
      </c>
      <c r="J133" s="8" t="n">
        <v>76.284752</v>
      </c>
      <c r="L133" s="9">
        <f>LN(B133/B132)</f>
        <v/>
      </c>
      <c r="M133" s="9">
        <f>$M$1*(C133-C132)</f>
        <v/>
      </c>
      <c r="N133" s="9">
        <f>$N$1*(D133-D132)</f>
        <v/>
      </c>
      <c r="O133" s="9">
        <f>$O$1*LN(E133/E132)</f>
        <v/>
      </c>
      <c r="P133" s="9">
        <f>$P$1*LN(F133/F132)</f>
        <v/>
      </c>
      <c r="Q133" s="9">
        <f>$Q$1*(G133-G132)</f>
        <v/>
      </c>
      <c r="R133" s="9">
        <f>$R$1*(H133-H132)</f>
        <v/>
      </c>
      <c r="S133" s="9">
        <f>$S$1*LN(I133/I132)</f>
        <v/>
      </c>
      <c r="T133" s="9">
        <f>$T$1*LN(J133/J132)</f>
        <v/>
      </c>
      <c r="U133" s="9">
        <f>$W$12+$W$4*M133+$W$5*N133+$W$6*O133+$W$7*P133+$W$8*Q133+$W$9*R133+$W$10*S133+$W$11*T133</f>
        <v/>
      </c>
      <c r="AA133" s="10">
        <f>INDEX(LINEST(L74:L133,M74:T133,TRUE,TRUE),1,9)*12</f>
        <v/>
      </c>
      <c r="AB133" s="9">
        <f>INDEX(LINEST(L74:L133,M74:T133,TRUE,TRUE),1,8)</f>
        <v/>
      </c>
      <c r="AC133" s="9">
        <f>INDEX(LINEST(L74:L133,M74:T133,TRUE,TRUE),1,7)</f>
        <v/>
      </c>
      <c r="AD133" s="9">
        <f>INDEX(LINEST(L74:L133,M74:T133,TRUE,TRUE),1,6)</f>
        <v/>
      </c>
      <c r="AE133" s="9">
        <f>INDEX(LINEST(L74:L133,M74:T133,TRUE,TRUE),1,5)</f>
        <v/>
      </c>
      <c r="AF133" s="9">
        <f>INDEX(LINEST(L74:L133,M74:T133,TRUE,TRUE),1,4)</f>
        <v/>
      </c>
      <c r="AG133" s="9">
        <f>INDEX(LINEST(L74:L133,M74:T133,TRUE,TRUE),1,3)</f>
        <v/>
      </c>
      <c r="AH133" s="9">
        <f>INDEX(LINEST(L74:L133,M74:T133,TRUE,TRUE),1,2)</f>
        <v/>
      </c>
      <c r="AI133" s="9">
        <f>INDEX(LINEST(L74:L133,M74:T133,TRUE,TRUE),1,1)</f>
        <v/>
      </c>
      <c r="AJ133" s="10">
        <f>INDEX(LINEST(L74:L133,M74:T133,TRUE,TRUE),3,1)</f>
        <v/>
      </c>
      <c r="AK133" s="9">
        <f>AA132/12+AB132*M133+AC132*N133+AD132*O133+AE132*P133+AF132*Q133+AG132*R133+AH132*S133+AI132*T133</f>
        <v/>
      </c>
      <c r="AL133" s="9">
        <f>AVERAGE(L73:L132)</f>
        <v/>
      </c>
    </row>
    <row r="134">
      <c r="A134" s="7" t="n">
        <v>41639</v>
      </c>
      <c r="B134" s="8" t="n">
        <v>1204.5</v>
      </c>
      <c r="C134" s="8" t="n">
        <v>2.24</v>
      </c>
      <c r="D134" s="8" t="n">
        <v>0.8</v>
      </c>
      <c r="E134" s="8" t="n">
        <v>80.040001</v>
      </c>
      <c r="F134" s="8" t="n">
        <v>98.17</v>
      </c>
      <c r="G134" s="8" t="n">
        <v>13.72</v>
      </c>
      <c r="H134" s="8" t="n">
        <v>73.5</v>
      </c>
      <c r="I134" s="8" t="n">
        <v>1848.359985</v>
      </c>
      <c r="J134" s="8" t="n">
        <v>75.860016</v>
      </c>
      <c r="L134" s="9">
        <f>LN(B134/B133)</f>
        <v/>
      </c>
      <c r="M134" s="9">
        <f>$M$1*(C134-C133)</f>
        <v/>
      </c>
      <c r="N134" s="9">
        <f>$N$1*(D134-D133)</f>
        <v/>
      </c>
      <c r="O134" s="9">
        <f>$O$1*LN(E134/E133)</f>
        <v/>
      </c>
      <c r="P134" s="9">
        <f>$P$1*LN(F134/F133)</f>
        <v/>
      </c>
      <c r="Q134" s="9">
        <f>$Q$1*(G134-G133)</f>
        <v/>
      </c>
      <c r="R134" s="9">
        <f>$R$1*(H134-H133)</f>
        <v/>
      </c>
      <c r="S134" s="9">
        <f>$S$1*LN(I134/I133)</f>
        <v/>
      </c>
      <c r="T134" s="9">
        <f>$T$1*LN(J134/J133)</f>
        <v/>
      </c>
      <c r="U134" s="9">
        <f>$W$12+$W$4*M134+$W$5*N134+$W$6*O134+$W$7*P134+$W$8*Q134+$W$9*R134+$W$10*S134+$W$11*T134</f>
        <v/>
      </c>
      <c r="AA134" s="10">
        <f>INDEX(LINEST(L75:L134,M75:T134,TRUE,TRUE),1,9)*12</f>
        <v/>
      </c>
      <c r="AB134" s="9">
        <f>INDEX(LINEST(L75:L134,M75:T134,TRUE,TRUE),1,8)</f>
        <v/>
      </c>
      <c r="AC134" s="9">
        <f>INDEX(LINEST(L75:L134,M75:T134,TRUE,TRUE),1,7)</f>
        <v/>
      </c>
      <c r="AD134" s="9">
        <f>INDEX(LINEST(L75:L134,M75:T134,TRUE,TRUE),1,6)</f>
        <v/>
      </c>
      <c r="AE134" s="9">
        <f>INDEX(LINEST(L75:L134,M75:T134,TRUE,TRUE),1,5)</f>
        <v/>
      </c>
      <c r="AF134" s="9">
        <f>INDEX(LINEST(L75:L134,M75:T134,TRUE,TRUE),1,4)</f>
        <v/>
      </c>
      <c r="AG134" s="9">
        <f>INDEX(LINEST(L75:L134,M75:T134,TRUE,TRUE),1,3)</f>
        <v/>
      </c>
      <c r="AH134" s="9">
        <f>INDEX(LINEST(L75:L134,M75:T134,TRUE,TRUE),1,2)</f>
        <v/>
      </c>
      <c r="AI134" s="9">
        <f>INDEX(LINEST(L75:L134,M75:T134,TRUE,TRUE),1,1)</f>
        <v/>
      </c>
      <c r="AJ134" s="10">
        <f>INDEX(LINEST(L75:L134,M75:T134,TRUE,TRUE),3,1)</f>
        <v/>
      </c>
      <c r="AK134" s="9">
        <f>AA133/12+AB133*M134+AC133*N134+AD133*O134+AE133*P134+AF133*Q134+AG133*R134+AH133*S134+AI133*T134</f>
        <v/>
      </c>
      <c r="AL134" s="9">
        <f>AVERAGE(L74:L133)</f>
        <v/>
      </c>
    </row>
    <row r="135">
      <c r="A135" s="7" t="n">
        <v>41670</v>
      </c>
      <c r="B135" s="8" t="n">
        <v>1251</v>
      </c>
      <c r="C135" s="8" t="n">
        <v>2.14</v>
      </c>
      <c r="D135" s="8" t="n">
        <v>0.53</v>
      </c>
      <c r="E135" s="8" t="n">
        <v>81.269997</v>
      </c>
      <c r="F135" s="8" t="n">
        <v>97.55</v>
      </c>
      <c r="G135" s="8" t="n">
        <v>18.41</v>
      </c>
      <c r="H135" s="8" t="n">
        <v>64.699997</v>
      </c>
      <c r="I135" s="8" t="n">
        <v>1782.589966</v>
      </c>
      <c r="J135" s="8" t="n">
        <v>77.02898399999999</v>
      </c>
      <c r="L135" s="9">
        <f>LN(B135/B134)</f>
        <v/>
      </c>
      <c r="M135" s="9">
        <f>$M$1*(C135-C134)</f>
        <v/>
      </c>
      <c r="N135" s="9">
        <f>$N$1*(D135-D134)</f>
        <v/>
      </c>
      <c r="O135" s="9">
        <f>$O$1*LN(E135/E134)</f>
        <v/>
      </c>
      <c r="P135" s="9">
        <f>$P$1*LN(F135/F134)</f>
        <v/>
      </c>
      <c r="Q135" s="9">
        <f>$Q$1*(G135-G134)</f>
        <v/>
      </c>
      <c r="R135" s="9">
        <f>$R$1*(H135-H134)</f>
        <v/>
      </c>
      <c r="S135" s="9">
        <f>$S$1*LN(I135/I134)</f>
        <v/>
      </c>
      <c r="T135" s="9">
        <f>$T$1*LN(J135/J134)</f>
        <v/>
      </c>
      <c r="U135" s="9">
        <f>$W$12+$W$4*M135+$W$5*N135+$W$6*O135+$W$7*P135+$W$8*Q135+$W$9*R135+$W$10*S135+$W$11*T135</f>
        <v/>
      </c>
      <c r="AA135" s="10">
        <f>INDEX(LINEST(L76:L135,M76:T135,TRUE,TRUE),1,9)*12</f>
        <v/>
      </c>
      <c r="AB135" s="9">
        <f>INDEX(LINEST(L76:L135,M76:T135,TRUE,TRUE),1,8)</f>
        <v/>
      </c>
      <c r="AC135" s="9">
        <f>INDEX(LINEST(L76:L135,M76:T135,TRUE,TRUE),1,7)</f>
        <v/>
      </c>
      <c r="AD135" s="9">
        <f>INDEX(LINEST(L76:L135,M76:T135,TRUE,TRUE),1,6)</f>
        <v/>
      </c>
      <c r="AE135" s="9">
        <f>INDEX(LINEST(L76:L135,M76:T135,TRUE,TRUE),1,5)</f>
        <v/>
      </c>
      <c r="AF135" s="9">
        <f>INDEX(LINEST(L76:L135,M76:T135,TRUE,TRUE),1,4)</f>
        <v/>
      </c>
      <c r="AG135" s="9">
        <f>INDEX(LINEST(L76:L135,M76:T135,TRUE,TRUE),1,3)</f>
        <v/>
      </c>
      <c r="AH135" s="9">
        <f>INDEX(LINEST(L76:L135,M76:T135,TRUE,TRUE),1,2)</f>
        <v/>
      </c>
      <c r="AI135" s="9">
        <f>INDEX(LINEST(L76:L135,M76:T135,TRUE,TRUE),1,1)</f>
        <v/>
      </c>
      <c r="AJ135" s="10">
        <f>INDEX(LINEST(L76:L135,M76:T135,TRUE,TRUE),3,1)</f>
        <v/>
      </c>
      <c r="AK135" s="9">
        <f>AA134/12+AB134*M135+AC134*N135+AD134*O135+AE134*P135+AF134*Q135+AG134*R135+AH134*S135+AI134*T135</f>
        <v/>
      </c>
      <c r="AL135" s="9">
        <f>AVERAGE(L75:L134)</f>
        <v/>
      </c>
    </row>
    <row r="136">
      <c r="A136" s="7" t="n">
        <v>41698</v>
      </c>
      <c r="B136" s="8" t="n">
        <v>1326.5</v>
      </c>
      <c r="C136" s="8" t="n">
        <v>2.17</v>
      </c>
      <c r="D136" s="8" t="n">
        <v>0.49</v>
      </c>
      <c r="E136" s="8" t="n">
        <v>79.779999</v>
      </c>
      <c r="F136" s="8" t="n">
        <v>102.88</v>
      </c>
      <c r="G136" s="8" t="n">
        <v>14</v>
      </c>
      <c r="H136" s="8" t="n">
        <v>57.700001</v>
      </c>
      <c r="I136" s="8" t="n">
        <v>1859.449951</v>
      </c>
      <c r="J136" s="8" t="n">
        <v>77.318909</v>
      </c>
      <c r="L136" s="9">
        <f>LN(B136/B135)</f>
        <v/>
      </c>
      <c r="M136" s="9">
        <f>$M$1*(C136-C135)</f>
        <v/>
      </c>
      <c r="N136" s="9">
        <f>$N$1*(D136-D135)</f>
        <v/>
      </c>
      <c r="O136" s="9">
        <f>$O$1*LN(E136/E135)</f>
        <v/>
      </c>
      <c r="P136" s="9">
        <f>$P$1*LN(F136/F135)</f>
        <v/>
      </c>
      <c r="Q136" s="9">
        <f>$Q$1*(G136-G135)</f>
        <v/>
      </c>
      <c r="R136" s="9">
        <f>$R$1*(H136-H135)</f>
        <v/>
      </c>
      <c r="S136" s="9">
        <f>$S$1*LN(I136/I135)</f>
        <v/>
      </c>
      <c r="T136" s="9">
        <f>$T$1*LN(J136/J135)</f>
        <v/>
      </c>
      <c r="U136" s="9">
        <f>$W$12+$W$4*M136+$W$5*N136+$W$6*O136+$W$7*P136+$W$8*Q136+$W$9*R136+$W$10*S136+$W$11*T136</f>
        <v/>
      </c>
      <c r="AA136" s="10">
        <f>INDEX(LINEST(L77:L136,M77:T136,TRUE,TRUE),1,9)*12</f>
        <v/>
      </c>
      <c r="AB136" s="9">
        <f>INDEX(LINEST(L77:L136,M77:T136,TRUE,TRUE),1,8)</f>
        <v/>
      </c>
      <c r="AC136" s="9">
        <f>INDEX(LINEST(L77:L136,M77:T136,TRUE,TRUE),1,7)</f>
        <v/>
      </c>
      <c r="AD136" s="9">
        <f>INDEX(LINEST(L77:L136,M77:T136,TRUE,TRUE),1,6)</f>
        <v/>
      </c>
      <c r="AE136" s="9">
        <f>INDEX(LINEST(L77:L136,M77:T136,TRUE,TRUE),1,5)</f>
        <v/>
      </c>
      <c r="AF136" s="9">
        <f>INDEX(LINEST(L77:L136,M77:T136,TRUE,TRUE),1,4)</f>
        <v/>
      </c>
      <c r="AG136" s="9">
        <f>INDEX(LINEST(L77:L136,M77:T136,TRUE,TRUE),1,3)</f>
        <v/>
      </c>
      <c r="AH136" s="9">
        <f>INDEX(LINEST(L77:L136,M77:T136,TRUE,TRUE),1,2)</f>
        <v/>
      </c>
      <c r="AI136" s="9">
        <f>INDEX(LINEST(L77:L136,M77:T136,TRUE,TRUE),1,1)</f>
        <v/>
      </c>
      <c r="AJ136" s="10">
        <f>INDEX(LINEST(L77:L136,M77:T136,TRUE,TRUE),3,1)</f>
        <v/>
      </c>
      <c r="AK136" s="9">
        <f>AA135/12+AB135*M136+AC135*N136+AD135*O136+AE135*P136+AF135*Q136+AG135*R136+AH135*S136+AI135*T136</f>
        <v/>
      </c>
      <c r="AL136" s="9">
        <f>AVERAGE(L76:L135)</f>
        <v/>
      </c>
    </row>
    <row r="137">
      <c r="A137" s="7" t="n">
        <v>41729</v>
      </c>
      <c r="B137" s="8" t="n">
        <v>1291.75</v>
      </c>
      <c r="C137" s="8" t="n">
        <v>2.13</v>
      </c>
      <c r="D137" s="8" t="n">
        <v>0.6</v>
      </c>
      <c r="E137" s="8" t="n">
        <v>80.099998</v>
      </c>
      <c r="F137" s="8" t="n">
        <v>101.57</v>
      </c>
      <c r="G137" s="8" t="n">
        <v>13.88</v>
      </c>
      <c r="H137" s="8" t="n">
        <v>61.799999</v>
      </c>
      <c r="I137" s="8" t="n">
        <v>1872.339966</v>
      </c>
      <c r="J137" s="8" t="n">
        <v>77.20442199999999</v>
      </c>
      <c r="L137" s="9">
        <f>LN(B137/B136)</f>
        <v/>
      </c>
      <c r="M137" s="9">
        <f>$M$1*(C137-C136)</f>
        <v/>
      </c>
      <c r="N137" s="9">
        <f>$N$1*(D137-D136)</f>
        <v/>
      </c>
      <c r="O137" s="9">
        <f>$O$1*LN(E137/E136)</f>
        <v/>
      </c>
      <c r="P137" s="9">
        <f>$P$1*LN(F137/F136)</f>
        <v/>
      </c>
      <c r="Q137" s="9">
        <f>$Q$1*(G137-G136)</f>
        <v/>
      </c>
      <c r="R137" s="9">
        <f>$R$1*(H137-H136)</f>
        <v/>
      </c>
      <c r="S137" s="9">
        <f>$S$1*LN(I137/I136)</f>
        <v/>
      </c>
      <c r="T137" s="9">
        <f>$T$1*LN(J137/J136)</f>
        <v/>
      </c>
      <c r="U137" s="9">
        <f>$W$12+$W$4*M137+$W$5*N137+$W$6*O137+$W$7*P137+$W$8*Q137+$W$9*R137+$W$10*S137+$W$11*T137</f>
        <v/>
      </c>
      <c r="AA137" s="10">
        <f>INDEX(LINEST(L78:L137,M78:T137,TRUE,TRUE),1,9)*12</f>
        <v/>
      </c>
      <c r="AB137" s="9">
        <f>INDEX(LINEST(L78:L137,M78:T137,TRUE,TRUE),1,8)</f>
        <v/>
      </c>
      <c r="AC137" s="9">
        <f>INDEX(LINEST(L78:L137,M78:T137,TRUE,TRUE),1,7)</f>
        <v/>
      </c>
      <c r="AD137" s="9">
        <f>INDEX(LINEST(L78:L137,M78:T137,TRUE,TRUE),1,6)</f>
        <v/>
      </c>
      <c r="AE137" s="9">
        <f>INDEX(LINEST(L78:L137,M78:T137,TRUE,TRUE),1,5)</f>
        <v/>
      </c>
      <c r="AF137" s="9">
        <f>INDEX(LINEST(L78:L137,M78:T137,TRUE,TRUE),1,4)</f>
        <v/>
      </c>
      <c r="AG137" s="9">
        <f>INDEX(LINEST(L78:L137,M78:T137,TRUE,TRUE),1,3)</f>
        <v/>
      </c>
      <c r="AH137" s="9">
        <f>INDEX(LINEST(L78:L137,M78:T137,TRUE,TRUE),1,2)</f>
        <v/>
      </c>
      <c r="AI137" s="9">
        <f>INDEX(LINEST(L78:L137,M78:T137,TRUE,TRUE),1,1)</f>
        <v/>
      </c>
      <c r="AJ137" s="10">
        <f>INDEX(LINEST(L78:L137,M78:T137,TRUE,TRUE),3,1)</f>
        <v/>
      </c>
      <c r="AK137" s="9">
        <f>AA136/12+AB136*M137+AC136*N137+AD136*O137+AE136*P137+AF136*Q137+AG136*R137+AH136*S137+AI136*T137</f>
        <v/>
      </c>
      <c r="AL137" s="9">
        <f>AVERAGE(L77:L136)</f>
        <v/>
      </c>
    </row>
    <row r="138">
      <c r="A138" s="7" t="n">
        <v>41759</v>
      </c>
      <c r="B138" s="8" t="n">
        <v>1288.5</v>
      </c>
      <c r="C138" s="8" t="n">
        <v>2.18</v>
      </c>
      <c r="D138" s="8" t="n">
        <v>0.49</v>
      </c>
      <c r="E138" s="8" t="n">
        <v>79.489998</v>
      </c>
      <c r="F138" s="8" t="n">
        <v>100.07</v>
      </c>
      <c r="G138" s="8" t="n">
        <v>13.41</v>
      </c>
      <c r="H138" s="8" t="n">
        <v>58.900002</v>
      </c>
      <c r="I138" s="8" t="n">
        <v>1883.949951</v>
      </c>
      <c r="J138" s="8" t="n">
        <v>77.838814</v>
      </c>
      <c r="L138" s="9">
        <f>LN(B138/B137)</f>
        <v/>
      </c>
      <c r="M138" s="9">
        <f>$M$1*(C138-C137)</f>
        <v/>
      </c>
      <c r="N138" s="9">
        <f>$N$1*(D138-D137)</f>
        <v/>
      </c>
      <c r="O138" s="9">
        <f>$O$1*LN(E138/E137)</f>
        <v/>
      </c>
      <c r="P138" s="9">
        <f>$P$1*LN(F138/F137)</f>
        <v/>
      </c>
      <c r="Q138" s="9">
        <f>$Q$1*(G138-G137)</f>
        <v/>
      </c>
      <c r="R138" s="9">
        <f>$R$1*(H138-H137)</f>
        <v/>
      </c>
      <c r="S138" s="9">
        <f>$S$1*LN(I138/I137)</f>
        <v/>
      </c>
      <c r="T138" s="9">
        <f>$T$1*LN(J138/J137)</f>
        <v/>
      </c>
      <c r="U138" s="9">
        <f>$W$12+$W$4*M138+$W$5*N138+$W$6*O138+$W$7*P138+$W$8*Q138+$W$9*R138+$W$10*S138+$W$11*T138</f>
        <v/>
      </c>
      <c r="AA138" s="10">
        <f>INDEX(LINEST(L79:L138,M79:T138,TRUE,TRUE),1,9)*12</f>
        <v/>
      </c>
      <c r="AB138" s="9">
        <f>INDEX(LINEST(L79:L138,M79:T138,TRUE,TRUE),1,8)</f>
        <v/>
      </c>
      <c r="AC138" s="9">
        <f>INDEX(LINEST(L79:L138,M79:T138,TRUE,TRUE),1,7)</f>
        <v/>
      </c>
      <c r="AD138" s="9">
        <f>INDEX(LINEST(L79:L138,M79:T138,TRUE,TRUE),1,6)</f>
        <v/>
      </c>
      <c r="AE138" s="9">
        <f>INDEX(LINEST(L79:L138,M79:T138,TRUE,TRUE),1,5)</f>
        <v/>
      </c>
      <c r="AF138" s="9">
        <f>INDEX(LINEST(L79:L138,M79:T138,TRUE,TRUE),1,4)</f>
        <v/>
      </c>
      <c r="AG138" s="9">
        <f>INDEX(LINEST(L79:L138,M79:T138,TRUE,TRUE),1,3)</f>
        <v/>
      </c>
      <c r="AH138" s="9">
        <f>INDEX(LINEST(L79:L138,M79:T138,TRUE,TRUE),1,2)</f>
        <v/>
      </c>
      <c r="AI138" s="9">
        <f>INDEX(LINEST(L79:L138,M79:T138,TRUE,TRUE),1,1)</f>
        <v/>
      </c>
      <c r="AJ138" s="10">
        <f>INDEX(LINEST(L79:L138,M79:T138,TRUE,TRUE),3,1)</f>
        <v/>
      </c>
      <c r="AK138" s="9">
        <f>AA137/12+AB137*M138+AC137*N138+AD137*O138+AE137*P138+AF137*Q138+AG137*R138+AH137*S138+AI137*T138</f>
        <v/>
      </c>
      <c r="AL138" s="9">
        <f>AVERAGE(L78:L137)</f>
        <v/>
      </c>
    </row>
    <row r="139">
      <c r="A139" s="7" t="n">
        <v>41790</v>
      </c>
      <c r="B139" s="8" t="n">
        <v>1250.5</v>
      </c>
      <c r="C139" s="8" t="n">
        <v>2.22</v>
      </c>
      <c r="D139" s="8" t="n">
        <v>0.26</v>
      </c>
      <c r="E139" s="8" t="n">
        <v>80.370003</v>
      </c>
      <c r="F139" s="8" t="n">
        <v>103.4</v>
      </c>
      <c r="G139" s="8" t="n">
        <v>11.4</v>
      </c>
      <c r="H139" s="8" t="n">
        <v>58.299999</v>
      </c>
      <c r="I139" s="8" t="n">
        <v>1923.569946</v>
      </c>
      <c r="J139" s="8" t="n">
        <v>78.756569</v>
      </c>
      <c r="L139" s="9">
        <f>LN(B139/B138)</f>
        <v/>
      </c>
      <c r="M139" s="9">
        <f>$M$1*(C139-C138)</f>
        <v/>
      </c>
      <c r="N139" s="9">
        <f>$N$1*(D139-D138)</f>
        <v/>
      </c>
      <c r="O139" s="9">
        <f>$O$1*LN(E139/E138)</f>
        <v/>
      </c>
      <c r="P139" s="9">
        <f>$P$1*LN(F139/F138)</f>
        <v/>
      </c>
      <c r="Q139" s="9">
        <f>$Q$1*(G139-G138)</f>
        <v/>
      </c>
      <c r="R139" s="9">
        <f>$R$1*(H139-H138)</f>
        <v/>
      </c>
      <c r="S139" s="9">
        <f>$S$1*LN(I139/I138)</f>
        <v/>
      </c>
      <c r="T139" s="9">
        <f>$T$1*LN(J139/J138)</f>
        <v/>
      </c>
      <c r="U139" s="9">
        <f>$W$12+$W$4*M139+$W$5*N139+$W$6*O139+$W$7*P139+$W$8*Q139+$W$9*R139+$W$10*S139+$W$11*T139</f>
        <v/>
      </c>
      <c r="AA139" s="10">
        <f>INDEX(LINEST(L80:L139,M80:T139,TRUE,TRUE),1,9)*12</f>
        <v/>
      </c>
      <c r="AB139" s="9">
        <f>INDEX(LINEST(L80:L139,M80:T139,TRUE,TRUE),1,8)</f>
        <v/>
      </c>
      <c r="AC139" s="9">
        <f>INDEX(LINEST(L80:L139,M80:T139,TRUE,TRUE),1,7)</f>
        <v/>
      </c>
      <c r="AD139" s="9">
        <f>INDEX(LINEST(L80:L139,M80:T139,TRUE,TRUE),1,6)</f>
        <v/>
      </c>
      <c r="AE139" s="9">
        <f>INDEX(LINEST(L80:L139,M80:T139,TRUE,TRUE),1,5)</f>
        <v/>
      </c>
      <c r="AF139" s="9">
        <f>INDEX(LINEST(L80:L139,M80:T139,TRUE,TRUE),1,4)</f>
        <v/>
      </c>
      <c r="AG139" s="9">
        <f>INDEX(LINEST(L80:L139,M80:T139,TRUE,TRUE),1,3)</f>
        <v/>
      </c>
      <c r="AH139" s="9">
        <f>INDEX(LINEST(L80:L139,M80:T139,TRUE,TRUE),1,2)</f>
        <v/>
      </c>
      <c r="AI139" s="9">
        <f>INDEX(LINEST(L80:L139,M80:T139,TRUE,TRUE),1,1)</f>
        <v/>
      </c>
      <c r="AJ139" s="10">
        <f>INDEX(LINEST(L80:L139,M80:T139,TRUE,TRUE),3,1)</f>
        <v/>
      </c>
      <c r="AK139" s="9">
        <f>AA138/12+AB138*M139+AC138*N139+AD138*O139+AE138*P139+AF138*Q139+AG138*R139+AH138*S139+AI138*T139</f>
        <v/>
      </c>
      <c r="AL139" s="9">
        <f>AVERAGE(L79:L138)</f>
        <v/>
      </c>
    </row>
    <row r="140">
      <c r="A140" s="7" t="n">
        <v>41820</v>
      </c>
      <c r="B140" s="8" t="n">
        <v>1315</v>
      </c>
      <c r="C140" s="8" t="n">
        <v>2.26</v>
      </c>
      <c r="D140" s="8" t="n">
        <v>0.27</v>
      </c>
      <c r="E140" s="8" t="n">
        <v>79.779999</v>
      </c>
      <c r="F140" s="8" t="n">
        <v>106.07</v>
      </c>
      <c r="G140" s="8" t="n">
        <v>11.57</v>
      </c>
      <c r="H140" s="8" t="n">
        <v>52.700001</v>
      </c>
      <c r="I140" s="8" t="n">
        <v>1960.22998</v>
      </c>
      <c r="J140" s="8" t="n">
        <v>78.71122699999999</v>
      </c>
      <c r="L140" s="9">
        <f>LN(B140/B139)</f>
        <v/>
      </c>
      <c r="M140" s="9">
        <f>$M$1*(C140-C139)</f>
        <v/>
      </c>
      <c r="N140" s="9">
        <f>$N$1*(D140-D139)</f>
        <v/>
      </c>
      <c r="O140" s="9">
        <f>$O$1*LN(E140/E139)</f>
        <v/>
      </c>
      <c r="P140" s="9">
        <f>$P$1*LN(F140/F139)</f>
        <v/>
      </c>
      <c r="Q140" s="9">
        <f>$Q$1*(G140-G139)</f>
        <v/>
      </c>
      <c r="R140" s="9">
        <f>$R$1*(H140-H139)</f>
        <v/>
      </c>
      <c r="S140" s="9">
        <f>$S$1*LN(I140/I139)</f>
        <v/>
      </c>
      <c r="T140" s="9">
        <f>$T$1*LN(J140/J139)</f>
        <v/>
      </c>
      <c r="U140" s="9">
        <f>$W$12+$W$4*M140+$W$5*N140+$W$6*O140+$W$7*P140+$W$8*Q140+$W$9*R140+$W$10*S140+$W$11*T140</f>
        <v/>
      </c>
      <c r="AA140" s="10">
        <f>INDEX(LINEST(L81:L140,M81:T140,TRUE,TRUE),1,9)*12</f>
        <v/>
      </c>
      <c r="AB140" s="9">
        <f>INDEX(LINEST(L81:L140,M81:T140,TRUE,TRUE),1,8)</f>
        <v/>
      </c>
      <c r="AC140" s="9">
        <f>INDEX(LINEST(L81:L140,M81:T140,TRUE,TRUE),1,7)</f>
        <v/>
      </c>
      <c r="AD140" s="9">
        <f>INDEX(LINEST(L81:L140,M81:T140,TRUE,TRUE),1,6)</f>
        <v/>
      </c>
      <c r="AE140" s="9">
        <f>INDEX(LINEST(L81:L140,M81:T140,TRUE,TRUE),1,5)</f>
        <v/>
      </c>
      <c r="AF140" s="9">
        <f>INDEX(LINEST(L81:L140,M81:T140,TRUE,TRUE),1,4)</f>
        <v/>
      </c>
      <c r="AG140" s="9">
        <f>INDEX(LINEST(L81:L140,M81:T140,TRUE,TRUE),1,3)</f>
        <v/>
      </c>
      <c r="AH140" s="9">
        <f>INDEX(LINEST(L81:L140,M81:T140,TRUE,TRUE),1,2)</f>
        <v/>
      </c>
      <c r="AI140" s="9">
        <f>INDEX(LINEST(L81:L140,M81:T140,TRUE,TRUE),1,1)</f>
        <v/>
      </c>
      <c r="AJ140" s="10">
        <f>INDEX(LINEST(L81:L140,M81:T140,TRUE,TRUE),3,1)</f>
        <v/>
      </c>
      <c r="AK140" s="9">
        <f>AA139/12+AB139*M140+AC139*N140+AD139*O140+AE139*P140+AF139*Q140+AG139*R140+AH139*S140+AI139*T140</f>
        <v/>
      </c>
      <c r="AL140" s="9">
        <f>AVERAGE(L80:L139)</f>
        <v/>
      </c>
    </row>
    <row r="141">
      <c r="A141" s="7" t="n">
        <v>41851</v>
      </c>
      <c r="B141" s="8" t="n">
        <v>1285.25</v>
      </c>
      <c r="C141" s="8" t="n">
        <v>2.29</v>
      </c>
      <c r="D141" s="8" t="n">
        <v>0.29</v>
      </c>
      <c r="E141" s="8" t="n">
        <v>81.459999</v>
      </c>
      <c r="F141" s="8" t="n">
        <v>98.23</v>
      </c>
      <c r="G141" s="8" t="n">
        <v>16.95</v>
      </c>
      <c r="H141" s="8" t="n">
        <v>56.459999</v>
      </c>
      <c r="I141" s="8" t="n">
        <v>1930.670044</v>
      </c>
      <c r="J141" s="8" t="n">
        <v>78.513786</v>
      </c>
      <c r="L141" s="9">
        <f>LN(B141/B140)</f>
        <v/>
      </c>
      <c r="M141" s="9">
        <f>$M$1*(C141-C140)</f>
        <v/>
      </c>
      <c r="N141" s="9">
        <f>$N$1*(D141-D140)</f>
        <v/>
      </c>
      <c r="O141" s="9">
        <f>$O$1*LN(E141/E140)</f>
        <v/>
      </c>
      <c r="P141" s="9">
        <f>$P$1*LN(F141/F140)</f>
        <v/>
      </c>
      <c r="Q141" s="9">
        <f>$Q$1*(G141-G140)</f>
        <v/>
      </c>
      <c r="R141" s="9">
        <f>$R$1*(H141-H140)</f>
        <v/>
      </c>
      <c r="S141" s="9">
        <f>$S$1*LN(I141/I140)</f>
        <v/>
      </c>
      <c r="T141" s="9">
        <f>$T$1*LN(J141/J140)</f>
        <v/>
      </c>
      <c r="U141" s="9">
        <f>$W$12+$W$4*M141+$W$5*N141+$W$6*O141+$W$7*P141+$W$8*Q141+$W$9*R141+$W$10*S141+$W$11*T141</f>
        <v/>
      </c>
      <c r="AA141" s="10">
        <f>INDEX(LINEST(L82:L141,M82:T141,TRUE,TRUE),1,9)*12</f>
        <v/>
      </c>
      <c r="AB141" s="9">
        <f>INDEX(LINEST(L82:L141,M82:T141,TRUE,TRUE),1,8)</f>
        <v/>
      </c>
      <c r="AC141" s="9">
        <f>INDEX(LINEST(L82:L141,M82:T141,TRUE,TRUE),1,7)</f>
        <v/>
      </c>
      <c r="AD141" s="9">
        <f>INDEX(LINEST(L82:L141,M82:T141,TRUE,TRUE),1,6)</f>
        <v/>
      </c>
      <c r="AE141" s="9">
        <f>INDEX(LINEST(L82:L141,M82:T141,TRUE,TRUE),1,5)</f>
        <v/>
      </c>
      <c r="AF141" s="9">
        <f>INDEX(LINEST(L82:L141,M82:T141,TRUE,TRUE),1,4)</f>
        <v/>
      </c>
      <c r="AG141" s="9">
        <f>INDEX(LINEST(L82:L141,M82:T141,TRUE,TRUE),1,3)</f>
        <v/>
      </c>
      <c r="AH141" s="9">
        <f>INDEX(LINEST(L82:L141,M82:T141,TRUE,TRUE),1,2)</f>
        <v/>
      </c>
      <c r="AI141" s="9">
        <f>INDEX(LINEST(L82:L141,M82:T141,TRUE,TRUE),1,1)</f>
        <v/>
      </c>
      <c r="AJ141" s="10">
        <f>INDEX(LINEST(L82:L141,M82:T141,TRUE,TRUE),3,1)</f>
        <v/>
      </c>
      <c r="AK141" s="9">
        <f>AA140/12+AB140*M141+AC140*N141+AD140*O141+AE140*P141+AF140*Q141+AG140*R141+AH140*S141+AI140*T141</f>
        <v/>
      </c>
      <c r="AL141" s="9">
        <f>AVERAGE(L81:L140)</f>
        <v/>
      </c>
    </row>
    <row r="142">
      <c r="A142" s="7" t="n">
        <v>41882</v>
      </c>
      <c r="B142" s="8" t="n">
        <v>1285.75</v>
      </c>
      <c r="C142" s="8" t="n">
        <v>2.12</v>
      </c>
      <c r="D142" s="8" t="n">
        <v>0.23</v>
      </c>
      <c r="E142" s="8" t="n">
        <v>82.75</v>
      </c>
      <c r="F142" s="8" t="n">
        <v>97.86</v>
      </c>
      <c r="G142" s="8" t="n">
        <v>11.98</v>
      </c>
      <c r="H142" s="8" t="n">
        <v>60.490002</v>
      </c>
      <c r="I142" s="8" t="n">
        <v>2003.369995</v>
      </c>
      <c r="J142" s="8" t="n">
        <v>79.416359</v>
      </c>
      <c r="L142" s="9">
        <f>LN(B142/B141)</f>
        <v/>
      </c>
      <c r="M142" s="9">
        <f>$M$1*(C142-C141)</f>
        <v/>
      </c>
      <c r="N142" s="9">
        <f>$N$1*(D142-D141)</f>
        <v/>
      </c>
      <c r="O142" s="9">
        <f>$O$1*LN(E142/E141)</f>
        <v/>
      </c>
      <c r="P142" s="9">
        <f>$P$1*LN(F142/F141)</f>
        <v/>
      </c>
      <c r="Q142" s="9">
        <f>$Q$1*(G142-G141)</f>
        <v/>
      </c>
      <c r="R142" s="9">
        <f>$R$1*(H142-H141)</f>
        <v/>
      </c>
      <c r="S142" s="9">
        <f>$S$1*LN(I142/I141)</f>
        <v/>
      </c>
      <c r="T142" s="9">
        <f>$T$1*LN(J142/J141)</f>
        <v/>
      </c>
      <c r="U142" s="9">
        <f>$W$12+$W$4*M142+$W$5*N142+$W$6*O142+$W$7*P142+$W$8*Q142+$W$9*R142+$W$10*S142+$W$11*T142</f>
        <v/>
      </c>
      <c r="AA142" s="10">
        <f>INDEX(LINEST(L83:L142,M83:T142,TRUE,TRUE),1,9)*12</f>
        <v/>
      </c>
      <c r="AB142" s="9">
        <f>INDEX(LINEST(L83:L142,M83:T142,TRUE,TRUE),1,8)</f>
        <v/>
      </c>
      <c r="AC142" s="9">
        <f>INDEX(LINEST(L83:L142,M83:T142,TRUE,TRUE),1,7)</f>
        <v/>
      </c>
      <c r="AD142" s="9">
        <f>INDEX(LINEST(L83:L142,M83:T142,TRUE,TRUE),1,6)</f>
        <v/>
      </c>
      <c r="AE142" s="9">
        <f>INDEX(LINEST(L83:L142,M83:T142,TRUE,TRUE),1,5)</f>
        <v/>
      </c>
      <c r="AF142" s="9">
        <f>INDEX(LINEST(L83:L142,M83:T142,TRUE,TRUE),1,4)</f>
        <v/>
      </c>
      <c r="AG142" s="9">
        <f>INDEX(LINEST(L83:L142,M83:T142,TRUE,TRUE),1,3)</f>
        <v/>
      </c>
      <c r="AH142" s="9">
        <f>INDEX(LINEST(L83:L142,M83:T142,TRUE,TRUE),1,2)</f>
        <v/>
      </c>
      <c r="AI142" s="9">
        <f>INDEX(LINEST(L83:L142,M83:T142,TRUE,TRUE),1,1)</f>
        <v/>
      </c>
      <c r="AJ142" s="10">
        <f>INDEX(LINEST(L83:L142,M83:T142,TRUE,TRUE),3,1)</f>
        <v/>
      </c>
      <c r="AK142" s="9">
        <f>AA141/12+AB141*M142+AC141*N142+AD141*O142+AE141*P142+AF141*Q142+AG141*R142+AH141*S142+AI141*T142</f>
        <v/>
      </c>
      <c r="AL142" s="9">
        <f>AVERAGE(L82:L141)</f>
        <v/>
      </c>
    </row>
    <row r="143">
      <c r="A143" s="7" t="n">
        <v>41912</v>
      </c>
      <c r="B143" s="8" t="n">
        <v>1216.5</v>
      </c>
      <c r="C143" s="8" t="n">
        <v>1.97</v>
      </c>
      <c r="D143" s="8" t="n">
        <v>0.55</v>
      </c>
      <c r="E143" s="8" t="n">
        <v>85.94000200000001</v>
      </c>
      <c r="F143" s="8" t="n">
        <v>91.17</v>
      </c>
      <c r="G143" s="8" t="n">
        <v>16.31</v>
      </c>
      <c r="H143" s="8" t="n">
        <v>64.199997</v>
      </c>
      <c r="I143" s="8" t="n">
        <v>1972.290039</v>
      </c>
      <c r="J143" s="8" t="n">
        <v>78.928123</v>
      </c>
      <c r="L143" s="9">
        <f>LN(B143/B142)</f>
        <v/>
      </c>
      <c r="M143" s="9">
        <f>$M$1*(C143-C142)</f>
        <v/>
      </c>
      <c r="N143" s="9">
        <f>$N$1*(D143-D142)</f>
        <v/>
      </c>
      <c r="O143" s="9">
        <f>$O$1*LN(E143/E142)</f>
        <v/>
      </c>
      <c r="P143" s="9">
        <f>$P$1*LN(F143/F142)</f>
        <v/>
      </c>
      <c r="Q143" s="9">
        <f>$Q$1*(G143-G142)</f>
        <v/>
      </c>
      <c r="R143" s="9">
        <f>$R$1*(H143-H142)</f>
        <v/>
      </c>
      <c r="S143" s="9">
        <f>$S$1*LN(I143/I142)</f>
        <v/>
      </c>
      <c r="T143" s="9">
        <f>$T$1*LN(J143/J142)</f>
        <v/>
      </c>
      <c r="U143" s="9">
        <f>$W$12+$W$4*M143+$W$5*N143+$W$6*O143+$W$7*P143+$W$8*Q143+$W$9*R143+$W$10*S143+$W$11*T143</f>
        <v/>
      </c>
      <c r="AA143" s="10">
        <f>INDEX(LINEST(L84:L143,M84:T143,TRUE,TRUE),1,9)*12</f>
        <v/>
      </c>
      <c r="AB143" s="9">
        <f>INDEX(LINEST(L84:L143,M84:T143,TRUE,TRUE),1,8)</f>
        <v/>
      </c>
      <c r="AC143" s="9">
        <f>INDEX(LINEST(L84:L143,M84:T143,TRUE,TRUE),1,7)</f>
        <v/>
      </c>
      <c r="AD143" s="9">
        <f>INDEX(LINEST(L84:L143,M84:T143,TRUE,TRUE),1,6)</f>
        <v/>
      </c>
      <c r="AE143" s="9">
        <f>INDEX(LINEST(L84:L143,M84:T143,TRUE,TRUE),1,5)</f>
        <v/>
      </c>
      <c r="AF143" s="9">
        <f>INDEX(LINEST(L84:L143,M84:T143,TRUE,TRUE),1,4)</f>
        <v/>
      </c>
      <c r="AG143" s="9">
        <f>INDEX(LINEST(L84:L143,M84:T143,TRUE,TRUE),1,3)</f>
        <v/>
      </c>
      <c r="AH143" s="9">
        <f>INDEX(LINEST(L84:L143,M84:T143,TRUE,TRUE),1,2)</f>
        <v/>
      </c>
      <c r="AI143" s="9">
        <f>INDEX(LINEST(L84:L143,M84:T143,TRUE,TRUE),1,1)</f>
        <v/>
      </c>
      <c r="AJ143" s="10">
        <f>INDEX(LINEST(L84:L143,M84:T143,TRUE,TRUE),3,1)</f>
        <v/>
      </c>
      <c r="AK143" s="9">
        <f>AA142/12+AB142*M143+AC142*N143+AD142*O143+AE142*P143+AF142*Q143+AG142*R143+AH142*S143+AI142*T143</f>
        <v/>
      </c>
      <c r="AL143" s="9">
        <f>AVERAGE(L83:L142)</f>
        <v/>
      </c>
    </row>
    <row r="144">
      <c r="A144" s="7" t="n">
        <v>41943</v>
      </c>
      <c r="B144" s="8" t="n">
        <v>1164.25</v>
      </c>
      <c r="C144" s="8" t="n">
        <v>1.92</v>
      </c>
      <c r="D144" s="8" t="n">
        <v>0.43</v>
      </c>
      <c r="E144" s="8" t="n">
        <v>86.879997</v>
      </c>
      <c r="F144" s="8" t="n">
        <v>80.53</v>
      </c>
      <c r="G144" s="8" t="n">
        <v>14.03</v>
      </c>
      <c r="H144" s="8" t="n">
        <v>68.699997</v>
      </c>
      <c r="I144" s="8" t="n">
        <v>2018.050049</v>
      </c>
      <c r="J144" s="8" t="n">
        <v>79.76796</v>
      </c>
      <c r="L144" s="9">
        <f>LN(B144/B143)</f>
        <v/>
      </c>
      <c r="M144" s="9">
        <f>$M$1*(C144-C143)</f>
        <v/>
      </c>
      <c r="N144" s="9">
        <f>$N$1*(D144-D143)</f>
        <v/>
      </c>
      <c r="O144" s="9">
        <f>$O$1*LN(E144/E143)</f>
        <v/>
      </c>
      <c r="P144" s="9">
        <f>$P$1*LN(F144/F143)</f>
        <v/>
      </c>
      <c r="Q144" s="9">
        <f>$Q$1*(G144-G143)</f>
        <v/>
      </c>
      <c r="R144" s="9">
        <f>$R$1*(H144-H143)</f>
        <v/>
      </c>
      <c r="S144" s="9">
        <f>$S$1*LN(I144/I143)</f>
        <v/>
      </c>
      <c r="T144" s="9">
        <f>$T$1*LN(J144/J143)</f>
        <v/>
      </c>
      <c r="U144" s="9">
        <f>$W$12+$W$4*M144+$W$5*N144+$W$6*O144+$W$7*P144+$W$8*Q144+$W$9*R144+$W$10*S144+$W$11*T144</f>
        <v/>
      </c>
      <c r="AA144" s="10">
        <f>INDEX(LINEST(L85:L144,M85:T144,TRUE,TRUE),1,9)*12</f>
        <v/>
      </c>
      <c r="AB144" s="9">
        <f>INDEX(LINEST(L85:L144,M85:T144,TRUE,TRUE),1,8)</f>
        <v/>
      </c>
      <c r="AC144" s="9">
        <f>INDEX(LINEST(L85:L144,M85:T144,TRUE,TRUE),1,7)</f>
        <v/>
      </c>
      <c r="AD144" s="9">
        <f>INDEX(LINEST(L85:L144,M85:T144,TRUE,TRUE),1,6)</f>
        <v/>
      </c>
      <c r="AE144" s="9">
        <f>INDEX(LINEST(L85:L144,M85:T144,TRUE,TRUE),1,5)</f>
        <v/>
      </c>
      <c r="AF144" s="9">
        <f>INDEX(LINEST(L85:L144,M85:T144,TRUE,TRUE),1,4)</f>
        <v/>
      </c>
      <c r="AG144" s="9">
        <f>INDEX(LINEST(L85:L144,M85:T144,TRUE,TRUE),1,3)</f>
        <v/>
      </c>
      <c r="AH144" s="9">
        <f>INDEX(LINEST(L85:L144,M85:T144,TRUE,TRUE),1,2)</f>
        <v/>
      </c>
      <c r="AI144" s="9">
        <f>INDEX(LINEST(L85:L144,M85:T144,TRUE,TRUE),1,1)</f>
        <v/>
      </c>
      <c r="AJ144" s="10">
        <f>INDEX(LINEST(L85:L144,M85:T144,TRUE,TRUE),3,1)</f>
        <v/>
      </c>
      <c r="AK144" s="9">
        <f>AA143/12+AB143*M144+AC143*N144+AD143*O144+AE143*P144+AF143*Q144+AG143*R144+AH143*S144+AI143*T144</f>
        <v/>
      </c>
      <c r="AL144" s="9">
        <f>AVERAGE(L84:L143)</f>
        <v/>
      </c>
    </row>
    <row r="145">
      <c r="A145" s="7" t="n">
        <v>41973</v>
      </c>
      <c r="B145" s="8" t="n">
        <v>1182.75</v>
      </c>
      <c r="C145" s="8" t="n">
        <v>1.79</v>
      </c>
      <c r="D145" s="8" t="n">
        <v>0.39</v>
      </c>
      <c r="E145" s="8" t="n">
        <v>88.360001</v>
      </c>
      <c r="F145" s="8" t="n">
        <v>65.94</v>
      </c>
      <c r="G145" s="8" t="n">
        <v>13.33</v>
      </c>
      <c r="H145" s="8" t="n">
        <v>66.599998</v>
      </c>
      <c r="I145" s="8" t="n">
        <v>2067.560059</v>
      </c>
      <c r="J145" s="8" t="n">
        <v>80.292023</v>
      </c>
      <c r="L145" s="9">
        <f>LN(B145/B144)</f>
        <v/>
      </c>
      <c r="M145" s="9">
        <f>$M$1*(C145-C144)</f>
        <v/>
      </c>
      <c r="N145" s="9">
        <f>$N$1*(D145-D144)</f>
        <v/>
      </c>
      <c r="O145" s="9">
        <f>$O$1*LN(E145/E144)</f>
        <v/>
      </c>
      <c r="P145" s="9">
        <f>$P$1*LN(F145/F144)</f>
        <v/>
      </c>
      <c r="Q145" s="9">
        <f>$Q$1*(G145-G144)</f>
        <v/>
      </c>
      <c r="R145" s="9">
        <f>$R$1*(H145-H144)</f>
        <v/>
      </c>
      <c r="S145" s="9">
        <f>$S$1*LN(I145/I144)</f>
        <v/>
      </c>
      <c r="T145" s="9">
        <f>$T$1*LN(J145/J144)</f>
        <v/>
      </c>
      <c r="U145" s="9">
        <f>$W$12+$W$4*M145+$W$5*N145+$W$6*O145+$W$7*P145+$W$8*Q145+$W$9*R145+$W$10*S145+$W$11*T145</f>
        <v/>
      </c>
      <c r="AA145" s="10">
        <f>INDEX(LINEST(L86:L145,M86:T145,TRUE,TRUE),1,9)*12</f>
        <v/>
      </c>
      <c r="AB145" s="9">
        <f>INDEX(LINEST(L86:L145,M86:T145,TRUE,TRUE),1,8)</f>
        <v/>
      </c>
      <c r="AC145" s="9">
        <f>INDEX(LINEST(L86:L145,M86:T145,TRUE,TRUE),1,7)</f>
        <v/>
      </c>
      <c r="AD145" s="9">
        <f>INDEX(LINEST(L86:L145,M86:T145,TRUE,TRUE),1,6)</f>
        <v/>
      </c>
      <c r="AE145" s="9">
        <f>INDEX(LINEST(L86:L145,M86:T145,TRUE,TRUE),1,5)</f>
        <v/>
      </c>
      <c r="AF145" s="9">
        <f>INDEX(LINEST(L86:L145,M86:T145,TRUE,TRUE),1,4)</f>
        <v/>
      </c>
      <c r="AG145" s="9">
        <f>INDEX(LINEST(L86:L145,M86:T145,TRUE,TRUE),1,3)</f>
        <v/>
      </c>
      <c r="AH145" s="9">
        <f>INDEX(LINEST(L86:L145,M86:T145,TRUE,TRUE),1,2)</f>
        <v/>
      </c>
      <c r="AI145" s="9">
        <f>INDEX(LINEST(L86:L145,M86:T145,TRUE,TRUE),1,1)</f>
        <v/>
      </c>
      <c r="AJ145" s="10">
        <f>INDEX(LINEST(L86:L145,M86:T145,TRUE,TRUE),3,1)</f>
        <v/>
      </c>
      <c r="AK145" s="9">
        <f>AA144/12+AB144*M145+AC144*N145+AD144*O145+AE144*P145+AF144*Q145+AG144*R145+AH144*S145+AI144*T145</f>
        <v/>
      </c>
      <c r="AL145" s="9">
        <f>AVERAGE(L85:L144)</f>
        <v/>
      </c>
    </row>
    <row r="146">
      <c r="A146" s="7" t="n">
        <v>42004</v>
      </c>
      <c r="B146" s="8" t="n">
        <v>1206</v>
      </c>
      <c r="C146" s="8" t="n">
        <v>1.68</v>
      </c>
      <c r="D146" s="8" t="n">
        <v>0.49</v>
      </c>
      <c r="E146" s="8" t="n">
        <v>90.269997</v>
      </c>
      <c r="F146" s="8" t="n">
        <v>53.45</v>
      </c>
      <c r="G146" s="8" t="n">
        <v>19.2</v>
      </c>
      <c r="H146" s="8" t="n">
        <v>68.900002</v>
      </c>
      <c r="I146" s="8" t="n">
        <v>2058.899902</v>
      </c>
      <c r="J146" s="8" t="n">
        <v>80.41057600000001</v>
      </c>
      <c r="L146" s="9">
        <f>LN(B146/B145)</f>
        <v/>
      </c>
      <c r="M146" s="9">
        <f>$M$1*(C146-C145)</f>
        <v/>
      </c>
      <c r="N146" s="9">
        <f>$N$1*(D146-D145)</f>
        <v/>
      </c>
      <c r="O146" s="9">
        <f>$O$1*LN(E146/E145)</f>
        <v/>
      </c>
      <c r="P146" s="9">
        <f>$P$1*LN(F146/F145)</f>
        <v/>
      </c>
      <c r="Q146" s="9">
        <f>$Q$1*(G146-G145)</f>
        <v/>
      </c>
      <c r="R146" s="9">
        <f>$R$1*(H146-H145)</f>
        <v/>
      </c>
      <c r="S146" s="9">
        <f>$S$1*LN(I146/I145)</f>
        <v/>
      </c>
      <c r="T146" s="9">
        <f>$T$1*LN(J146/J145)</f>
        <v/>
      </c>
      <c r="U146" s="9">
        <f>$W$12+$W$4*M146+$W$5*N146+$W$6*O146+$W$7*P146+$W$8*Q146+$W$9*R146+$W$10*S146+$W$11*T146</f>
        <v/>
      </c>
      <c r="AA146" s="10">
        <f>INDEX(LINEST(L87:L146,M87:T146,TRUE,TRUE),1,9)*12</f>
        <v/>
      </c>
      <c r="AB146" s="9">
        <f>INDEX(LINEST(L87:L146,M87:T146,TRUE,TRUE),1,8)</f>
        <v/>
      </c>
      <c r="AC146" s="9">
        <f>INDEX(LINEST(L87:L146,M87:T146,TRUE,TRUE),1,7)</f>
        <v/>
      </c>
      <c r="AD146" s="9">
        <f>INDEX(LINEST(L87:L146,M87:T146,TRUE,TRUE),1,6)</f>
        <v/>
      </c>
      <c r="AE146" s="9">
        <f>INDEX(LINEST(L87:L146,M87:T146,TRUE,TRUE),1,5)</f>
        <v/>
      </c>
      <c r="AF146" s="9">
        <f>INDEX(LINEST(L87:L146,M87:T146,TRUE,TRUE),1,4)</f>
        <v/>
      </c>
      <c r="AG146" s="9">
        <f>INDEX(LINEST(L87:L146,M87:T146,TRUE,TRUE),1,3)</f>
        <v/>
      </c>
      <c r="AH146" s="9">
        <f>INDEX(LINEST(L87:L146,M87:T146,TRUE,TRUE),1,2)</f>
        <v/>
      </c>
      <c r="AI146" s="9">
        <f>INDEX(LINEST(L87:L146,M87:T146,TRUE,TRUE),1,1)</f>
        <v/>
      </c>
      <c r="AJ146" s="10">
        <f>INDEX(LINEST(L87:L146,M87:T146,TRUE,TRUE),3,1)</f>
        <v/>
      </c>
      <c r="AK146" s="9">
        <f>AA145/12+AB145*M146+AC145*N146+AD145*O146+AE145*P146+AF145*Q146+AG145*R146+AH145*S146+AI145*T146</f>
        <v/>
      </c>
      <c r="AL146" s="9">
        <f>AVERAGE(L86:L145)</f>
        <v/>
      </c>
    </row>
    <row r="147">
      <c r="A147" s="7" t="n">
        <v>42035</v>
      </c>
      <c r="B147" s="8" t="n">
        <v>1260.25</v>
      </c>
      <c r="C147" s="8" t="n">
        <v>1.65</v>
      </c>
      <c r="D147" s="8" t="n">
        <v>0.03</v>
      </c>
      <c r="E147" s="8" t="n">
        <v>94.800003</v>
      </c>
      <c r="F147" s="8" t="n">
        <v>47.79</v>
      </c>
      <c r="G147" s="8" t="n">
        <v>20.97</v>
      </c>
      <c r="H147" s="8" t="n">
        <v>86.599998</v>
      </c>
      <c r="I147" s="8" t="n">
        <v>1994.98999</v>
      </c>
      <c r="J147" s="8" t="n">
        <v>82.06083700000001</v>
      </c>
      <c r="L147" s="9">
        <f>LN(B147/B146)</f>
        <v/>
      </c>
      <c r="M147" s="9">
        <f>$M$1*(C147-C146)</f>
        <v/>
      </c>
      <c r="N147" s="9">
        <f>$N$1*(D147-D146)</f>
        <v/>
      </c>
      <c r="O147" s="9">
        <f>$O$1*LN(E147/E146)</f>
        <v/>
      </c>
      <c r="P147" s="9">
        <f>$P$1*LN(F147/F146)</f>
        <v/>
      </c>
      <c r="Q147" s="9">
        <f>$Q$1*(G147-G146)</f>
        <v/>
      </c>
      <c r="R147" s="9">
        <f>$R$1*(H147-H146)</f>
        <v/>
      </c>
      <c r="S147" s="9">
        <f>$S$1*LN(I147/I146)</f>
        <v/>
      </c>
      <c r="T147" s="9">
        <f>$T$1*LN(J147/J146)</f>
        <v/>
      </c>
      <c r="U147" s="9">
        <f>$W$12+$W$4*M147+$W$5*N147+$W$6*O147+$W$7*P147+$W$8*Q147+$W$9*R147+$W$10*S147+$W$11*T147</f>
        <v/>
      </c>
      <c r="AA147" s="10">
        <f>INDEX(LINEST(L88:L147,M88:T147,TRUE,TRUE),1,9)*12</f>
        <v/>
      </c>
      <c r="AB147" s="9">
        <f>INDEX(LINEST(L88:L147,M88:T147,TRUE,TRUE),1,8)</f>
        <v/>
      </c>
      <c r="AC147" s="9">
        <f>INDEX(LINEST(L88:L147,M88:T147,TRUE,TRUE),1,7)</f>
        <v/>
      </c>
      <c r="AD147" s="9">
        <f>INDEX(LINEST(L88:L147,M88:T147,TRUE,TRUE),1,6)</f>
        <v/>
      </c>
      <c r="AE147" s="9">
        <f>INDEX(LINEST(L88:L147,M88:T147,TRUE,TRUE),1,5)</f>
        <v/>
      </c>
      <c r="AF147" s="9">
        <f>INDEX(LINEST(L88:L147,M88:T147,TRUE,TRUE),1,4)</f>
        <v/>
      </c>
      <c r="AG147" s="9">
        <f>INDEX(LINEST(L88:L147,M88:T147,TRUE,TRUE),1,3)</f>
        <v/>
      </c>
      <c r="AH147" s="9">
        <f>INDEX(LINEST(L88:L147,M88:T147,TRUE,TRUE),1,2)</f>
        <v/>
      </c>
      <c r="AI147" s="9">
        <f>INDEX(LINEST(L88:L147,M88:T147,TRUE,TRUE),1,1)</f>
        <v/>
      </c>
      <c r="AJ147" s="10">
        <f>INDEX(LINEST(L88:L147,M88:T147,TRUE,TRUE),3,1)</f>
        <v/>
      </c>
      <c r="AK147" s="9">
        <f>AA146/12+AB146*M147+AC146*N147+AD146*O147+AE146*P147+AF146*Q147+AG146*R147+AH146*S147+AI146*T147</f>
        <v/>
      </c>
      <c r="AL147" s="9">
        <f>AVERAGE(L87:L146)</f>
        <v/>
      </c>
    </row>
    <row r="148">
      <c r="A148" s="7" t="n">
        <v>42063</v>
      </c>
      <c r="B148" s="8" t="n">
        <v>1214</v>
      </c>
      <c r="C148" s="8" t="n">
        <v>1.83</v>
      </c>
      <c r="D148" s="8" t="n">
        <v>0.17</v>
      </c>
      <c r="E148" s="8" t="n">
        <v>95.25</v>
      </c>
      <c r="F148" s="8" t="n">
        <v>49.84</v>
      </c>
      <c r="G148" s="8" t="n">
        <v>13.34</v>
      </c>
      <c r="H148" s="8" t="n">
        <v>91.400002</v>
      </c>
      <c r="I148" s="8" t="n">
        <v>2104.5</v>
      </c>
      <c r="J148" s="8" t="n">
        <v>81.326561</v>
      </c>
      <c r="L148" s="9">
        <f>LN(B148/B147)</f>
        <v/>
      </c>
      <c r="M148" s="9">
        <f>$M$1*(C148-C147)</f>
        <v/>
      </c>
      <c r="N148" s="9">
        <f>$N$1*(D148-D147)</f>
        <v/>
      </c>
      <c r="O148" s="9">
        <f>$O$1*LN(E148/E147)</f>
        <v/>
      </c>
      <c r="P148" s="9">
        <f>$P$1*LN(F148/F147)</f>
        <v/>
      </c>
      <c r="Q148" s="9">
        <f>$Q$1*(G148-G147)</f>
        <v/>
      </c>
      <c r="R148" s="9">
        <f>$R$1*(H148-H147)</f>
        <v/>
      </c>
      <c r="S148" s="9">
        <f>$S$1*LN(I148/I147)</f>
        <v/>
      </c>
      <c r="T148" s="9">
        <f>$T$1*LN(J148/J147)</f>
        <v/>
      </c>
      <c r="U148" s="9">
        <f>$W$12+$W$4*M148+$W$5*N148+$W$6*O148+$W$7*P148+$W$8*Q148+$W$9*R148+$W$10*S148+$W$11*T148</f>
        <v/>
      </c>
      <c r="AA148" s="10">
        <f>INDEX(LINEST(L89:L148,M89:T148,TRUE,TRUE),1,9)*12</f>
        <v/>
      </c>
      <c r="AB148" s="9">
        <f>INDEX(LINEST(L89:L148,M89:T148,TRUE,TRUE),1,8)</f>
        <v/>
      </c>
      <c r="AC148" s="9">
        <f>INDEX(LINEST(L89:L148,M89:T148,TRUE,TRUE),1,7)</f>
        <v/>
      </c>
      <c r="AD148" s="9">
        <f>INDEX(LINEST(L89:L148,M89:T148,TRUE,TRUE),1,6)</f>
        <v/>
      </c>
      <c r="AE148" s="9">
        <f>INDEX(LINEST(L89:L148,M89:T148,TRUE,TRUE),1,5)</f>
        <v/>
      </c>
      <c r="AF148" s="9">
        <f>INDEX(LINEST(L89:L148,M89:T148,TRUE,TRUE),1,4)</f>
        <v/>
      </c>
      <c r="AG148" s="9">
        <f>INDEX(LINEST(L89:L148,M89:T148,TRUE,TRUE),1,3)</f>
        <v/>
      </c>
      <c r="AH148" s="9">
        <f>INDEX(LINEST(L89:L148,M89:T148,TRUE,TRUE),1,2)</f>
        <v/>
      </c>
      <c r="AI148" s="9">
        <f>INDEX(LINEST(L89:L148,M89:T148,TRUE,TRUE),1,1)</f>
        <v/>
      </c>
      <c r="AJ148" s="10">
        <f>INDEX(LINEST(L89:L148,M89:T148,TRUE,TRUE),3,1)</f>
        <v/>
      </c>
      <c r="AK148" s="9">
        <f>AA147/12+AB147*M148+AC147*N148+AD147*O148+AE147*P148+AF147*Q148+AG147*R148+AH147*S148+AI147*T148</f>
        <v/>
      </c>
      <c r="AL148" s="9">
        <f>AVERAGE(L88:L147)</f>
        <v/>
      </c>
    </row>
    <row r="149">
      <c r="A149" s="7" t="n">
        <v>42094</v>
      </c>
      <c r="B149" s="8" t="n">
        <v>1187</v>
      </c>
      <c r="C149" s="8" t="n">
        <v>1.76</v>
      </c>
      <c r="D149" s="8" t="n">
        <v>0.18</v>
      </c>
      <c r="E149" s="8" t="n">
        <v>98.360001</v>
      </c>
      <c r="F149" s="8" t="n">
        <v>47.72</v>
      </c>
      <c r="G149" s="8" t="n">
        <v>15.29</v>
      </c>
      <c r="H149" s="8" t="n">
        <v>86.099998</v>
      </c>
      <c r="I149" s="8" t="n">
        <v>2067.889893</v>
      </c>
      <c r="J149" s="8" t="n">
        <v>81.63131</v>
      </c>
      <c r="L149" s="9">
        <f>LN(B149/B148)</f>
        <v/>
      </c>
      <c r="M149" s="9">
        <f>$M$1*(C149-C148)</f>
        <v/>
      </c>
      <c r="N149" s="9">
        <f>$N$1*(D149-D148)</f>
        <v/>
      </c>
      <c r="O149" s="9">
        <f>$O$1*LN(E149/E148)</f>
        <v/>
      </c>
      <c r="P149" s="9">
        <f>$P$1*LN(F149/F148)</f>
        <v/>
      </c>
      <c r="Q149" s="9">
        <f>$Q$1*(G149-G148)</f>
        <v/>
      </c>
      <c r="R149" s="9">
        <f>$R$1*(H149-H148)</f>
        <v/>
      </c>
      <c r="S149" s="9">
        <f>$S$1*LN(I149/I148)</f>
        <v/>
      </c>
      <c r="T149" s="9">
        <f>$T$1*LN(J149/J148)</f>
        <v/>
      </c>
      <c r="U149" s="9">
        <f>$W$12+$W$4*M149+$W$5*N149+$W$6*O149+$W$7*P149+$W$8*Q149+$W$9*R149+$W$10*S149+$W$11*T149</f>
        <v/>
      </c>
      <c r="AA149" s="10">
        <f>INDEX(LINEST(L90:L149,M90:T149,TRUE,TRUE),1,9)*12</f>
        <v/>
      </c>
      <c r="AB149" s="9">
        <f>INDEX(LINEST(L90:L149,M90:T149,TRUE,TRUE),1,8)</f>
        <v/>
      </c>
      <c r="AC149" s="9">
        <f>INDEX(LINEST(L90:L149,M90:T149,TRUE,TRUE),1,7)</f>
        <v/>
      </c>
      <c r="AD149" s="9">
        <f>INDEX(LINEST(L90:L149,M90:T149,TRUE,TRUE),1,6)</f>
        <v/>
      </c>
      <c r="AE149" s="9">
        <f>INDEX(LINEST(L90:L149,M90:T149,TRUE,TRUE),1,5)</f>
        <v/>
      </c>
      <c r="AF149" s="9">
        <f>INDEX(LINEST(L90:L149,M90:T149,TRUE,TRUE),1,4)</f>
        <v/>
      </c>
      <c r="AG149" s="9">
        <f>INDEX(LINEST(L90:L149,M90:T149,TRUE,TRUE),1,3)</f>
        <v/>
      </c>
      <c r="AH149" s="9">
        <f>INDEX(LINEST(L90:L149,M90:T149,TRUE,TRUE),1,2)</f>
        <v/>
      </c>
      <c r="AI149" s="9">
        <f>INDEX(LINEST(L90:L149,M90:T149,TRUE,TRUE),1,1)</f>
        <v/>
      </c>
      <c r="AJ149" s="10">
        <f>INDEX(LINEST(L90:L149,M90:T149,TRUE,TRUE),3,1)</f>
        <v/>
      </c>
      <c r="AK149" s="9">
        <f>AA148/12+AB148*M149+AC148*N149+AD148*O149+AE148*P149+AF148*Q149+AG148*R149+AH148*S149+AI148*T149</f>
        <v/>
      </c>
      <c r="AL149" s="9">
        <f>AVERAGE(L89:L148)</f>
        <v/>
      </c>
    </row>
    <row r="150">
      <c r="A150" s="7" t="n">
        <v>42124</v>
      </c>
      <c r="B150" s="8" t="n">
        <v>1180.25</v>
      </c>
      <c r="C150" s="8" t="n">
        <v>1.94</v>
      </c>
      <c r="D150" s="8" t="n">
        <v>0.11</v>
      </c>
      <c r="E150" s="8" t="n">
        <v>94.599998</v>
      </c>
      <c r="F150" s="8" t="n">
        <v>59.62</v>
      </c>
      <c r="G150" s="8" t="n">
        <v>14.55</v>
      </c>
      <c r="H150" s="8" t="n">
        <v>75.300003</v>
      </c>
      <c r="I150" s="8" t="n">
        <v>2085.51001</v>
      </c>
      <c r="J150" s="8" t="n">
        <v>81.367805</v>
      </c>
      <c r="L150" s="9">
        <f>LN(B150/B149)</f>
        <v/>
      </c>
      <c r="M150" s="9">
        <f>$M$1*(C150-C149)</f>
        <v/>
      </c>
      <c r="N150" s="9">
        <f>$N$1*(D150-D149)</f>
        <v/>
      </c>
      <c r="O150" s="9">
        <f>$O$1*LN(E150/E149)</f>
        <v/>
      </c>
      <c r="P150" s="9">
        <f>$P$1*LN(F150/F149)</f>
        <v/>
      </c>
      <c r="Q150" s="9">
        <f>$Q$1*(G150-G149)</f>
        <v/>
      </c>
      <c r="R150" s="9">
        <f>$R$1*(H150-H149)</f>
        <v/>
      </c>
      <c r="S150" s="9">
        <f>$S$1*LN(I150/I149)</f>
        <v/>
      </c>
      <c r="T150" s="9">
        <f>$T$1*LN(J150/J149)</f>
        <v/>
      </c>
      <c r="U150" s="9">
        <f>$W$12+$W$4*M150+$W$5*N150+$W$6*O150+$W$7*P150+$W$8*Q150+$W$9*R150+$W$10*S150+$W$11*T150</f>
        <v/>
      </c>
      <c r="AA150" s="10">
        <f>INDEX(LINEST(L91:L150,M91:T150,TRUE,TRUE),1,9)*12</f>
        <v/>
      </c>
      <c r="AB150" s="9">
        <f>INDEX(LINEST(L91:L150,M91:T150,TRUE,TRUE),1,8)</f>
        <v/>
      </c>
      <c r="AC150" s="9">
        <f>INDEX(LINEST(L91:L150,M91:T150,TRUE,TRUE),1,7)</f>
        <v/>
      </c>
      <c r="AD150" s="9">
        <f>INDEX(LINEST(L91:L150,M91:T150,TRUE,TRUE),1,6)</f>
        <v/>
      </c>
      <c r="AE150" s="9">
        <f>INDEX(LINEST(L91:L150,M91:T150,TRUE,TRUE),1,5)</f>
        <v/>
      </c>
      <c r="AF150" s="9">
        <f>INDEX(LINEST(L91:L150,M91:T150,TRUE,TRUE),1,4)</f>
        <v/>
      </c>
      <c r="AG150" s="9">
        <f>INDEX(LINEST(L91:L150,M91:T150,TRUE,TRUE),1,3)</f>
        <v/>
      </c>
      <c r="AH150" s="9">
        <f>INDEX(LINEST(L91:L150,M91:T150,TRUE,TRUE),1,2)</f>
        <v/>
      </c>
      <c r="AI150" s="9">
        <f>INDEX(LINEST(L91:L150,M91:T150,TRUE,TRUE),1,1)</f>
        <v/>
      </c>
      <c r="AJ150" s="10">
        <f>INDEX(LINEST(L91:L150,M91:T150,TRUE,TRUE),3,1)</f>
        <v/>
      </c>
      <c r="AK150" s="9">
        <f>AA149/12+AB149*M150+AC149*N150+AD149*O150+AE149*P150+AF149*Q150+AG149*R150+AH149*S150+AI149*T150</f>
        <v/>
      </c>
      <c r="AL150" s="9">
        <f>AVERAGE(L90:L149)</f>
        <v/>
      </c>
    </row>
    <row r="151">
      <c r="A151" s="7" t="n">
        <v>42155</v>
      </c>
      <c r="B151" s="8" t="n">
        <v>1191.4</v>
      </c>
      <c r="C151" s="8" t="n">
        <v>1.8</v>
      </c>
      <c r="D151" s="8" t="n">
        <v>0.32</v>
      </c>
      <c r="E151" s="8" t="n">
        <v>96.910004</v>
      </c>
      <c r="F151" s="8" t="n">
        <v>60.25</v>
      </c>
      <c r="G151" s="8" t="n">
        <v>13.84</v>
      </c>
      <c r="H151" s="8" t="n">
        <v>82.699997</v>
      </c>
      <c r="I151" s="8" t="n">
        <v>2107.389893</v>
      </c>
      <c r="J151" s="8" t="n">
        <v>81.01190200000001</v>
      </c>
      <c r="L151" s="9">
        <f>LN(B151/B150)</f>
        <v/>
      </c>
      <c r="M151" s="9">
        <f>$M$1*(C151-C150)</f>
        <v/>
      </c>
      <c r="N151" s="9">
        <f>$N$1*(D151-D150)</f>
        <v/>
      </c>
      <c r="O151" s="9">
        <f>$O$1*LN(E151/E150)</f>
        <v/>
      </c>
      <c r="P151" s="9">
        <f>$P$1*LN(F151/F150)</f>
        <v/>
      </c>
      <c r="Q151" s="9">
        <f>$Q$1*(G151-G150)</f>
        <v/>
      </c>
      <c r="R151" s="9">
        <f>$R$1*(H151-H150)</f>
        <v/>
      </c>
      <c r="S151" s="9">
        <f>$S$1*LN(I151/I150)</f>
        <v/>
      </c>
      <c r="T151" s="9">
        <f>$T$1*LN(J151/J150)</f>
        <v/>
      </c>
      <c r="U151" s="9">
        <f>$W$12+$W$4*M151+$W$5*N151+$W$6*O151+$W$7*P151+$W$8*Q151+$W$9*R151+$W$10*S151+$W$11*T151</f>
        <v/>
      </c>
      <c r="AA151" s="10">
        <f>INDEX(LINEST(L92:L151,M92:T151,TRUE,TRUE),1,9)*12</f>
        <v/>
      </c>
      <c r="AB151" s="9">
        <f>INDEX(LINEST(L92:L151,M92:T151,TRUE,TRUE),1,8)</f>
        <v/>
      </c>
      <c r="AC151" s="9">
        <f>INDEX(LINEST(L92:L151,M92:T151,TRUE,TRUE),1,7)</f>
        <v/>
      </c>
      <c r="AD151" s="9">
        <f>INDEX(LINEST(L92:L151,M92:T151,TRUE,TRUE),1,6)</f>
        <v/>
      </c>
      <c r="AE151" s="9">
        <f>INDEX(LINEST(L92:L151,M92:T151,TRUE,TRUE),1,5)</f>
        <v/>
      </c>
      <c r="AF151" s="9">
        <f>INDEX(LINEST(L92:L151,M92:T151,TRUE,TRUE),1,4)</f>
        <v/>
      </c>
      <c r="AG151" s="9">
        <f>INDEX(LINEST(L92:L151,M92:T151,TRUE,TRUE),1,3)</f>
        <v/>
      </c>
      <c r="AH151" s="9">
        <f>INDEX(LINEST(L92:L151,M92:T151,TRUE,TRUE),1,2)</f>
        <v/>
      </c>
      <c r="AI151" s="9">
        <f>INDEX(LINEST(L92:L151,M92:T151,TRUE,TRUE),1,1)</f>
        <v/>
      </c>
      <c r="AJ151" s="10">
        <f>INDEX(LINEST(L92:L151,M92:T151,TRUE,TRUE),3,1)</f>
        <v/>
      </c>
      <c r="AK151" s="9">
        <f>AA150/12+AB150*M151+AC150*N151+AD150*O151+AE150*P151+AF150*Q151+AG150*R151+AH150*S151+AI150*T151</f>
        <v/>
      </c>
      <c r="AL151" s="9">
        <f>AVERAGE(L91:L150)</f>
        <v/>
      </c>
    </row>
    <row r="152">
      <c r="A152" s="7" t="n">
        <v>42185</v>
      </c>
      <c r="B152" s="8" t="n">
        <v>1171</v>
      </c>
      <c r="C152" s="8" t="n">
        <v>1.87</v>
      </c>
      <c r="D152" s="8" t="n">
        <v>0.48</v>
      </c>
      <c r="E152" s="8" t="n">
        <v>95.489998</v>
      </c>
      <c r="F152" s="8" t="n">
        <v>59.48</v>
      </c>
      <c r="G152" s="8" t="n">
        <v>18.23</v>
      </c>
      <c r="H152" s="8" t="n">
        <v>92.300003</v>
      </c>
      <c r="I152" s="8" t="n">
        <v>2063.110107</v>
      </c>
      <c r="J152" s="8" t="n">
        <v>80.13967100000001</v>
      </c>
      <c r="L152" s="9">
        <f>LN(B152/B151)</f>
        <v/>
      </c>
      <c r="M152" s="9">
        <f>$M$1*(C152-C151)</f>
        <v/>
      </c>
      <c r="N152" s="9">
        <f>$N$1*(D152-D151)</f>
        <v/>
      </c>
      <c r="O152" s="9">
        <f>$O$1*LN(E152/E151)</f>
        <v/>
      </c>
      <c r="P152" s="9">
        <f>$P$1*LN(F152/F151)</f>
        <v/>
      </c>
      <c r="Q152" s="9">
        <f>$Q$1*(G152-G151)</f>
        <v/>
      </c>
      <c r="R152" s="9">
        <f>$R$1*(H152-H151)</f>
        <v/>
      </c>
      <c r="S152" s="9">
        <f>$S$1*LN(I152/I151)</f>
        <v/>
      </c>
      <c r="T152" s="9">
        <f>$T$1*LN(J152/J151)</f>
        <v/>
      </c>
      <c r="U152" s="9">
        <f>$W$12+$W$4*M152+$W$5*N152+$W$6*O152+$W$7*P152+$W$8*Q152+$W$9*R152+$W$10*S152+$W$11*T152</f>
        <v/>
      </c>
      <c r="AA152" s="10">
        <f>INDEX(LINEST(L93:L152,M93:T152,TRUE,TRUE),1,9)*12</f>
        <v/>
      </c>
      <c r="AB152" s="9">
        <f>INDEX(LINEST(L93:L152,M93:T152,TRUE,TRUE),1,8)</f>
        <v/>
      </c>
      <c r="AC152" s="9">
        <f>INDEX(LINEST(L93:L152,M93:T152,TRUE,TRUE),1,7)</f>
        <v/>
      </c>
      <c r="AD152" s="9">
        <f>INDEX(LINEST(L93:L152,M93:T152,TRUE,TRUE),1,6)</f>
        <v/>
      </c>
      <c r="AE152" s="9">
        <f>INDEX(LINEST(L93:L152,M93:T152,TRUE,TRUE),1,5)</f>
        <v/>
      </c>
      <c r="AF152" s="9">
        <f>INDEX(LINEST(L93:L152,M93:T152,TRUE,TRUE),1,4)</f>
        <v/>
      </c>
      <c r="AG152" s="9">
        <f>INDEX(LINEST(L93:L152,M93:T152,TRUE,TRUE),1,3)</f>
        <v/>
      </c>
      <c r="AH152" s="9">
        <f>INDEX(LINEST(L93:L152,M93:T152,TRUE,TRUE),1,2)</f>
        <v/>
      </c>
      <c r="AI152" s="9">
        <f>INDEX(LINEST(L93:L152,M93:T152,TRUE,TRUE),1,1)</f>
        <v/>
      </c>
      <c r="AJ152" s="10">
        <f>INDEX(LINEST(L93:L152,M93:T152,TRUE,TRUE),3,1)</f>
        <v/>
      </c>
      <c r="AK152" s="9">
        <f>AA151/12+AB151*M152+AC151*N152+AD151*O152+AE151*P152+AF151*Q152+AG151*R152+AH151*S152+AI151*T152</f>
        <v/>
      </c>
      <c r="AL152" s="9">
        <f>AVERAGE(L92:L151)</f>
        <v/>
      </c>
    </row>
    <row r="153">
      <c r="A153" s="7" t="n">
        <v>42216</v>
      </c>
      <c r="B153" s="8" t="n">
        <v>1098.4</v>
      </c>
      <c r="C153" s="8" t="n">
        <v>1.74</v>
      </c>
      <c r="D153" s="8" t="n">
        <v>0.46</v>
      </c>
      <c r="E153" s="8" t="n">
        <v>97.370003</v>
      </c>
      <c r="F153" s="8" t="n">
        <v>47.11</v>
      </c>
      <c r="G153" s="8" t="n">
        <v>12.12</v>
      </c>
      <c r="H153" s="8" t="n">
        <v>75.800003</v>
      </c>
      <c r="I153" s="8" t="n">
        <v>2103.840088</v>
      </c>
      <c r="J153" s="8" t="n">
        <v>80.830544</v>
      </c>
      <c r="L153" s="9">
        <f>LN(B153/B152)</f>
        <v/>
      </c>
      <c r="M153" s="9">
        <f>$M$1*(C153-C152)</f>
        <v/>
      </c>
      <c r="N153" s="9">
        <f>$N$1*(D153-D152)</f>
        <v/>
      </c>
      <c r="O153" s="9">
        <f>$O$1*LN(E153/E152)</f>
        <v/>
      </c>
      <c r="P153" s="9">
        <f>$P$1*LN(F153/F152)</f>
        <v/>
      </c>
      <c r="Q153" s="9">
        <f>$Q$1*(G153-G152)</f>
        <v/>
      </c>
      <c r="R153" s="9">
        <f>$R$1*(H153-H152)</f>
        <v/>
      </c>
      <c r="S153" s="9">
        <f>$S$1*LN(I153/I152)</f>
        <v/>
      </c>
      <c r="T153" s="9">
        <f>$T$1*LN(J153/J152)</f>
        <v/>
      </c>
      <c r="U153" s="9">
        <f>$W$12+$W$4*M153+$W$5*N153+$W$6*O153+$W$7*P153+$W$8*Q153+$W$9*R153+$W$10*S153+$W$11*T153</f>
        <v/>
      </c>
      <c r="AA153" s="10">
        <f>INDEX(LINEST(L94:L153,M94:T153,TRUE,TRUE),1,9)*12</f>
        <v/>
      </c>
      <c r="AB153" s="9">
        <f>INDEX(LINEST(L94:L153,M94:T153,TRUE,TRUE),1,8)</f>
        <v/>
      </c>
      <c r="AC153" s="9">
        <f>INDEX(LINEST(L94:L153,M94:T153,TRUE,TRUE),1,7)</f>
        <v/>
      </c>
      <c r="AD153" s="9">
        <f>INDEX(LINEST(L94:L153,M94:T153,TRUE,TRUE),1,6)</f>
        <v/>
      </c>
      <c r="AE153" s="9">
        <f>INDEX(LINEST(L94:L153,M94:T153,TRUE,TRUE),1,5)</f>
        <v/>
      </c>
      <c r="AF153" s="9">
        <f>INDEX(LINEST(L94:L153,M94:T153,TRUE,TRUE),1,4)</f>
        <v/>
      </c>
      <c r="AG153" s="9">
        <f>INDEX(LINEST(L94:L153,M94:T153,TRUE,TRUE),1,3)</f>
        <v/>
      </c>
      <c r="AH153" s="9">
        <f>INDEX(LINEST(L94:L153,M94:T153,TRUE,TRUE),1,2)</f>
        <v/>
      </c>
      <c r="AI153" s="9">
        <f>INDEX(LINEST(L94:L153,M94:T153,TRUE,TRUE),1,1)</f>
        <v/>
      </c>
      <c r="AJ153" s="10">
        <f>INDEX(LINEST(L94:L153,M94:T153,TRUE,TRUE),3,1)</f>
        <v/>
      </c>
      <c r="AK153" s="9">
        <f>AA152/12+AB152*M153+AC152*N153+AD152*O153+AE152*P153+AF152*Q153+AG152*R153+AH152*S153+AI152*T153</f>
        <v/>
      </c>
      <c r="AL153" s="9">
        <f>AVERAGE(L93:L152)</f>
        <v/>
      </c>
    </row>
    <row r="154">
      <c r="A154" s="7" t="n">
        <v>42247</v>
      </c>
      <c r="B154" s="8" t="n">
        <v>1135</v>
      </c>
      <c r="C154" s="8" t="n">
        <v>1.63</v>
      </c>
      <c r="D154" s="8" t="n">
        <v>0.58</v>
      </c>
      <c r="E154" s="8" t="n">
        <v>95.949997</v>
      </c>
      <c r="F154" s="8" t="n">
        <v>49.2</v>
      </c>
      <c r="G154" s="8" t="n">
        <v>28.43</v>
      </c>
      <c r="H154" s="8" t="n">
        <v>87.699997</v>
      </c>
      <c r="I154" s="8" t="n">
        <v>1972.180054</v>
      </c>
      <c r="J154" s="8" t="n">
        <v>80.559128</v>
      </c>
      <c r="L154" s="9">
        <f>LN(B154/B153)</f>
        <v/>
      </c>
      <c r="M154" s="9">
        <f>$M$1*(C154-C153)</f>
        <v/>
      </c>
      <c r="N154" s="9">
        <f>$N$1*(D154-D153)</f>
        <v/>
      </c>
      <c r="O154" s="9">
        <f>$O$1*LN(E154/E153)</f>
        <v/>
      </c>
      <c r="P154" s="9">
        <f>$P$1*LN(F154/F153)</f>
        <v/>
      </c>
      <c r="Q154" s="9">
        <f>$Q$1*(G154-G153)</f>
        <v/>
      </c>
      <c r="R154" s="9">
        <f>$R$1*(H154-H153)</f>
        <v/>
      </c>
      <c r="S154" s="9">
        <f>$S$1*LN(I154/I153)</f>
        <v/>
      </c>
      <c r="T154" s="9">
        <f>$T$1*LN(J154/J153)</f>
        <v/>
      </c>
      <c r="U154" s="9">
        <f>$W$12+$W$4*M154+$W$5*N154+$W$6*O154+$W$7*P154+$W$8*Q154+$W$9*R154+$W$10*S154+$W$11*T154</f>
        <v/>
      </c>
      <c r="AA154" s="10">
        <f>INDEX(LINEST(L95:L154,M95:T154,TRUE,TRUE),1,9)*12</f>
        <v/>
      </c>
      <c r="AB154" s="9">
        <f>INDEX(LINEST(L95:L154,M95:T154,TRUE,TRUE),1,8)</f>
        <v/>
      </c>
      <c r="AC154" s="9">
        <f>INDEX(LINEST(L95:L154,M95:T154,TRUE,TRUE),1,7)</f>
        <v/>
      </c>
      <c r="AD154" s="9">
        <f>INDEX(LINEST(L95:L154,M95:T154,TRUE,TRUE),1,6)</f>
        <v/>
      </c>
      <c r="AE154" s="9">
        <f>INDEX(LINEST(L95:L154,M95:T154,TRUE,TRUE),1,5)</f>
        <v/>
      </c>
      <c r="AF154" s="9">
        <f>INDEX(LINEST(L95:L154,M95:T154,TRUE,TRUE),1,4)</f>
        <v/>
      </c>
      <c r="AG154" s="9">
        <f>INDEX(LINEST(L95:L154,M95:T154,TRUE,TRUE),1,3)</f>
        <v/>
      </c>
      <c r="AH154" s="9">
        <f>INDEX(LINEST(L95:L154,M95:T154,TRUE,TRUE),1,2)</f>
        <v/>
      </c>
      <c r="AI154" s="9">
        <f>INDEX(LINEST(L95:L154,M95:T154,TRUE,TRUE),1,1)</f>
        <v/>
      </c>
      <c r="AJ154" s="10">
        <f>INDEX(LINEST(L95:L154,M95:T154,TRUE,TRUE),3,1)</f>
        <v/>
      </c>
      <c r="AK154" s="9">
        <f>AA153/12+AB153*M154+AC153*N154+AD153*O154+AE153*P154+AF153*Q154+AG153*R154+AH153*S154+AI153*T154</f>
        <v/>
      </c>
      <c r="AL154" s="9">
        <f>AVERAGE(L94:L153)</f>
        <v/>
      </c>
    </row>
    <row r="155">
      <c r="A155" s="7" t="n">
        <v>42277</v>
      </c>
      <c r="B155" s="8" t="n">
        <v>1114</v>
      </c>
      <c r="C155" s="8" t="n">
        <v>1.41</v>
      </c>
      <c r="D155" s="8" t="n">
        <v>0.65</v>
      </c>
      <c r="E155" s="8" t="n">
        <v>96.349998</v>
      </c>
      <c r="F155" s="8" t="n">
        <v>45.06</v>
      </c>
      <c r="G155" s="8" t="n">
        <v>24.5</v>
      </c>
      <c r="H155" s="8" t="n">
        <v>81.599998</v>
      </c>
      <c r="I155" s="8" t="n">
        <v>1920.030029</v>
      </c>
      <c r="J155" s="8" t="n">
        <v>81.212799</v>
      </c>
      <c r="L155" s="9">
        <f>LN(B155/B154)</f>
        <v/>
      </c>
      <c r="M155" s="9">
        <f>$M$1*(C155-C154)</f>
        <v/>
      </c>
      <c r="N155" s="9">
        <f>$N$1*(D155-D154)</f>
        <v/>
      </c>
      <c r="O155" s="9">
        <f>$O$1*LN(E155/E154)</f>
        <v/>
      </c>
      <c r="P155" s="9">
        <f>$P$1*LN(F155/F154)</f>
        <v/>
      </c>
      <c r="Q155" s="9">
        <f>$Q$1*(G155-G154)</f>
        <v/>
      </c>
      <c r="R155" s="9">
        <f>$R$1*(H155-H154)</f>
        <v/>
      </c>
      <c r="S155" s="9">
        <f>$S$1*LN(I155/I154)</f>
        <v/>
      </c>
      <c r="T155" s="9">
        <f>$T$1*LN(J155/J154)</f>
        <v/>
      </c>
      <c r="U155" s="9">
        <f>$W$12+$W$4*M155+$W$5*N155+$W$6*O155+$W$7*P155+$W$8*Q155+$W$9*R155+$W$10*S155+$W$11*T155</f>
        <v/>
      </c>
      <c r="AA155" s="10">
        <f>INDEX(LINEST(L96:L155,M96:T155,TRUE,TRUE),1,9)*12</f>
        <v/>
      </c>
      <c r="AB155" s="9">
        <f>INDEX(LINEST(L96:L155,M96:T155,TRUE,TRUE),1,8)</f>
        <v/>
      </c>
      <c r="AC155" s="9">
        <f>INDEX(LINEST(L96:L155,M96:T155,TRUE,TRUE),1,7)</f>
        <v/>
      </c>
      <c r="AD155" s="9">
        <f>INDEX(LINEST(L96:L155,M96:T155,TRUE,TRUE),1,6)</f>
        <v/>
      </c>
      <c r="AE155" s="9">
        <f>INDEX(LINEST(L96:L155,M96:T155,TRUE,TRUE),1,5)</f>
        <v/>
      </c>
      <c r="AF155" s="9">
        <f>INDEX(LINEST(L96:L155,M96:T155,TRUE,TRUE),1,4)</f>
        <v/>
      </c>
      <c r="AG155" s="9">
        <f>INDEX(LINEST(L96:L155,M96:T155,TRUE,TRUE),1,3)</f>
        <v/>
      </c>
      <c r="AH155" s="9">
        <f>INDEX(LINEST(L96:L155,M96:T155,TRUE,TRUE),1,2)</f>
        <v/>
      </c>
      <c r="AI155" s="9">
        <f>INDEX(LINEST(L96:L155,M96:T155,TRUE,TRUE),1,1)</f>
        <v/>
      </c>
      <c r="AJ155" s="10">
        <f>INDEX(LINEST(L96:L155,M96:T155,TRUE,TRUE),3,1)</f>
        <v/>
      </c>
      <c r="AK155" s="9">
        <f>AA154/12+AB154*M155+AC154*N155+AD154*O155+AE154*P155+AF154*Q155+AG154*R155+AH154*S155+AI154*T155</f>
        <v/>
      </c>
      <c r="AL155" s="9">
        <f>AVERAGE(L95:L154)</f>
        <v/>
      </c>
    </row>
    <row r="156">
      <c r="A156" s="7" t="n">
        <v>42308</v>
      </c>
      <c r="B156" s="8" t="n">
        <v>1142.35</v>
      </c>
      <c r="C156" s="8" t="n">
        <v>1.53</v>
      </c>
      <c r="D156" s="8" t="n">
        <v>0.63</v>
      </c>
      <c r="E156" s="8" t="n">
        <v>96.949997</v>
      </c>
      <c r="F156" s="8" t="n">
        <v>46.6</v>
      </c>
      <c r="G156" s="8" t="n">
        <v>15.07</v>
      </c>
      <c r="H156" s="8" t="n">
        <v>73.099998</v>
      </c>
      <c r="I156" s="8" t="n">
        <v>2079.360107</v>
      </c>
      <c r="J156" s="8" t="n">
        <v>81.268478</v>
      </c>
      <c r="L156" s="9">
        <f>LN(B156/B155)</f>
        <v/>
      </c>
      <c r="M156" s="9">
        <f>$M$1*(C156-C155)</f>
        <v/>
      </c>
      <c r="N156" s="9">
        <f>$N$1*(D156-D155)</f>
        <v/>
      </c>
      <c r="O156" s="9">
        <f>$O$1*LN(E156/E155)</f>
        <v/>
      </c>
      <c r="P156" s="9">
        <f>$P$1*LN(F156/F155)</f>
        <v/>
      </c>
      <c r="Q156" s="9">
        <f>$Q$1*(G156-G155)</f>
        <v/>
      </c>
      <c r="R156" s="9">
        <f>$R$1*(H156-H155)</f>
        <v/>
      </c>
      <c r="S156" s="9">
        <f>$S$1*LN(I156/I155)</f>
        <v/>
      </c>
      <c r="T156" s="9">
        <f>$T$1*LN(J156/J155)</f>
        <v/>
      </c>
      <c r="U156" s="9">
        <f>$W$12+$W$4*M156+$W$5*N156+$W$6*O156+$W$7*P156+$W$8*Q156+$W$9*R156+$W$10*S156+$W$11*T156</f>
        <v/>
      </c>
      <c r="AA156" s="10">
        <f>INDEX(LINEST(L97:L156,M97:T156,TRUE,TRUE),1,9)*12</f>
        <v/>
      </c>
      <c r="AB156" s="9">
        <f>INDEX(LINEST(L97:L156,M97:T156,TRUE,TRUE),1,8)</f>
        <v/>
      </c>
      <c r="AC156" s="9">
        <f>INDEX(LINEST(L97:L156,M97:T156,TRUE,TRUE),1,7)</f>
        <v/>
      </c>
      <c r="AD156" s="9">
        <f>INDEX(LINEST(L97:L156,M97:T156,TRUE,TRUE),1,6)</f>
        <v/>
      </c>
      <c r="AE156" s="9">
        <f>INDEX(LINEST(L97:L156,M97:T156,TRUE,TRUE),1,5)</f>
        <v/>
      </c>
      <c r="AF156" s="9">
        <f>INDEX(LINEST(L97:L156,M97:T156,TRUE,TRUE),1,4)</f>
        <v/>
      </c>
      <c r="AG156" s="9">
        <f>INDEX(LINEST(L97:L156,M97:T156,TRUE,TRUE),1,3)</f>
        <v/>
      </c>
      <c r="AH156" s="9">
        <f>INDEX(LINEST(L97:L156,M97:T156,TRUE,TRUE),1,2)</f>
        <v/>
      </c>
      <c r="AI156" s="9">
        <f>INDEX(LINEST(L97:L156,M97:T156,TRUE,TRUE),1,1)</f>
        <v/>
      </c>
      <c r="AJ156" s="10">
        <f>INDEX(LINEST(L97:L156,M97:T156,TRUE,TRUE),3,1)</f>
        <v/>
      </c>
      <c r="AK156" s="9">
        <f>AA155/12+AB155*M156+AC155*N156+AD155*O156+AE155*P156+AF155*Q156+AG155*R156+AH155*S156+AI155*T156</f>
        <v/>
      </c>
      <c r="AL156" s="9">
        <f>AVERAGE(L96:L155)</f>
        <v/>
      </c>
    </row>
    <row r="157">
      <c r="A157" s="7" t="n">
        <v>42338</v>
      </c>
      <c r="B157" s="8" t="n">
        <v>1061.9</v>
      </c>
      <c r="C157" s="8" t="n">
        <v>1.59</v>
      </c>
      <c r="D157" s="8" t="n">
        <v>0.62</v>
      </c>
      <c r="E157" s="8" t="n">
        <v>100.169998</v>
      </c>
      <c r="F157" s="8" t="n">
        <v>40.43</v>
      </c>
      <c r="G157" s="8" t="n">
        <v>16.13</v>
      </c>
      <c r="H157" s="8" t="n">
        <v>69.900002</v>
      </c>
      <c r="I157" s="8" t="n">
        <v>2080.409912</v>
      </c>
      <c r="J157" s="8" t="n">
        <v>80.952271</v>
      </c>
      <c r="L157" s="9">
        <f>LN(B157/B156)</f>
        <v/>
      </c>
      <c r="M157" s="9">
        <f>$M$1*(C157-C156)</f>
        <v/>
      </c>
      <c r="N157" s="9">
        <f>$N$1*(D157-D156)</f>
        <v/>
      </c>
      <c r="O157" s="9">
        <f>$O$1*LN(E157/E156)</f>
        <v/>
      </c>
      <c r="P157" s="9">
        <f>$P$1*LN(F157/F156)</f>
        <v/>
      </c>
      <c r="Q157" s="9">
        <f>$Q$1*(G157-G156)</f>
        <v/>
      </c>
      <c r="R157" s="9">
        <f>$R$1*(H157-H156)</f>
        <v/>
      </c>
      <c r="S157" s="9">
        <f>$S$1*LN(I157/I156)</f>
        <v/>
      </c>
      <c r="T157" s="9">
        <f>$T$1*LN(J157/J156)</f>
        <v/>
      </c>
      <c r="U157" s="9">
        <f>$W$12+$W$4*M157+$W$5*N157+$W$6*O157+$W$7*P157+$W$8*Q157+$W$9*R157+$W$10*S157+$W$11*T157</f>
        <v/>
      </c>
      <c r="AA157" s="10">
        <f>INDEX(LINEST(L98:L157,M98:T157,TRUE,TRUE),1,9)*12</f>
        <v/>
      </c>
      <c r="AB157" s="9">
        <f>INDEX(LINEST(L98:L157,M98:T157,TRUE,TRUE),1,8)</f>
        <v/>
      </c>
      <c r="AC157" s="9">
        <f>INDEX(LINEST(L98:L157,M98:T157,TRUE,TRUE),1,7)</f>
        <v/>
      </c>
      <c r="AD157" s="9">
        <f>INDEX(LINEST(L98:L157,M98:T157,TRUE,TRUE),1,6)</f>
        <v/>
      </c>
      <c r="AE157" s="9">
        <f>INDEX(LINEST(L98:L157,M98:T157,TRUE,TRUE),1,5)</f>
        <v/>
      </c>
      <c r="AF157" s="9">
        <f>INDEX(LINEST(L98:L157,M98:T157,TRUE,TRUE),1,4)</f>
        <v/>
      </c>
      <c r="AG157" s="9">
        <f>INDEX(LINEST(L98:L157,M98:T157,TRUE,TRUE),1,3)</f>
        <v/>
      </c>
      <c r="AH157" s="9">
        <f>INDEX(LINEST(L98:L157,M98:T157,TRUE,TRUE),1,2)</f>
        <v/>
      </c>
      <c r="AI157" s="9">
        <f>INDEX(LINEST(L98:L157,M98:T157,TRUE,TRUE),1,1)</f>
        <v/>
      </c>
      <c r="AJ157" s="10">
        <f>INDEX(LINEST(L98:L157,M98:T157,TRUE,TRUE),3,1)</f>
        <v/>
      </c>
      <c r="AK157" s="9">
        <f>AA156/12+AB156*M157+AC156*N157+AD156*O157+AE156*P157+AF156*Q157+AG156*R157+AH156*S157+AI156*T157</f>
        <v/>
      </c>
      <c r="AL157" s="9">
        <f>AVERAGE(L97:L156)</f>
        <v/>
      </c>
    </row>
    <row r="158">
      <c r="A158" s="7" t="n">
        <v>42369</v>
      </c>
      <c r="B158" s="8" t="n">
        <v>1060</v>
      </c>
      <c r="C158" s="8" t="n">
        <v>1.54</v>
      </c>
      <c r="D158" s="8" t="n">
        <v>0.73</v>
      </c>
      <c r="E158" s="8" t="n">
        <v>98.629997</v>
      </c>
      <c r="F158" s="8" t="n">
        <v>37.13</v>
      </c>
      <c r="G158" s="8" t="n">
        <v>18.21</v>
      </c>
      <c r="H158" s="8" t="n">
        <v>67.800003</v>
      </c>
      <c r="I158" s="8" t="n">
        <v>2043.939941</v>
      </c>
      <c r="J158" s="8" t="n">
        <v>80.797134</v>
      </c>
      <c r="L158" s="9">
        <f>LN(B158/B157)</f>
        <v/>
      </c>
      <c r="M158" s="9">
        <f>$M$1*(C158-C157)</f>
        <v/>
      </c>
      <c r="N158" s="9">
        <f>$N$1*(D158-D157)</f>
        <v/>
      </c>
      <c r="O158" s="9">
        <f>$O$1*LN(E158/E157)</f>
        <v/>
      </c>
      <c r="P158" s="9">
        <f>$P$1*LN(F158/F157)</f>
        <v/>
      </c>
      <c r="Q158" s="9">
        <f>$Q$1*(G158-G157)</f>
        <v/>
      </c>
      <c r="R158" s="9">
        <f>$R$1*(H158-H157)</f>
        <v/>
      </c>
      <c r="S158" s="9">
        <f>$S$1*LN(I158/I157)</f>
        <v/>
      </c>
      <c r="T158" s="9">
        <f>$T$1*LN(J158/J157)</f>
        <v/>
      </c>
      <c r="U158" s="9">
        <f>$W$12+$W$4*M158+$W$5*N158+$W$6*O158+$W$7*P158+$W$8*Q158+$W$9*R158+$W$10*S158+$W$11*T158</f>
        <v/>
      </c>
      <c r="AA158" s="10">
        <f>INDEX(LINEST(L99:L158,M99:T158,TRUE,TRUE),1,9)*12</f>
        <v/>
      </c>
      <c r="AB158" s="9">
        <f>INDEX(LINEST(L99:L158,M99:T158,TRUE,TRUE),1,8)</f>
        <v/>
      </c>
      <c r="AC158" s="9">
        <f>INDEX(LINEST(L99:L158,M99:T158,TRUE,TRUE),1,7)</f>
        <v/>
      </c>
      <c r="AD158" s="9">
        <f>INDEX(LINEST(L99:L158,M99:T158,TRUE,TRUE),1,6)</f>
        <v/>
      </c>
      <c r="AE158" s="9">
        <f>INDEX(LINEST(L99:L158,M99:T158,TRUE,TRUE),1,5)</f>
        <v/>
      </c>
      <c r="AF158" s="9">
        <f>INDEX(LINEST(L99:L158,M99:T158,TRUE,TRUE),1,4)</f>
        <v/>
      </c>
      <c r="AG158" s="9">
        <f>INDEX(LINEST(L99:L158,M99:T158,TRUE,TRUE),1,3)</f>
        <v/>
      </c>
      <c r="AH158" s="9">
        <f>INDEX(LINEST(L99:L158,M99:T158,TRUE,TRUE),1,2)</f>
        <v/>
      </c>
      <c r="AI158" s="9">
        <f>INDEX(LINEST(L99:L158,M99:T158,TRUE,TRUE),1,1)</f>
        <v/>
      </c>
      <c r="AJ158" s="10">
        <f>INDEX(LINEST(L99:L158,M99:T158,TRUE,TRUE),3,1)</f>
        <v/>
      </c>
      <c r="AK158" s="9">
        <f>AA157/12+AB157*M158+AC157*N158+AD157*O158+AE157*P158+AF157*Q158+AG157*R158+AH157*S158+AI157*T158</f>
        <v/>
      </c>
      <c r="AL158" s="9">
        <f>AVERAGE(L98:L157)</f>
        <v/>
      </c>
    </row>
    <row r="159">
      <c r="A159" s="7" t="n">
        <v>42400</v>
      </c>
      <c r="B159" s="8" t="n">
        <v>1111.8</v>
      </c>
      <c r="C159" s="8" t="n">
        <v>1.41</v>
      </c>
      <c r="D159" s="8" t="n">
        <v>0.53</v>
      </c>
      <c r="E159" s="8" t="n">
        <v>99.610001</v>
      </c>
      <c r="F159" s="8" t="n">
        <v>33.66</v>
      </c>
      <c r="G159" s="8" t="n">
        <v>20.2</v>
      </c>
      <c r="H159" s="8" t="n">
        <v>74</v>
      </c>
      <c r="I159" s="8" t="n">
        <v>1940.23999</v>
      </c>
      <c r="J159" s="8" t="n">
        <v>81.799515</v>
      </c>
      <c r="L159" s="9">
        <f>LN(B159/B158)</f>
        <v/>
      </c>
      <c r="M159" s="9">
        <f>$M$1*(C159-C158)</f>
        <v/>
      </c>
      <c r="N159" s="9">
        <f>$N$1*(D159-D158)</f>
        <v/>
      </c>
      <c r="O159" s="9">
        <f>$O$1*LN(E159/E158)</f>
        <v/>
      </c>
      <c r="P159" s="9">
        <f>$P$1*LN(F159/F158)</f>
        <v/>
      </c>
      <c r="Q159" s="9">
        <f>$Q$1*(G159-G158)</f>
        <v/>
      </c>
      <c r="R159" s="9">
        <f>$R$1*(H159-H158)</f>
        <v/>
      </c>
      <c r="S159" s="9">
        <f>$S$1*LN(I159/I158)</f>
        <v/>
      </c>
      <c r="T159" s="9">
        <f>$T$1*LN(J159/J158)</f>
        <v/>
      </c>
      <c r="U159" s="9">
        <f>$W$12+$W$4*M159+$W$5*N159+$W$6*O159+$W$7*P159+$W$8*Q159+$W$9*R159+$W$10*S159+$W$11*T159</f>
        <v/>
      </c>
      <c r="AA159" s="10">
        <f>INDEX(LINEST(L100:L159,M100:T159,TRUE,TRUE),1,9)*12</f>
        <v/>
      </c>
      <c r="AB159" s="9">
        <f>INDEX(LINEST(L100:L159,M100:T159,TRUE,TRUE),1,8)</f>
        <v/>
      </c>
      <c r="AC159" s="9">
        <f>INDEX(LINEST(L100:L159,M100:T159,TRUE,TRUE),1,7)</f>
        <v/>
      </c>
      <c r="AD159" s="9">
        <f>INDEX(LINEST(L100:L159,M100:T159,TRUE,TRUE),1,6)</f>
        <v/>
      </c>
      <c r="AE159" s="9">
        <f>INDEX(LINEST(L100:L159,M100:T159,TRUE,TRUE),1,5)</f>
        <v/>
      </c>
      <c r="AF159" s="9">
        <f>INDEX(LINEST(L100:L159,M100:T159,TRUE,TRUE),1,4)</f>
        <v/>
      </c>
      <c r="AG159" s="9">
        <f>INDEX(LINEST(L100:L159,M100:T159,TRUE,TRUE),1,3)</f>
        <v/>
      </c>
      <c r="AH159" s="9">
        <f>INDEX(LINEST(L100:L159,M100:T159,TRUE,TRUE),1,2)</f>
        <v/>
      </c>
      <c r="AI159" s="9">
        <f>INDEX(LINEST(L100:L159,M100:T159,TRUE,TRUE),1,1)</f>
        <v/>
      </c>
      <c r="AJ159" s="10">
        <f>INDEX(LINEST(L100:L159,M100:T159,TRUE,TRUE),3,1)</f>
        <v/>
      </c>
      <c r="AK159" s="9">
        <f>AA158/12+AB158*M159+AC158*N159+AD158*O159+AE158*P159+AF158*Q159+AG158*R159+AH158*S159+AI158*T159</f>
        <v/>
      </c>
      <c r="AL159" s="9">
        <f>AVERAGE(L99:L158)</f>
        <v/>
      </c>
    </row>
    <row r="160">
      <c r="A160" s="7" t="n">
        <v>42429</v>
      </c>
      <c r="B160" s="8" t="n">
        <v>1234.9</v>
      </c>
      <c r="C160" s="8" t="n">
        <v>1.42</v>
      </c>
      <c r="D160" s="8" t="n">
        <v>0.32</v>
      </c>
      <c r="E160" s="8" t="n">
        <v>98.209999</v>
      </c>
      <c r="F160" s="8" t="n">
        <v>32.74</v>
      </c>
      <c r="G160" s="8" t="n">
        <v>20.55</v>
      </c>
      <c r="H160" s="8" t="n">
        <v>83.389999</v>
      </c>
      <c r="I160" s="8" t="n">
        <v>1932.22998</v>
      </c>
      <c r="J160" s="8" t="n">
        <v>82.525154</v>
      </c>
      <c r="L160" s="9">
        <f>LN(B160/B159)</f>
        <v/>
      </c>
      <c r="M160" s="9">
        <f>$M$1*(C160-C159)</f>
        <v/>
      </c>
      <c r="N160" s="9">
        <f>$N$1*(D160-D159)</f>
        <v/>
      </c>
      <c r="O160" s="9">
        <f>$O$1*LN(E160/E159)</f>
        <v/>
      </c>
      <c r="P160" s="9">
        <f>$P$1*LN(F160/F159)</f>
        <v/>
      </c>
      <c r="Q160" s="9">
        <f>$Q$1*(G160-G159)</f>
        <v/>
      </c>
      <c r="R160" s="9">
        <f>$R$1*(H160-H159)</f>
        <v/>
      </c>
      <c r="S160" s="9">
        <f>$S$1*LN(I160/I159)</f>
        <v/>
      </c>
      <c r="T160" s="9">
        <f>$T$1*LN(J160/J159)</f>
        <v/>
      </c>
      <c r="U160" s="9">
        <f>$W$12+$W$4*M160+$W$5*N160+$W$6*O160+$W$7*P160+$W$8*Q160+$W$9*R160+$W$10*S160+$W$11*T160</f>
        <v/>
      </c>
      <c r="AA160" s="10">
        <f>INDEX(LINEST(L101:L160,M101:T160,TRUE,TRUE),1,9)*12</f>
        <v/>
      </c>
      <c r="AB160" s="9">
        <f>INDEX(LINEST(L101:L160,M101:T160,TRUE,TRUE),1,8)</f>
        <v/>
      </c>
      <c r="AC160" s="9">
        <f>INDEX(LINEST(L101:L160,M101:T160,TRUE,TRUE),1,7)</f>
        <v/>
      </c>
      <c r="AD160" s="9">
        <f>INDEX(LINEST(L101:L160,M101:T160,TRUE,TRUE),1,6)</f>
        <v/>
      </c>
      <c r="AE160" s="9">
        <f>INDEX(LINEST(L101:L160,M101:T160,TRUE,TRUE),1,5)</f>
        <v/>
      </c>
      <c r="AF160" s="9">
        <f>INDEX(LINEST(L101:L160,M101:T160,TRUE,TRUE),1,4)</f>
        <v/>
      </c>
      <c r="AG160" s="9">
        <f>INDEX(LINEST(L101:L160,M101:T160,TRUE,TRUE),1,3)</f>
        <v/>
      </c>
      <c r="AH160" s="9">
        <f>INDEX(LINEST(L101:L160,M101:T160,TRUE,TRUE),1,2)</f>
        <v/>
      </c>
      <c r="AI160" s="9">
        <f>INDEX(LINEST(L101:L160,M101:T160,TRUE,TRUE),1,1)</f>
        <v/>
      </c>
      <c r="AJ160" s="10">
        <f>INDEX(LINEST(L101:L160,M101:T160,TRUE,TRUE),3,1)</f>
        <v/>
      </c>
      <c r="AK160" s="9">
        <f>AA159/12+AB159*M160+AC159*N160+AD159*O160+AE159*P160+AF159*Q160+AG159*R160+AH159*S160+AI159*T160</f>
        <v/>
      </c>
      <c r="AL160" s="9">
        <f>AVERAGE(L100:L159)</f>
        <v/>
      </c>
    </row>
    <row r="161">
      <c r="A161" s="7" t="n">
        <v>42460</v>
      </c>
      <c r="B161" s="8" t="n">
        <v>1237</v>
      </c>
      <c r="C161" s="8" t="n">
        <v>1.62</v>
      </c>
      <c r="D161" s="8" t="n">
        <v>0.16</v>
      </c>
      <c r="E161" s="8" t="n">
        <v>94.589996</v>
      </c>
      <c r="F161" s="8" t="n">
        <v>36.94</v>
      </c>
      <c r="G161" s="8" t="n">
        <v>13.95</v>
      </c>
      <c r="H161" s="8" t="n">
        <v>68.800003</v>
      </c>
      <c r="I161" s="8" t="n">
        <v>2059.73999</v>
      </c>
      <c r="J161" s="8" t="n">
        <v>83.246979</v>
      </c>
      <c r="L161" s="9">
        <f>LN(B161/B160)</f>
        <v/>
      </c>
      <c r="M161" s="9">
        <f>$M$1*(C161-C160)</f>
        <v/>
      </c>
      <c r="N161" s="9">
        <f>$N$1*(D161-D160)</f>
        <v/>
      </c>
      <c r="O161" s="9">
        <f>$O$1*LN(E161/E160)</f>
        <v/>
      </c>
      <c r="P161" s="9">
        <f>$P$1*LN(F161/F160)</f>
        <v/>
      </c>
      <c r="Q161" s="9">
        <f>$Q$1*(G161-G160)</f>
        <v/>
      </c>
      <c r="R161" s="9">
        <f>$R$1*(H161-H160)</f>
        <v/>
      </c>
      <c r="S161" s="9">
        <f>$S$1*LN(I161/I160)</f>
        <v/>
      </c>
      <c r="T161" s="9">
        <f>$T$1*LN(J161/J160)</f>
        <v/>
      </c>
      <c r="U161" s="9">
        <f>$W$12+$W$4*M161+$W$5*N161+$W$6*O161+$W$7*P161+$W$8*Q161+$W$9*R161+$W$10*S161+$W$11*T161</f>
        <v/>
      </c>
      <c r="AA161" s="10">
        <f>INDEX(LINEST(L102:L161,M102:T161,TRUE,TRUE),1,9)*12</f>
        <v/>
      </c>
      <c r="AB161" s="9">
        <f>INDEX(LINEST(L102:L161,M102:T161,TRUE,TRUE),1,8)</f>
        <v/>
      </c>
      <c r="AC161" s="9">
        <f>INDEX(LINEST(L102:L161,M102:T161,TRUE,TRUE),1,7)</f>
        <v/>
      </c>
      <c r="AD161" s="9">
        <f>INDEX(LINEST(L102:L161,M102:T161,TRUE,TRUE),1,6)</f>
        <v/>
      </c>
      <c r="AE161" s="9">
        <f>INDEX(LINEST(L102:L161,M102:T161,TRUE,TRUE),1,5)</f>
        <v/>
      </c>
      <c r="AF161" s="9">
        <f>INDEX(LINEST(L102:L161,M102:T161,TRUE,TRUE),1,4)</f>
        <v/>
      </c>
      <c r="AG161" s="9">
        <f>INDEX(LINEST(L102:L161,M102:T161,TRUE,TRUE),1,3)</f>
        <v/>
      </c>
      <c r="AH161" s="9">
        <f>INDEX(LINEST(L102:L161,M102:T161,TRUE,TRUE),1,2)</f>
        <v/>
      </c>
      <c r="AI161" s="9">
        <f>INDEX(LINEST(L102:L161,M102:T161,TRUE,TRUE),1,1)</f>
        <v/>
      </c>
      <c r="AJ161" s="10">
        <f>INDEX(LINEST(L102:L161,M102:T161,TRUE,TRUE),3,1)</f>
        <v/>
      </c>
      <c r="AK161" s="9">
        <f>AA160/12+AB160*M161+AC160*N161+AD160*O161+AE160*P161+AF160*Q161+AG160*R161+AH160*S161+AI160*T161</f>
        <v/>
      </c>
      <c r="AL161" s="9">
        <f>AVERAGE(L101:L160)</f>
        <v/>
      </c>
    </row>
    <row r="162">
      <c r="A162" s="7" t="n">
        <v>42490</v>
      </c>
      <c r="B162" s="8" t="n">
        <v>1285.65</v>
      </c>
      <c r="C162" s="8" t="n">
        <v>1.71</v>
      </c>
      <c r="D162" s="8" t="n">
        <v>0.12</v>
      </c>
      <c r="E162" s="8" t="n">
        <v>93.08000199999999</v>
      </c>
      <c r="F162" s="8" t="n">
        <v>45.98</v>
      </c>
      <c r="G162" s="8" t="n">
        <v>15.7</v>
      </c>
      <c r="H162" s="8" t="n">
        <v>64.91999800000001</v>
      </c>
      <c r="I162" s="8" t="n">
        <v>2065.300049</v>
      </c>
      <c r="J162" s="8" t="n">
        <v>83.45920599999999</v>
      </c>
      <c r="L162" s="9">
        <f>LN(B162/B161)</f>
        <v/>
      </c>
      <c r="M162" s="9">
        <f>$M$1*(C162-C161)</f>
        <v/>
      </c>
      <c r="N162" s="9">
        <f>$N$1*(D162-D161)</f>
        <v/>
      </c>
      <c r="O162" s="9">
        <f>$O$1*LN(E162/E161)</f>
        <v/>
      </c>
      <c r="P162" s="9">
        <f>$P$1*LN(F162/F161)</f>
        <v/>
      </c>
      <c r="Q162" s="9">
        <f>$Q$1*(G162-G161)</f>
        <v/>
      </c>
      <c r="R162" s="9">
        <f>$R$1*(H162-H161)</f>
        <v/>
      </c>
      <c r="S162" s="9">
        <f>$S$1*LN(I162/I161)</f>
        <v/>
      </c>
      <c r="T162" s="9">
        <f>$T$1*LN(J162/J161)</f>
        <v/>
      </c>
      <c r="U162" s="9">
        <f>$W$12+$W$4*M162+$W$5*N162+$W$6*O162+$W$7*P162+$W$8*Q162+$W$9*R162+$W$10*S162+$W$11*T162</f>
        <v/>
      </c>
      <c r="AA162" s="10">
        <f>INDEX(LINEST(L103:L162,M103:T162,TRUE,TRUE),1,9)*12</f>
        <v/>
      </c>
      <c r="AB162" s="9">
        <f>INDEX(LINEST(L103:L162,M103:T162,TRUE,TRUE),1,8)</f>
        <v/>
      </c>
      <c r="AC162" s="9">
        <f>INDEX(LINEST(L103:L162,M103:T162,TRUE,TRUE),1,7)</f>
        <v/>
      </c>
      <c r="AD162" s="9">
        <f>INDEX(LINEST(L103:L162,M103:T162,TRUE,TRUE),1,6)</f>
        <v/>
      </c>
      <c r="AE162" s="9">
        <f>INDEX(LINEST(L103:L162,M103:T162,TRUE,TRUE),1,5)</f>
        <v/>
      </c>
      <c r="AF162" s="9">
        <f>INDEX(LINEST(L103:L162,M103:T162,TRUE,TRUE),1,4)</f>
        <v/>
      </c>
      <c r="AG162" s="9">
        <f>INDEX(LINEST(L103:L162,M103:T162,TRUE,TRUE),1,3)</f>
        <v/>
      </c>
      <c r="AH162" s="9">
        <f>INDEX(LINEST(L103:L162,M103:T162,TRUE,TRUE),1,2)</f>
        <v/>
      </c>
      <c r="AI162" s="9">
        <f>INDEX(LINEST(L103:L162,M103:T162,TRUE,TRUE),1,1)</f>
        <v/>
      </c>
      <c r="AJ162" s="10">
        <f>INDEX(LINEST(L103:L162,M103:T162,TRUE,TRUE),3,1)</f>
        <v/>
      </c>
      <c r="AK162" s="9">
        <f>AA161/12+AB161*M162+AC161*N162+AD161*O162+AE161*P162+AF161*Q162+AG161*R162+AH161*S162+AI161*T162</f>
        <v/>
      </c>
      <c r="AL162" s="9">
        <f>AVERAGE(L102:L161)</f>
        <v/>
      </c>
    </row>
    <row r="163">
      <c r="A163" s="7" t="n">
        <v>42521</v>
      </c>
      <c r="B163" s="8" t="n">
        <v>1212.1</v>
      </c>
      <c r="C163" s="8" t="n">
        <v>1.54</v>
      </c>
      <c r="D163" s="8" t="n">
        <v>0.3</v>
      </c>
      <c r="E163" s="8" t="n">
        <v>95.889999</v>
      </c>
      <c r="F163" s="8" t="n">
        <v>49.1</v>
      </c>
      <c r="G163" s="8" t="n">
        <v>14.19</v>
      </c>
      <c r="H163" s="8" t="n">
        <v>67.910004</v>
      </c>
      <c r="I163" s="8" t="n">
        <v>2096.949951</v>
      </c>
      <c r="J163" s="8" t="n">
        <v>83.47049699999999</v>
      </c>
      <c r="L163" s="9">
        <f>LN(B163/B162)</f>
        <v/>
      </c>
      <c r="M163" s="9">
        <f>$M$1*(C163-C162)</f>
        <v/>
      </c>
      <c r="N163" s="9">
        <f>$N$1*(D163-D162)</f>
        <v/>
      </c>
      <c r="O163" s="9">
        <f>$O$1*LN(E163/E162)</f>
        <v/>
      </c>
      <c r="P163" s="9">
        <f>$P$1*LN(F163/F162)</f>
        <v/>
      </c>
      <c r="Q163" s="9">
        <f>$Q$1*(G163-G162)</f>
        <v/>
      </c>
      <c r="R163" s="9">
        <f>$R$1*(H163-H162)</f>
        <v/>
      </c>
      <c r="S163" s="9">
        <f>$S$1*LN(I163/I162)</f>
        <v/>
      </c>
      <c r="T163" s="9">
        <f>$T$1*LN(J163/J162)</f>
        <v/>
      </c>
      <c r="U163" s="9">
        <f>$W$12+$W$4*M163+$W$5*N163+$W$6*O163+$W$7*P163+$W$8*Q163+$W$9*R163+$W$10*S163+$W$11*T163</f>
        <v/>
      </c>
      <c r="AA163" s="10">
        <f>INDEX(LINEST(L104:L163,M104:T163,TRUE,TRUE),1,9)*12</f>
        <v/>
      </c>
      <c r="AB163" s="9">
        <f>INDEX(LINEST(L104:L163,M104:T163,TRUE,TRUE),1,8)</f>
        <v/>
      </c>
      <c r="AC163" s="9">
        <f>INDEX(LINEST(L104:L163,M104:T163,TRUE,TRUE),1,7)</f>
        <v/>
      </c>
      <c r="AD163" s="9">
        <f>INDEX(LINEST(L104:L163,M104:T163,TRUE,TRUE),1,6)</f>
        <v/>
      </c>
      <c r="AE163" s="9">
        <f>INDEX(LINEST(L104:L163,M104:T163,TRUE,TRUE),1,5)</f>
        <v/>
      </c>
      <c r="AF163" s="9">
        <f>INDEX(LINEST(L104:L163,M104:T163,TRUE,TRUE),1,4)</f>
        <v/>
      </c>
      <c r="AG163" s="9">
        <f>INDEX(LINEST(L104:L163,M104:T163,TRUE,TRUE),1,3)</f>
        <v/>
      </c>
      <c r="AH163" s="9">
        <f>INDEX(LINEST(L104:L163,M104:T163,TRUE,TRUE),1,2)</f>
        <v/>
      </c>
      <c r="AI163" s="9">
        <f>INDEX(LINEST(L104:L163,M104:T163,TRUE,TRUE),1,1)</f>
        <v/>
      </c>
      <c r="AJ163" s="10">
        <f>INDEX(LINEST(L104:L163,M104:T163,TRUE,TRUE),3,1)</f>
        <v/>
      </c>
      <c r="AK163" s="9">
        <f>AA162/12+AB162*M163+AC162*N163+AD162*O163+AE162*P163+AF162*Q163+AG162*R163+AH162*S163+AI162*T163</f>
        <v/>
      </c>
      <c r="AL163" s="9">
        <f>AVERAGE(L103:L162)</f>
        <v/>
      </c>
    </row>
    <row r="164">
      <c r="A164" s="7" t="n">
        <v>42551</v>
      </c>
      <c r="B164" s="8" t="n">
        <v>1320.75</v>
      </c>
      <c r="C164" s="8" t="n">
        <v>1.4</v>
      </c>
      <c r="D164" s="8" t="n">
        <v>0.09</v>
      </c>
      <c r="E164" s="8" t="n">
        <v>96.139999</v>
      </c>
      <c r="F164" s="8" t="n">
        <v>48.27</v>
      </c>
      <c r="G164" s="8" t="n">
        <v>15.63</v>
      </c>
      <c r="H164" s="8" t="n">
        <v>72.639999</v>
      </c>
      <c r="I164" s="8" t="n">
        <v>2098.860107</v>
      </c>
      <c r="J164" s="8" t="n">
        <v>85.085838</v>
      </c>
      <c r="L164" s="9">
        <f>LN(B164/B163)</f>
        <v/>
      </c>
      <c r="M164" s="9">
        <f>$M$1*(C164-C163)</f>
        <v/>
      </c>
      <c r="N164" s="9">
        <f>$N$1*(D164-D163)</f>
        <v/>
      </c>
      <c r="O164" s="9">
        <f>$O$1*LN(E164/E163)</f>
        <v/>
      </c>
      <c r="P164" s="9">
        <f>$P$1*LN(F164/F163)</f>
        <v/>
      </c>
      <c r="Q164" s="9">
        <f>$Q$1*(G164-G163)</f>
        <v/>
      </c>
      <c r="R164" s="9">
        <f>$R$1*(H164-H163)</f>
        <v/>
      </c>
      <c r="S164" s="9">
        <f>$S$1*LN(I164/I163)</f>
        <v/>
      </c>
      <c r="T164" s="9">
        <f>$T$1*LN(J164/J163)</f>
        <v/>
      </c>
      <c r="U164" s="9">
        <f>$W$12+$W$4*M164+$W$5*N164+$W$6*O164+$W$7*P164+$W$8*Q164+$W$9*R164+$W$10*S164+$W$11*T164</f>
        <v/>
      </c>
      <c r="AA164" s="10">
        <f>INDEX(LINEST(L105:L164,M105:T164,TRUE,TRUE),1,9)*12</f>
        <v/>
      </c>
      <c r="AB164" s="9">
        <f>INDEX(LINEST(L105:L164,M105:T164,TRUE,TRUE),1,8)</f>
        <v/>
      </c>
      <c r="AC164" s="9">
        <f>INDEX(LINEST(L105:L164,M105:T164,TRUE,TRUE),1,7)</f>
        <v/>
      </c>
      <c r="AD164" s="9">
        <f>INDEX(LINEST(L105:L164,M105:T164,TRUE,TRUE),1,6)</f>
        <v/>
      </c>
      <c r="AE164" s="9">
        <f>INDEX(LINEST(L105:L164,M105:T164,TRUE,TRUE),1,5)</f>
        <v/>
      </c>
      <c r="AF164" s="9">
        <f>INDEX(LINEST(L105:L164,M105:T164,TRUE,TRUE),1,4)</f>
        <v/>
      </c>
      <c r="AG164" s="9">
        <f>INDEX(LINEST(L105:L164,M105:T164,TRUE,TRUE),1,3)</f>
        <v/>
      </c>
      <c r="AH164" s="9">
        <f>INDEX(LINEST(L105:L164,M105:T164,TRUE,TRUE),1,2)</f>
        <v/>
      </c>
      <c r="AI164" s="9">
        <f>INDEX(LINEST(L105:L164,M105:T164,TRUE,TRUE),1,1)</f>
        <v/>
      </c>
      <c r="AJ164" s="10">
        <f>INDEX(LINEST(L105:L164,M105:T164,TRUE,TRUE),3,1)</f>
        <v/>
      </c>
      <c r="AK164" s="9">
        <f>AA163/12+AB163*M164+AC163*N164+AD163*O164+AE163*P164+AF163*Q164+AG163*R164+AH163*S164+AI163*T164</f>
        <v/>
      </c>
      <c r="AL164" s="9">
        <f>AVERAGE(L104:L163)</f>
        <v/>
      </c>
    </row>
    <row r="165">
      <c r="A165" s="7" t="n">
        <v>42582</v>
      </c>
      <c r="B165" s="8" t="n">
        <v>1342</v>
      </c>
      <c r="C165" s="8" t="n">
        <v>1.49</v>
      </c>
      <c r="D165" s="8" t="n">
        <v>-0.03</v>
      </c>
      <c r="E165" s="8" t="n">
        <v>95.529999</v>
      </c>
      <c r="F165" s="8" t="n">
        <v>41.54</v>
      </c>
      <c r="G165" s="8" t="n">
        <v>11.87</v>
      </c>
      <c r="H165" s="8" t="n">
        <v>64.150002</v>
      </c>
      <c r="I165" s="8" t="n">
        <v>2173.600098</v>
      </c>
      <c r="J165" s="8" t="n">
        <v>85.549065</v>
      </c>
      <c r="L165" s="9">
        <f>LN(B165/B164)</f>
        <v/>
      </c>
      <c r="M165" s="9">
        <f>$M$1*(C165-C164)</f>
        <v/>
      </c>
      <c r="N165" s="9">
        <f>$N$1*(D165-D164)</f>
        <v/>
      </c>
      <c r="O165" s="9">
        <f>$O$1*LN(E165/E164)</f>
        <v/>
      </c>
      <c r="P165" s="9">
        <f>$P$1*LN(F165/F164)</f>
        <v/>
      </c>
      <c r="Q165" s="9">
        <f>$Q$1*(G165-G164)</f>
        <v/>
      </c>
      <c r="R165" s="9">
        <f>$R$1*(H165-H164)</f>
        <v/>
      </c>
      <c r="S165" s="9">
        <f>$S$1*LN(I165/I164)</f>
        <v/>
      </c>
      <c r="T165" s="9">
        <f>$T$1*LN(J165/J164)</f>
        <v/>
      </c>
      <c r="U165" s="9">
        <f>$W$12+$W$4*M165+$W$5*N165+$W$6*O165+$W$7*P165+$W$8*Q165+$W$9*R165+$W$10*S165+$W$11*T165</f>
        <v/>
      </c>
      <c r="AA165" s="10">
        <f>INDEX(LINEST(L106:L165,M106:T165,TRUE,TRUE),1,9)*12</f>
        <v/>
      </c>
      <c r="AB165" s="9">
        <f>INDEX(LINEST(L106:L165,M106:T165,TRUE,TRUE),1,8)</f>
        <v/>
      </c>
      <c r="AC165" s="9">
        <f>INDEX(LINEST(L106:L165,M106:T165,TRUE,TRUE),1,7)</f>
        <v/>
      </c>
      <c r="AD165" s="9">
        <f>INDEX(LINEST(L106:L165,M106:T165,TRUE,TRUE),1,6)</f>
        <v/>
      </c>
      <c r="AE165" s="9">
        <f>INDEX(LINEST(L106:L165,M106:T165,TRUE,TRUE),1,5)</f>
        <v/>
      </c>
      <c r="AF165" s="9">
        <f>INDEX(LINEST(L106:L165,M106:T165,TRUE,TRUE),1,4)</f>
        <v/>
      </c>
      <c r="AG165" s="9">
        <f>INDEX(LINEST(L106:L165,M106:T165,TRUE,TRUE),1,3)</f>
        <v/>
      </c>
      <c r="AH165" s="9">
        <f>INDEX(LINEST(L106:L165,M106:T165,TRUE,TRUE),1,2)</f>
        <v/>
      </c>
      <c r="AI165" s="9">
        <f>INDEX(LINEST(L106:L165,M106:T165,TRUE,TRUE),1,1)</f>
        <v/>
      </c>
      <c r="AJ165" s="10">
        <f>INDEX(LINEST(L106:L165,M106:T165,TRUE,TRUE),3,1)</f>
        <v/>
      </c>
      <c r="AK165" s="9">
        <f>AA164/12+AB164*M165+AC164*N165+AD164*O165+AE164*P165+AF164*Q165+AG164*R165+AH164*S165+AI164*T165</f>
        <v/>
      </c>
      <c r="AL165" s="9">
        <f>AVERAGE(L105:L164)</f>
        <v/>
      </c>
    </row>
    <row r="166">
      <c r="A166" s="7" t="n">
        <v>42613</v>
      </c>
      <c r="B166" s="8" t="n">
        <v>1309.25</v>
      </c>
      <c r="C166" s="8" t="n">
        <v>1.47</v>
      </c>
      <c r="D166" s="8" t="n">
        <v>0.11</v>
      </c>
      <c r="E166" s="8" t="n">
        <v>96.019997</v>
      </c>
      <c r="F166" s="8" t="n">
        <v>44.68</v>
      </c>
      <c r="G166" s="8" t="n">
        <v>13.42</v>
      </c>
      <c r="H166" s="8" t="n">
        <v>69.08000199999999</v>
      </c>
      <c r="I166" s="8" t="n">
        <v>2170.949951</v>
      </c>
      <c r="J166" s="8" t="n">
        <v>85.364799</v>
      </c>
      <c r="L166" s="9">
        <f>LN(B166/B165)</f>
        <v/>
      </c>
      <c r="M166" s="9">
        <f>$M$1*(C166-C165)</f>
        <v/>
      </c>
      <c r="N166" s="9">
        <f>$N$1*(D166-D165)</f>
        <v/>
      </c>
      <c r="O166" s="9">
        <f>$O$1*LN(E166/E165)</f>
        <v/>
      </c>
      <c r="P166" s="9">
        <f>$P$1*LN(F166/F165)</f>
        <v/>
      </c>
      <c r="Q166" s="9">
        <f>$Q$1*(G166-G165)</f>
        <v/>
      </c>
      <c r="R166" s="9">
        <f>$R$1*(H166-H165)</f>
        <v/>
      </c>
      <c r="S166" s="9">
        <f>$S$1*LN(I166/I165)</f>
        <v/>
      </c>
      <c r="T166" s="9">
        <f>$T$1*LN(J166/J165)</f>
        <v/>
      </c>
      <c r="U166" s="9">
        <f>$W$12+$W$4*M166+$W$5*N166+$W$6*O166+$W$7*P166+$W$8*Q166+$W$9*R166+$W$10*S166+$W$11*T166</f>
        <v/>
      </c>
      <c r="AA166" s="10">
        <f>INDEX(LINEST(L107:L166,M107:T166,TRUE,TRUE),1,9)*12</f>
        <v/>
      </c>
      <c r="AB166" s="9">
        <f>INDEX(LINEST(L107:L166,M107:T166,TRUE,TRUE),1,8)</f>
        <v/>
      </c>
      <c r="AC166" s="9">
        <f>INDEX(LINEST(L107:L166,M107:T166,TRUE,TRUE),1,7)</f>
        <v/>
      </c>
      <c r="AD166" s="9">
        <f>INDEX(LINEST(L107:L166,M107:T166,TRUE,TRUE),1,6)</f>
        <v/>
      </c>
      <c r="AE166" s="9">
        <f>INDEX(LINEST(L107:L166,M107:T166,TRUE,TRUE),1,5)</f>
        <v/>
      </c>
      <c r="AF166" s="9">
        <f>INDEX(LINEST(L107:L166,M107:T166,TRUE,TRUE),1,4)</f>
        <v/>
      </c>
      <c r="AG166" s="9">
        <f>INDEX(LINEST(L107:L166,M107:T166,TRUE,TRUE),1,3)</f>
        <v/>
      </c>
      <c r="AH166" s="9">
        <f>INDEX(LINEST(L107:L166,M107:T166,TRUE,TRUE),1,2)</f>
        <v/>
      </c>
      <c r="AI166" s="9">
        <f>INDEX(LINEST(L107:L166,M107:T166,TRUE,TRUE),1,1)</f>
        <v/>
      </c>
      <c r="AJ166" s="10">
        <f>INDEX(LINEST(L107:L166,M107:T166,TRUE,TRUE),3,1)</f>
        <v/>
      </c>
      <c r="AK166" s="9">
        <f>AA165/12+AB165*M166+AC165*N166+AD165*O166+AE165*P166+AF165*Q166+AG165*R166+AH165*S166+AI165*T166</f>
        <v/>
      </c>
      <c r="AL166" s="9">
        <f>AVERAGE(L106:L165)</f>
        <v/>
      </c>
    </row>
    <row r="167">
      <c r="A167" s="7" t="n">
        <v>42643</v>
      </c>
      <c r="B167" s="8" t="n">
        <v>1322.5</v>
      </c>
      <c r="C167" s="8" t="n">
        <v>1.6</v>
      </c>
      <c r="D167" s="8" t="n">
        <v>0</v>
      </c>
      <c r="E167" s="8" t="n">
        <v>95.459999</v>
      </c>
      <c r="F167" s="8" t="n">
        <v>47.72</v>
      </c>
      <c r="G167" s="8" t="n">
        <v>13.29</v>
      </c>
      <c r="H167" s="8" t="n">
        <v>60.560001</v>
      </c>
      <c r="I167" s="8" t="n">
        <v>2168.27002</v>
      </c>
      <c r="J167" s="8" t="n">
        <v>85.408829</v>
      </c>
      <c r="L167" s="9">
        <f>LN(B167/B166)</f>
        <v/>
      </c>
      <c r="M167" s="9">
        <f>$M$1*(C167-C166)</f>
        <v/>
      </c>
      <c r="N167" s="9">
        <f>$N$1*(D167-D166)</f>
        <v/>
      </c>
      <c r="O167" s="9">
        <f>$O$1*LN(E167/E166)</f>
        <v/>
      </c>
      <c r="P167" s="9">
        <f>$P$1*LN(F167/F166)</f>
        <v/>
      </c>
      <c r="Q167" s="9">
        <f>$Q$1*(G167-G166)</f>
        <v/>
      </c>
      <c r="R167" s="9">
        <f>$R$1*(H167-H166)</f>
        <v/>
      </c>
      <c r="S167" s="9">
        <f>$S$1*LN(I167/I166)</f>
        <v/>
      </c>
      <c r="T167" s="9">
        <f>$T$1*LN(J167/J166)</f>
        <v/>
      </c>
      <c r="U167" s="9">
        <f>$W$12+$W$4*M167+$W$5*N167+$W$6*O167+$W$7*P167+$W$8*Q167+$W$9*R167+$W$10*S167+$W$11*T167</f>
        <v/>
      </c>
      <c r="AA167" s="10">
        <f>INDEX(LINEST(L108:L167,M108:T167,TRUE,TRUE),1,9)*12</f>
        <v/>
      </c>
      <c r="AB167" s="9">
        <f>INDEX(LINEST(L108:L167,M108:T167,TRUE,TRUE),1,8)</f>
        <v/>
      </c>
      <c r="AC167" s="9">
        <f>INDEX(LINEST(L108:L167,M108:T167,TRUE,TRUE),1,7)</f>
        <v/>
      </c>
      <c r="AD167" s="9">
        <f>INDEX(LINEST(L108:L167,M108:T167,TRUE,TRUE),1,6)</f>
        <v/>
      </c>
      <c r="AE167" s="9">
        <f>INDEX(LINEST(L108:L167,M108:T167,TRUE,TRUE),1,5)</f>
        <v/>
      </c>
      <c r="AF167" s="9">
        <f>INDEX(LINEST(L108:L167,M108:T167,TRUE,TRUE),1,4)</f>
        <v/>
      </c>
      <c r="AG167" s="9">
        <f>INDEX(LINEST(L108:L167,M108:T167,TRUE,TRUE),1,3)</f>
        <v/>
      </c>
      <c r="AH167" s="9">
        <f>INDEX(LINEST(L108:L167,M108:T167,TRUE,TRUE),1,2)</f>
        <v/>
      </c>
      <c r="AI167" s="9">
        <f>INDEX(LINEST(L108:L167,M108:T167,TRUE,TRUE),1,1)</f>
        <v/>
      </c>
      <c r="AJ167" s="10">
        <f>INDEX(LINEST(L108:L167,M108:T167,TRUE,TRUE),3,1)</f>
        <v/>
      </c>
      <c r="AK167" s="9">
        <f>AA166/12+AB166*M167+AC166*N167+AD166*O167+AE166*P167+AF166*Q167+AG166*R167+AH166*S167+AI166*T167</f>
        <v/>
      </c>
      <c r="AL167" s="9">
        <f>AVERAGE(L107:L166)</f>
        <v/>
      </c>
    </row>
    <row r="168">
      <c r="A168" s="7" t="n">
        <v>42674</v>
      </c>
      <c r="B168" s="8" t="n">
        <v>1272</v>
      </c>
      <c r="C168" s="8" t="n">
        <v>1.73</v>
      </c>
      <c r="D168" s="8" t="n">
        <v>0.11</v>
      </c>
      <c r="E168" s="8" t="n">
        <v>98.449997</v>
      </c>
      <c r="F168" s="8" t="n">
        <v>46.83</v>
      </c>
      <c r="G168" s="8" t="n">
        <v>17.06</v>
      </c>
      <c r="H168" s="8" t="n">
        <v>65.470001</v>
      </c>
      <c r="I168" s="8" t="n">
        <v>2126.149902</v>
      </c>
      <c r="J168" s="8" t="n">
        <v>84.710892</v>
      </c>
      <c r="L168" s="9">
        <f>LN(B168/B167)</f>
        <v/>
      </c>
      <c r="M168" s="9">
        <f>$M$1*(C168-C167)</f>
        <v/>
      </c>
      <c r="N168" s="9">
        <f>$N$1*(D168-D167)</f>
        <v/>
      </c>
      <c r="O168" s="9">
        <f>$O$1*LN(E168/E167)</f>
        <v/>
      </c>
      <c r="P168" s="9">
        <f>$P$1*LN(F168/F167)</f>
        <v/>
      </c>
      <c r="Q168" s="9">
        <f>$Q$1*(G168-G167)</f>
        <v/>
      </c>
      <c r="R168" s="9">
        <f>$R$1*(H168-H167)</f>
        <v/>
      </c>
      <c r="S168" s="9">
        <f>$S$1*LN(I168/I167)</f>
        <v/>
      </c>
      <c r="T168" s="9">
        <f>$T$1*LN(J168/J167)</f>
        <v/>
      </c>
      <c r="U168" s="9">
        <f>$W$12+$W$4*M168+$W$5*N168+$W$6*O168+$W$7*P168+$W$8*Q168+$W$9*R168+$W$10*S168+$W$11*T168</f>
        <v/>
      </c>
      <c r="AA168" s="10">
        <f>INDEX(LINEST(L109:L168,M109:T168,TRUE,TRUE),1,9)*12</f>
        <v/>
      </c>
      <c r="AB168" s="9">
        <f>INDEX(LINEST(L109:L168,M109:T168,TRUE,TRUE),1,8)</f>
        <v/>
      </c>
      <c r="AC168" s="9">
        <f>INDEX(LINEST(L109:L168,M109:T168,TRUE,TRUE),1,7)</f>
        <v/>
      </c>
      <c r="AD168" s="9">
        <f>INDEX(LINEST(L109:L168,M109:T168,TRUE,TRUE),1,6)</f>
        <v/>
      </c>
      <c r="AE168" s="9">
        <f>INDEX(LINEST(L109:L168,M109:T168,TRUE,TRUE),1,5)</f>
        <v/>
      </c>
      <c r="AF168" s="9">
        <f>INDEX(LINEST(L109:L168,M109:T168,TRUE,TRUE),1,4)</f>
        <v/>
      </c>
      <c r="AG168" s="9">
        <f>INDEX(LINEST(L109:L168,M109:T168,TRUE,TRUE),1,3)</f>
        <v/>
      </c>
      <c r="AH168" s="9">
        <f>INDEX(LINEST(L109:L168,M109:T168,TRUE,TRUE),1,2)</f>
        <v/>
      </c>
      <c r="AI168" s="9">
        <f>INDEX(LINEST(L109:L168,M109:T168,TRUE,TRUE),1,1)</f>
        <v/>
      </c>
      <c r="AJ168" s="10">
        <f>INDEX(LINEST(L109:L168,M109:T168,TRUE,TRUE),3,1)</f>
        <v/>
      </c>
      <c r="AK168" s="9">
        <f>AA167/12+AB167*M168+AC167*N168+AD167*O168+AE167*P168+AF167*Q168+AG167*R168+AH167*S168+AI167*T168</f>
        <v/>
      </c>
      <c r="AL168" s="9">
        <f>AVERAGE(L108:L167)</f>
        <v/>
      </c>
    </row>
    <row r="169">
      <c r="A169" s="7" t="n">
        <v>42704</v>
      </c>
      <c r="B169" s="8" t="n">
        <v>1178.1</v>
      </c>
      <c r="C169" s="8" t="n">
        <v>1.94</v>
      </c>
      <c r="D169" s="8" t="n">
        <v>0.43</v>
      </c>
      <c r="E169" s="8" t="n">
        <v>101.5</v>
      </c>
      <c r="F169" s="8" t="n">
        <v>49.41</v>
      </c>
      <c r="G169" s="8" t="n">
        <v>13.33</v>
      </c>
      <c r="H169" s="8" t="n">
        <v>80.959999</v>
      </c>
      <c r="I169" s="8" t="n">
        <v>2198.810059</v>
      </c>
      <c r="J169" s="8" t="n">
        <v>82.53769699999999</v>
      </c>
      <c r="L169" s="9">
        <f>LN(B169/B168)</f>
        <v/>
      </c>
      <c r="M169" s="9">
        <f>$M$1*(C169-C168)</f>
        <v/>
      </c>
      <c r="N169" s="9">
        <f>$N$1*(D169-D168)</f>
        <v/>
      </c>
      <c r="O169" s="9">
        <f>$O$1*LN(E169/E168)</f>
        <v/>
      </c>
      <c r="P169" s="9">
        <f>$P$1*LN(F169/F168)</f>
        <v/>
      </c>
      <c r="Q169" s="9">
        <f>$Q$1*(G169-G168)</f>
        <v/>
      </c>
      <c r="R169" s="9">
        <f>$R$1*(H169-H168)</f>
        <v/>
      </c>
      <c r="S169" s="9">
        <f>$S$1*LN(I169/I168)</f>
        <v/>
      </c>
      <c r="T169" s="9">
        <f>$T$1*LN(J169/J168)</f>
        <v/>
      </c>
      <c r="U169" s="9">
        <f>$W$12+$W$4*M169+$W$5*N169+$W$6*O169+$W$7*P169+$W$8*Q169+$W$9*R169+$W$10*S169+$W$11*T169</f>
        <v/>
      </c>
      <c r="AA169" s="10">
        <f>INDEX(LINEST(L110:L169,M110:T169,TRUE,TRUE),1,9)*12</f>
        <v/>
      </c>
      <c r="AB169" s="9">
        <f>INDEX(LINEST(L110:L169,M110:T169,TRUE,TRUE),1,8)</f>
        <v/>
      </c>
      <c r="AC169" s="9">
        <f>INDEX(LINEST(L110:L169,M110:T169,TRUE,TRUE),1,7)</f>
        <v/>
      </c>
      <c r="AD169" s="9">
        <f>INDEX(LINEST(L110:L169,M110:T169,TRUE,TRUE),1,6)</f>
        <v/>
      </c>
      <c r="AE169" s="9">
        <f>INDEX(LINEST(L110:L169,M110:T169,TRUE,TRUE),1,5)</f>
        <v/>
      </c>
      <c r="AF169" s="9">
        <f>INDEX(LINEST(L110:L169,M110:T169,TRUE,TRUE),1,4)</f>
        <v/>
      </c>
      <c r="AG169" s="9">
        <f>INDEX(LINEST(L110:L169,M110:T169,TRUE,TRUE),1,3)</f>
        <v/>
      </c>
      <c r="AH169" s="9">
        <f>INDEX(LINEST(L110:L169,M110:T169,TRUE,TRUE),1,2)</f>
        <v/>
      </c>
      <c r="AI169" s="9">
        <f>INDEX(LINEST(L110:L169,M110:T169,TRUE,TRUE),1,1)</f>
        <v/>
      </c>
      <c r="AJ169" s="10">
        <f>INDEX(LINEST(L110:L169,M110:T169,TRUE,TRUE),3,1)</f>
        <v/>
      </c>
      <c r="AK169" s="9">
        <f>AA168/12+AB168*M169+AC168*N169+AD168*O169+AE168*P169+AF168*Q169+AG168*R169+AH168*S169+AI168*T169</f>
        <v/>
      </c>
      <c r="AL169" s="9">
        <f>AVERAGE(L109:L168)</f>
        <v/>
      </c>
    </row>
    <row r="170">
      <c r="A170" s="7" t="n">
        <v>42735</v>
      </c>
      <c r="B170" s="8" t="n">
        <v>1145.9</v>
      </c>
      <c r="C170" s="8" t="n">
        <v>1.95</v>
      </c>
      <c r="D170" s="8" t="n">
        <v>0.5</v>
      </c>
      <c r="E170" s="8" t="n">
        <v>102.389999</v>
      </c>
      <c r="F170" s="8" t="n">
        <v>53.75</v>
      </c>
      <c r="G170" s="8" t="n">
        <v>14.04</v>
      </c>
      <c r="H170" s="8" t="n">
        <v>71.629997</v>
      </c>
      <c r="I170" s="8" t="n">
        <v>2238.830078</v>
      </c>
      <c r="J170" s="8" t="n">
        <v>82.74741400000001</v>
      </c>
      <c r="L170" s="9">
        <f>LN(B170/B169)</f>
        <v/>
      </c>
      <c r="M170" s="9">
        <f>$M$1*(C170-C169)</f>
        <v/>
      </c>
      <c r="N170" s="9">
        <f>$N$1*(D170-D169)</f>
        <v/>
      </c>
      <c r="O170" s="9">
        <f>$O$1*LN(E170/E169)</f>
        <v/>
      </c>
      <c r="P170" s="9">
        <f>$P$1*LN(F170/F169)</f>
        <v/>
      </c>
      <c r="Q170" s="9">
        <f>$Q$1*(G170-G169)</f>
        <v/>
      </c>
      <c r="R170" s="9">
        <f>$R$1*(H170-H169)</f>
        <v/>
      </c>
      <c r="S170" s="9">
        <f>$S$1*LN(I170/I169)</f>
        <v/>
      </c>
      <c r="T170" s="9">
        <f>$T$1*LN(J170/J169)</f>
        <v/>
      </c>
      <c r="U170" s="9">
        <f>$W$12+$W$4*M170+$W$5*N170+$W$6*O170+$W$7*P170+$W$8*Q170+$W$9*R170+$W$10*S170+$W$11*T170</f>
        <v/>
      </c>
      <c r="AA170" s="10">
        <f>INDEX(LINEST(L111:L170,M111:T170,TRUE,TRUE),1,9)*12</f>
        <v/>
      </c>
      <c r="AB170" s="9">
        <f>INDEX(LINEST(L111:L170,M111:T170,TRUE,TRUE),1,8)</f>
        <v/>
      </c>
      <c r="AC170" s="9">
        <f>INDEX(LINEST(L111:L170,M111:T170,TRUE,TRUE),1,7)</f>
        <v/>
      </c>
      <c r="AD170" s="9">
        <f>INDEX(LINEST(L111:L170,M111:T170,TRUE,TRUE),1,6)</f>
        <v/>
      </c>
      <c r="AE170" s="9">
        <f>INDEX(LINEST(L111:L170,M111:T170,TRUE,TRUE),1,5)</f>
        <v/>
      </c>
      <c r="AF170" s="9">
        <f>INDEX(LINEST(L111:L170,M111:T170,TRUE,TRUE),1,4)</f>
        <v/>
      </c>
      <c r="AG170" s="9">
        <f>INDEX(LINEST(L111:L170,M111:T170,TRUE,TRUE),1,3)</f>
        <v/>
      </c>
      <c r="AH170" s="9">
        <f>INDEX(LINEST(L111:L170,M111:T170,TRUE,TRUE),1,2)</f>
        <v/>
      </c>
      <c r="AI170" s="9">
        <f>INDEX(LINEST(L111:L170,M111:T170,TRUE,TRUE),1,1)</f>
        <v/>
      </c>
      <c r="AJ170" s="10">
        <f>INDEX(LINEST(L111:L170,M111:T170,TRUE,TRUE),3,1)</f>
        <v/>
      </c>
      <c r="AK170" s="9">
        <f>AA169/12+AB169*M170+AC169*N170+AD169*O170+AE169*P170+AF169*Q170+AG169*R170+AH169*S170+AI169*T170</f>
        <v/>
      </c>
      <c r="AL170" s="9">
        <f>AVERAGE(L110:L169)</f>
        <v/>
      </c>
    </row>
    <row r="171">
      <c r="A171" s="7" t="n">
        <v>42766</v>
      </c>
      <c r="B171" s="8" t="n">
        <v>1212.8</v>
      </c>
      <c r="C171" s="8" t="n">
        <v>2.05</v>
      </c>
      <c r="D171" s="8" t="n">
        <v>0.4</v>
      </c>
      <c r="E171" s="8" t="n">
        <v>99.510002</v>
      </c>
      <c r="F171" s="8" t="n">
        <v>52.75</v>
      </c>
      <c r="G171" s="8" t="n">
        <v>11.99</v>
      </c>
      <c r="H171" s="8" t="n">
        <v>72.519997</v>
      </c>
      <c r="I171" s="8" t="n">
        <v>2278.870117</v>
      </c>
      <c r="J171" s="8" t="n">
        <v>82.923485</v>
      </c>
      <c r="L171" s="9">
        <f>LN(B171/B170)</f>
        <v/>
      </c>
      <c r="M171" s="9">
        <f>$M$1*(C171-C170)</f>
        <v/>
      </c>
      <c r="N171" s="9">
        <f>$N$1*(D171-D170)</f>
        <v/>
      </c>
      <c r="O171" s="9">
        <f>$O$1*LN(E171/E170)</f>
        <v/>
      </c>
      <c r="P171" s="9">
        <f>$P$1*LN(F171/F170)</f>
        <v/>
      </c>
      <c r="Q171" s="9">
        <f>$Q$1*(G171-G170)</f>
        <v/>
      </c>
      <c r="R171" s="9">
        <f>$R$1*(H171-H170)</f>
        <v/>
      </c>
      <c r="S171" s="9">
        <f>$S$1*LN(I171/I170)</f>
        <v/>
      </c>
      <c r="T171" s="9">
        <f>$T$1*LN(J171/J170)</f>
        <v/>
      </c>
      <c r="U171" s="9">
        <f>$W$12+$W$4*M171+$W$5*N171+$W$6*O171+$W$7*P171+$W$8*Q171+$W$9*R171+$W$10*S171+$W$11*T171</f>
        <v/>
      </c>
      <c r="AA171" s="10">
        <f>INDEX(LINEST(L112:L171,M112:T171,TRUE,TRUE),1,9)*12</f>
        <v/>
      </c>
      <c r="AB171" s="9">
        <f>INDEX(LINEST(L112:L171,M112:T171,TRUE,TRUE),1,8)</f>
        <v/>
      </c>
      <c r="AC171" s="9">
        <f>INDEX(LINEST(L112:L171,M112:T171,TRUE,TRUE),1,7)</f>
        <v/>
      </c>
      <c r="AD171" s="9">
        <f>INDEX(LINEST(L112:L171,M112:T171,TRUE,TRUE),1,6)</f>
        <v/>
      </c>
      <c r="AE171" s="9">
        <f>INDEX(LINEST(L112:L171,M112:T171,TRUE,TRUE),1,5)</f>
        <v/>
      </c>
      <c r="AF171" s="9">
        <f>INDEX(LINEST(L112:L171,M112:T171,TRUE,TRUE),1,4)</f>
        <v/>
      </c>
      <c r="AG171" s="9">
        <f>INDEX(LINEST(L112:L171,M112:T171,TRUE,TRUE),1,3)</f>
        <v/>
      </c>
      <c r="AH171" s="9">
        <f>INDEX(LINEST(L112:L171,M112:T171,TRUE,TRUE),1,2)</f>
        <v/>
      </c>
      <c r="AI171" s="9">
        <f>INDEX(LINEST(L112:L171,M112:T171,TRUE,TRUE),1,1)</f>
        <v/>
      </c>
      <c r="AJ171" s="10">
        <f>INDEX(LINEST(L112:L171,M112:T171,TRUE,TRUE),3,1)</f>
        <v/>
      </c>
      <c r="AK171" s="9">
        <f>AA170/12+AB170*M171+AC170*N171+AD170*O171+AE170*P171+AF170*Q171+AG170*R171+AH170*S171+AI170*T171</f>
        <v/>
      </c>
      <c r="AL171" s="9">
        <f>AVERAGE(L111:L170)</f>
        <v/>
      </c>
    </row>
    <row r="172">
      <c r="A172" s="7" t="n">
        <v>42794</v>
      </c>
      <c r="B172" s="8" t="n">
        <v>1255.6</v>
      </c>
      <c r="C172" s="8" t="n">
        <v>2.02</v>
      </c>
      <c r="D172" s="8" t="n">
        <v>0.34</v>
      </c>
      <c r="E172" s="8" t="n">
        <v>101.120003</v>
      </c>
      <c r="F172" s="8" t="n">
        <v>54</v>
      </c>
      <c r="G172" s="8" t="n">
        <v>12.92</v>
      </c>
      <c r="H172" s="8" t="n">
        <v>70.889999</v>
      </c>
      <c r="I172" s="8" t="n">
        <v>2363.639893</v>
      </c>
      <c r="J172" s="8" t="n">
        <v>83.459084</v>
      </c>
      <c r="L172" s="9">
        <f>LN(B172/B171)</f>
        <v/>
      </c>
      <c r="M172" s="9">
        <f>$M$1*(C172-C171)</f>
        <v/>
      </c>
      <c r="N172" s="9">
        <f>$N$1*(D172-D171)</f>
        <v/>
      </c>
      <c r="O172" s="9">
        <f>$O$1*LN(E172/E171)</f>
        <v/>
      </c>
      <c r="P172" s="9">
        <f>$P$1*LN(F172/F171)</f>
        <v/>
      </c>
      <c r="Q172" s="9">
        <f>$Q$1*(G172-G171)</f>
        <v/>
      </c>
      <c r="R172" s="9">
        <f>$R$1*(H172-H171)</f>
        <v/>
      </c>
      <c r="S172" s="9">
        <f>$S$1*LN(I172/I171)</f>
        <v/>
      </c>
      <c r="T172" s="9">
        <f>$T$1*LN(J172/J171)</f>
        <v/>
      </c>
      <c r="U172" s="9">
        <f>$W$12+$W$4*M172+$W$5*N172+$W$6*O172+$W$7*P172+$W$8*Q172+$W$9*R172+$W$10*S172+$W$11*T172</f>
        <v/>
      </c>
      <c r="AA172" s="10">
        <f>INDEX(LINEST(L113:L172,M113:T172,TRUE,TRUE),1,9)*12</f>
        <v/>
      </c>
      <c r="AB172" s="9">
        <f>INDEX(LINEST(L113:L172,M113:T172,TRUE,TRUE),1,8)</f>
        <v/>
      </c>
      <c r="AC172" s="9">
        <f>INDEX(LINEST(L113:L172,M113:T172,TRUE,TRUE),1,7)</f>
        <v/>
      </c>
      <c r="AD172" s="9">
        <f>INDEX(LINEST(L113:L172,M113:T172,TRUE,TRUE),1,6)</f>
        <v/>
      </c>
      <c r="AE172" s="9">
        <f>INDEX(LINEST(L113:L172,M113:T172,TRUE,TRUE),1,5)</f>
        <v/>
      </c>
      <c r="AF172" s="9">
        <f>INDEX(LINEST(L113:L172,M113:T172,TRUE,TRUE),1,4)</f>
        <v/>
      </c>
      <c r="AG172" s="9">
        <f>INDEX(LINEST(L113:L172,M113:T172,TRUE,TRUE),1,3)</f>
        <v/>
      </c>
      <c r="AH172" s="9">
        <f>INDEX(LINEST(L113:L172,M113:T172,TRUE,TRUE),1,2)</f>
        <v/>
      </c>
      <c r="AI172" s="9">
        <f>INDEX(LINEST(L113:L172,M113:T172,TRUE,TRUE),1,1)</f>
        <v/>
      </c>
      <c r="AJ172" s="10">
        <f>INDEX(LINEST(L113:L172,M113:T172,TRUE,TRUE),3,1)</f>
        <v/>
      </c>
      <c r="AK172" s="9">
        <f>AA171/12+AB171*M172+AC171*N172+AD171*O172+AE171*P172+AF171*Q172+AG171*R172+AH171*S172+AI171*T172</f>
        <v/>
      </c>
      <c r="AL172" s="9">
        <f>AVERAGE(L112:L171)</f>
        <v/>
      </c>
    </row>
    <row r="173">
      <c r="A173" s="7" t="n">
        <v>42825</v>
      </c>
      <c r="B173" s="8" t="n">
        <v>1244.85</v>
      </c>
      <c r="C173" s="8" t="n">
        <v>1.97</v>
      </c>
      <c r="D173" s="8" t="n">
        <v>0.43</v>
      </c>
      <c r="E173" s="8" t="n">
        <v>100.349998</v>
      </c>
      <c r="F173" s="8" t="n">
        <v>50.54</v>
      </c>
      <c r="G173" s="8" t="n">
        <v>12.37</v>
      </c>
      <c r="H173" s="8" t="n">
        <v>60.700001</v>
      </c>
      <c r="I173" s="8" t="n">
        <v>2362.719971</v>
      </c>
      <c r="J173" s="8" t="n">
        <v>83.412971</v>
      </c>
      <c r="L173" s="9">
        <f>LN(B173/B172)</f>
        <v/>
      </c>
      <c r="M173" s="9">
        <f>$M$1*(C173-C172)</f>
        <v/>
      </c>
      <c r="N173" s="9">
        <f>$N$1*(D173-D172)</f>
        <v/>
      </c>
      <c r="O173" s="9">
        <f>$O$1*LN(E173/E172)</f>
        <v/>
      </c>
      <c r="P173" s="9">
        <f>$P$1*LN(F173/F172)</f>
        <v/>
      </c>
      <c r="Q173" s="9">
        <f>$Q$1*(G173-G172)</f>
        <v/>
      </c>
      <c r="R173" s="9">
        <f>$R$1*(H173-H172)</f>
        <v/>
      </c>
      <c r="S173" s="9">
        <f>$S$1*LN(I173/I172)</f>
        <v/>
      </c>
      <c r="T173" s="9">
        <f>$T$1*LN(J173/J172)</f>
        <v/>
      </c>
      <c r="U173" s="9">
        <f>$W$12+$W$4*M173+$W$5*N173+$W$6*O173+$W$7*P173+$W$8*Q173+$W$9*R173+$W$10*S173+$W$11*T173</f>
        <v/>
      </c>
      <c r="AA173" s="10">
        <f>INDEX(LINEST(L114:L173,M114:T173,TRUE,TRUE),1,9)*12</f>
        <v/>
      </c>
      <c r="AB173" s="9">
        <f>INDEX(LINEST(L114:L173,M114:T173,TRUE,TRUE),1,8)</f>
        <v/>
      </c>
      <c r="AC173" s="9">
        <f>INDEX(LINEST(L114:L173,M114:T173,TRUE,TRUE),1,7)</f>
        <v/>
      </c>
      <c r="AD173" s="9">
        <f>INDEX(LINEST(L114:L173,M114:T173,TRUE,TRUE),1,6)</f>
        <v/>
      </c>
      <c r="AE173" s="9">
        <f>INDEX(LINEST(L114:L173,M114:T173,TRUE,TRUE),1,5)</f>
        <v/>
      </c>
      <c r="AF173" s="9">
        <f>INDEX(LINEST(L114:L173,M114:T173,TRUE,TRUE),1,4)</f>
        <v/>
      </c>
      <c r="AG173" s="9">
        <f>INDEX(LINEST(L114:L173,M114:T173,TRUE,TRUE),1,3)</f>
        <v/>
      </c>
      <c r="AH173" s="9">
        <f>INDEX(LINEST(L114:L173,M114:T173,TRUE,TRUE),1,2)</f>
        <v/>
      </c>
      <c r="AI173" s="9">
        <f>INDEX(LINEST(L114:L173,M114:T173,TRUE,TRUE),1,1)</f>
        <v/>
      </c>
      <c r="AJ173" s="10">
        <f>INDEX(LINEST(L114:L173,M114:T173,TRUE,TRUE),3,1)</f>
        <v/>
      </c>
      <c r="AK173" s="9">
        <f>AA172/12+AB172*M173+AC172*N173+AD172*O173+AE172*P173+AF172*Q173+AG172*R173+AH172*S173+AI172*T173</f>
        <v/>
      </c>
      <c r="AL173" s="9">
        <f>AVERAGE(L113:L172)</f>
        <v/>
      </c>
    </row>
    <row r="174">
      <c r="A174" s="7" t="n">
        <v>42855</v>
      </c>
      <c r="B174" s="8" t="n">
        <v>1266.45</v>
      </c>
      <c r="C174" s="8" t="n">
        <v>1.92</v>
      </c>
      <c r="D174" s="8" t="n">
        <v>0.37</v>
      </c>
      <c r="E174" s="8" t="n">
        <v>99.050003</v>
      </c>
      <c r="F174" s="8" t="n">
        <v>49.31</v>
      </c>
      <c r="G174" s="8" t="n">
        <v>10.82</v>
      </c>
      <c r="H174" s="8" t="n">
        <v>60.189999</v>
      </c>
      <c r="I174" s="8" t="n">
        <v>2384.199951</v>
      </c>
      <c r="J174" s="8" t="n">
        <v>84.16954</v>
      </c>
      <c r="L174" s="9">
        <f>LN(B174/B173)</f>
        <v/>
      </c>
      <c r="M174" s="9">
        <f>$M$1*(C174-C173)</f>
        <v/>
      </c>
      <c r="N174" s="9">
        <f>$N$1*(D174-D173)</f>
        <v/>
      </c>
      <c r="O174" s="9">
        <f>$O$1*LN(E174/E173)</f>
        <v/>
      </c>
      <c r="P174" s="9">
        <f>$P$1*LN(F174/F173)</f>
        <v/>
      </c>
      <c r="Q174" s="9">
        <f>$Q$1*(G174-G173)</f>
        <v/>
      </c>
      <c r="R174" s="9">
        <f>$R$1*(H174-H173)</f>
        <v/>
      </c>
      <c r="S174" s="9">
        <f>$S$1*LN(I174/I173)</f>
        <v/>
      </c>
      <c r="T174" s="9">
        <f>$T$1*LN(J174/J173)</f>
        <v/>
      </c>
      <c r="U174" s="9">
        <f>$W$12+$W$4*M174+$W$5*N174+$W$6*O174+$W$7*P174+$W$8*Q174+$W$9*R174+$W$10*S174+$W$11*T174</f>
        <v/>
      </c>
      <c r="AA174" s="10">
        <f>INDEX(LINEST(L115:L174,M115:T174,TRUE,TRUE),1,9)*12</f>
        <v/>
      </c>
      <c r="AB174" s="9">
        <f>INDEX(LINEST(L115:L174,M115:T174,TRUE,TRUE),1,8)</f>
        <v/>
      </c>
      <c r="AC174" s="9">
        <f>INDEX(LINEST(L115:L174,M115:T174,TRUE,TRUE),1,7)</f>
        <v/>
      </c>
      <c r="AD174" s="9">
        <f>INDEX(LINEST(L115:L174,M115:T174,TRUE,TRUE),1,6)</f>
        <v/>
      </c>
      <c r="AE174" s="9">
        <f>INDEX(LINEST(L115:L174,M115:T174,TRUE,TRUE),1,5)</f>
        <v/>
      </c>
      <c r="AF174" s="9">
        <f>INDEX(LINEST(L115:L174,M115:T174,TRUE,TRUE),1,4)</f>
        <v/>
      </c>
      <c r="AG174" s="9">
        <f>INDEX(LINEST(L115:L174,M115:T174,TRUE,TRUE),1,3)</f>
        <v/>
      </c>
      <c r="AH174" s="9">
        <f>INDEX(LINEST(L115:L174,M115:T174,TRUE,TRUE),1,2)</f>
        <v/>
      </c>
      <c r="AI174" s="9">
        <f>INDEX(LINEST(L115:L174,M115:T174,TRUE,TRUE),1,1)</f>
        <v/>
      </c>
      <c r="AJ174" s="10">
        <f>INDEX(LINEST(L115:L174,M115:T174,TRUE,TRUE),3,1)</f>
        <v/>
      </c>
      <c r="AK174" s="9">
        <f>AA173/12+AB173*M174+AC173*N174+AD173*O174+AE173*P174+AF173*Q174+AG173*R174+AH173*S174+AI173*T174</f>
        <v/>
      </c>
      <c r="AL174" s="9">
        <f>AVERAGE(L114:L173)</f>
        <v/>
      </c>
    </row>
    <row r="175">
      <c r="A175" s="7" t="n">
        <v>42886</v>
      </c>
      <c r="B175" s="8" t="n">
        <v>1266.2</v>
      </c>
      <c r="C175" s="8" t="n">
        <v>1.81</v>
      </c>
      <c r="D175" s="8" t="n">
        <v>0.4</v>
      </c>
      <c r="E175" s="8" t="n">
        <v>96.91999800000001</v>
      </c>
      <c r="F175" s="8" t="n">
        <v>48.29</v>
      </c>
      <c r="G175" s="8" t="n">
        <v>10.41</v>
      </c>
      <c r="H175" s="8" t="n">
        <v>53.950001</v>
      </c>
      <c r="I175" s="8" t="n">
        <v>2411.800049</v>
      </c>
      <c r="J175" s="8" t="n">
        <v>84.747917</v>
      </c>
      <c r="L175" s="9">
        <f>LN(B175/B174)</f>
        <v/>
      </c>
      <c r="M175" s="9">
        <f>$M$1*(C175-C174)</f>
        <v/>
      </c>
      <c r="N175" s="9">
        <f>$N$1*(D175-D174)</f>
        <v/>
      </c>
      <c r="O175" s="9">
        <f>$O$1*LN(E175/E174)</f>
        <v/>
      </c>
      <c r="P175" s="9">
        <f>$P$1*LN(F175/F174)</f>
        <v/>
      </c>
      <c r="Q175" s="9">
        <f>$Q$1*(G175-G174)</f>
        <v/>
      </c>
      <c r="R175" s="9">
        <f>$R$1*(H175-H174)</f>
        <v/>
      </c>
      <c r="S175" s="9">
        <f>$S$1*LN(I175/I174)</f>
        <v/>
      </c>
      <c r="T175" s="9">
        <f>$T$1*LN(J175/J174)</f>
        <v/>
      </c>
      <c r="U175" s="9">
        <f>$W$12+$W$4*M175+$W$5*N175+$W$6*O175+$W$7*P175+$W$8*Q175+$W$9*R175+$W$10*S175+$W$11*T175</f>
        <v/>
      </c>
      <c r="AA175" s="10">
        <f>INDEX(LINEST(L116:L175,M116:T175,TRUE,TRUE),1,9)*12</f>
        <v/>
      </c>
      <c r="AB175" s="9">
        <f>INDEX(LINEST(L116:L175,M116:T175,TRUE,TRUE),1,8)</f>
        <v/>
      </c>
      <c r="AC175" s="9">
        <f>INDEX(LINEST(L116:L175,M116:T175,TRUE,TRUE),1,7)</f>
        <v/>
      </c>
      <c r="AD175" s="9">
        <f>INDEX(LINEST(L116:L175,M116:T175,TRUE,TRUE),1,6)</f>
        <v/>
      </c>
      <c r="AE175" s="9">
        <f>INDEX(LINEST(L116:L175,M116:T175,TRUE,TRUE),1,5)</f>
        <v/>
      </c>
      <c r="AF175" s="9">
        <f>INDEX(LINEST(L116:L175,M116:T175,TRUE,TRUE),1,4)</f>
        <v/>
      </c>
      <c r="AG175" s="9">
        <f>INDEX(LINEST(L116:L175,M116:T175,TRUE,TRUE),1,3)</f>
        <v/>
      </c>
      <c r="AH175" s="9">
        <f>INDEX(LINEST(L116:L175,M116:T175,TRUE,TRUE),1,2)</f>
        <v/>
      </c>
      <c r="AI175" s="9">
        <f>INDEX(LINEST(L116:L175,M116:T175,TRUE,TRUE),1,1)</f>
        <v/>
      </c>
      <c r="AJ175" s="10">
        <f>INDEX(LINEST(L116:L175,M116:T175,TRUE,TRUE),3,1)</f>
        <v/>
      </c>
      <c r="AK175" s="9">
        <f>AA174/12+AB174*M175+AC174*N175+AD174*O175+AE174*P175+AF174*Q175+AG174*R175+AH174*S175+AI174*T175</f>
        <v/>
      </c>
      <c r="AL175" s="9">
        <f>AVERAGE(L115:L174)</f>
        <v/>
      </c>
    </row>
    <row r="176">
      <c r="A176" s="7" t="n">
        <v>42916</v>
      </c>
      <c r="B176" s="8" t="n">
        <v>1242.25</v>
      </c>
      <c r="C176" s="8" t="n">
        <v>1.73</v>
      </c>
      <c r="D176" s="8" t="n">
        <v>0.58</v>
      </c>
      <c r="E176" s="8" t="n">
        <v>95.660004</v>
      </c>
      <c r="F176" s="8" t="n">
        <v>46.02</v>
      </c>
      <c r="G176" s="8" t="n">
        <v>11.18</v>
      </c>
      <c r="H176" s="8" t="n">
        <v>55.220001</v>
      </c>
      <c r="I176" s="8" t="n">
        <v>2423.409912</v>
      </c>
      <c r="J176" s="8" t="n">
        <v>84.732399</v>
      </c>
      <c r="L176" s="9">
        <f>LN(B176/B175)</f>
        <v/>
      </c>
      <c r="M176" s="9">
        <f>$M$1*(C176-C175)</f>
        <v/>
      </c>
      <c r="N176" s="9">
        <f>$N$1*(D176-D175)</f>
        <v/>
      </c>
      <c r="O176" s="9">
        <f>$O$1*LN(E176/E175)</f>
        <v/>
      </c>
      <c r="P176" s="9">
        <f>$P$1*LN(F176/F175)</f>
        <v/>
      </c>
      <c r="Q176" s="9">
        <f>$Q$1*(G176-G175)</f>
        <v/>
      </c>
      <c r="R176" s="9">
        <f>$R$1*(H176-H175)</f>
        <v/>
      </c>
      <c r="S176" s="9">
        <f>$S$1*LN(I176/I175)</f>
        <v/>
      </c>
      <c r="T176" s="9">
        <f>$T$1*LN(J176/J175)</f>
        <v/>
      </c>
      <c r="U176" s="9">
        <f>$W$12+$W$4*M176+$W$5*N176+$W$6*O176+$W$7*P176+$W$8*Q176+$W$9*R176+$W$10*S176+$W$11*T176</f>
        <v/>
      </c>
      <c r="AA176" s="10">
        <f>INDEX(LINEST(L117:L176,M117:T176,TRUE,TRUE),1,9)*12</f>
        <v/>
      </c>
      <c r="AB176" s="9">
        <f>INDEX(LINEST(L117:L176,M117:T176,TRUE,TRUE),1,8)</f>
        <v/>
      </c>
      <c r="AC176" s="9">
        <f>INDEX(LINEST(L117:L176,M117:T176,TRUE,TRUE),1,7)</f>
        <v/>
      </c>
      <c r="AD176" s="9">
        <f>INDEX(LINEST(L117:L176,M117:T176,TRUE,TRUE),1,6)</f>
        <v/>
      </c>
      <c r="AE176" s="9">
        <f>INDEX(LINEST(L117:L176,M117:T176,TRUE,TRUE),1,5)</f>
        <v/>
      </c>
      <c r="AF176" s="9">
        <f>INDEX(LINEST(L117:L176,M117:T176,TRUE,TRUE),1,4)</f>
        <v/>
      </c>
      <c r="AG176" s="9">
        <f>INDEX(LINEST(L117:L176,M117:T176,TRUE,TRUE),1,3)</f>
        <v/>
      </c>
      <c r="AH176" s="9">
        <f>INDEX(LINEST(L117:L176,M117:T176,TRUE,TRUE),1,2)</f>
        <v/>
      </c>
      <c r="AI176" s="9">
        <f>INDEX(LINEST(L117:L176,M117:T176,TRUE,TRUE),1,1)</f>
        <v/>
      </c>
      <c r="AJ176" s="10">
        <f>INDEX(LINEST(L117:L176,M117:T176,TRUE,TRUE),3,1)</f>
        <v/>
      </c>
      <c r="AK176" s="9">
        <f>AA175/12+AB175*M176+AC175*N176+AD175*O176+AE175*P176+AF175*Q176+AG175*R176+AH175*S176+AI175*T176</f>
        <v/>
      </c>
      <c r="AL176" s="9">
        <f>AVERAGE(L116:L175)</f>
        <v/>
      </c>
    </row>
    <row r="177">
      <c r="A177" s="7" t="n">
        <v>42947</v>
      </c>
      <c r="B177" s="8" t="n">
        <v>1267.55</v>
      </c>
      <c r="C177" s="8" t="n">
        <v>1.82</v>
      </c>
      <c r="D177" s="8" t="n">
        <v>0.48</v>
      </c>
      <c r="E177" s="8" t="n">
        <v>92.860001</v>
      </c>
      <c r="F177" s="8" t="n">
        <v>50.21</v>
      </c>
      <c r="G177" s="8" t="n">
        <v>10.26</v>
      </c>
      <c r="H177" s="8" t="n">
        <v>48.139999</v>
      </c>
      <c r="I177" s="8" t="n">
        <v>2470.300049</v>
      </c>
      <c r="J177" s="8" t="n">
        <v>85.015388</v>
      </c>
      <c r="L177" s="9">
        <f>LN(B177/B176)</f>
        <v/>
      </c>
      <c r="M177" s="9">
        <f>$M$1*(C177-C176)</f>
        <v/>
      </c>
      <c r="N177" s="9">
        <f>$N$1*(D177-D176)</f>
        <v/>
      </c>
      <c r="O177" s="9">
        <f>$O$1*LN(E177/E176)</f>
        <v/>
      </c>
      <c r="P177" s="9">
        <f>$P$1*LN(F177/F176)</f>
        <v/>
      </c>
      <c r="Q177" s="9">
        <f>$Q$1*(G177-G176)</f>
        <v/>
      </c>
      <c r="R177" s="9">
        <f>$R$1*(H177-H176)</f>
        <v/>
      </c>
      <c r="S177" s="9">
        <f>$S$1*LN(I177/I176)</f>
        <v/>
      </c>
      <c r="T177" s="9">
        <f>$T$1*LN(J177/J176)</f>
        <v/>
      </c>
      <c r="U177" s="9">
        <f>$W$12+$W$4*M177+$W$5*N177+$W$6*O177+$W$7*P177+$W$8*Q177+$W$9*R177+$W$10*S177+$W$11*T177</f>
        <v/>
      </c>
      <c r="AA177" s="10">
        <f>INDEX(LINEST(L118:L177,M118:T177,TRUE,TRUE),1,9)*12</f>
        <v/>
      </c>
      <c r="AB177" s="9">
        <f>INDEX(LINEST(L118:L177,M118:T177,TRUE,TRUE),1,8)</f>
        <v/>
      </c>
      <c r="AC177" s="9">
        <f>INDEX(LINEST(L118:L177,M118:T177,TRUE,TRUE),1,7)</f>
        <v/>
      </c>
      <c r="AD177" s="9">
        <f>INDEX(LINEST(L118:L177,M118:T177,TRUE,TRUE),1,6)</f>
        <v/>
      </c>
      <c r="AE177" s="9">
        <f>INDEX(LINEST(L118:L177,M118:T177,TRUE,TRUE),1,5)</f>
        <v/>
      </c>
      <c r="AF177" s="9">
        <f>INDEX(LINEST(L118:L177,M118:T177,TRUE,TRUE),1,4)</f>
        <v/>
      </c>
      <c r="AG177" s="9">
        <f>INDEX(LINEST(L118:L177,M118:T177,TRUE,TRUE),1,3)</f>
        <v/>
      </c>
      <c r="AH177" s="9">
        <f>INDEX(LINEST(L118:L177,M118:T177,TRUE,TRUE),1,2)</f>
        <v/>
      </c>
      <c r="AI177" s="9">
        <f>INDEX(LINEST(L118:L177,M118:T177,TRUE,TRUE),1,1)</f>
        <v/>
      </c>
      <c r="AJ177" s="10">
        <f>INDEX(LINEST(L118:L177,M118:T177,TRUE,TRUE),3,1)</f>
        <v/>
      </c>
      <c r="AK177" s="9">
        <f>AA176/12+AB176*M177+AC176*N177+AD176*O177+AE176*P177+AF176*Q177+AG176*R177+AH176*S177+AI176*T177</f>
        <v/>
      </c>
      <c r="AL177" s="9">
        <f>AVERAGE(L117:L176)</f>
        <v/>
      </c>
    </row>
    <row r="178">
      <c r="A178" s="7" t="n">
        <v>42978</v>
      </c>
      <c r="B178" s="8" t="n">
        <v>1311.75</v>
      </c>
      <c r="C178" s="8" t="n">
        <v>1.76</v>
      </c>
      <c r="D178" s="8" t="n">
        <v>0.36</v>
      </c>
      <c r="E178" s="8" t="n">
        <v>92.66999800000001</v>
      </c>
      <c r="F178" s="8" t="n">
        <v>47.26</v>
      </c>
      <c r="G178" s="8" t="n">
        <v>10.59</v>
      </c>
      <c r="H178" s="8" t="n">
        <v>51.130001</v>
      </c>
      <c r="I178" s="8" t="n">
        <v>2471.649902</v>
      </c>
      <c r="J178" s="8" t="n">
        <v>85.815636</v>
      </c>
      <c r="L178" s="9">
        <f>LN(B178/B177)</f>
        <v/>
      </c>
      <c r="M178" s="9">
        <f>$M$1*(C178-C177)</f>
        <v/>
      </c>
      <c r="N178" s="9">
        <f>$N$1*(D178-D177)</f>
        <v/>
      </c>
      <c r="O178" s="9">
        <f>$O$1*LN(E178/E177)</f>
        <v/>
      </c>
      <c r="P178" s="9">
        <f>$P$1*LN(F178/F177)</f>
        <v/>
      </c>
      <c r="Q178" s="9">
        <f>$Q$1*(G178-G177)</f>
        <v/>
      </c>
      <c r="R178" s="9">
        <f>$R$1*(H178-H177)</f>
        <v/>
      </c>
      <c r="S178" s="9">
        <f>$S$1*LN(I178/I177)</f>
        <v/>
      </c>
      <c r="T178" s="9">
        <f>$T$1*LN(J178/J177)</f>
        <v/>
      </c>
      <c r="U178" s="9">
        <f>$W$12+$W$4*M178+$W$5*N178+$W$6*O178+$W$7*P178+$W$8*Q178+$W$9*R178+$W$10*S178+$W$11*T178</f>
        <v/>
      </c>
      <c r="AA178" s="10">
        <f>INDEX(LINEST(L119:L178,M119:T178,TRUE,TRUE),1,9)*12</f>
        <v/>
      </c>
      <c r="AB178" s="9">
        <f>INDEX(LINEST(L119:L178,M119:T178,TRUE,TRUE),1,8)</f>
        <v/>
      </c>
      <c r="AC178" s="9">
        <f>INDEX(LINEST(L119:L178,M119:T178,TRUE,TRUE),1,7)</f>
        <v/>
      </c>
      <c r="AD178" s="9">
        <f>INDEX(LINEST(L119:L178,M119:T178,TRUE,TRUE),1,6)</f>
        <v/>
      </c>
      <c r="AE178" s="9">
        <f>INDEX(LINEST(L119:L178,M119:T178,TRUE,TRUE),1,5)</f>
        <v/>
      </c>
      <c r="AF178" s="9">
        <f>INDEX(LINEST(L119:L178,M119:T178,TRUE,TRUE),1,4)</f>
        <v/>
      </c>
      <c r="AG178" s="9">
        <f>INDEX(LINEST(L119:L178,M119:T178,TRUE,TRUE),1,3)</f>
        <v/>
      </c>
      <c r="AH178" s="9">
        <f>INDEX(LINEST(L119:L178,M119:T178,TRUE,TRUE),1,2)</f>
        <v/>
      </c>
      <c r="AI178" s="9">
        <f>INDEX(LINEST(L119:L178,M119:T178,TRUE,TRUE),1,1)</f>
        <v/>
      </c>
      <c r="AJ178" s="10">
        <f>INDEX(LINEST(L119:L178,M119:T178,TRUE,TRUE),3,1)</f>
        <v/>
      </c>
      <c r="AK178" s="9">
        <f>AA177/12+AB177*M178+AC177*N178+AD177*O178+AE177*P178+AF177*Q178+AG177*R178+AH177*S178+AI177*T178</f>
        <v/>
      </c>
      <c r="AL178" s="9">
        <f>AVERAGE(L118:L177)</f>
        <v/>
      </c>
    </row>
    <row r="179">
      <c r="A179" s="7" t="n">
        <v>43008</v>
      </c>
      <c r="B179" s="8" t="n">
        <v>1283.1</v>
      </c>
      <c r="C179" s="8" t="n">
        <v>1.84</v>
      </c>
      <c r="D179" s="8" t="n">
        <v>0.49</v>
      </c>
      <c r="E179" s="8" t="n">
        <v>93.08000199999999</v>
      </c>
      <c r="F179" s="8" t="n">
        <v>51.67</v>
      </c>
      <c r="G179" s="8" t="n">
        <v>9.51</v>
      </c>
      <c r="H179" s="8" t="n">
        <v>52.880001</v>
      </c>
      <c r="I179" s="8" t="n">
        <v>2519.360107</v>
      </c>
      <c r="J179" s="8" t="n">
        <v>85.325165</v>
      </c>
      <c r="L179" s="9">
        <f>LN(B179/B178)</f>
        <v/>
      </c>
      <c r="M179" s="9">
        <f>$M$1*(C179-C178)</f>
        <v/>
      </c>
      <c r="N179" s="9">
        <f>$N$1*(D179-D178)</f>
        <v/>
      </c>
      <c r="O179" s="9">
        <f>$O$1*LN(E179/E178)</f>
        <v/>
      </c>
      <c r="P179" s="9">
        <f>$P$1*LN(F179/F178)</f>
        <v/>
      </c>
      <c r="Q179" s="9">
        <f>$Q$1*(G179-G178)</f>
        <v/>
      </c>
      <c r="R179" s="9">
        <f>$R$1*(H179-H178)</f>
        <v/>
      </c>
      <c r="S179" s="9">
        <f>$S$1*LN(I179/I178)</f>
        <v/>
      </c>
      <c r="T179" s="9">
        <f>$T$1*LN(J179/J178)</f>
        <v/>
      </c>
      <c r="U179" s="9">
        <f>$W$12+$W$4*M179+$W$5*N179+$W$6*O179+$W$7*P179+$W$8*Q179+$W$9*R179+$W$10*S179+$W$11*T179</f>
        <v/>
      </c>
      <c r="AA179" s="10">
        <f>INDEX(LINEST(L120:L179,M120:T179,TRUE,TRUE),1,9)*12</f>
        <v/>
      </c>
      <c r="AB179" s="9">
        <f>INDEX(LINEST(L120:L179,M120:T179,TRUE,TRUE),1,8)</f>
        <v/>
      </c>
      <c r="AC179" s="9">
        <f>INDEX(LINEST(L120:L179,M120:T179,TRUE,TRUE),1,7)</f>
        <v/>
      </c>
      <c r="AD179" s="9">
        <f>INDEX(LINEST(L120:L179,M120:T179,TRUE,TRUE),1,6)</f>
        <v/>
      </c>
      <c r="AE179" s="9">
        <f>INDEX(LINEST(L120:L179,M120:T179,TRUE,TRUE),1,5)</f>
        <v/>
      </c>
      <c r="AF179" s="9">
        <f>INDEX(LINEST(L120:L179,M120:T179,TRUE,TRUE),1,4)</f>
        <v/>
      </c>
      <c r="AG179" s="9">
        <f>INDEX(LINEST(L120:L179,M120:T179,TRUE,TRUE),1,3)</f>
        <v/>
      </c>
      <c r="AH179" s="9">
        <f>INDEX(LINEST(L120:L179,M120:T179,TRUE,TRUE),1,2)</f>
        <v/>
      </c>
      <c r="AI179" s="9">
        <f>INDEX(LINEST(L120:L179,M120:T179,TRUE,TRUE),1,1)</f>
        <v/>
      </c>
      <c r="AJ179" s="10">
        <f>INDEX(LINEST(L120:L179,M120:T179,TRUE,TRUE),3,1)</f>
        <v/>
      </c>
      <c r="AK179" s="9">
        <f>AA178/12+AB178*M179+AC178*N179+AD178*O179+AE178*P179+AF178*Q179+AG178*R179+AH178*S179+AI178*T179</f>
        <v/>
      </c>
      <c r="AL179" s="9">
        <f>AVERAGE(L119:L178)</f>
        <v/>
      </c>
    </row>
    <row r="180">
      <c r="A180" s="7" t="n">
        <v>43039</v>
      </c>
      <c r="B180" s="8" t="n">
        <v>1270.15</v>
      </c>
      <c r="C180" s="8" t="n">
        <v>1.88</v>
      </c>
      <c r="D180" s="8" t="n">
        <v>0.5</v>
      </c>
      <c r="E180" s="8" t="n">
        <v>94.550003</v>
      </c>
      <c r="F180" s="8" t="n">
        <v>54.36</v>
      </c>
      <c r="G180" s="8" t="n">
        <v>10.18</v>
      </c>
      <c r="H180" s="8" t="n">
        <v>51.150002</v>
      </c>
      <c r="I180" s="8" t="n">
        <v>2575.26001</v>
      </c>
      <c r="J180" s="8" t="n">
        <v>85.40863</v>
      </c>
      <c r="L180" s="9">
        <f>LN(B180/B179)</f>
        <v/>
      </c>
      <c r="M180" s="9">
        <f>$M$1*(C180-C179)</f>
        <v/>
      </c>
      <c r="N180" s="9">
        <f>$N$1*(D180-D179)</f>
        <v/>
      </c>
      <c r="O180" s="9">
        <f>$O$1*LN(E180/E179)</f>
        <v/>
      </c>
      <c r="P180" s="9">
        <f>$P$1*LN(F180/F179)</f>
        <v/>
      </c>
      <c r="Q180" s="9">
        <f>$Q$1*(G180-G179)</f>
        <v/>
      </c>
      <c r="R180" s="9">
        <f>$R$1*(H180-H179)</f>
        <v/>
      </c>
      <c r="S180" s="9">
        <f>$S$1*LN(I180/I179)</f>
        <v/>
      </c>
      <c r="T180" s="9">
        <f>$T$1*LN(J180/J179)</f>
        <v/>
      </c>
      <c r="U180" s="9">
        <f>$W$12+$W$4*M180+$W$5*N180+$W$6*O180+$W$7*P180+$W$8*Q180+$W$9*R180+$W$10*S180+$W$11*T180</f>
        <v/>
      </c>
      <c r="AA180" s="10">
        <f>INDEX(LINEST(L121:L180,M121:T180,TRUE,TRUE),1,9)*12</f>
        <v/>
      </c>
      <c r="AB180" s="9">
        <f>INDEX(LINEST(L121:L180,M121:T180,TRUE,TRUE),1,8)</f>
        <v/>
      </c>
      <c r="AC180" s="9">
        <f>INDEX(LINEST(L121:L180,M121:T180,TRUE,TRUE),1,7)</f>
        <v/>
      </c>
      <c r="AD180" s="9">
        <f>INDEX(LINEST(L121:L180,M121:T180,TRUE,TRUE),1,6)</f>
        <v/>
      </c>
      <c r="AE180" s="9">
        <f>INDEX(LINEST(L121:L180,M121:T180,TRUE,TRUE),1,5)</f>
        <v/>
      </c>
      <c r="AF180" s="9">
        <f>INDEX(LINEST(L121:L180,M121:T180,TRUE,TRUE),1,4)</f>
        <v/>
      </c>
      <c r="AG180" s="9">
        <f>INDEX(LINEST(L121:L180,M121:T180,TRUE,TRUE),1,3)</f>
        <v/>
      </c>
      <c r="AH180" s="9">
        <f>INDEX(LINEST(L121:L180,M121:T180,TRUE,TRUE),1,2)</f>
        <v/>
      </c>
      <c r="AI180" s="9">
        <f>INDEX(LINEST(L121:L180,M121:T180,TRUE,TRUE),1,1)</f>
        <v/>
      </c>
      <c r="AJ180" s="10">
        <f>INDEX(LINEST(L121:L180,M121:T180,TRUE,TRUE),3,1)</f>
        <v/>
      </c>
      <c r="AK180" s="9">
        <f>AA179/12+AB179*M180+AC179*N180+AD179*O180+AE179*P180+AF179*Q180+AG179*R180+AH179*S180+AI179*T180</f>
        <v/>
      </c>
      <c r="AL180" s="9">
        <f>AVERAGE(L120:L179)</f>
        <v/>
      </c>
    </row>
    <row r="181">
      <c r="A181" s="7" t="n">
        <v>43069</v>
      </c>
      <c r="B181" s="8" t="n">
        <v>1280.2</v>
      </c>
      <c r="C181" s="8" t="n">
        <v>1.86</v>
      </c>
      <c r="D181" s="8" t="n">
        <v>0.5600000000000001</v>
      </c>
      <c r="E181" s="8" t="n">
        <v>93.010002</v>
      </c>
      <c r="F181" s="8" t="n">
        <v>57.4</v>
      </c>
      <c r="G181" s="8" t="n">
        <v>11.28</v>
      </c>
      <c r="H181" s="8" t="n">
        <v>46.830002</v>
      </c>
      <c r="I181" s="8" t="n">
        <v>2647.580078</v>
      </c>
      <c r="J181" s="8" t="n">
        <v>85.28196</v>
      </c>
      <c r="L181" s="9">
        <f>LN(B181/B180)</f>
        <v/>
      </c>
      <c r="M181" s="9">
        <f>$M$1*(C181-C180)</f>
        <v/>
      </c>
      <c r="N181" s="9">
        <f>$N$1*(D181-D180)</f>
        <v/>
      </c>
      <c r="O181" s="9">
        <f>$O$1*LN(E181/E180)</f>
        <v/>
      </c>
      <c r="P181" s="9">
        <f>$P$1*LN(F181/F180)</f>
        <v/>
      </c>
      <c r="Q181" s="9">
        <f>$Q$1*(G181-G180)</f>
        <v/>
      </c>
      <c r="R181" s="9">
        <f>$R$1*(H181-H180)</f>
        <v/>
      </c>
      <c r="S181" s="9">
        <f>$S$1*LN(I181/I180)</f>
        <v/>
      </c>
      <c r="T181" s="9">
        <f>$T$1*LN(J181/J180)</f>
        <v/>
      </c>
      <c r="U181" s="9">
        <f>$W$12+$W$4*M181+$W$5*N181+$W$6*O181+$W$7*P181+$W$8*Q181+$W$9*R181+$W$10*S181+$W$11*T181</f>
        <v/>
      </c>
      <c r="AA181" s="10">
        <f>INDEX(LINEST(L122:L181,M122:T181,TRUE,TRUE),1,9)*12</f>
        <v/>
      </c>
      <c r="AB181" s="9">
        <f>INDEX(LINEST(L122:L181,M122:T181,TRUE,TRUE),1,8)</f>
        <v/>
      </c>
      <c r="AC181" s="9">
        <f>INDEX(LINEST(L122:L181,M122:T181,TRUE,TRUE),1,7)</f>
        <v/>
      </c>
      <c r="AD181" s="9">
        <f>INDEX(LINEST(L122:L181,M122:T181,TRUE,TRUE),1,6)</f>
        <v/>
      </c>
      <c r="AE181" s="9">
        <f>INDEX(LINEST(L122:L181,M122:T181,TRUE,TRUE),1,5)</f>
        <v/>
      </c>
      <c r="AF181" s="9">
        <f>INDEX(LINEST(L122:L181,M122:T181,TRUE,TRUE),1,4)</f>
        <v/>
      </c>
      <c r="AG181" s="9">
        <f>INDEX(LINEST(L122:L181,M122:T181,TRUE,TRUE),1,3)</f>
        <v/>
      </c>
      <c r="AH181" s="9">
        <f>INDEX(LINEST(L122:L181,M122:T181,TRUE,TRUE),1,2)</f>
        <v/>
      </c>
      <c r="AI181" s="9">
        <f>INDEX(LINEST(L122:L181,M122:T181,TRUE,TRUE),1,1)</f>
        <v/>
      </c>
      <c r="AJ181" s="10">
        <f>INDEX(LINEST(L122:L181,M122:T181,TRUE,TRUE),3,1)</f>
        <v/>
      </c>
      <c r="AK181" s="9">
        <f>AA180/12+AB180*M181+AC180*N181+AD180*O181+AE180*P181+AF180*Q181+AG180*R181+AH180*S181+AI180*T181</f>
        <v/>
      </c>
      <c r="AL181" s="9">
        <f>AVERAGE(L121:L180)</f>
        <v/>
      </c>
    </row>
    <row r="182">
      <c r="A182" s="7" t="n">
        <v>43100</v>
      </c>
      <c r="B182" s="8" t="n">
        <v>1291</v>
      </c>
      <c r="C182" s="8" t="n">
        <v>1.96</v>
      </c>
      <c r="D182" s="8" t="n">
        <v>0.44</v>
      </c>
      <c r="E182" s="8" t="n">
        <v>92.120003</v>
      </c>
      <c r="F182" s="8" t="n">
        <v>60.46</v>
      </c>
      <c r="G182" s="8" t="n">
        <v>11.04</v>
      </c>
      <c r="H182" s="8" t="n">
        <v>46.599998</v>
      </c>
      <c r="I182" s="8" t="n">
        <v>2673.610107</v>
      </c>
      <c r="J182" s="8" t="n">
        <v>85.687195</v>
      </c>
      <c r="L182" s="9">
        <f>LN(B182/B181)</f>
        <v/>
      </c>
      <c r="M182" s="9">
        <f>$M$1*(C182-C181)</f>
        <v/>
      </c>
      <c r="N182" s="9">
        <f>$N$1*(D182-D181)</f>
        <v/>
      </c>
      <c r="O182" s="9">
        <f>$O$1*LN(E182/E181)</f>
        <v/>
      </c>
      <c r="P182" s="9">
        <f>$P$1*LN(F182/F181)</f>
        <v/>
      </c>
      <c r="Q182" s="9">
        <f>$Q$1*(G182-G181)</f>
        <v/>
      </c>
      <c r="R182" s="9">
        <f>$R$1*(H182-H181)</f>
        <v/>
      </c>
      <c r="S182" s="9">
        <f>$S$1*LN(I182/I181)</f>
        <v/>
      </c>
      <c r="T182" s="9">
        <f>$T$1*LN(J182/J181)</f>
        <v/>
      </c>
      <c r="U182" s="9">
        <f>$W$12+$W$4*M182+$W$5*N182+$W$6*O182+$W$7*P182+$W$8*Q182+$W$9*R182+$W$10*S182+$W$11*T182</f>
        <v/>
      </c>
      <c r="AA182" s="10">
        <f>INDEX(LINEST(L123:L182,M123:T182,TRUE,TRUE),1,9)*12</f>
        <v/>
      </c>
      <c r="AB182" s="9">
        <f>INDEX(LINEST(L123:L182,M123:T182,TRUE,TRUE),1,8)</f>
        <v/>
      </c>
      <c r="AC182" s="9">
        <f>INDEX(LINEST(L123:L182,M123:T182,TRUE,TRUE),1,7)</f>
        <v/>
      </c>
      <c r="AD182" s="9">
        <f>INDEX(LINEST(L123:L182,M123:T182,TRUE,TRUE),1,6)</f>
        <v/>
      </c>
      <c r="AE182" s="9">
        <f>INDEX(LINEST(L123:L182,M123:T182,TRUE,TRUE),1,5)</f>
        <v/>
      </c>
      <c r="AF182" s="9">
        <f>INDEX(LINEST(L123:L182,M123:T182,TRUE,TRUE),1,4)</f>
        <v/>
      </c>
      <c r="AG182" s="9">
        <f>INDEX(LINEST(L123:L182,M123:T182,TRUE,TRUE),1,3)</f>
        <v/>
      </c>
      <c r="AH182" s="9">
        <f>INDEX(LINEST(L123:L182,M123:T182,TRUE,TRUE),1,2)</f>
        <v/>
      </c>
      <c r="AI182" s="9">
        <f>INDEX(LINEST(L123:L182,M123:T182,TRUE,TRUE),1,1)</f>
        <v/>
      </c>
      <c r="AJ182" s="10">
        <f>INDEX(LINEST(L123:L182,M123:T182,TRUE,TRUE),3,1)</f>
        <v/>
      </c>
      <c r="AK182" s="9">
        <f>AA181/12+AB181*M182+AC181*N182+AD181*O182+AE181*P182+AF181*Q182+AG181*R182+AH181*S182+AI181*T182</f>
        <v/>
      </c>
      <c r="AL182" s="9">
        <f>AVERAGE(L122:L181)</f>
        <v/>
      </c>
    </row>
    <row r="183">
      <c r="A183" s="7" t="n">
        <v>43131</v>
      </c>
      <c r="B183" s="8" t="n">
        <v>1345.05</v>
      </c>
      <c r="C183" s="8" t="n">
        <v>2.11</v>
      </c>
      <c r="D183" s="8" t="n">
        <v>0.61</v>
      </c>
      <c r="E183" s="8" t="n">
        <v>89.129997</v>
      </c>
      <c r="F183" s="8" t="n">
        <v>64.81999999999999</v>
      </c>
      <c r="G183" s="8" t="n">
        <v>13.54</v>
      </c>
      <c r="H183" s="8" t="n">
        <v>57.200001</v>
      </c>
      <c r="I183" s="8" t="n">
        <v>2823.810059</v>
      </c>
      <c r="J183" s="8" t="n">
        <v>84.723213</v>
      </c>
      <c r="L183" s="9">
        <f>LN(B183/B182)</f>
        <v/>
      </c>
      <c r="M183" s="9">
        <f>$M$1*(C183-C182)</f>
        <v/>
      </c>
      <c r="N183" s="9">
        <f>$N$1*(D183-D182)</f>
        <v/>
      </c>
      <c r="O183" s="9">
        <f>$O$1*LN(E183/E182)</f>
        <v/>
      </c>
      <c r="P183" s="9">
        <f>$P$1*LN(F183/F182)</f>
        <v/>
      </c>
      <c r="Q183" s="9">
        <f>$Q$1*(G183-G182)</f>
        <v/>
      </c>
      <c r="R183" s="9">
        <f>$R$1*(H183-H182)</f>
        <v/>
      </c>
      <c r="S183" s="9">
        <f>$S$1*LN(I183/I182)</f>
        <v/>
      </c>
      <c r="T183" s="9">
        <f>$T$1*LN(J183/J182)</f>
        <v/>
      </c>
      <c r="U183" s="9">
        <f>$W$12+$W$4*M183+$W$5*N183+$W$6*O183+$W$7*P183+$W$8*Q183+$W$9*R183+$W$10*S183+$W$11*T183</f>
        <v/>
      </c>
      <c r="AA183" s="10">
        <f>INDEX(LINEST(L124:L183,M124:T183,TRUE,TRUE),1,9)*12</f>
        <v/>
      </c>
      <c r="AB183" s="9">
        <f>INDEX(LINEST(L124:L183,M124:T183,TRUE,TRUE),1,8)</f>
        <v/>
      </c>
      <c r="AC183" s="9">
        <f>INDEX(LINEST(L124:L183,M124:T183,TRUE,TRUE),1,7)</f>
        <v/>
      </c>
      <c r="AD183" s="9">
        <f>INDEX(LINEST(L124:L183,M124:T183,TRUE,TRUE),1,6)</f>
        <v/>
      </c>
      <c r="AE183" s="9">
        <f>INDEX(LINEST(L124:L183,M124:T183,TRUE,TRUE),1,5)</f>
        <v/>
      </c>
      <c r="AF183" s="9">
        <f>INDEX(LINEST(L124:L183,M124:T183,TRUE,TRUE),1,4)</f>
        <v/>
      </c>
      <c r="AG183" s="9">
        <f>INDEX(LINEST(L124:L183,M124:T183,TRUE,TRUE),1,3)</f>
        <v/>
      </c>
      <c r="AH183" s="9">
        <f>INDEX(LINEST(L124:L183,M124:T183,TRUE,TRUE),1,2)</f>
        <v/>
      </c>
      <c r="AI183" s="9">
        <f>INDEX(LINEST(L124:L183,M124:T183,TRUE,TRUE),1,1)</f>
        <v/>
      </c>
      <c r="AJ183" s="10">
        <f>INDEX(LINEST(L124:L183,M124:T183,TRUE,TRUE),3,1)</f>
        <v/>
      </c>
      <c r="AK183" s="9">
        <f>AA182/12+AB182*M183+AC182*N183+AD182*O183+AE182*P183+AF182*Q183+AG182*R183+AH182*S183+AI182*T183</f>
        <v/>
      </c>
      <c r="AL183" s="9">
        <f>AVERAGE(L123:L182)</f>
        <v/>
      </c>
    </row>
    <row r="184">
      <c r="A184" s="7" t="n">
        <v>43159</v>
      </c>
      <c r="B184" s="8" t="n">
        <v>1317.85</v>
      </c>
      <c r="C184" s="8" t="n">
        <v>2.12</v>
      </c>
      <c r="D184" s="8" t="n">
        <v>0.75</v>
      </c>
      <c r="E184" s="8" t="n">
        <v>90.610001</v>
      </c>
      <c r="F184" s="8" t="n">
        <v>61.43</v>
      </c>
      <c r="G184" s="8" t="n">
        <v>19.85</v>
      </c>
      <c r="H184" s="8" t="n">
        <v>62.970001</v>
      </c>
      <c r="I184" s="8" t="n">
        <v>2713.830078</v>
      </c>
      <c r="J184" s="8" t="n">
        <v>83.868515</v>
      </c>
      <c r="L184" s="9">
        <f>LN(B184/B183)</f>
        <v/>
      </c>
      <c r="M184" s="9">
        <f>$M$1*(C184-C183)</f>
        <v/>
      </c>
      <c r="N184" s="9">
        <f>$N$1*(D184-D183)</f>
        <v/>
      </c>
      <c r="O184" s="9">
        <f>$O$1*LN(E184/E183)</f>
        <v/>
      </c>
      <c r="P184" s="9">
        <f>$P$1*LN(F184/F183)</f>
        <v/>
      </c>
      <c r="Q184" s="9">
        <f>$Q$1*(G184-G183)</f>
        <v/>
      </c>
      <c r="R184" s="9">
        <f>$R$1*(H184-H183)</f>
        <v/>
      </c>
      <c r="S184" s="9">
        <f>$S$1*LN(I184/I183)</f>
        <v/>
      </c>
      <c r="T184" s="9">
        <f>$T$1*LN(J184/J183)</f>
        <v/>
      </c>
      <c r="U184" s="9">
        <f>$W$12+$W$4*M184+$W$5*N184+$W$6*O184+$W$7*P184+$W$8*Q184+$W$9*R184+$W$10*S184+$W$11*T184</f>
        <v/>
      </c>
      <c r="AA184" s="10">
        <f>INDEX(LINEST(L125:L184,M125:T184,TRUE,TRUE),1,9)*12</f>
        <v/>
      </c>
      <c r="AB184" s="9">
        <f>INDEX(LINEST(L125:L184,M125:T184,TRUE,TRUE),1,8)</f>
        <v/>
      </c>
      <c r="AC184" s="9">
        <f>INDEX(LINEST(L125:L184,M125:T184,TRUE,TRUE),1,7)</f>
        <v/>
      </c>
      <c r="AD184" s="9">
        <f>INDEX(LINEST(L125:L184,M125:T184,TRUE,TRUE),1,6)</f>
        <v/>
      </c>
      <c r="AE184" s="9">
        <f>INDEX(LINEST(L125:L184,M125:T184,TRUE,TRUE),1,5)</f>
        <v/>
      </c>
      <c r="AF184" s="9">
        <f>INDEX(LINEST(L125:L184,M125:T184,TRUE,TRUE),1,4)</f>
        <v/>
      </c>
      <c r="AG184" s="9">
        <f>INDEX(LINEST(L125:L184,M125:T184,TRUE,TRUE),1,3)</f>
        <v/>
      </c>
      <c r="AH184" s="9">
        <f>INDEX(LINEST(L125:L184,M125:T184,TRUE,TRUE),1,2)</f>
        <v/>
      </c>
      <c r="AI184" s="9">
        <f>INDEX(LINEST(L125:L184,M125:T184,TRUE,TRUE),1,1)</f>
        <v/>
      </c>
      <c r="AJ184" s="10">
        <f>INDEX(LINEST(L125:L184,M125:T184,TRUE,TRUE),3,1)</f>
        <v/>
      </c>
      <c r="AK184" s="9">
        <f>AA183/12+AB183*M184+AC183*N184+AD183*O184+AE183*P184+AF183*Q184+AG183*R184+AH183*S184+AI183*T184</f>
        <v/>
      </c>
      <c r="AL184" s="9">
        <f>AVERAGE(L124:L183)</f>
        <v/>
      </c>
    </row>
    <row r="185">
      <c r="A185" s="7" t="n">
        <v>43190</v>
      </c>
      <c r="B185" s="8" t="n">
        <v>1323.85</v>
      </c>
      <c r="C185" s="8" t="n">
        <v>2.05</v>
      </c>
      <c r="D185" s="8" t="n">
        <v>0.6899999999999999</v>
      </c>
      <c r="E185" s="8" t="n">
        <v>90.150002</v>
      </c>
      <c r="F185" s="8" t="n">
        <v>64.87</v>
      </c>
      <c r="G185" s="8" t="n">
        <v>19.97</v>
      </c>
      <c r="H185" s="8" t="n">
        <v>58.540001</v>
      </c>
      <c r="I185" s="8" t="n">
        <v>2640.870117</v>
      </c>
      <c r="J185" s="8" t="n">
        <v>84.431442</v>
      </c>
      <c r="L185" s="9">
        <f>LN(B185/B184)</f>
        <v/>
      </c>
      <c r="M185" s="9">
        <f>$M$1*(C185-C184)</f>
        <v/>
      </c>
      <c r="N185" s="9">
        <f>$N$1*(D185-D184)</f>
        <v/>
      </c>
      <c r="O185" s="9">
        <f>$O$1*LN(E185/E184)</f>
        <v/>
      </c>
      <c r="P185" s="9">
        <f>$P$1*LN(F185/F184)</f>
        <v/>
      </c>
      <c r="Q185" s="9">
        <f>$Q$1*(G185-G184)</f>
        <v/>
      </c>
      <c r="R185" s="9">
        <f>$R$1*(H185-H184)</f>
        <v/>
      </c>
      <c r="S185" s="9">
        <f>$S$1*LN(I185/I184)</f>
        <v/>
      </c>
      <c r="T185" s="9">
        <f>$T$1*LN(J185/J184)</f>
        <v/>
      </c>
      <c r="U185" s="9">
        <f>$W$12+$W$4*M185+$W$5*N185+$W$6*O185+$W$7*P185+$W$8*Q185+$W$9*R185+$W$10*S185+$W$11*T185</f>
        <v/>
      </c>
      <c r="AA185" s="10">
        <f>INDEX(LINEST(L126:L185,M126:T185,TRUE,TRUE),1,9)*12</f>
        <v/>
      </c>
      <c r="AB185" s="9">
        <f>INDEX(LINEST(L126:L185,M126:T185,TRUE,TRUE),1,8)</f>
        <v/>
      </c>
      <c r="AC185" s="9">
        <f>INDEX(LINEST(L126:L185,M126:T185,TRUE,TRUE),1,7)</f>
        <v/>
      </c>
      <c r="AD185" s="9">
        <f>INDEX(LINEST(L126:L185,M126:T185,TRUE,TRUE),1,6)</f>
        <v/>
      </c>
      <c r="AE185" s="9">
        <f>INDEX(LINEST(L126:L185,M126:T185,TRUE,TRUE),1,5)</f>
        <v/>
      </c>
      <c r="AF185" s="9">
        <f>INDEX(LINEST(L126:L185,M126:T185,TRUE,TRUE),1,4)</f>
        <v/>
      </c>
      <c r="AG185" s="9">
        <f>INDEX(LINEST(L126:L185,M126:T185,TRUE,TRUE),1,3)</f>
        <v/>
      </c>
      <c r="AH185" s="9">
        <f>INDEX(LINEST(L126:L185,M126:T185,TRUE,TRUE),1,2)</f>
        <v/>
      </c>
      <c r="AI185" s="9">
        <f>INDEX(LINEST(L126:L185,M126:T185,TRUE,TRUE),1,1)</f>
        <v/>
      </c>
      <c r="AJ185" s="10">
        <f>INDEX(LINEST(L126:L185,M126:T185,TRUE,TRUE),3,1)</f>
        <v/>
      </c>
      <c r="AK185" s="9">
        <f>AA184/12+AB184*M185+AC184*N185+AD184*O185+AE184*P185+AF184*Q185+AG184*R185+AH184*S185+AI184*T185</f>
        <v/>
      </c>
      <c r="AL185" s="9">
        <f>AVERAGE(L125:L184)</f>
        <v/>
      </c>
    </row>
    <row r="186">
      <c r="A186" s="7" t="n">
        <v>43220</v>
      </c>
      <c r="B186" s="8" t="n">
        <v>1313.2</v>
      </c>
      <c r="C186" s="8" t="n">
        <v>2.17</v>
      </c>
      <c r="D186" s="8" t="n">
        <v>0.78</v>
      </c>
      <c r="E186" s="8" t="n">
        <v>91.839996</v>
      </c>
      <c r="F186" s="8" t="n">
        <v>68.56</v>
      </c>
      <c r="G186" s="8" t="n">
        <v>15.93</v>
      </c>
      <c r="H186" s="8" t="n">
        <v>50.349998</v>
      </c>
      <c r="I186" s="8" t="n">
        <v>2648.050049</v>
      </c>
      <c r="J186" s="8" t="n">
        <v>83.636864</v>
      </c>
      <c r="L186" s="9">
        <f>LN(B186/B185)</f>
        <v/>
      </c>
      <c r="M186" s="9">
        <f>$M$1*(C186-C185)</f>
        <v/>
      </c>
      <c r="N186" s="9">
        <f>$N$1*(D186-D185)</f>
        <v/>
      </c>
      <c r="O186" s="9">
        <f>$O$1*LN(E186/E185)</f>
        <v/>
      </c>
      <c r="P186" s="9">
        <f>$P$1*LN(F186/F185)</f>
        <v/>
      </c>
      <c r="Q186" s="9">
        <f>$Q$1*(G186-G185)</f>
        <v/>
      </c>
      <c r="R186" s="9">
        <f>$R$1*(H186-H185)</f>
        <v/>
      </c>
      <c r="S186" s="9">
        <f>$S$1*LN(I186/I185)</f>
        <v/>
      </c>
      <c r="T186" s="9">
        <f>$T$1*LN(J186/J185)</f>
        <v/>
      </c>
      <c r="U186" s="9">
        <f>$W$12+$W$4*M186+$W$5*N186+$W$6*O186+$W$7*P186+$W$8*Q186+$W$9*R186+$W$10*S186+$W$11*T186</f>
        <v/>
      </c>
      <c r="AA186" s="10">
        <f>INDEX(LINEST(L127:L186,M127:T186,TRUE,TRUE),1,9)*12</f>
        <v/>
      </c>
      <c r="AB186" s="9">
        <f>INDEX(LINEST(L127:L186,M127:T186,TRUE,TRUE),1,8)</f>
        <v/>
      </c>
      <c r="AC186" s="9">
        <f>INDEX(LINEST(L127:L186,M127:T186,TRUE,TRUE),1,7)</f>
        <v/>
      </c>
      <c r="AD186" s="9">
        <f>INDEX(LINEST(L127:L186,M127:T186,TRUE,TRUE),1,6)</f>
        <v/>
      </c>
      <c r="AE186" s="9">
        <f>INDEX(LINEST(L127:L186,M127:T186,TRUE,TRUE),1,5)</f>
        <v/>
      </c>
      <c r="AF186" s="9">
        <f>INDEX(LINEST(L127:L186,M127:T186,TRUE,TRUE),1,4)</f>
        <v/>
      </c>
      <c r="AG186" s="9">
        <f>INDEX(LINEST(L127:L186,M127:T186,TRUE,TRUE),1,3)</f>
        <v/>
      </c>
      <c r="AH186" s="9">
        <f>INDEX(LINEST(L127:L186,M127:T186,TRUE,TRUE),1,2)</f>
        <v/>
      </c>
      <c r="AI186" s="9">
        <f>INDEX(LINEST(L127:L186,M127:T186,TRUE,TRUE),1,1)</f>
        <v/>
      </c>
      <c r="AJ186" s="10">
        <f>INDEX(LINEST(L127:L186,M127:T186,TRUE,TRUE),3,1)</f>
        <v/>
      </c>
      <c r="AK186" s="9">
        <f>AA185/12+AB185*M186+AC185*N186+AD185*O186+AE185*P186+AF185*Q186+AG185*R186+AH185*S186+AI185*T186</f>
        <v/>
      </c>
      <c r="AL186" s="9">
        <f>AVERAGE(L126:L185)</f>
        <v/>
      </c>
    </row>
    <row r="187">
      <c r="A187" s="7" t="n">
        <v>43251</v>
      </c>
      <c r="B187" s="8" t="n">
        <v>1305.35</v>
      </c>
      <c r="C187" s="8" t="n">
        <v>2.07</v>
      </c>
      <c r="D187" s="8" t="n">
        <v>0.76</v>
      </c>
      <c r="E187" s="8" t="n">
        <v>93.989998</v>
      </c>
      <c r="F187" s="8" t="n">
        <v>66.98</v>
      </c>
      <c r="G187" s="8" t="n">
        <v>15.43</v>
      </c>
      <c r="H187" s="8" t="n">
        <v>60.540001</v>
      </c>
      <c r="I187" s="8" t="n">
        <v>2705.27002</v>
      </c>
      <c r="J187" s="8" t="n">
        <v>84.190468</v>
      </c>
      <c r="L187" s="9">
        <f>LN(B187/B186)</f>
        <v/>
      </c>
      <c r="M187" s="9">
        <f>$M$1*(C187-C186)</f>
        <v/>
      </c>
      <c r="N187" s="9">
        <f>$N$1*(D187-D186)</f>
        <v/>
      </c>
      <c r="O187" s="9">
        <f>$O$1*LN(E187/E186)</f>
        <v/>
      </c>
      <c r="P187" s="9">
        <f>$P$1*LN(F187/F186)</f>
        <v/>
      </c>
      <c r="Q187" s="9">
        <f>$Q$1*(G187-G186)</f>
        <v/>
      </c>
      <c r="R187" s="9">
        <f>$R$1*(H187-H186)</f>
        <v/>
      </c>
      <c r="S187" s="9">
        <f>$S$1*LN(I187/I186)</f>
        <v/>
      </c>
      <c r="T187" s="9">
        <f>$T$1*LN(J187/J186)</f>
        <v/>
      </c>
      <c r="U187" s="9">
        <f>$W$12+$W$4*M187+$W$5*N187+$W$6*O187+$W$7*P187+$W$8*Q187+$W$9*R187+$W$10*S187+$W$11*T187</f>
        <v/>
      </c>
      <c r="AA187" s="10">
        <f>INDEX(LINEST(L128:L187,M128:T187,TRUE,TRUE),1,9)*12</f>
        <v/>
      </c>
      <c r="AB187" s="9">
        <f>INDEX(LINEST(L128:L187,M128:T187,TRUE,TRUE),1,8)</f>
        <v/>
      </c>
      <c r="AC187" s="9">
        <f>INDEX(LINEST(L128:L187,M128:T187,TRUE,TRUE),1,7)</f>
        <v/>
      </c>
      <c r="AD187" s="9">
        <f>INDEX(LINEST(L128:L187,M128:T187,TRUE,TRUE),1,6)</f>
        <v/>
      </c>
      <c r="AE187" s="9">
        <f>INDEX(LINEST(L128:L187,M128:T187,TRUE,TRUE),1,5)</f>
        <v/>
      </c>
      <c r="AF187" s="9">
        <f>INDEX(LINEST(L128:L187,M128:T187,TRUE,TRUE),1,4)</f>
        <v/>
      </c>
      <c r="AG187" s="9">
        <f>INDEX(LINEST(L128:L187,M128:T187,TRUE,TRUE),1,3)</f>
        <v/>
      </c>
      <c r="AH187" s="9">
        <f>INDEX(LINEST(L128:L187,M128:T187,TRUE,TRUE),1,2)</f>
        <v/>
      </c>
      <c r="AI187" s="9">
        <f>INDEX(LINEST(L128:L187,M128:T187,TRUE,TRUE),1,1)</f>
        <v/>
      </c>
      <c r="AJ187" s="10">
        <f>INDEX(LINEST(L128:L187,M128:T187,TRUE,TRUE),3,1)</f>
        <v/>
      </c>
      <c r="AK187" s="9">
        <f>AA186/12+AB186*M187+AC186*N187+AD186*O187+AE186*P187+AF186*Q187+AG186*R187+AH186*S187+AI186*T187</f>
        <v/>
      </c>
      <c r="AL187" s="9">
        <f>AVERAGE(L127:L186)</f>
        <v/>
      </c>
    </row>
    <row r="188">
      <c r="A188" s="7" t="n">
        <v>43281</v>
      </c>
      <c r="B188" s="8" t="n">
        <v>1250.45</v>
      </c>
      <c r="C188" s="8" t="n">
        <v>2.11</v>
      </c>
      <c r="D188" s="8" t="n">
        <v>0.74</v>
      </c>
      <c r="E188" s="8" t="n">
        <v>94.629997</v>
      </c>
      <c r="F188" s="8" t="n">
        <v>74.13</v>
      </c>
      <c r="G188" s="8" t="n">
        <v>16.09</v>
      </c>
      <c r="H188" s="8" t="n">
        <v>51.169998</v>
      </c>
      <c r="I188" s="8" t="n">
        <v>2718.370117</v>
      </c>
      <c r="J188" s="8" t="n">
        <v>84.276825</v>
      </c>
      <c r="L188" s="9">
        <f>LN(B188/B187)</f>
        <v/>
      </c>
      <c r="M188" s="9">
        <f>$M$1*(C188-C187)</f>
        <v/>
      </c>
      <c r="N188" s="9">
        <f>$N$1*(D188-D187)</f>
        <v/>
      </c>
      <c r="O188" s="9">
        <f>$O$1*LN(E188/E187)</f>
        <v/>
      </c>
      <c r="P188" s="9">
        <f>$P$1*LN(F188/F187)</f>
        <v/>
      </c>
      <c r="Q188" s="9">
        <f>$Q$1*(G188-G187)</f>
        <v/>
      </c>
      <c r="R188" s="9">
        <f>$R$1*(H188-H187)</f>
        <v/>
      </c>
      <c r="S188" s="9">
        <f>$S$1*LN(I188/I187)</f>
        <v/>
      </c>
      <c r="T188" s="9">
        <f>$T$1*LN(J188/J187)</f>
        <v/>
      </c>
      <c r="U188" s="9">
        <f>$W$12+$W$4*M188+$W$5*N188+$W$6*O188+$W$7*P188+$W$8*Q188+$W$9*R188+$W$10*S188+$W$11*T188</f>
        <v/>
      </c>
      <c r="AA188" s="10">
        <f>INDEX(LINEST(L129:L188,M129:T188,TRUE,TRUE),1,9)*12</f>
        <v/>
      </c>
      <c r="AB188" s="9">
        <f>INDEX(LINEST(L129:L188,M129:T188,TRUE,TRUE),1,8)</f>
        <v/>
      </c>
      <c r="AC188" s="9">
        <f>INDEX(LINEST(L129:L188,M129:T188,TRUE,TRUE),1,7)</f>
        <v/>
      </c>
      <c r="AD188" s="9">
        <f>INDEX(LINEST(L129:L188,M129:T188,TRUE,TRUE),1,6)</f>
        <v/>
      </c>
      <c r="AE188" s="9">
        <f>INDEX(LINEST(L129:L188,M129:T188,TRUE,TRUE),1,5)</f>
        <v/>
      </c>
      <c r="AF188" s="9">
        <f>INDEX(LINEST(L129:L188,M129:T188,TRUE,TRUE),1,4)</f>
        <v/>
      </c>
      <c r="AG188" s="9">
        <f>INDEX(LINEST(L129:L188,M129:T188,TRUE,TRUE),1,3)</f>
        <v/>
      </c>
      <c r="AH188" s="9">
        <f>INDEX(LINEST(L129:L188,M129:T188,TRUE,TRUE),1,2)</f>
        <v/>
      </c>
      <c r="AI188" s="9">
        <f>INDEX(LINEST(L129:L188,M129:T188,TRUE,TRUE),1,1)</f>
        <v/>
      </c>
      <c r="AJ188" s="10">
        <f>INDEX(LINEST(L129:L188,M129:T188,TRUE,TRUE),3,1)</f>
        <v/>
      </c>
      <c r="AK188" s="9">
        <f>AA187/12+AB187*M188+AC187*N188+AD187*O188+AE187*P188+AF187*Q188+AG187*R188+AH187*S188+AI187*T188</f>
        <v/>
      </c>
      <c r="AL188" s="9">
        <f>AVERAGE(L128:L187)</f>
        <v/>
      </c>
    </row>
    <row r="189">
      <c r="A189" s="7" t="n">
        <v>43312</v>
      </c>
      <c r="B189" s="8" t="n">
        <v>1220.95</v>
      </c>
      <c r="C189" s="8" t="n">
        <v>2.12</v>
      </c>
      <c r="D189" s="8" t="n">
        <v>0.84</v>
      </c>
      <c r="E189" s="8" t="n">
        <v>94.489998</v>
      </c>
      <c r="F189" s="8" t="n">
        <v>69.88</v>
      </c>
      <c r="G189" s="8" t="n">
        <v>12.83</v>
      </c>
      <c r="H189" s="8" t="n">
        <v>46.5</v>
      </c>
      <c r="I189" s="8" t="n">
        <v>2816.290039</v>
      </c>
      <c r="J189" s="8" t="n">
        <v>84.252213</v>
      </c>
      <c r="L189" s="9">
        <f>LN(B189/B188)</f>
        <v/>
      </c>
      <c r="M189" s="9">
        <f>$M$1*(C189-C188)</f>
        <v/>
      </c>
      <c r="N189" s="9">
        <f>$N$1*(D189-D188)</f>
        <v/>
      </c>
      <c r="O189" s="9">
        <f>$O$1*LN(E189/E188)</f>
        <v/>
      </c>
      <c r="P189" s="9">
        <f>$P$1*LN(F189/F188)</f>
        <v/>
      </c>
      <c r="Q189" s="9">
        <f>$Q$1*(G189-G188)</f>
        <v/>
      </c>
      <c r="R189" s="9">
        <f>$R$1*(H189-H188)</f>
        <v/>
      </c>
      <c r="S189" s="9">
        <f>$S$1*LN(I189/I188)</f>
        <v/>
      </c>
      <c r="T189" s="9">
        <f>$T$1*LN(J189/J188)</f>
        <v/>
      </c>
      <c r="U189" s="9">
        <f>$W$12+$W$4*M189+$W$5*N189+$W$6*O189+$W$7*P189+$W$8*Q189+$W$9*R189+$W$10*S189+$W$11*T189</f>
        <v/>
      </c>
      <c r="AA189" s="10">
        <f>INDEX(LINEST(L130:L189,M130:T189,TRUE,TRUE),1,9)*12</f>
        <v/>
      </c>
      <c r="AB189" s="9">
        <f>INDEX(LINEST(L130:L189,M130:T189,TRUE,TRUE),1,8)</f>
        <v/>
      </c>
      <c r="AC189" s="9">
        <f>INDEX(LINEST(L130:L189,M130:T189,TRUE,TRUE),1,7)</f>
        <v/>
      </c>
      <c r="AD189" s="9">
        <f>INDEX(LINEST(L130:L189,M130:T189,TRUE,TRUE),1,6)</f>
        <v/>
      </c>
      <c r="AE189" s="9">
        <f>INDEX(LINEST(L130:L189,M130:T189,TRUE,TRUE),1,5)</f>
        <v/>
      </c>
      <c r="AF189" s="9">
        <f>INDEX(LINEST(L130:L189,M130:T189,TRUE,TRUE),1,4)</f>
        <v/>
      </c>
      <c r="AG189" s="9">
        <f>INDEX(LINEST(L130:L189,M130:T189,TRUE,TRUE),1,3)</f>
        <v/>
      </c>
      <c r="AH189" s="9">
        <f>INDEX(LINEST(L130:L189,M130:T189,TRUE,TRUE),1,2)</f>
        <v/>
      </c>
      <c r="AI189" s="9">
        <f>INDEX(LINEST(L130:L189,M130:T189,TRUE,TRUE),1,1)</f>
        <v/>
      </c>
      <c r="AJ189" s="10">
        <f>INDEX(LINEST(L130:L189,M130:T189,TRUE,TRUE),3,1)</f>
        <v/>
      </c>
      <c r="AK189" s="9">
        <f>AA188/12+AB188*M189+AC188*N189+AD188*O189+AE188*P189+AF188*Q189+AG188*R189+AH188*S189+AI188*T189</f>
        <v/>
      </c>
      <c r="AL189" s="9">
        <f>AVERAGE(L129:L188)</f>
        <v/>
      </c>
    </row>
    <row r="190">
      <c r="A190" s="7" t="n">
        <v>43343</v>
      </c>
      <c r="B190" s="8" t="n">
        <v>1202.45</v>
      </c>
      <c r="C190" s="8" t="n">
        <v>2.08</v>
      </c>
      <c r="D190" s="8" t="n">
        <v>0.78</v>
      </c>
      <c r="E190" s="8" t="n">
        <v>95.139999</v>
      </c>
      <c r="F190" s="8" t="n">
        <v>69.84</v>
      </c>
      <c r="G190" s="8" t="n">
        <v>12.86</v>
      </c>
      <c r="H190" s="8" t="n">
        <v>50.709999</v>
      </c>
      <c r="I190" s="8" t="n">
        <v>2901.52002</v>
      </c>
      <c r="J190" s="8" t="n">
        <v>84.730774</v>
      </c>
      <c r="L190" s="9">
        <f>LN(B190/B189)</f>
        <v/>
      </c>
      <c r="M190" s="9">
        <f>$M$1*(C190-C189)</f>
        <v/>
      </c>
      <c r="N190" s="9">
        <f>$N$1*(D190-D189)</f>
        <v/>
      </c>
      <c r="O190" s="9">
        <f>$O$1*LN(E190/E189)</f>
        <v/>
      </c>
      <c r="P190" s="9">
        <f>$P$1*LN(F190/F189)</f>
        <v/>
      </c>
      <c r="Q190" s="9">
        <f>$Q$1*(G190-G189)</f>
        <v/>
      </c>
      <c r="R190" s="9">
        <f>$R$1*(H190-H189)</f>
        <v/>
      </c>
      <c r="S190" s="9">
        <f>$S$1*LN(I190/I189)</f>
        <v/>
      </c>
      <c r="T190" s="9">
        <f>$T$1*LN(J190/J189)</f>
        <v/>
      </c>
      <c r="U190" s="9">
        <f>$W$12+$W$4*M190+$W$5*N190+$W$6*O190+$W$7*P190+$W$8*Q190+$W$9*R190+$W$10*S190+$W$11*T190</f>
        <v/>
      </c>
      <c r="AA190" s="10">
        <f>INDEX(LINEST(L131:L190,M131:T190,TRUE,TRUE),1,9)*12</f>
        <v/>
      </c>
      <c r="AB190" s="9">
        <f>INDEX(LINEST(L131:L190,M131:T190,TRUE,TRUE),1,8)</f>
        <v/>
      </c>
      <c r="AC190" s="9">
        <f>INDEX(LINEST(L131:L190,M131:T190,TRUE,TRUE),1,7)</f>
        <v/>
      </c>
      <c r="AD190" s="9">
        <f>INDEX(LINEST(L131:L190,M131:T190,TRUE,TRUE),1,6)</f>
        <v/>
      </c>
      <c r="AE190" s="9">
        <f>INDEX(LINEST(L131:L190,M131:T190,TRUE,TRUE),1,5)</f>
        <v/>
      </c>
      <c r="AF190" s="9">
        <f>INDEX(LINEST(L131:L190,M131:T190,TRUE,TRUE),1,4)</f>
        <v/>
      </c>
      <c r="AG190" s="9">
        <f>INDEX(LINEST(L131:L190,M131:T190,TRUE,TRUE),1,3)</f>
        <v/>
      </c>
      <c r="AH190" s="9">
        <f>INDEX(LINEST(L131:L190,M131:T190,TRUE,TRUE),1,2)</f>
        <v/>
      </c>
      <c r="AI190" s="9">
        <f>INDEX(LINEST(L131:L190,M131:T190,TRUE,TRUE),1,1)</f>
        <v/>
      </c>
      <c r="AJ190" s="10">
        <f>INDEX(LINEST(L131:L190,M131:T190,TRUE,TRUE),3,1)</f>
        <v/>
      </c>
      <c r="AK190" s="9">
        <f>AA189/12+AB189*M190+AC189*N190+AD189*O190+AE189*P190+AF189*Q190+AG189*R190+AH189*S190+AI189*T190</f>
        <v/>
      </c>
      <c r="AL190" s="9">
        <f>AVERAGE(L130:L189)</f>
        <v/>
      </c>
    </row>
    <row r="191">
      <c r="A191" s="7" t="n">
        <v>43373</v>
      </c>
      <c r="B191" s="8" t="n">
        <v>1187.25</v>
      </c>
      <c r="C191" s="8" t="n">
        <v>2.14</v>
      </c>
      <c r="D191" s="8" t="n">
        <v>0.91</v>
      </c>
      <c r="E191" s="8" t="n">
        <v>95.19000200000001</v>
      </c>
      <c r="F191" s="8" t="n">
        <v>73.16</v>
      </c>
      <c r="G191" s="8" t="n">
        <v>12.12</v>
      </c>
      <c r="H191" s="8" t="n">
        <v>46.16</v>
      </c>
      <c r="I191" s="8" t="n">
        <v>2913.97998</v>
      </c>
      <c r="J191" s="8" t="n">
        <v>84.20568799999999</v>
      </c>
      <c r="L191" s="9">
        <f>LN(B191/B190)</f>
        <v/>
      </c>
      <c r="M191" s="9">
        <f>$M$1*(C191-C190)</f>
        <v/>
      </c>
      <c r="N191" s="9">
        <f>$N$1*(D191-D190)</f>
        <v/>
      </c>
      <c r="O191" s="9">
        <f>$O$1*LN(E191/E190)</f>
        <v/>
      </c>
      <c r="P191" s="9">
        <f>$P$1*LN(F191/F190)</f>
        <v/>
      </c>
      <c r="Q191" s="9">
        <f>$Q$1*(G191-G190)</f>
        <v/>
      </c>
      <c r="R191" s="9">
        <f>$R$1*(H191-H190)</f>
        <v/>
      </c>
      <c r="S191" s="9">
        <f>$S$1*LN(I191/I190)</f>
        <v/>
      </c>
      <c r="T191" s="9">
        <f>$T$1*LN(J191/J190)</f>
        <v/>
      </c>
      <c r="U191" s="9">
        <f>$W$12+$W$4*M191+$W$5*N191+$W$6*O191+$W$7*P191+$W$8*Q191+$W$9*R191+$W$10*S191+$W$11*T191</f>
        <v/>
      </c>
      <c r="AA191" s="10">
        <f>INDEX(LINEST(L132:L191,M132:T191,TRUE,TRUE),1,9)*12</f>
        <v/>
      </c>
      <c r="AB191" s="9">
        <f>INDEX(LINEST(L132:L191,M132:T191,TRUE,TRUE),1,8)</f>
        <v/>
      </c>
      <c r="AC191" s="9">
        <f>INDEX(LINEST(L132:L191,M132:T191,TRUE,TRUE),1,7)</f>
        <v/>
      </c>
      <c r="AD191" s="9">
        <f>INDEX(LINEST(L132:L191,M132:T191,TRUE,TRUE),1,6)</f>
        <v/>
      </c>
      <c r="AE191" s="9">
        <f>INDEX(LINEST(L132:L191,M132:T191,TRUE,TRUE),1,5)</f>
        <v/>
      </c>
      <c r="AF191" s="9">
        <f>INDEX(LINEST(L132:L191,M132:T191,TRUE,TRUE),1,4)</f>
        <v/>
      </c>
      <c r="AG191" s="9">
        <f>INDEX(LINEST(L132:L191,M132:T191,TRUE,TRUE),1,3)</f>
        <v/>
      </c>
      <c r="AH191" s="9">
        <f>INDEX(LINEST(L132:L191,M132:T191,TRUE,TRUE),1,2)</f>
        <v/>
      </c>
      <c r="AI191" s="9">
        <f>INDEX(LINEST(L132:L191,M132:T191,TRUE,TRUE),1,1)</f>
        <v/>
      </c>
      <c r="AJ191" s="10">
        <f>INDEX(LINEST(L132:L191,M132:T191,TRUE,TRUE),3,1)</f>
        <v/>
      </c>
      <c r="AK191" s="9">
        <f>AA190/12+AB190*M191+AC190*N191+AD190*O191+AE190*P191+AF190*Q191+AG190*R191+AH190*S191+AI190*T191</f>
        <v/>
      </c>
      <c r="AL191" s="9">
        <f>AVERAGE(L131:L190)</f>
        <v/>
      </c>
    </row>
    <row r="192">
      <c r="A192" s="7" t="n">
        <v>43404</v>
      </c>
      <c r="B192" s="8" t="n">
        <v>1214.95</v>
      </c>
      <c r="C192" s="8" t="n">
        <v>2.05</v>
      </c>
      <c r="D192" s="8" t="n">
        <v>1.1</v>
      </c>
      <c r="E192" s="8" t="n">
        <v>97.129997</v>
      </c>
      <c r="F192" s="8" t="n">
        <v>65.31</v>
      </c>
      <c r="G192" s="8" t="n">
        <v>21.23</v>
      </c>
      <c r="H192" s="8" t="n">
        <v>60.130001</v>
      </c>
      <c r="I192" s="8" t="n">
        <v>2711.73999</v>
      </c>
      <c r="J192" s="8" t="n">
        <v>83.66333</v>
      </c>
      <c r="L192" s="9">
        <f>LN(B192/B191)</f>
        <v/>
      </c>
      <c r="M192" s="9">
        <f>$M$1*(C192-C191)</f>
        <v/>
      </c>
      <c r="N192" s="9">
        <f>$N$1*(D192-D191)</f>
        <v/>
      </c>
      <c r="O192" s="9">
        <f>$O$1*LN(E192/E191)</f>
        <v/>
      </c>
      <c r="P192" s="9">
        <f>$P$1*LN(F192/F191)</f>
        <v/>
      </c>
      <c r="Q192" s="9">
        <f>$Q$1*(G192-G191)</f>
        <v/>
      </c>
      <c r="R192" s="9">
        <f>$R$1*(H192-H191)</f>
        <v/>
      </c>
      <c r="S192" s="9">
        <f>$S$1*LN(I192/I191)</f>
        <v/>
      </c>
      <c r="T192" s="9">
        <f>$T$1*LN(J192/J191)</f>
        <v/>
      </c>
      <c r="U192" s="9">
        <f>$W$12+$W$4*M192+$W$5*N192+$W$6*O192+$W$7*P192+$W$8*Q192+$W$9*R192+$W$10*S192+$W$11*T192</f>
        <v/>
      </c>
      <c r="AA192" s="10">
        <f>INDEX(LINEST(L133:L192,M133:T192,TRUE,TRUE),1,9)*12</f>
        <v/>
      </c>
      <c r="AB192" s="9">
        <f>INDEX(LINEST(L133:L192,M133:T192,TRUE,TRUE),1,8)</f>
        <v/>
      </c>
      <c r="AC192" s="9">
        <f>INDEX(LINEST(L133:L192,M133:T192,TRUE,TRUE),1,7)</f>
        <v/>
      </c>
      <c r="AD192" s="9">
        <f>INDEX(LINEST(L133:L192,M133:T192,TRUE,TRUE),1,6)</f>
        <v/>
      </c>
      <c r="AE192" s="9">
        <f>INDEX(LINEST(L133:L192,M133:T192,TRUE,TRUE),1,5)</f>
        <v/>
      </c>
      <c r="AF192" s="9">
        <f>INDEX(LINEST(L133:L192,M133:T192,TRUE,TRUE),1,4)</f>
        <v/>
      </c>
      <c r="AG192" s="9">
        <f>INDEX(LINEST(L133:L192,M133:T192,TRUE,TRUE),1,3)</f>
        <v/>
      </c>
      <c r="AH192" s="9">
        <f>INDEX(LINEST(L133:L192,M133:T192,TRUE,TRUE),1,2)</f>
        <v/>
      </c>
      <c r="AI192" s="9">
        <f>INDEX(LINEST(L133:L192,M133:T192,TRUE,TRUE),1,1)</f>
        <v/>
      </c>
      <c r="AJ192" s="10">
        <f>INDEX(LINEST(L133:L192,M133:T192,TRUE,TRUE),3,1)</f>
        <v/>
      </c>
      <c r="AK192" s="9">
        <f>AA191/12+AB191*M192+AC191*N192+AD191*O192+AE191*P192+AF191*Q192+AG191*R192+AH191*S192+AI191*T192</f>
        <v/>
      </c>
      <c r="AL192" s="9">
        <f>AVERAGE(L132:L191)</f>
        <v/>
      </c>
    </row>
    <row r="193">
      <c r="A193" s="7" t="n">
        <v>43434</v>
      </c>
      <c r="B193" s="8" t="n">
        <v>1217.55</v>
      </c>
      <c r="C193" s="8" t="n">
        <v>1.97</v>
      </c>
      <c r="D193" s="8" t="n">
        <v>1.04</v>
      </c>
      <c r="E193" s="8" t="n">
        <v>97.269997</v>
      </c>
      <c r="F193" s="8" t="n">
        <v>50.78</v>
      </c>
      <c r="G193" s="8" t="n">
        <v>18.07</v>
      </c>
      <c r="H193" s="8" t="n">
        <v>52.43</v>
      </c>
      <c r="I193" s="8" t="n">
        <v>2760.169922</v>
      </c>
      <c r="J193" s="8" t="n">
        <v>84.30886099999999</v>
      </c>
      <c r="L193" s="9">
        <f>LN(B193/B192)</f>
        <v/>
      </c>
      <c r="M193" s="9">
        <f>$M$1*(C193-C192)</f>
        <v/>
      </c>
      <c r="N193" s="9">
        <f>$N$1*(D193-D192)</f>
        <v/>
      </c>
      <c r="O193" s="9">
        <f>$O$1*LN(E193/E192)</f>
        <v/>
      </c>
      <c r="P193" s="9">
        <f>$P$1*LN(F193/F192)</f>
        <v/>
      </c>
      <c r="Q193" s="9">
        <f>$Q$1*(G193-G192)</f>
        <v/>
      </c>
      <c r="R193" s="9">
        <f>$R$1*(H193-H192)</f>
        <v/>
      </c>
      <c r="S193" s="9">
        <f>$S$1*LN(I193/I192)</f>
        <v/>
      </c>
      <c r="T193" s="9">
        <f>$T$1*LN(J193/J192)</f>
        <v/>
      </c>
      <c r="U193" s="9">
        <f>$W$12+$W$4*M193+$W$5*N193+$W$6*O193+$W$7*P193+$W$8*Q193+$W$9*R193+$W$10*S193+$W$11*T193</f>
        <v/>
      </c>
      <c r="AA193" s="10">
        <f>INDEX(LINEST(L134:L193,M134:T193,TRUE,TRUE),1,9)*12</f>
        <v/>
      </c>
      <c r="AB193" s="9">
        <f>INDEX(LINEST(L134:L193,M134:T193,TRUE,TRUE),1,8)</f>
        <v/>
      </c>
      <c r="AC193" s="9">
        <f>INDEX(LINEST(L134:L193,M134:T193,TRUE,TRUE),1,7)</f>
        <v/>
      </c>
      <c r="AD193" s="9">
        <f>INDEX(LINEST(L134:L193,M134:T193,TRUE,TRUE),1,6)</f>
        <v/>
      </c>
      <c r="AE193" s="9">
        <f>INDEX(LINEST(L134:L193,M134:T193,TRUE,TRUE),1,5)</f>
        <v/>
      </c>
      <c r="AF193" s="9">
        <f>INDEX(LINEST(L134:L193,M134:T193,TRUE,TRUE),1,4)</f>
        <v/>
      </c>
      <c r="AG193" s="9">
        <f>INDEX(LINEST(L134:L193,M134:T193,TRUE,TRUE),1,3)</f>
        <v/>
      </c>
      <c r="AH193" s="9">
        <f>INDEX(LINEST(L134:L193,M134:T193,TRUE,TRUE),1,2)</f>
        <v/>
      </c>
      <c r="AI193" s="9">
        <f>INDEX(LINEST(L134:L193,M134:T193,TRUE,TRUE),1,1)</f>
        <v/>
      </c>
      <c r="AJ193" s="10">
        <f>INDEX(LINEST(L134:L193,M134:T193,TRUE,TRUE),3,1)</f>
        <v/>
      </c>
      <c r="AK193" s="9">
        <f>AA192/12+AB192*M193+AC192*N193+AD192*O193+AE192*P193+AF192*Q193+AG192*R193+AH192*S193+AI192*T193</f>
        <v/>
      </c>
      <c r="AL193" s="9">
        <f>AVERAGE(L133:L192)</f>
        <v/>
      </c>
    </row>
    <row r="194">
      <c r="A194" s="7" t="n">
        <v>43465</v>
      </c>
      <c r="B194" s="8" t="n">
        <v>1279</v>
      </c>
      <c r="C194" s="8" t="n">
        <v>1.71</v>
      </c>
      <c r="D194" s="8" t="n">
        <v>0.98</v>
      </c>
      <c r="E194" s="8" t="n">
        <v>96.16999800000001</v>
      </c>
      <c r="F194" s="8" t="n">
        <v>45.15</v>
      </c>
      <c r="G194" s="8" t="n">
        <v>25.42</v>
      </c>
      <c r="H194" s="8" t="n">
        <v>66.58000199999999</v>
      </c>
      <c r="I194" s="8" t="n">
        <v>2506.850098</v>
      </c>
      <c r="J194" s="8" t="n">
        <v>85.979187</v>
      </c>
      <c r="L194" s="9">
        <f>LN(B194/B193)</f>
        <v/>
      </c>
      <c r="M194" s="9">
        <f>$M$1*(C194-C193)</f>
        <v/>
      </c>
      <c r="N194" s="9">
        <f>$N$1*(D194-D193)</f>
        <v/>
      </c>
      <c r="O194" s="9">
        <f>$O$1*LN(E194/E193)</f>
        <v/>
      </c>
      <c r="P194" s="9">
        <f>$P$1*LN(F194/F193)</f>
        <v/>
      </c>
      <c r="Q194" s="9">
        <f>$Q$1*(G194-G193)</f>
        <v/>
      </c>
      <c r="R194" s="9">
        <f>$R$1*(H194-H193)</f>
        <v/>
      </c>
      <c r="S194" s="9">
        <f>$S$1*LN(I194/I193)</f>
        <v/>
      </c>
      <c r="T194" s="9">
        <f>$T$1*LN(J194/J193)</f>
        <v/>
      </c>
      <c r="U194" s="9">
        <f>$W$12+$W$4*M194+$W$5*N194+$W$6*O194+$W$7*P194+$W$8*Q194+$W$9*R194+$W$10*S194+$W$11*T194</f>
        <v/>
      </c>
      <c r="AA194" s="10">
        <f>INDEX(LINEST(L135:L194,M135:T194,TRUE,TRUE),1,9)*12</f>
        <v/>
      </c>
      <c r="AB194" s="9">
        <f>INDEX(LINEST(L135:L194,M135:T194,TRUE,TRUE),1,8)</f>
        <v/>
      </c>
      <c r="AC194" s="9">
        <f>INDEX(LINEST(L135:L194,M135:T194,TRUE,TRUE),1,7)</f>
        <v/>
      </c>
      <c r="AD194" s="9">
        <f>INDEX(LINEST(L135:L194,M135:T194,TRUE,TRUE),1,6)</f>
        <v/>
      </c>
      <c r="AE194" s="9">
        <f>INDEX(LINEST(L135:L194,M135:T194,TRUE,TRUE),1,5)</f>
        <v/>
      </c>
      <c r="AF194" s="9">
        <f>INDEX(LINEST(L135:L194,M135:T194,TRUE,TRUE),1,4)</f>
        <v/>
      </c>
      <c r="AG194" s="9">
        <f>INDEX(LINEST(L135:L194,M135:T194,TRUE,TRUE),1,3)</f>
        <v/>
      </c>
      <c r="AH194" s="9">
        <f>INDEX(LINEST(L135:L194,M135:T194,TRUE,TRUE),1,2)</f>
        <v/>
      </c>
      <c r="AI194" s="9">
        <f>INDEX(LINEST(L135:L194,M135:T194,TRUE,TRUE),1,1)</f>
        <v/>
      </c>
      <c r="AJ194" s="10">
        <f>INDEX(LINEST(L135:L194,M135:T194,TRUE,TRUE),3,1)</f>
        <v/>
      </c>
      <c r="AK194" s="9">
        <f>AA193/12+AB193*M194+AC193*N194+AD193*O194+AE193*P194+AF193*Q194+AG193*R194+AH193*S194+AI193*T194</f>
        <v/>
      </c>
      <c r="AL194" s="9">
        <f>AVERAGE(L134:L193)</f>
        <v/>
      </c>
    </row>
    <row r="195">
      <c r="A195" s="7" t="n">
        <v>43496</v>
      </c>
      <c r="B195" s="8" t="n">
        <v>1323.25</v>
      </c>
      <c r="C195" s="8" t="n">
        <v>1.85</v>
      </c>
      <c r="D195" s="8" t="n">
        <v>0.78</v>
      </c>
      <c r="E195" s="8" t="n">
        <v>95.58000199999999</v>
      </c>
      <c r="F195" s="8" t="n">
        <v>53.84</v>
      </c>
      <c r="G195" s="8" t="n">
        <v>16.57</v>
      </c>
      <c r="H195" s="8" t="n">
        <v>49.810001</v>
      </c>
      <c r="I195" s="8" t="n">
        <v>2704.100098</v>
      </c>
      <c r="J195" s="8" t="n">
        <v>86.762321</v>
      </c>
      <c r="L195" s="9">
        <f>LN(B195/B194)</f>
        <v/>
      </c>
      <c r="M195" s="9">
        <f>$M$1*(C195-C194)</f>
        <v/>
      </c>
      <c r="N195" s="9">
        <f>$N$1*(D195-D194)</f>
        <v/>
      </c>
      <c r="O195" s="9">
        <f>$O$1*LN(E195/E194)</f>
        <v/>
      </c>
      <c r="P195" s="9">
        <f>$P$1*LN(F195/F194)</f>
        <v/>
      </c>
      <c r="Q195" s="9">
        <f>$Q$1*(G195-G194)</f>
        <v/>
      </c>
      <c r="R195" s="9">
        <f>$R$1*(H195-H194)</f>
        <v/>
      </c>
      <c r="S195" s="9">
        <f>$S$1*LN(I195/I194)</f>
        <v/>
      </c>
      <c r="T195" s="9">
        <f>$T$1*LN(J195/J194)</f>
        <v/>
      </c>
      <c r="U195" s="9">
        <f>$W$12+$W$4*M195+$W$5*N195+$W$6*O195+$W$7*P195+$W$8*Q195+$W$9*R195+$W$10*S195+$W$11*T195</f>
        <v/>
      </c>
      <c r="AA195" s="10">
        <f>INDEX(LINEST(L136:L195,M136:T195,TRUE,TRUE),1,9)*12</f>
        <v/>
      </c>
      <c r="AB195" s="9">
        <f>INDEX(LINEST(L136:L195,M136:T195,TRUE,TRUE),1,8)</f>
        <v/>
      </c>
      <c r="AC195" s="9">
        <f>INDEX(LINEST(L136:L195,M136:T195,TRUE,TRUE),1,7)</f>
        <v/>
      </c>
      <c r="AD195" s="9">
        <f>INDEX(LINEST(L136:L195,M136:T195,TRUE,TRUE),1,6)</f>
        <v/>
      </c>
      <c r="AE195" s="9">
        <f>INDEX(LINEST(L136:L195,M136:T195,TRUE,TRUE),1,5)</f>
        <v/>
      </c>
      <c r="AF195" s="9">
        <f>INDEX(LINEST(L136:L195,M136:T195,TRUE,TRUE),1,4)</f>
        <v/>
      </c>
      <c r="AG195" s="9">
        <f>INDEX(LINEST(L136:L195,M136:T195,TRUE,TRUE),1,3)</f>
        <v/>
      </c>
      <c r="AH195" s="9">
        <f>INDEX(LINEST(L136:L195,M136:T195,TRUE,TRUE),1,2)</f>
        <v/>
      </c>
      <c r="AI195" s="9">
        <f>INDEX(LINEST(L136:L195,M136:T195,TRUE,TRUE),1,1)</f>
        <v/>
      </c>
      <c r="AJ195" s="10">
        <f>INDEX(LINEST(L136:L195,M136:T195,TRUE,TRUE),3,1)</f>
        <v/>
      </c>
      <c r="AK195" s="9">
        <f>AA194/12+AB194*M195+AC194*N195+AD194*O195+AE194*P195+AF194*Q195+AG194*R195+AH194*S195+AI194*T195</f>
        <v/>
      </c>
      <c r="AL195" s="9">
        <f>AVERAGE(L135:L194)</f>
        <v/>
      </c>
    </row>
    <row r="196">
      <c r="A196" s="7" t="n">
        <v>43524</v>
      </c>
      <c r="B196" s="8" t="n">
        <v>1319.15</v>
      </c>
      <c r="C196" s="8" t="n">
        <v>1.95</v>
      </c>
      <c r="D196" s="8" t="n">
        <v>0.78</v>
      </c>
      <c r="E196" s="8" t="n">
        <v>96.160004</v>
      </c>
      <c r="F196" s="8" t="n">
        <v>57.21</v>
      </c>
      <c r="G196" s="8" t="n">
        <v>14.78</v>
      </c>
      <c r="H196" s="8" t="n">
        <v>47.220001</v>
      </c>
      <c r="I196" s="8" t="n">
        <v>2784.48999</v>
      </c>
      <c r="J196" s="8" t="n">
        <v>86.66361999999999</v>
      </c>
      <c r="L196" s="9">
        <f>LN(B196/B195)</f>
        <v/>
      </c>
      <c r="M196" s="9">
        <f>$M$1*(C196-C195)</f>
        <v/>
      </c>
      <c r="N196" s="9">
        <f>$N$1*(D196-D195)</f>
        <v/>
      </c>
      <c r="O196" s="9">
        <f>$O$1*LN(E196/E195)</f>
        <v/>
      </c>
      <c r="P196" s="9">
        <f>$P$1*LN(F196/F195)</f>
        <v/>
      </c>
      <c r="Q196" s="9">
        <f>$Q$1*(G196-G195)</f>
        <v/>
      </c>
      <c r="R196" s="9">
        <f>$R$1*(H196-H195)</f>
        <v/>
      </c>
      <c r="S196" s="9">
        <f>$S$1*LN(I196/I195)</f>
        <v/>
      </c>
      <c r="T196" s="9">
        <f>$T$1*LN(J196/J195)</f>
        <v/>
      </c>
      <c r="U196" s="9">
        <f>$W$12+$W$4*M196+$W$5*N196+$W$6*O196+$W$7*P196+$W$8*Q196+$W$9*R196+$W$10*S196+$W$11*T196</f>
        <v/>
      </c>
      <c r="AA196" s="10">
        <f>INDEX(LINEST(L137:L196,M137:T196,TRUE,TRUE),1,9)*12</f>
        <v/>
      </c>
      <c r="AB196" s="9">
        <f>INDEX(LINEST(L137:L196,M137:T196,TRUE,TRUE),1,8)</f>
        <v/>
      </c>
      <c r="AC196" s="9">
        <f>INDEX(LINEST(L137:L196,M137:T196,TRUE,TRUE),1,7)</f>
        <v/>
      </c>
      <c r="AD196" s="9">
        <f>INDEX(LINEST(L137:L196,M137:T196,TRUE,TRUE),1,6)</f>
        <v/>
      </c>
      <c r="AE196" s="9">
        <f>INDEX(LINEST(L137:L196,M137:T196,TRUE,TRUE),1,5)</f>
        <v/>
      </c>
      <c r="AF196" s="9">
        <f>INDEX(LINEST(L137:L196,M137:T196,TRUE,TRUE),1,4)</f>
        <v/>
      </c>
      <c r="AG196" s="9">
        <f>INDEX(LINEST(L137:L196,M137:T196,TRUE,TRUE),1,3)</f>
        <v/>
      </c>
      <c r="AH196" s="9">
        <f>INDEX(LINEST(L137:L196,M137:T196,TRUE,TRUE),1,2)</f>
        <v/>
      </c>
      <c r="AI196" s="9">
        <f>INDEX(LINEST(L137:L196,M137:T196,TRUE,TRUE),1,1)</f>
        <v/>
      </c>
      <c r="AJ196" s="10">
        <f>INDEX(LINEST(L137:L196,M137:T196,TRUE,TRUE),3,1)</f>
        <v/>
      </c>
      <c r="AK196" s="9">
        <f>AA195/12+AB195*M196+AC195*N196+AD195*O196+AE195*P196+AF195*Q196+AG195*R196+AH195*S196+AI195*T196</f>
        <v/>
      </c>
      <c r="AL196" s="9">
        <f>AVERAGE(L136:L195)</f>
        <v/>
      </c>
    </row>
    <row r="197">
      <c r="A197" s="7" t="n">
        <v>43555</v>
      </c>
      <c r="B197" s="8" t="n">
        <v>1295.4</v>
      </c>
      <c r="C197" s="8" t="n">
        <v>1.88</v>
      </c>
      <c r="D197" s="8" t="n">
        <v>0.53</v>
      </c>
      <c r="E197" s="8" t="n">
        <v>97.279999</v>
      </c>
      <c r="F197" s="8" t="n">
        <v>60.19</v>
      </c>
      <c r="G197" s="8" t="n">
        <v>13.71</v>
      </c>
      <c r="H197" s="8" t="n">
        <v>58.549999</v>
      </c>
      <c r="I197" s="8" t="n">
        <v>2834.399902</v>
      </c>
      <c r="J197" s="8" t="n">
        <v>88.503128</v>
      </c>
      <c r="L197" s="9">
        <f>LN(B197/B196)</f>
        <v/>
      </c>
      <c r="M197" s="9">
        <f>$M$1*(C197-C196)</f>
        <v/>
      </c>
      <c r="N197" s="9">
        <f>$N$1*(D197-D196)</f>
        <v/>
      </c>
      <c r="O197" s="9">
        <f>$O$1*LN(E197/E196)</f>
        <v/>
      </c>
      <c r="P197" s="9">
        <f>$P$1*LN(F197/F196)</f>
        <v/>
      </c>
      <c r="Q197" s="9">
        <f>$Q$1*(G197-G196)</f>
        <v/>
      </c>
      <c r="R197" s="9">
        <f>$R$1*(H197-H196)</f>
        <v/>
      </c>
      <c r="S197" s="9">
        <f>$S$1*LN(I197/I196)</f>
        <v/>
      </c>
      <c r="T197" s="9">
        <f>$T$1*LN(J197/J196)</f>
        <v/>
      </c>
      <c r="U197" s="9">
        <f>$W$12+$W$4*M197+$W$5*N197+$W$6*O197+$W$7*P197+$W$8*Q197+$W$9*R197+$W$10*S197+$W$11*T197</f>
        <v/>
      </c>
      <c r="AA197" s="10">
        <f>INDEX(LINEST(L138:L197,M138:T197,TRUE,TRUE),1,9)*12</f>
        <v/>
      </c>
      <c r="AB197" s="9">
        <f>INDEX(LINEST(L138:L197,M138:T197,TRUE,TRUE),1,8)</f>
        <v/>
      </c>
      <c r="AC197" s="9">
        <f>INDEX(LINEST(L138:L197,M138:T197,TRUE,TRUE),1,7)</f>
        <v/>
      </c>
      <c r="AD197" s="9">
        <f>INDEX(LINEST(L138:L197,M138:T197,TRUE,TRUE),1,6)</f>
        <v/>
      </c>
      <c r="AE197" s="9">
        <f>INDEX(LINEST(L138:L197,M138:T197,TRUE,TRUE),1,5)</f>
        <v/>
      </c>
      <c r="AF197" s="9">
        <f>INDEX(LINEST(L138:L197,M138:T197,TRUE,TRUE),1,4)</f>
        <v/>
      </c>
      <c r="AG197" s="9">
        <f>INDEX(LINEST(L138:L197,M138:T197,TRUE,TRUE),1,3)</f>
        <v/>
      </c>
      <c r="AH197" s="9">
        <f>INDEX(LINEST(L138:L197,M138:T197,TRUE,TRUE),1,2)</f>
        <v/>
      </c>
      <c r="AI197" s="9">
        <f>INDEX(LINEST(L138:L197,M138:T197,TRUE,TRUE),1,1)</f>
        <v/>
      </c>
      <c r="AJ197" s="10">
        <f>INDEX(LINEST(L138:L197,M138:T197,TRUE,TRUE),3,1)</f>
        <v/>
      </c>
      <c r="AK197" s="9">
        <f>AA196/12+AB196*M197+AC196*N197+AD196*O197+AE196*P197+AF196*Q197+AG196*R197+AH196*S197+AI196*T197</f>
        <v/>
      </c>
      <c r="AL197" s="9">
        <f>AVERAGE(L137:L196)</f>
        <v/>
      </c>
    </row>
    <row r="198">
      <c r="A198" s="7" t="n">
        <v>43585</v>
      </c>
      <c r="B198" s="8" t="n">
        <v>1282.3</v>
      </c>
      <c r="C198" s="8" t="n">
        <v>1.95</v>
      </c>
      <c r="D198" s="8" t="n">
        <v>0.5600000000000001</v>
      </c>
      <c r="E198" s="8" t="n">
        <v>97.480003</v>
      </c>
      <c r="F198" s="8" t="n">
        <v>63.83</v>
      </c>
      <c r="G198" s="8" t="n">
        <v>13.12</v>
      </c>
      <c r="H198" s="8" t="n">
        <v>49.470001</v>
      </c>
      <c r="I198" s="8" t="n">
        <v>2945.830078</v>
      </c>
      <c r="J198" s="8" t="n">
        <v>88.32579800000001</v>
      </c>
      <c r="L198" s="9">
        <f>LN(B198/B197)</f>
        <v/>
      </c>
      <c r="M198" s="9">
        <f>$M$1*(C198-C197)</f>
        <v/>
      </c>
      <c r="N198" s="9">
        <f>$N$1*(D198-D197)</f>
        <v/>
      </c>
      <c r="O198" s="9">
        <f>$O$1*LN(E198/E197)</f>
        <v/>
      </c>
      <c r="P198" s="9">
        <f>$P$1*LN(F198/F197)</f>
        <v/>
      </c>
      <c r="Q198" s="9">
        <f>$Q$1*(G198-G197)</f>
        <v/>
      </c>
      <c r="R198" s="9">
        <f>$R$1*(H198-H197)</f>
        <v/>
      </c>
      <c r="S198" s="9">
        <f>$S$1*LN(I198/I197)</f>
        <v/>
      </c>
      <c r="T198" s="9">
        <f>$T$1*LN(J198/J197)</f>
        <v/>
      </c>
      <c r="U198" s="9">
        <f>$W$12+$W$4*M198+$W$5*N198+$W$6*O198+$W$7*P198+$W$8*Q198+$W$9*R198+$W$10*S198+$W$11*T198</f>
        <v/>
      </c>
      <c r="AA198" s="10">
        <f>INDEX(LINEST(L139:L198,M139:T198,TRUE,TRUE),1,9)*12</f>
        <v/>
      </c>
      <c r="AB198" s="9">
        <f>INDEX(LINEST(L139:L198,M139:T198,TRUE,TRUE),1,8)</f>
        <v/>
      </c>
      <c r="AC198" s="9">
        <f>INDEX(LINEST(L139:L198,M139:T198,TRUE,TRUE),1,7)</f>
        <v/>
      </c>
      <c r="AD198" s="9">
        <f>INDEX(LINEST(L139:L198,M139:T198,TRUE,TRUE),1,6)</f>
        <v/>
      </c>
      <c r="AE198" s="9">
        <f>INDEX(LINEST(L139:L198,M139:T198,TRUE,TRUE),1,5)</f>
        <v/>
      </c>
      <c r="AF198" s="9">
        <f>INDEX(LINEST(L139:L198,M139:T198,TRUE,TRUE),1,4)</f>
        <v/>
      </c>
      <c r="AG198" s="9">
        <f>INDEX(LINEST(L139:L198,M139:T198,TRUE,TRUE),1,3)</f>
        <v/>
      </c>
      <c r="AH198" s="9">
        <f>INDEX(LINEST(L139:L198,M139:T198,TRUE,TRUE),1,2)</f>
        <v/>
      </c>
      <c r="AI198" s="9">
        <f>INDEX(LINEST(L139:L198,M139:T198,TRUE,TRUE),1,1)</f>
        <v/>
      </c>
      <c r="AJ198" s="10">
        <f>INDEX(LINEST(L139:L198,M139:T198,TRUE,TRUE),3,1)</f>
        <v/>
      </c>
      <c r="AK198" s="9">
        <f>AA197/12+AB197*M198+AC197*N198+AD197*O198+AE197*P198+AF197*Q198+AG197*R198+AH197*S198+AI197*T198</f>
        <v/>
      </c>
      <c r="AL198" s="9">
        <f>AVERAGE(L138:L197)</f>
        <v/>
      </c>
    </row>
    <row r="199">
      <c r="A199" s="7" t="n">
        <v>43616</v>
      </c>
      <c r="B199" s="8" t="n">
        <v>1295.55</v>
      </c>
      <c r="C199" s="8" t="n">
        <v>1.74</v>
      </c>
      <c r="D199" s="8" t="n">
        <v>0.4</v>
      </c>
      <c r="E199" s="8" t="n">
        <v>97.75</v>
      </c>
      <c r="F199" s="8" t="n">
        <v>53.49</v>
      </c>
      <c r="G199" s="8" t="n">
        <v>18.71</v>
      </c>
      <c r="H199" s="8" t="n">
        <v>72.68000000000001</v>
      </c>
      <c r="I199" s="8" t="n">
        <v>2752.060059</v>
      </c>
      <c r="J199" s="8" t="n">
        <v>90.01355</v>
      </c>
      <c r="L199" s="9">
        <f>LN(B199/B198)</f>
        <v/>
      </c>
      <c r="M199" s="9">
        <f>$M$1*(C199-C198)</f>
        <v/>
      </c>
      <c r="N199" s="9">
        <f>$N$1*(D199-D198)</f>
        <v/>
      </c>
      <c r="O199" s="9">
        <f>$O$1*LN(E199/E198)</f>
        <v/>
      </c>
      <c r="P199" s="9">
        <f>$P$1*LN(F199/F198)</f>
        <v/>
      </c>
      <c r="Q199" s="9">
        <f>$Q$1*(G199-G198)</f>
        <v/>
      </c>
      <c r="R199" s="9">
        <f>$R$1*(H199-H198)</f>
        <v/>
      </c>
      <c r="S199" s="9">
        <f>$S$1*LN(I199/I198)</f>
        <v/>
      </c>
      <c r="T199" s="9">
        <f>$T$1*LN(J199/J198)</f>
        <v/>
      </c>
      <c r="U199" s="9">
        <f>$W$12+$W$4*M199+$W$5*N199+$W$6*O199+$W$7*P199+$W$8*Q199+$W$9*R199+$W$10*S199+$W$11*T199</f>
        <v/>
      </c>
      <c r="AA199" s="10">
        <f>INDEX(LINEST(L140:L199,M140:T199,TRUE,TRUE),1,9)*12</f>
        <v/>
      </c>
      <c r="AB199" s="9">
        <f>INDEX(LINEST(L140:L199,M140:T199,TRUE,TRUE),1,8)</f>
        <v/>
      </c>
      <c r="AC199" s="9">
        <f>INDEX(LINEST(L140:L199,M140:T199,TRUE,TRUE),1,7)</f>
        <v/>
      </c>
      <c r="AD199" s="9">
        <f>INDEX(LINEST(L140:L199,M140:T199,TRUE,TRUE),1,6)</f>
        <v/>
      </c>
      <c r="AE199" s="9">
        <f>INDEX(LINEST(L140:L199,M140:T199,TRUE,TRUE),1,5)</f>
        <v/>
      </c>
      <c r="AF199" s="9">
        <f>INDEX(LINEST(L140:L199,M140:T199,TRUE,TRUE),1,4)</f>
        <v/>
      </c>
      <c r="AG199" s="9">
        <f>INDEX(LINEST(L140:L199,M140:T199,TRUE,TRUE),1,3)</f>
        <v/>
      </c>
      <c r="AH199" s="9">
        <f>INDEX(LINEST(L140:L199,M140:T199,TRUE,TRUE),1,2)</f>
        <v/>
      </c>
      <c r="AI199" s="9">
        <f>INDEX(LINEST(L140:L199,M140:T199,TRUE,TRUE),1,1)</f>
        <v/>
      </c>
      <c r="AJ199" s="10">
        <f>INDEX(LINEST(L140:L199,M140:T199,TRUE,TRUE),3,1)</f>
        <v/>
      </c>
      <c r="AK199" s="9">
        <f>AA198/12+AB198*M199+AC198*N199+AD198*O199+AE198*P199+AF198*Q199+AG198*R199+AH198*S199+AI198*T199</f>
        <v/>
      </c>
      <c r="AL199" s="9">
        <f>AVERAGE(L139:L198)</f>
        <v/>
      </c>
    </row>
    <row r="200">
      <c r="A200" s="7" t="n">
        <v>43646</v>
      </c>
      <c r="B200" s="8" t="n">
        <v>1409</v>
      </c>
      <c r="C200" s="8" t="n">
        <v>1.69</v>
      </c>
      <c r="D200" s="8" t="n">
        <v>0.31</v>
      </c>
      <c r="E200" s="8" t="n">
        <v>96.129997</v>
      </c>
      <c r="F200" s="8" t="n">
        <v>58.2</v>
      </c>
      <c r="G200" s="8" t="n">
        <v>15.08</v>
      </c>
      <c r="H200" s="8" t="n">
        <v>70.43000000000001</v>
      </c>
      <c r="I200" s="8" t="n">
        <v>2941.76001</v>
      </c>
      <c r="J200" s="8" t="n">
        <v>91.002441</v>
      </c>
      <c r="L200" s="9">
        <f>LN(B200/B199)</f>
        <v/>
      </c>
      <c r="M200" s="9">
        <f>$M$1*(C200-C199)</f>
        <v/>
      </c>
      <c r="N200" s="9">
        <f>$N$1*(D200-D199)</f>
        <v/>
      </c>
      <c r="O200" s="9">
        <f>$O$1*LN(E200/E199)</f>
        <v/>
      </c>
      <c r="P200" s="9">
        <f>$P$1*LN(F200/F199)</f>
        <v/>
      </c>
      <c r="Q200" s="9">
        <f>$Q$1*(G200-G199)</f>
        <v/>
      </c>
      <c r="R200" s="9">
        <f>$R$1*(H200-H199)</f>
        <v/>
      </c>
      <c r="S200" s="9">
        <f>$S$1*LN(I200/I199)</f>
        <v/>
      </c>
      <c r="T200" s="9">
        <f>$T$1*LN(J200/J199)</f>
        <v/>
      </c>
      <c r="U200" s="9">
        <f>$W$12+$W$4*M200+$W$5*N200+$W$6*O200+$W$7*P200+$W$8*Q200+$W$9*R200+$W$10*S200+$W$11*T200</f>
        <v/>
      </c>
      <c r="AA200" s="10">
        <f>INDEX(LINEST(L141:L200,M141:T200,TRUE,TRUE),1,9)*12</f>
        <v/>
      </c>
      <c r="AB200" s="9">
        <f>INDEX(LINEST(L141:L200,M141:T200,TRUE,TRUE),1,8)</f>
        <v/>
      </c>
      <c r="AC200" s="9">
        <f>INDEX(LINEST(L141:L200,M141:T200,TRUE,TRUE),1,7)</f>
        <v/>
      </c>
      <c r="AD200" s="9">
        <f>INDEX(LINEST(L141:L200,M141:T200,TRUE,TRUE),1,6)</f>
        <v/>
      </c>
      <c r="AE200" s="9">
        <f>INDEX(LINEST(L141:L200,M141:T200,TRUE,TRUE),1,5)</f>
        <v/>
      </c>
      <c r="AF200" s="9">
        <f>INDEX(LINEST(L141:L200,M141:T200,TRUE,TRUE),1,4)</f>
        <v/>
      </c>
      <c r="AG200" s="9">
        <f>INDEX(LINEST(L141:L200,M141:T200,TRUE,TRUE),1,3)</f>
        <v/>
      </c>
      <c r="AH200" s="9">
        <f>INDEX(LINEST(L141:L200,M141:T200,TRUE,TRUE),1,2)</f>
        <v/>
      </c>
      <c r="AI200" s="9">
        <f>INDEX(LINEST(L141:L200,M141:T200,TRUE,TRUE),1,1)</f>
        <v/>
      </c>
      <c r="AJ200" s="10">
        <f>INDEX(LINEST(L141:L200,M141:T200,TRUE,TRUE),3,1)</f>
        <v/>
      </c>
      <c r="AK200" s="9">
        <f>AA199/12+AB199*M200+AC199*N200+AD199*O200+AE199*P200+AF199*Q200+AG199*R200+AH199*S200+AI199*T200</f>
        <v/>
      </c>
      <c r="AL200" s="9">
        <f>AVERAGE(L140:L199)</f>
        <v/>
      </c>
    </row>
    <row r="201">
      <c r="A201" s="7" t="n">
        <v>43677</v>
      </c>
      <c r="B201" s="8" t="n">
        <v>1427.55</v>
      </c>
      <c r="C201" s="8" t="n">
        <v>1.76</v>
      </c>
      <c r="D201" s="8" t="n">
        <v>0.26</v>
      </c>
      <c r="E201" s="8" t="n">
        <v>98.519997</v>
      </c>
      <c r="F201" s="8" t="n">
        <v>58.53</v>
      </c>
      <c r="G201" s="8" t="n">
        <v>16.12</v>
      </c>
      <c r="H201" s="8" t="n">
        <v>55.25</v>
      </c>
      <c r="I201" s="8" t="n">
        <v>2980.379883</v>
      </c>
      <c r="J201" s="8" t="n">
        <v>91.1679</v>
      </c>
      <c r="L201" s="9">
        <f>LN(B201/B200)</f>
        <v/>
      </c>
      <c r="M201" s="9">
        <f>$M$1*(C201-C200)</f>
        <v/>
      </c>
      <c r="N201" s="9">
        <f>$N$1*(D201-D200)</f>
        <v/>
      </c>
      <c r="O201" s="9">
        <f>$O$1*LN(E201/E200)</f>
        <v/>
      </c>
      <c r="P201" s="9">
        <f>$P$1*LN(F201/F200)</f>
        <v/>
      </c>
      <c r="Q201" s="9">
        <f>$Q$1*(G201-G200)</f>
        <v/>
      </c>
      <c r="R201" s="9">
        <f>$R$1*(H201-H200)</f>
        <v/>
      </c>
      <c r="S201" s="9">
        <f>$S$1*LN(I201/I200)</f>
        <v/>
      </c>
      <c r="T201" s="9">
        <f>$T$1*LN(J201/J200)</f>
        <v/>
      </c>
      <c r="U201" s="9">
        <f>$W$12+$W$4*M201+$W$5*N201+$W$6*O201+$W$7*P201+$W$8*Q201+$W$9*R201+$W$10*S201+$W$11*T201</f>
        <v/>
      </c>
      <c r="AA201" s="10">
        <f>INDEX(LINEST(L142:L201,M142:T201,TRUE,TRUE),1,9)*12</f>
        <v/>
      </c>
      <c r="AB201" s="9">
        <f>INDEX(LINEST(L142:L201,M142:T201,TRUE,TRUE),1,8)</f>
        <v/>
      </c>
      <c r="AC201" s="9">
        <f>INDEX(LINEST(L142:L201,M142:T201,TRUE,TRUE),1,7)</f>
        <v/>
      </c>
      <c r="AD201" s="9">
        <f>INDEX(LINEST(L142:L201,M142:T201,TRUE,TRUE),1,6)</f>
        <v/>
      </c>
      <c r="AE201" s="9">
        <f>INDEX(LINEST(L142:L201,M142:T201,TRUE,TRUE),1,5)</f>
        <v/>
      </c>
      <c r="AF201" s="9">
        <f>INDEX(LINEST(L142:L201,M142:T201,TRUE,TRUE),1,4)</f>
        <v/>
      </c>
      <c r="AG201" s="9">
        <f>INDEX(LINEST(L142:L201,M142:T201,TRUE,TRUE),1,3)</f>
        <v/>
      </c>
      <c r="AH201" s="9">
        <f>INDEX(LINEST(L142:L201,M142:T201,TRUE,TRUE),1,2)</f>
        <v/>
      </c>
      <c r="AI201" s="9">
        <f>INDEX(LINEST(L142:L201,M142:T201,TRUE,TRUE),1,1)</f>
        <v/>
      </c>
      <c r="AJ201" s="10">
        <f>INDEX(LINEST(L142:L201,M142:T201,TRUE,TRUE),3,1)</f>
        <v/>
      </c>
      <c r="AK201" s="9">
        <f>AA200/12+AB200*M201+AC200*N201+AD200*O201+AE200*P201+AF200*Q201+AG200*R201+AH200*S201+AI200*T201</f>
        <v/>
      </c>
      <c r="AL201" s="9">
        <f>AVERAGE(L141:L200)</f>
        <v/>
      </c>
    </row>
    <row r="202">
      <c r="A202" s="7" t="n">
        <v>43708</v>
      </c>
      <c r="B202" s="8" t="n">
        <v>1528.4</v>
      </c>
      <c r="C202" s="8" t="n">
        <v>1.55</v>
      </c>
      <c r="D202" s="8" t="n">
        <v>-0.05</v>
      </c>
      <c r="E202" s="8" t="n">
        <v>98.91999800000001</v>
      </c>
      <c r="F202" s="8" t="n">
        <v>55.07</v>
      </c>
      <c r="G202" s="8" t="n">
        <v>18.98</v>
      </c>
      <c r="H202" s="8" t="n">
        <v>86.889999</v>
      </c>
      <c r="I202" s="8" t="n">
        <v>2926.459961</v>
      </c>
      <c r="J202" s="8" t="n">
        <v>93.704926</v>
      </c>
      <c r="L202" s="9">
        <f>LN(B202/B201)</f>
        <v/>
      </c>
      <c r="M202" s="9">
        <f>$M$1*(C202-C201)</f>
        <v/>
      </c>
      <c r="N202" s="9">
        <f>$N$1*(D202-D201)</f>
        <v/>
      </c>
      <c r="O202" s="9">
        <f>$O$1*LN(E202/E201)</f>
        <v/>
      </c>
      <c r="P202" s="9">
        <f>$P$1*LN(F202/F201)</f>
        <v/>
      </c>
      <c r="Q202" s="9">
        <f>$Q$1*(G202-G201)</f>
        <v/>
      </c>
      <c r="R202" s="9">
        <f>$R$1*(H202-H201)</f>
        <v/>
      </c>
      <c r="S202" s="9">
        <f>$S$1*LN(I202/I201)</f>
        <v/>
      </c>
      <c r="T202" s="9">
        <f>$T$1*LN(J202/J201)</f>
        <v/>
      </c>
      <c r="U202" s="9">
        <f>$W$12+$W$4*M202+$W$5*N202+$W$6*O202+$W$7*P202+$W$8*Q202+$W$9*R202+$W$10*S202+$W$11*T202</f>
        <v/>
      </c>
      <c r="AA202" s="10">
        <f>INDEX(LINEST(L143:L202,M143:T202,TRUE,TRUE),1,9)*12</f>
        <v/>
      </c>
      <c r="AB202" s="9">
        <f>INDEX(LINEST(L143:L202,M143:T202,TRUE,TRUE),1,8)</f>
        <v/>
      </c>
      <c r="AC202" s="9">
        <f>INDEX(LINEST(L143:L202,M143:T202,TRUE,TRUE),1,7)</f>
        <v/>
      </c>
      <c r="AD202" s="9">
        <f>INDEX(LINEST(L143:L202,M143:T202,TRUE,TRUE),1,6)</f>
        <v/>
      </c>
      <c r="AE202" s="9">
        <f>INDEX(LINEST(L143:L202,M143:T202,TRUE,TRUE),1,5)</f>
        <v/>
      </c>
      <c r="AF202" s="9">
        <f>INDEX(LINEST(L143:L202,M143:T202,TRUE,TRUE),1,4)</f>
        <v/>
      </c>
      <c r="AG202" s="9">
        <f>INDEX(LINEST(L143:L202,M143:T202,TRUE,TRUE),1,3)</f>
        <v/>
      </c>
      <c r="AH202" s="9">
        <f>INDEX(LINEST(L143:L202,M143:T202,TRUE,TRUE),1,2)</f>
        <v/>
      </c>
      <c r="AI202" s="9">
        <f>INDEX(LINEST(L143:L202,M143:T202,TRUE,TRUE),1,1)</f>
        <v/>
      </c>
      <c r="AJ202" s="10">
        <f>INDEX(LINEST(L143:L202,M143:T202,TRUE,TRUE),3,1)</f>
        <v/>
      </c>
      <c r="AK202" s="9">
        <f>AA201/12+AB201*M202+AC201*N202+AD201*O202+AE201*P202+AF201*Q202+AG201*R202+AH201*S202+AI201*T202</f>
        <v/>
      </c>
      <c r="AL202" s="9">
        <f>AVERAGE(L142:L201)</f>
        <v/>
      </c>
    </row>
    <row r="203">
      <c r="A203" s="7" t="n">
        <v>43738</v>
      </c>
      <c r="B203" s="8" t="n">
        <v>1485.3</v>
      </c>
      <c r="C203" s="8" t="n">
        <v>1.53</v>
      </c>
      <c r="D203" s="8" t="n">
        <v>0.15</v>
      </c>
      <c r="E203" s="8" t="n">
        <v>99.379997</v>
      </c>
      <c r="F203" s="8" t="n">
        <v>54.09</v>
      </c>
      <c r="G203" s="8" t="n">
        <v>16.24</v>
      </c>
      <c r="H203" s="8" t="n">
        <v>77.199997</v>
      </c>
      <c r="I203" s="8" t="n">
        <v>2976.73999</v>
      </c>
      <c r="J203" s="8" t="n">
        <v>93.131332</v>
      </c>
      <c r="L203" s="9">
        <f>LN(B203/B202)</f>
        <v/>
      </c>
      <c r="M203" s="9">
        <f>$M$1*(C203-C202)</f>
        <v/>
      </c>
      <c r="N203" s="9">
        <f>$N$1*(D203-D202)</f>
        <v/>
      </c>
      <c r="O203" s="9">
        <f>$O$1*LN(E203/E202)</f>
        <v/>
      </c>
      <c r="P203" s="9">
        <f>$P$1*LN(F203/F202)</f>
        <v/>
      </c>
      <c r="Q203" s="9">
        <f>$Q$1*(G203-G202)</f>
        <v/>
      </c>
      <c r="R203" s="9">
        <f>$R$1*(H203-H202)</f>
        <v/>
      </c>
      <c r="S203" s="9">
        <f>$S$1*LN(I203/I202)</f>
        <v/>
      </c>
      <c r="T203" s="9">
        <f>$T$1*LN(J203/J202)</f>
        <v/>
      </c>
      <c r="U203" s="9">
        <f>$W$12+$W$4*M203+$W$5*N203+$W$6*O203+$W$7*P203+$W$8*Q203+$W$9*R203+$W$10*S203+$W$11*T203</f>
        <v/>
      </c>
      <c r="AA203" s="10">
        <f>INDEX(LINEST(L144:L203,M144:T203,TRUE,TRUE),1,9)*12</f>
        <v/>
      </c>
      <c r="AB203" s="9">
        <f>INDEX(LINEST(L144:L203,M144:T203,TRUE,TRUE),1,8)</f>
        <v/>
      </c>
      <c r="AC203" s="9">
        <f>INDEX(LINEST(L144:L203,M144:T203,TRUE,TRUE),1,7)</f>
        <v/>
      </c>
      <c r="AD203" s="9">
        <f>INDEX(LINEST(L144:L203,M144:T203,TRUE,TRUE),1,6)</f>
        <v/>
      </c>
      <c r="AE203" s="9">
        <f>INDEX(LINEST(L144:L203,M144:T203,TRUE,TRUE),1,5)</f>
        <v/>
      </c>
      <c r="AF203" s="9">
        <f>INDEX(LINEST(L144:L203,M144:T203,TRUE,TRUE),1,4)</f>
        <v/>
      </c>
      <c r="AG203" s="9">
        <f>INDEX(LINEST(L144:L203,M144:T203,TRUE,TRUE),1,3)</f>
        <v/>
      </c>
      <c r="AH203" s="9">
        <f>INDEX(LINEST(L144:L203,M144:T203,TRUE,TRUE),1,2)</f>
        <v/>
      </c>
      <c r="AI203" s="9">
        <f>INDEX(LINEST(L144:L203,M144:T203,TRUE,TRUE),1,1)</f>
        <v/>
      </c>
      <c r="AJ203" s="10">
        <f>INDEX(LINEST(L144:L203,M144:T203,TRUE,TRUE),3,1)</f>
        <v/>
      </c>
      <c r="AK203" s="9">
        <f>AA202/12+AB202*M203+AC202*N203+AD202*O203+AE202*P203+AF202*Q203+AG202*R203+AH202*S203+AI202*T203</f>
        <v/>
      </c>
      <c r="AL203" s="9">
        <f>AVERAGE(L143:L202)</f>
        <v/>
      </c>
    </row>
    <row r="204">
      <c r="A204" s="7" t="n">
        <v>43769</v>
      </c>
      <c r="B204" s="8" t="n">
        <v>1510.95</v>
      </c>
      <c r="C204" s="8" t="n">
        <v>1.54</v>
      </c>
      <c r="D204" s="8" t="n">
        <v>0.15</v>
      </c>
      <c r="E204" s="8" t="n">
        <v>97.349998</v>
      </c>
      <c r="F204" s="8" t="n">
        <v>54.02</v>
      </c>
      <c r="G204" s="8" t="n">
        <v>13.22</v>
      </c>
      <c r="H204" s="8" t="n">
        <v>65.879997</v>
      </c>
      <c r="I204" s="8" t="n">
        <v>3037.560059</v>
      </c>
      <c r="J204" s="8" t="n">
        <v>93.32514999999999</v>
      </c>
      <c r="L204" s="9">
        <f>LN(B204/B203)</f>
        <v/>
      </c>
      <c r="M204" s="9">
        <f>$M$1*(C204-C203)</f>
        <v/>
      </c>
      <c r="N204" s="9">
        <f>$N$1*(D204-D203)</f>
        <v/>
      </c>
      <c r="O204" s="9">
        <f>$O$1*LN(E204/E203)</f>
        <v/>
      </c>
      <c r="P204" s="9">
        <f>$P$1*LN(F204/F203)</f>
        <v/>
      </c>
      <c r="Q204" s="9">
        <f>$Q$1*(G204-G203)</f>
        <v/>
      </c>
      <c r="R204" s="9">
        <f>$R$1*(H204-H203)</f>
        <v/>
      </c>
      <c r="S204" s="9">
        <f>$S$1*LN(I204/I203)</f>
        <v/>
      </c>
      <c r="T204" s="9">
        <f>$T$1*LN(J204/J203)</f>
        <v/>
      </c>
      <c r="U204" s="9">
        <f>$W$12+$W$4*M204+$W$5*N204+$W$6*O204+$W$7*P204+$W$8*Q204+$W$9*R204+$W$10*S204+$W$11*T204</f>
        <v/>
      </c>
      <c r="AA204" s="10">
        <f>INDEX(LINEST(L145:L204,M145:T204,TRUE,TRUE),1,9)*12</f>
        <v/>
      </c>
      <c r="AB204" s="9">
        <f>INDEX(LINEST(L145:L204,M145:T204,TRUE,TRUE),1,8)</f>
        <v/>
      </c>
      <c r="AC204" s="9">
        <f>INDEX(LINEST(L145:L204,M145:T204,TRUE,TRUE),1,7)</f>
        <v/>
      </c>
      <c r="AD204" s="9">
        <f>INDEX(LINEST(L145:L204,M145:T204,TRUE,TRUE),1,6)</f>
        <v/>
      </c>
      <c r="AE204" s="9">
        <f>INDEX(LINEST(L145:L204,M145:T204,TRUE,TRUE),1,5)</f>
        <v/>
      </c>
      <c r="AF204" s="9">
        <f>INDEX(LINEST(L145:L204,M145:T204,TRUE,TRUE),1,4)</f>
        <v/>
      </c>
      <c r="AG204" s="9">
        <f>INDEX(LINEST(L145:L204,M145:T204,TRUE,TRUE),1,3)</f>
        <v/>
      </c>
      <c r="AH204" s="9">
        <f>INDEX(LINEST(L145:L204,M145:T204,TRUE,TRUE),1,2)</f>
        <v/>
      </c>
      <c r="AI204" s="9">
        <f>INDEX(LINEST(L145:L204,M145:T204,TRUE,TRUE),1,1)</f>
        <v/>
      </c>
      <c r="AJ204" s="10">
        <f>INDEX(LINEST(L145:L204,M145:T204,TRUE,TRUE),3,1)</f>
        <v/>
      </c>
      <c r="AK204" s="9">
        <f>AA203/12+AB203*M204+AC203*N204+AD203*O204+AE203*P204+AF203*Q204+AG203*R204+AH203*S204+AI203*T204</f>
        <v/>
      </c>
      <c r="AL204" s="9">
        <f>AVERAGE(L144:L203)</f>
        <v/>
      </c>
    </row>
    <row r="205">
      <c r="A205" s="7" t="n">
        <v>43799</v>
      </c>
      <c r="B205" s="8" t="n">
        <v>1460.15</v>
      </c>
      <c r="C205" s="8" t="n">
        <v>1.61</v>
      </c>
      <c r="D205" s="8" t="n">
        <v>0.17</v>
      </c>
      <c r="E205" s="8" t="n">
        <v>98.269997</v>
      </c>
      <c r="F205" s="8" t="n">
        <v>58.12</v>
      </c>
      <c r="G205" s="8" t="n">
        <v>12.62</v>
      </c>
      <c r="H205" s="8" t="n">
        <v>56.57</v>
      </c>
      <c r="I205" s="8" t="n">
        <v>3140.97998</v>
      </c>
      <c r="J205" s="8" t="n">
        <v>93.29291499999999</v>
      </c>
      <c r="L205" s="9">
        <f>LN(B205/B204)</f>
        <v/>
      </c>
      <c r="M205" s="9">
        <f>$M$1*(C205-C204)</f>
        <v/>
      </c>
      <c r="N205" s="9">
        <f>$N$1*(D205-D204)</f>
        <v/>
      </c>
      <c r="O205" s="9">
        <f>$O$1*LN(E205/E204)</f>
        <v/>
      </c>
      <c r="P205" s="9">
        <f>$P$1*LN(F205/F204)</f>
        <v/>
      </c>
      <c r="Q205" s="9">
        <f>$Q$1*(G205-G204)</f>
        <v/>
      </c>
      <c r="R205" s="9">
        <f>$R$1*(H205-H204)</f>
        <v/>
      </c>
      <c r="S205" s="9">
        <f>$S$1*LN(I205/I204)</f>
        <v/>
      </c>
      <c r="T205" s="9">
        <f>$T$1*LN(J205/J204)</f>
        <v/>
      </c>
      <c r="U205" s="9">
        <f>$W$12+$W$4*M205+$W$5*N205+$W$6*O205+$W$7*P205+$W$8*Q205+$W$9*R205+$W$10*S205+$W$11*T205</f>
        <v/>
      </c>
      <c r="AA205" s="10">
        <f>INDEX(LINEST(L146:L205,M146:T205,TRUE,TRUE),1,9)*12</f>
        <v/>
      </c>
      <c r="AB205" s="9">
        <f>INDEX(LINEST(L146:L205,M146:T205,TRUE,TRUE),1,8)</f>
        <v/>
      </c>
      <c r="AC205" s="9">
        <f>INDEX(LINEST(L146:L205,M146:T205,TRUE,TRUE),1,7)</f>
        <v/>
      </c>
      <c r="AD205" s="9">
        <f>INDEX(LINEST(L146:L205,M146:T205,TRUE,TRUE),1,6)</f>
        <v/>
      </c>
      <c r="AE205" s="9">
        <f>INDEX(LINEST(L146:L205,M146:T205,TRUE,TRUE),1,5)</f>
        <v/>
      </c>
      <c r="AF205" s="9">
        <f>INDEX(LINEST(L146:L205,M146:T205,TRUE,TRUE),1,4)</f>
        <v/>
      </c>
      <c r="AG205" s="9">
        <f>INDEX(LINEST(L146:L205,M146:T205,TRUE,TRUE),1,3)</f>
        <v/>
      </c>
      <c r="AH205" s="9">
        <f>INDEX(LINEST(L146:L205,M146:T205,TRUE,TRUE),1,2)</f>
        <v/>
      </c>
      <c r="AI205" s="9">
        <f>INDEX(LINEST(L146:L205,M146:T205,TRUE,TRUE),1,1)</f>
        <v/>
      </c>
      <c r="AJ205" s="10">
        <f>INDEX(LINEST(L146:L205,M146:T205,TRUE,TRUE),3,1)</f>
        <v/>
      </c>
      <c r="AK205" s="9">
        <f>AA204/12+AB204*M205+AC204*N205+AD204*O205+AE204*P205+AF204*Q205+AG204*R205+AH204*S205+AI204*T205</f>
        <v/>
      </c>
      <c r="AL205" s="9">
        <f>AVERAGE(L145:L204)</f>
        <v/>
      </c>
    </row>
    <row r="206">
      <c r="A206" s="7" t="n">
        <v>43830</v>
      </c>
      <c r="B206" s="8" t="n">
        <v>1514.75</v>
      </c>
      <c r="C206" s="8" t="n">
        <v>1.77</v>
      </c>
      <c r="D206" s="8" t="n">
        <v>0.15</v>
      </c>
      <c r="E206" s="8" t="n">
        <v>96.389999</v>
      </c>
      <c r="F206" s="8" t="n">
        <v>61.14</v>
      </c>
      <c r="G206" s="8" t="n">
        <v>13.78</v>
      </c>
      <c r="H206" s="8" t="n">
        <v>58.279999</v>
      </c>
      <c r="I206" s="8" t="n">
        <v>3230.780029</v>
      </c>
      <c r="J206" s="8" t="n">
        <v>93.249306</v>
      </c>
      <c r="L206" s="9">
        <f>LN(B206/B205)</f>
        <v/>
      </c>
      <c r="M206" s="9">
        <f>$M$1*(C206-C205)</f>
        <v/>
      </c>
      <c r="N206" s="9">
        <f>$N$1*(D206-D205)</f>
        <v/>
      </c>
      <c r="O206" s="9">
        <f>$O$1*LN(E206/E205)</f>
        <v/>
      </c>
      <c r="P206" s="9">
        <f>$P$1*LN(F206/F205)</f>
        <v/>
      </c>
      <c r="Q206" s="9">
        <f>$Q$1*(G206-G205)</f>
        <v/>
      </c>
      <c r="R206" s="9">
        <f>$R$1*(H206-H205)</f>
        <v/>
      </c>
      <c r="S206" s="9">
        <f>$S$1*LN(I206/I205)</f>
        <v/>
      </c>
      <c r="T206" s="9">
        <f>$T$1*LN(J206/J205)</f>
        <v/>
      </c>
      <c r="U206" s="9">
        <f>$W$12+$W$4*M206+$W$5*N206+$W$6*O206+$W$7*P206+$W$8*Q206+$W$9*R206+$W$10*S206+$W$11*T206</f>
        <v/>
      </c>
      <c r="AA206" s="10">
        <f>INDEX(LINEST(L147:L206,M147:T206,TRUE,TRUE),1,9)*12</f>
        <v/>
      </c>
      <c r="AB206" s="9">
        <f>INDEX(LINEST(L147:L206,M147:T206,TRUE,TRUE),1,8)</f>
        <v/>
      </c>
      <c r="AC206" s="9">
        <f>INDEX(LINEST(L147:L206,M147:T206,TRUE,TRUE),1,7)</f>
        <v/>
      </c>
      <c r="AD206" s="9">
        <f>INDEX(LINEST(L147:L206,M147:T206,TRUE,TRUE),1,6)</f>
        <v/>
      </c>
      <c r="AE206" s="9">
        <f>INDEX(LINEST(L147:L206,M147:T206,TRUE,TRUE),1,5)</f>
        <v/>
      </c>
      <c r="AF206" s="9">
        <f>INDEX(LINEST(L147:L206,M147:T206,TRUE,TRUE),1,4)</f>
        <v/>
      </c>
      <c r="AG206" s="9">
        <f>INDEX(LINEST(L147:L206,M147:T206,TRUE,TRUE),1,3)</f>
        <v/>
      </c>
      <c r="AH206" s="9">
        <f>INDEX(LINEST(L147:L206,M147:T206,TRUE,TRUE),1,2)</f>
        <v/>
      </c>
      <c r="AI206" s="9">
        <f>INDEX(LINEST(L147:L206,M147:T206,TRUE,TRUE),1,1)</f>
        <v/>
      </c>
      <c r="AJ206" s="10">
        <f>INDEX(LINEST(L147:L206,M147:T206,TRUE,TRUE),3,1)</f>
        <v/>
      </c>
      <c r="AK206" s="9">
        <f>AA205/12+AB205*M206+AC205*N206+AD205*O206+AE205*P206+AF205*Q206+AG205*R206+AH205*S206+AI205*T206</f>
        <v/>
      </c>
      <c r="AL206" s="9">
        <f>AVERAGE(L146:L205)</f>
        <v/>
      </c>
    </row>
    <row r="207">
      <c r="A207" s="7" t="n">
        <v>43861</v>
      </c>
      <c r="B207" s="8" t="n">
        <v>1584.2</v>
      </c>
      <c r="C207" s="8" t="n">
        <v>1.65</v>
      </c>
      <c r="D207" s="8" t="n">
        <v>-0.14</v>
      </c>
      <c r="E207" s="8" t="n">
        <v>97.389999</v>
      </c>
      <c r="F207" s="8" t="n">
        <v>51.58</v>
      </c>
      <c r="G207" s="8" t="n">
        <v>18.84</v>
      </c>
      <c r="H207" s="8" t="n">
        <v>72.980003</v>
      </c>
      <c r="I207" s="8" t="n">
        <v>3225.52002</v>
      </c>
      <c r="J207" s="8" t="n">
        <v>95.141327</v>
      </c>
      <c r="L207" s="9">
        <f>LN(B207/B206)</f>
        <v/>
      </c>
      <c r="M207" s="9">
        <f>$M$1*(C207-C206)</f>
        <v/>
      </c>
      <c r="N207" s="9">
        <f>$N$1*(D207-D206)</f>
        <v/>
      </c>
      <c r="O207" s="9">
        <f>$O$1*LN(E207/E206)</f>
        <v/>
      </c>
      <c r="P207" s="9">
        <f>$P$1*LN(F207/F206)</f>
        <v/>
      </c>
      <c r="Q207" s="9">
        <f>$Q$1*(G207-G206)</f>
        <v/>
      </c>
      <c r="R207" s="9">
        <f>$R$1*(H207-H206)</f>
        <v/>
      </c>
      <c r="S207" s="9">
        <f>$S$1*LN(I207/I206)</f>
        <v/>
      </c>
      <c r="T207" s="9">
        <f>$T$1*LN(J207/J206)</f>
        <v/>
      </c>
      <c r="U207" s="9">
        <f>$W$12+$W$4*M207+$W$5*N207+$W$6*O207+$W$7*P207+$W$8*Q207+$W$9*R207+$W$10*S207+$W$11*T207</f>
        <v/>
      </c>
      <c r="AA207" s="10">
        <f>INDEX(LINEST(L148:L207,M148:T207,TRUE,TRUE),1,9)*12</f>
        <v/>
      </c>
      <c r="AB207" s="9">
        <f>INDEX(LINEST(L148:L207,M148:T207,TRUE,TRUE),1,8)</f>
        <v/>
      </c>
      <c r="AC207" s="9">
        <f>INDEX(LINEST(L148:L207,M148:T207,TRUE,TRUE),1,7)</f>
        <v/>
      </c>
      <c r="AD207" s="9">
        <f>INDEX(LINEST(L148:L207,M148:T207,TRUE,TRUE),1,6)</f>
        <v/>
      </c>
      <c r="AE207" s="9">
        <f>INDEX(LINEST(L148:L207,M148:T207,TRUE,TRUE),1,5)</f>
        <v/>
      </c>
      <c r="AF207" s="9">
        <f>INDEX(LINEST(L148:L207,M148:T207,TRUE,TRUE),1,4)</f>
        <v/>
      </c>
      <c r="AG207" s="9">
        <f>INDEX(LINEST(L148:L207,M148:T207,TRUE,TRUE),1,3)</f>
        <v/>
      </c>
      <c r="AH207" s="9">
        <f>INDEX(LINEST(L148:L207,M148:T207,TRUE,TRUE),1,2)</f>
        <v/>
      </c>
      <c r="AI207" s="9">
        <f>INDEX(LINEST(L148:L207,M148:T207,TRUE,TRUE),1,1)</f>
        <v/>
      </c>
      <c r="AJ207" s="10">
        <f>INDEX(LINEST(L148:L207,M148:T207,TRUE,TRUE),3,1)</f>
        <v/>
      </c>
      <c r="AK207" s="9">
        <f>AA206/12+AB206*M207+AC206*N207+AD206*O207+AE206*P207+AF206*Q207+AG206*R207+AH206*S207+AI206*T207</f>
        <v/>
      </c>
      <c r="AL207" s="9">
        <f>AVERAGE(L147:L206)</f>
        <v/>
      </c>
    </row>
    <row r="208">
      <c r="A208" s="7" t="n">
        <v>43890</v>
      </c>
      <c r="B208" s="8" t="n">
        <v>1609.85</v>
      </c>
      <c r="C208" s="8" t="n">
        <v>1.41</v>
      </c>
      <c r="D208" s="8" t="n">
        <v>-0.28</v>
      </c>
      <c r="E208" s="8" t="n">
        <v>98.129997</v>
      </c>
      <c r="F208" s="8" t="n">
        <v>44.83</v>
      </c>
      <c r="G208" s="8" t="n">
        <v>40.11</v>
      </c>
      <c r="H208" s="8" t="n">
        <v>109.669998</v>
      </c>
      <c r="I208" s="8" t="n">
        <v>2954.219971</v>
      </c>
      <c r="J208" s="8" t="n">
        <v>96.649017</v>
      </c>
      <c r="L208" s="9">
        <f>LN(B208/B207)</f>
        <v/>
      </c>
      <c r="M208" s="9">
        <f>$M$1*(C208-C207)</f>
        <v/>
      </c>
      <c r="N208" s="9">
        <f>$N$1*(D208-D207)</f>
        <v/>
      </c>
      <c r="O208" s="9">
        <f>$O$1*LN(E208/E207)</f>
        <v/>
      </c>
      <c r="P208" s="9">
        <f>$P$1*LN(F208/F207)</f>
        <v/>
      </c>
      <c r="Q208" s="9">
        <f>$Q$1*(G208-G207)</f>
        <v/>
      </c>
      <c r="R208" s="9">
        <f>$R$1*(H208-H207)</f>
        <v/>
      </c>
      <c r="S208" s="9">
        <f>$S$1*LN(I208/I207)</f>
        <v/>
      </c>
      <c r="T208" s="9">
        <f>$T$1*LN(J208/J207)</f>
        <v/>
      </c>
      <c r="U208" s="9">
        <f>$W$12+$W$4*M208+$W$5*N208+$W$6*O208+$W$7*P208+$W$8*Q208+$W$9*R208+$W$10*S208+$W$11*T208</f>
        <v/>
      </c>
      <c r="AA208" s="10">
        <f>INDEX(LINEST(L149:L208,M149:T208,TRUE,TRUE),1,9)*12</f>
        <v/>
      </c>
      <c r="AB208" s="9">
        <f>INDEX(LINEST(L149:L208,M149:T208,TRUE,TRUE),1,8)</f>
        <v/>
      </c>
      <c r="AC208" s="9">
        <f>INDEX(LINEST(L149:L208,M149:T208,TRUE,TRUE),1,7)</f>
        <v/>
      </c>
      <c r="AD208" s="9">
        <f>INDEX(LINEST(L149:L208,M149:T208,TRUE,TRUE),1,6)</f>
        <v/>
      </c>
      <c r="AE208" s="9">
        <f>INDEX(LINEST(L149:L208,M149:T208,TRUE,TRUE),1,5)</f>
        <v/>
      </c>
      <c r="AF208" s="9">
        <f>INDEX(LINEST(L149:L208,M149:T208,TRUE,TRUE),1,4)</f>
        <v/>
      </c>
      <c r="AG208" s="9">
        <f>INDEX(LINEST(L149:L208,M149:T208,TRUE,TRUE),1,3)</f>
        <v/>
      </c>
      <c r="AH208" s="9">
        <f>INDEX(LINEST(L149:L208,M149:T208,TRUE,TRUE),1,2)</f>
        <v/>
      </c>
      <c r="AI208" s="9">
        <f>INDEX(LINEST(L149:L208,M149:T208,TRUE,TRUE),1,1)</f>
        <v/>
      </c>
      <c r="AJ208" s="10">
        <f>INDEX(LINEST(L149:L208,M149:T208,TRUE,TRUE),3,1)</f>
        <v/>
      </c>
      <c r="AK208" s="9">
        <f>AA207/12+AB207*M208+AC207*N208+AD207*O208+AE207*P208+AF207*Q208+AG207*R208+AH207*S208+AI207*T208</f>
        <v/>
      </c>
      <c r="AL208" s="9">
        <f>AVERAGE(L148:L207)</f>
        <v/>
      </c>
    </row>
    <row r="209">
      <c r="A209" s="7" t="n">
        <v>43921</v>
      </c>
      <c r="B209" s="8" t="n">
        <v>1608.95</v>
      </c>
      <c r="C209" s="8" t="n">
        <v>0.87</v>
      </c>
      <c r="D209" s="8" t="n">
        <v>-0.17</v>
      </c>
      <c r="E209" s="8" t="n">
        <v>99.050003</v>
      </c>
      <c r="F209" s="8" t="n">
        <v>20.51</v>
      </c>
      <c r="G209" s="8" t="n">
        <v>53.54</v>
      </c>
      <c r="H209" s="8" t="n">
        <v>83.870003</v>
      </c>
      <c r="I209" s="8" t="n">
        <v>2584.590088</v>
      </c>
      <c r="J209" s="8" t="n">
        <v>96.13986199999999</v>
      </c>
      <c r="L209" s="9">
        <f>LN(B209/B208)</f>
        <v/>
      </c>
      <c r="M209" s="9">
        <f>$M$1*(C209-C208)</f>
        <v/>
      </c>
      <c r="N209" s="9">
        <f>$N$1*(D209-D208)</f>
        <v/>
      </c>
      <c r="O209" s="9">
        <f>$O$1*LN(E209/E208)</f>
        <v/>
      </c>
      <c r="P209" s="9">
        <f>$P$1*LN(F209/F208)</f>
        <v/>
      </c>
      <c r="Q209" s="9">
        <f>$Q$1*(G209-G208)</f>
        <v/>
      </c>
      <c r="R209" s="9">
        <f>$R$1*(H209-H208)</f>
        <v/>
      </c>
      <c r="S209" s="9">
        <f>$S$1*LN(I209/I208)</f>
        <v/>
      </c>
      <c r="T209" s="9">
        <f>$T$1*LN(J209/J208)</f>
        <v/>
      </c>
      <c r="U209" s="9">
        <f>$W$12+$W$4*M209+$W$5*N209+$W$6*O209+$W$7*P209+$W$8*Q209+$W$9*R209+$W$10*S209+$W$11*T209</f>
        <v/>
      </c>
      <c r="AA209" s="10">
        <f>INDEX(LINEST(L150:L209,M150:T209,TRUE,TRUE),1,9)*12</f>
        <v/>
      </c>
      <c r="AB209" s="9">
        <f>INDEX(LINEST(L150:L209,M150:T209,TRUE,TRUE),1,8)</f>
        <v/>
      </c>
      <c r="AC209" s="9">
        <f>INDEX(LINEST(L150:L209,M150:T209,TRUE,TRUE),1,7)</f>
        <v/>
      </c>
      <c r="AD209" s="9">
        <f>INDEX(LINEST(L150:L209,M150:T209,TRUE,TRUE),1,6)</f>
        <v/>
      </c>
      <c r="AE209" s="9">
        <f>INDEX(LINEST(L150:L209,M150:T209,TRUE,TRUE),1,5)</f>
        <v/>
      </c>
      <c r="AF209" s="9">
        <f>INDEX(LINEST(L150:L209,M150:T209,TRUE,TRUE),1,4)</f>
        <v/>
      </c>
      <c r="AG209" s="9">
        <f>INDEX(LINEST(L150:L209,M150:T209,TRUE,TRUE),1,3)</f>
        <v/>
      </c>
      <c r="AH209" s="9">
        <f>INDEX(LINEST(L150:L209,M150:T209,TRUE,TRUE),1,2)</f>
        <v/>
      </c>
      <c r="AI209" s="9">
        <f>INDEX(LINEST(L150:L209,M150:T209,TRUE,TRUE),1,1)</f>
        <v/>
      </c>
      <c r="AJ209" s="10">
        <f>INDEX(LINEST(L150:L209,M150:T209,TRUE,TRUE),3,1)</f>
        <v/>
      </c>
      <c r="AK209" s="9">
        <f>AA208/12+AB208*M209+AC208*N209+AD208*O209+AE208*P209+AF208*Q209+AG208*R209+AH208*S209+AI208*T209</f>
        <v/>
      </c>
      <c r="AL209" s="9">
        <f>AVERAGE(L149:L208)</f>
        <v/>
      </c>
    </row>
    <row r="210">
      <c r="A210" s="7" t="n">
        <v>43951</v>
      </c>
      <c r="B210" s="8" t="n">
        <v>1702.75</v>
      </c>
      <c r="C210" s="8" t="n">
        <v>1.07</v>
      </c>
      <c r="D210" s="8" t="n">
        <v>-0.43</v>
      </c>
      <c r="E210" s="8" t="n">
        <v>99.019997</v>
      </c>
      <c r="F210" s="8" t="n">
        <v>19.23</v>
      </c>
      <c r="G210" s="8" t="n">
        <v>34.15</v>
      </c>
      <c r="H210" s="8" t="n">
        <v>53.59</v>
      </c>
      <c r="I210" s="8" t="n">
        <v>2912.429932</v>
      </c>
      <c r="J210" s="8" t="n">
        <v>97.792542</v>
      </c>
      <c r="L210" s="9">
        <f>LN(B210/B209)</f>
        <v/>
      </c>
      <c r="M210" s="9">
        <f>$M$1*(C210-C209)</f>
        <v/>
      </c>
      <c r="N210" s="9">
        <f>$N$1*(D210-D209)</f>
        <v/>
      </c>
      <c r="O210" s="9">
        <f>$O$1*LN(E210/E209)</f>
        <v/>
      </c>
      <c r="P210" s="9">
        <f>$P$1*LN(F210/F209)</f>
        <v/>
      </c>
      <c r="Q210" s="9">
        <f>$Q$1*(G210-G209)</f>
        <v/>
      </c>
      <c r="R210" s="9">
        <f>$R$1*(H210-H209)</f>
        <v/>
      </c>
      <c r="S210" s="9">
        <f>$S$1*LN(I210/I209)</f>
        <v/>
      </c>
      <c r="T210" s="9">
        <f>$T$1*LN(J210/J209)</f>
        <v/>
      </c>
      <c r="U210" s="9">
        <f>$W$12+$W$4*M210+$W$5*N210+$W$6*O210+$W$7*P210+$W$8*Q210+$W$9*R210+$W$10*S210+$W$11*T210</f>
        <v/>
      </c>
      <c r="AA210" s="10">
        <f>INDEX(LINEST(L151:L210,M151:T210,TRUE,TRUE),1,9)*12</f>
        <v/>
      </c>
      <c r="AB210" s="9">
        <f>INDEX(LINEST(L151:L210,M151:T210,TRUE,TRUE),1,8)</f>
        <v/>
      </c>
      <c r="AC210" s="9">
        <f>INDEX(LINEST(L151:L210,M151:T210,TRUE,TRUE),1,7)</f>
        <v/>
      </c>
      <c r="AD210" s="9">
        <f>INDEX(LINEST(L151:L210,M151:T210,TRUE,TRUE),1,6)</f>
        <v/>
      </c>
      <c r="AE210" s="9">
        <f>INDEX(LINEST(L151:L210,M151:T210,TRUE,TRUE),1,5)</f>
        <v/>
      </c>
      <c r="AF210" s="9">
        <f>INDEX(LINEST(L151:L210,M151:T210,TRUE,TRUE),1,4)</f>
        <v/>
      </c>
      <c r="AG210" s="9">
        <f>INDEX(LINEST(L151:L210,M151:T210,TRUE,TRUE),1,3)</f>
        <v/>
      </c>
      <c r="AH210" s="9">
        <f>INDEX(LINEST(L151:L210,M151:T210,TRUE,TRUE),1,2)</f>
        <v/>
      </c>
      <c r="AI210" s="9">
        <f>INDEX(LINEST(L151:L210,M151:T210,TRUE,TRUE),1,1)</f>
        <v/>
      </c>
      <c r="AJ210" s="10">
        <f>INDEX(LINEST(L151:L210,M151:T210,TRUE,TRUE),3,1)</f>
        <v/>
      </c>
      <c r="AK210" s="9">
        <f>AA209/12+AB209*M210+AC209*N210+AD209*O210+AE209*P210+AF209*Q210+AG209*R210+AH209*S210+AI209*T210</f>
        <v/>
      </c>
      <c r="AL210" s="9">
        <f>AVERAGE(L150:L209)</f>
        <v/>
      </c>
    </row>
    <row r="211">
      <c r="A211" s="7" t="n">
        <v>43982</v>
      </c>
      <c r="B211" s="8" t="n">
        <v>1728.7</v>
      </c>
      <c r="C211" s="8" t="n">
        <v>1.15</v>
      </c>
      <c r="D211" s="8" t="n">
        <v>-0.5</v>
      </c>
      <c r="E211" s="8" t="n">
        <v>98.339996</v>
      </c>
      <c r="F211" s="8" t="n">
        <v>35.57</v>
      </c>
      <c r="G211" s="8" t="n">
        <v>27.51</v>
      </c>
      <c r="H211" s="8" t="n">
        <v>51.549999</v>
      </c>
      <c r="I211" s="8" t="n">
        <v>3044.310059</v>
      </c>
      <c r="J211" s="8" t="n">
        <v>98.450294</v>
      </c>
      <c r="L211" s="9">
        <f>LN(B211/B210)</f>
        <v/>
      </c>
      <c r="M211" s="9">
        <f>$M$1*(C211-C210)</f>
        <v/>
      </c>
      <c r="N211" s="9">
        <f>$N$1*(D211-D210)</f>
        <v/>
      </c>
      <c r="O211" s="9">
        <f>$O$1*LN(E211/E210)</f>
        <v/>
      </c>
      <c r="P211" s="9">
        <f>$P$1*LN(F211/F210)</f>
        <v/>
      </c>
      <c r="Q211" s="9">
        <f>$Q$1*(G211-G210)</f>
        <v/>
      </c>
      <c r="R211" s="9">
        <f>$R$1*(H211-H210)</f>
        <v/>
      </c>
      <c r="S211" s="9">
        <f>$S$1*LN(I211/I210)</f>
        <v/>
      </c>
      <c r="T211" s="9">
        <f>$T$1*LN(J211/J210)</f>
        <v/>
      </c>
      <c r="U211" s="9">
        <f>$W$12+$W$4*M211+$W$5*N211+$W$6*O211+$W$7*P211+$W$8*Q211+$W$9*R211+$W$10*S211+$W$11*T211</f>
        <v/>
      </c>
      <c r="AA211" s="10">
        <f>INDEX(LINEST(L152:L211,M152:T211,TRUE,TRUE),1,9)*12</f>
        <v/>
      </c>
      <c r="AB211" s="9">
        <f>INDEX(LINEST(L152:L211,M152:T211,TRUE,TRUE),1,8)</f>
        <v/>
      </c>
      <c r="AC211" s="9">
        <f>INDEX(LINEST(L152:L211,M152:T211,TRUE,TRUE),1,7)</f>
        <v/>
      </c>
      <c r="AD211" s="9">
        <f>INDEX(LINEST(L152:L211,M152:T211,TRUE,TRUE),1,6)</f>
        <v/>
      </c>
      <c r="AE211" s="9">
        <f>INDEX(LINEST(L152:L211,M152:T211,TRUE,TRUE),1,5)</f>
        <v/>
      </c>
      <c r="AF211" s="9">
        <f>INDEX(LINEST(L152:L211,M152:T211,TRUE,TRUE),1,4)</f>
        <v/>
      </c>
      <c r="AG211" s="9">
        <f>INDEX(LINEST(L152:L211,M152:T211,TRUE,TRUE),1,3)</f>
        <v/>
      </c>
      <c r="AH211" s="9">
        <f>INDEX(LINEST(L152:L211,M152:T211,TRUE,TRUE),1,2)</f>
        <v/>
      </c>
      <c r="AI211" s="9">
        <f>INDEX(LINEST(L152:L211,M152:T211,TRUE,TRUE),1,1)</f>
        <v/>
      </c>
      <c r="AJ211" s="10">
        <f>INDEX(LINEST(L152:L211,M152:T211,TRUE,TRUE),3,1)</f>
        <v/>
      </c>
      <c r="AK211" s="9">
        <f>AA210/12+AB210*M211+AC210*N211+AD210*O211+AE210*P211+AF210*Q211+AG210*R211+AH210*S211+AI210*T211</f>
        <v/>
      </c>
      <c r="AL211" s="9">
        <f>AVERAGE(L151:L210)</f>
        <v/>
      </c>
    </row>
    <row r="212">
      <c r="A212" s="7" t="n">
        <v>44012</v>
      </c>
      <c r="B212" s="8" t="n">
        <v>1768.1</v>
      </c>
      <c r="C212" s="8" t="n">
        <v>1.34</v>
      </c>
      <c r="D212" s="8" t="n">
        <v>-0.68</v>
      </c>
      <c r="E212" s="8" t="n">
        <v>97.389999</v>
      </c>
      <c r="F212" s="8" t="n">
        <v>39.27</v>
      </c>
      <c r="G212" s="8" t="n">
        <v>30.43</v>
      </c>
      <c r="H212" s="8" t="n">
        <v>54.130001</v>
      </c>
      <c r="I212" s="8" t="n">
        <v>3100.290039</v>
      </c>
      <c r="J212" s="8" t="n">
        <v>99.099182</v>
      </c>
      <c r="L212" s="9">
        <f>LN(B212/B211)</f>
        <v/>
      </c>
      <c r="M212" s="9">
        <f>$M$1*(C212-C211)</f>
        <v/>
      </c>
      <c r="N212" s="9">
        <f>$N$1*(D212-D211)</f>
        <v/>
      </c>
      <c r="O212" s="9">
        <f>$O$1*LN(E212/E211)</f>
        <v/>
      </c>
      <c r="P212" s="9">
        <f>$P$1*LN(F212/F211)</f>
        <v/>
      </c>
      <c r="Q212" s="9">
        <f>$Q$1*(G212-G211)</f>
        <v/>
      </c>
      <c r="R212" s="9">
        <f>$R$1*(H212-H211)</f>
        <v/>
      </c>
      <c r="S212" s="9">
        <f>$S$1*LN(I212/I211)</f>
        <v/>
      </c>
      <c r="T212" s="9">
        <f>$T$1*LN(J212/J211)</f>
        <v/>
      </c>
      <c r="U212" s="9">
        <f>$W$12+$W$4*M212+$W$5*N212+$W$6*O212+$W$7*P212+$W$8*Q212+$W$9*R212+$W$10*S212+$W$11*T212</f>
        <v/>
      </c>
      <c r="AA212" s="10">
        <f>INDEX(LINEST(L153:L212,M153:T212,TRUE,TRUE),1,9)*12</f>
        <v/>
      </c>
      <c r="AB212" s="9">
        <f>INDEX(LINEST(L153:L212,M153:T212,TRUE,TRUE),1,8)</f>
        <v/>
      </c>
      <c r="AC212" s="9">
        <f>INDEX(LINEST(L153:L212,M153:T212,TRUE,TRUE),1,7)</f>
        <v/>
      </c>
      <c r="AD212" s="9">
        <f>INDEX(LINEST(L153:L212,M153:T212,TRUE,TRUE),1,6)</f>
        <v/>
      </c>
      <c r="AE212" s="9">
        <f>INDEX(LINEST(L153:L212,M153:T212,TRUE,TRUE),1,5)</f>
        <v/>
      </c>
      <c r="AF212" s="9">
        <f>INDEX(LINEST(L153:L212,M153:T212,TRUE,TRUE),1,4)</f>
        <v/>
      </c>
      <c r="AG212" s="9">
        <f>INDEX(LINEST(L153:L212,M153:T212,TRUE,TRUE),1,3)</f>
        <v/>
      </c>
      <c r="AH212" s="9">
        <f>INDEX(LINEST(L153:L212,M153:T212,TRUE,TRUE),1,2)</f>
        <v/>
      </c>
      <c r="AI212" s="9">
        <f>INDEX(LINEST(L153:L212,M153:T212,TRUE,TRUE),1,1)</f>
        <v/>
      </c>
      <c r="AJ212" s="10">
        <f>INDEX(LINEST(L153:L212,M153:T212,TRUE,TRUE),3,1)</f>
        <v/>
      </c>
      <c r="AK212" s="9">
        <f>AA211/12+AB211*M212+AC211*N212+AD211*O212+AE211*P212+AF211*Q212+AG211*R212+AH211*S212+AI211*T212</f>
        <v/>
      </c>
      <c r="AL212" s="9">
        <f>AVERAGE(L152:L211)</f>
        <v/>
      </c>
    </row>
    <row r="213">
      <c r="A213" s="7" t="n">
        <v>44043</v>
      </c>
      <c r="B213" s="8" t="n">
        <v>1964.9</v>
      </c>
      <c r="C213" s="8" t="n">
        <v>1.55</v>
      </c>
      <c r="D213" s="8" t="n">
        <v>-1</v>
      </c>
      <c r="E213" s="8" t="n">
        <v>93.489998</v>
      </c>
      <c r="F213" s="8" t="n">
        <v>40.1</v>
      </c>
      <c r="G213" s="8" t="n">
        <v>24.46</v>
      </c>
      <c r="H213" s="8" t="n">
        <v>41.98</v>
      </c>
      <c r="I213" s="8" t="n">
        <v>3271.120117</v>
      </c>
      <c r="J213" s="8" t="n">
        <v>100.420334</v>
      </c>
      <c r="L213" s="9">
        <f>LN(B213/B212)</f>
        <v/>
      </c>
      <c r="M213" s="9">
        <f>$M$1*(C213-C212)</f>
        <v/>
      </c>
      <c r="N213" s="9">
        <f>$N$1*(D213-D212)</f>
        <v/>
      </c>
      <c r="O213" s="9">
        <f>$O$1*LN(E213/E212)</f>
        <v/>
      </c>
      <c r="P213" s="9">
        <f>$P$1*LN(F213/F212)</f>
        <v/>
      </c>
      <c r="Q213" s="9">
        <f>$Q$1*(G213-G212)</f>
        <v/>
      </c>
      <c r="R213" s="9">
        <f>$R$1*(H213-H212)</f>
        <v/>
      </c>
      <c r="S213" s="9">
        <f>$S$1*LN(I213/I212)</f>
        <v/>
      </c>
      <c r="T213" s="9">
        <f>$T$1*LN(J213/J212)</f>
        <v/>
      </c>
      <c r="U213" s="9">
        <f>$W$12+$W$4*M213+$W$5*N213+$W$6*O213+$W$7*P213+$W$8*Q213+$W$9*R213+$W$10*S213+$W$11*T213</f>
        <v/>
      </c>
      <c r="AA213" s="10">
        <f>INDEX(LINEST(L154:L213,M154:T213,TRUE,TRUE),1,9)*12</f>
        <v/>
      </c>
      <c r="AB213" s="9">
        <f>INDEX(LINEST(L154:L213,M154:T213,TRUE,TRUE),1,8)</f>
        <v/>
      </c>
      <c r="AC213" s="9">
        <f>INDEX(LINEST(L154:L213,M154:T213,TRUE,TRUE),1,7)</f>
        <v/>
      </c>
      <c r="AD213" s="9">
        <f>INDEX(LINEST(L154:L213,M154:T213,TRUE,TRUE),1,6)</f>
        <v/>
      </c>
      <c r="AE213" s="9">
        <f>INDEX(LINEST(L154:L213,M154:T213,TRUE,TRUE),1,5)</f>
        <v/>
      </c>
      <c r="AF213" s="9">
        <f>INDEX(LINEST(L154:L213,M154:T213,TRUE,TRUE),1,4)</f>
        <v/>
      </c>
      <c r="AG213" s="9">
        <f>INDEX(LINEST(L154:L213,M154:T213,TRUE,TRUE),1,3)</f>
        <v/>
      </c>
      <c r="AH213" s="9">
        <f>INDEX(LINEST(L154:L213,M154:T213,TRUE,TRUE),1,2)</f>
        <v/>
      </c>
      <c r="AI213" s="9">
        <f>INDEX(LINEST(L154:L213,M154:T213,TRUE,TRUE),1,1)</f>
        <v/>
      </c>
      <c r="AJ213" s="10">
        <f>INDEX(LINEST(L154:L213,M154:T213,TRUE,TRUE),3,1)</f>
        <v/>
      </c>
      <c r="AK213" s="9">
        <f>AA212/12+AB212*M213+AC212*N213+AD212*O213+AE212*P213+AF212*Q213+AG212*R213+AH212*S213+AI212*T213</f>
        <v/>
      </c>
      <c r="AL213" s="9">
        <f>AVERAGE(L153:L212)</f>
        <v/>
      </c>
    </row>
    <row r="214">
      <c r="A214" s="7" t="n">
        <v>44074</v>
      </c>
      <c r="B214" s="8" t="n">
        <v>1957.35</v>
      </c>
      <c r="C214" s="8" t="n">
        <v>1.8</v>
      </c>
      <c r="D214" s="8" t="n">
        <v>-1.08</v>
      </c>
      <c r="E214" s="8" t="n">
        <v>92.139999</v>
      </c>
      <c r="F214" s="8" t="n">
        <v>42.61</v>
      </c>
      <c r="G214" s="8" t="n">
        <v>26.41</v>
      </c>
      <c r="H214" s="8" t="n">
        <v>47.02</v>
      </c>
      <c r="I214" s="8" t="n">
        <v>3500.310059</v>
      </c>
      <c r="J214" s="8" t="n">
        <v>99.593239</v>
      </c>
      <c r="L214" s="9">
        <f>LN(B214/B213)</f>
        <v/>
      </c>
      <c r="M214" s="9">
        <f>$M$1*(C214-C213)</f>
        <v/>
      </c>
      <c r="N214" s="9">
        <f>$N$1*(D214-D213)</f>
        <v/>
      </c>
      <c r="O214" s="9">
        <f>$O$1*LN(E214/E213)</f>
        <v/>
      </c>
      <c r="P214" s="9">
        <f>$P$1*LN(F214/F213)</f>
        <v/>
      </c>
      <c r="Q214" s="9">
        <f>$Q$1*(G214-G213)</f>
        <v/>
      </c>
      <c r="R214" s="9">
        <f>$R$1*(H214-H213)</f>
        <v/>
      </c>
      <c r="S214" s="9">
        <f>$S$1*LN(I214/I213)</f>
        <v/>
      </c>
      <c r="T214" s="9">
        <f>$T$1*LN(J214/J213)</f>
        <v/>
      </c>
      <c r="U214" s="9">
        <f>$W$12+$W$4*M214+$W$5*N214+$W$6*O214+$W$7*P214+$W$8*Q214+$W$9*R214+$W$10*S214+$W$11*T214</f>
        <v/>
      </c>
      <c r="AA214" s="10">
        <f>INDEX(LINEST(L155:L214,M155:T214,TRUE,TRUE),1,9)*12</f>
        <v/>
      </c>
      <c r="AB214" s="9">
        <f>INDEX(LINEST(L155:L214,M155:T214,TRUE,TRUE),1,8)</f>
        <v/>
      </c>
      <c r="AC214" s="9">
        <f>INDEX(LINEST(L155:L214,M155:T214,TRUE,TRUE),1,7)</f>
        <v/>
      </c>
      <c r="AD214" s="9">
        <f>INDEX(LINEST(L155:L214,M155:T214,TRUE,TRUE),1,6)</f>
        <v/>
      </c>
      <c r="AE214" s="9">
        <f>INDEX(LINEST(L155:L214,M155:T214,TRUE,TRUE),1,5)</f>
        <v/>
      </c>
      <c r="AF214" s="9">
        <f>INDEX(LINEST(L155:L214,M155:T214,TRUE,TRUE),1,4)</f>
        <v/>
      </c>
      <c r="AG214" s="9">
        <f>INDEX(LINEST(L155:L214,M155:T214,TRUE,TRUE),1,3)</f>
        <v/>
      </c>
      <c r="AH214" s="9">
        <f>INDEX(LINEST(L155:L214,M155:T214,TRUE,TRUE),1,2)</f>
        <v/>
      </c>
      <c r="AI214" s="9">
        <f>INDEX(LINEST(L155:L214,M155:T214,TRUE,TRUE),1,1)</f>
        <v/>
      </c>
      <c r="AJ214" s="10">
        <f>INDEX(LINEST(L155:L214,M155:T214,TRUE,TRUE),3,1)</f>
        <v/>
      </c>
      <c r="AK214" s="9">
        <f>AA213/12+AB213*M214+AC213*N214+AD213*O214+AE213*P214+AF213*Q214+AG213*R214+AH213*S214+AI213*T214</f>
        <v/>
      </c>
      <c r="AL214" s="9">
        <f>AVERAGE(L154:L213)</f>
        <v/>
      </c>
    </row>
    <row r="215">
      <c r="A215" s="7" t="n">
        <v>44104</v>
      </c>
      <c r="B215" s="8" t="n">
        <v>1886.9</v>
      </c>
      <c r="C215" s="8" t="n">
        <v>1.63</v>
      </c>
      <c r="D215" s="8" t="n">
        <v>-0.9399999999999999</v>
      </c>
      <c r="E215" s="8" t="n">
        <v>93.889999</v>
      </c>
      <c r="F215" s="8" t="n">
        <v>40.05</v>
      </c>
      <c r="G215" s="8" t="n">
        <v>26.37</v>
      </c>
      <c r="H215" s="8" t="n">
        <v>39.209999</v>
      </c>
      <c r="I215" s="8" t="n">
        <v>3363</v>
      </c>
      <c r="J215" s="8" t="n">
        <v>99.496353</v>
      </c>
      <c r="L215" s="9">
        <f>LN(B215/B214)</f>
        <v/>
      </c>
      <c r="M215" s="9">
        <f>$M$1*(C215-C214)</f>
        <v/>
      </c>
      <c r="N215" s="9">
        <f>$N$1*(D215-D214)</f>
        <v/>
      </c>
      <c r="O215" s="9">
        <f>$O$1*LN(E215/E214)</f>
        <v/>
      </c>
      <c r="P215" s="9">
        <f>$P$1*LN(F215/F214)</f>
        <v/>
      </c>
      <c r="Q215" s="9">
        <f>$Q$1*(G215-G214)</f>
        <v/>
      </c>
      <c r="R215" s="9">
        <f>$R$1*(H215-H214)</f>
        <v/>
      </c>
      <c r="S215" s="9">
        <f>$S$1*LN(I215/I214)</f>
        <v/>
      </c>
      <c r="T215" s="9">
        <f>$T$1*LN(J215/J214)</f>
        <v/>
      </c>
      <c r="U215" s="9">
        <f>$W$12+$W$4*M215+$W$5*N215+$W$6*O215+$W$7*P215+$W$8*Q215+$W$9*R215+$W$10*S215+$W$11*T215</f>
        <v/>
      </c>
      <c r="AA215" s="10">
        <f>INDEX(LINEST(L156:L215,M156:T215,TRUE,TRUE),1,9)*12</f>
        <v/>
      </c>
      <c r="AB215" s="9">
        <f>INDEX(LINEST(L156:L215,M156:T215,TRUE,TRUE),1,8)</f>
        <v/>
      </c>
      <c r="AC215" s="9">
        <f>INDEX(LINEST(L156:L215,M156:T215,TRUE,TRUE),1,7)</f>
        <v/>
      </c>
      <c r="AD215" s="9">
        <f>INDEX(LINEST(L156:L215,M156:T215,TRUE,TRUE),1,6)</f>
        <v/>
      </c>
      <c r="AE215" s="9">
        <f>INDEX(LINEST(L156:L215,M156:T215,TRUE,TRUE),1,5)</f>
        <v/>
      </c>
      <c r="AF215" s="9">
        <f>INDEX(LINEST(L156:L215,M156:T215,TRUE,TRUE),1,4)</f>
        <v/>
      </c>
      <c r="AG215" s="9">
        <f>INDEX(LINEST(L156:L215,M156:T215,TRUE,TRUE),1,3)</f>
        <v/>
      </c>
      <c r="AH215" s="9">
        <f>INDEX(LINEST(L156:L215,M156:T215,TRUE,TRUE),1,2)</f>
        <v/>
      </c>
      <c r="AI215" s="9">
        <f>INDEX(LINEST(L156:L215,M156:T215,TRUE,TRUE),1,1)</f>
        <v/>
      </c>
      <c r="AJ215" s="10">
        <f>INDEX(LINEST(L156:L215,M156:T215,TRUE,TRUE),3,1)</f>
        <v/>
      </c>
      <c r="AK215" s="9">
        <f>AA214/12+AB214*M215+AC214*N215+AD214*O215+AE214*P215+AF214*Q215+AG214*R215+AH214*S215+AI214*T215</f>
        <v/>
      </c>
      <c r="AL215" s="9">
        <f>AVERAGE(L155:L214)</f>
        <v/>
      </c>
    </row>
    <row r="216">
      <c r="A216" s="7" t="n">
        <v>44135</v>
      </c>
      <c r="B216" s="8" t="n">
        <v>1881.85</v>
      </c>
      <c r="C216" s="8" t="n">
        <v>1.7</v>
      </c>
      <c r="D216" s="8" t="n">
        <v>-0.82</v>
      </c>
      <c r="E216" s="8" t="n">
        <v>94.040001</v>
      </c>
      <c r="F216" s="8" t="n">
        <v>35.64</v>
      </c>
      <c r="G216" s="8" t="n">
        <v>38.02</v>
      </c>
      <c r="H216" s="8" t="n">
        <v>61.91</v>
      </c>
      <c r="I216" s="8" t="n">
        <v>3269.959961</v>
      </c>
      <c r="J216" s="8" t="n">
        <v>98.94088000000001</v>
      </c>
      <c r="L216" s="9">
        <f>LN(B216/B215)</f>
        <v/>
      </c>
      <c r="M216" s="9">
        <f>$M$1*(C216-C215)</f>
        <v/>
      </c>
      <c r="N216" s="9">
        <f>$N$1*(D216-D215)</f>
        <v/>
      </c>
      <c r="O216" s="9">
        <f>$O$1*LN(E216/E215)</f>
        <v/>
      </c>
      <c r="P216" s="9">
        <f>$P$1*LN(F216/F215)</f>
        <v/>
      </c>
      <c r="Q216" s="9">
        <f>$Q$1*(G216-G215)</f>
        <v/>
      </c>
      <c r="R216" s="9">
        <f>$R$1*(H216-H215)</f>
        <v/>
      </c>
      <c r="S216" s="9">
        <f>$S$1*LN(I216/I215)</f>
        <v/>
      </c>
      <c r="T216" s="9">
        <f>$T$1*LN(J216/J215)</f>
        <v/>
      </c>
      <c r="U216" s="9">
        <f>$W$12+$W$4*M216+$W$5*N216+$W$6*O216+$W$7*P216+$W$8*Q216+$W$9*R216+$W$10*S216+$W$11*T216</f>
        <v/>
      </c>
      <c r="AA216" s="10">
        <f>INDEX(LINEST(L157:L216,M157:T216,TRUE,TRUE),1,9)*12</f>
        <v/>
      </c>
      <c r="AB216" s="9">
        <f>INDEX(LINEST(L157:L216,M157:T216,TRUE,TRUE),1,8)</f>
        <v/>
      </c>
      <c r="AC216" s="9">
        <f>INDEX(LINEST(L157:L216,M157:T216,TRUE,TRUE),1,7)</f>
        <v/>
      </c>
      <c r="AD216" s="9">
        <f>INDEX(LINEST(L157:L216,M157:T216,TRUE,TRUE),1,6)</f>
        <v/>
      </c>
      <c r="AE216" s="9">
        <f>INDEX(LINEST(L157:L216,M157:T216,TRUE,TRUE),1,5)</f>
        <v/>
      </c>
      <c r="AF216" s="9">
        <f>INDEX(LINEST(L157:L216,M157:T216,TRUE,TRUE),1,4)</f>
        <v/>
      </c>
      <c r="AG216" s="9">
        <f>INDEX(LINEST(L157:L216,M157:T216,TRUE,TRUE),1,3)</f>
        <v/>
      </c>
      <c r="AH216" s="9">
        <f>INDEX(LINEST(L157:L216,M157:T216,TRUE,TRUE),1,2)</f>
        <v/>
      </c>
      <c r="AI216" s="9">
        <f>INDEX(LINEST(L157:L216,M157:T216,TRUE,TRUE),1,1)</f>
        <v/>
      </c>
      <c r="AJ216" s="10">
        <f>INDEX(LINEST(L157:L216,M157:T216,TRUE,TRUE),3,1)</f>
        <v/>
      </c>
      <c r="AK216" s="9">
        <f>AA215/12+AB215*M216+AC215*N216+AD215*O216+AE215*P216+AF215*Q216+AG215*R216+AH215*S216+AI215*T216</f>
        <v/>
      </c>
      <c r="AL216" s="9">
        <f>AVERAGE(L156:L215)</f>
        <v/>
      </c>
    </row>
    <row r="217">
      <c r="A217" s="7" t="n">
        <v>44165</v>
      </c>
      <c r="B217" s="8" t="n">
        <v>1762.55</v>
      </c>
      <c r="C217" s="8" t="n">
        <v>1.77</v>
      </c>
      <c r="D217" s="8" t="n">
        <v>-0.93</v>
      </c>
      <c r="E217" s="8" t="n">
        <v>91.870003</v>
      </c>
      <c r="F217" s="8" t="n">
        <v>45.2</v>
      </c>
      <c r="G217" s="8" t="n">
        <v>20.57</v>
      </c>
      <c r="H217" s="8" t="n">
        <v>40.84</v>
      </c>
      <c r="I217" s="8" t="n">
        <v>3621.629883</v>
      </c>
      <c r="J217" s="8" t="n">
        <v>100.134834</v>
      </c>
      <c r="L217" s="9">
        <f>LN(B217/B216)</f>
        <v/>
      </c>
      <c r="M217" s="9">
        <f>$M$1*(C217-C216)</f>
        <v/>
      </c>
      <c r="N217" s="9">
        <f>$N$1*(D217-D216)</f>
        <v/>
      </c>
      <c r="O217" s="9">
        <f>$O$1*LN(E217/E216)</f>
        <v/>
      </c>
      <c r="P217" s="9">
        <f>$P$1*LN(F217/F216)</f>
        <v/>
      </c>
      <c r="Q217" s="9">
        <f>$Q$1*(G217-G216)</f>
        <v/>
      </c>
      <c r="R217" s="9">
        <f>$R$1*(H217-H216)</f>
        <v/>
      </c>
      <c r="S217" s="9">
        <f>$S$1*LN(I217/I216)</f>
        <v/>
      </c>
      <c r="T217" s="9">
        <f>$T$1*LN(J217/J216)</f>
        <v/>
      </c>
      <c r="U217" s="9">
        <f>$W$12+$W$4*M217+$W$5*N217+$W$6*O217+$W$7*P217+$W$8*Q217+$W$9*R217+$W$10*S217+$W$11*T217</f>
        <v/>
      </c>
      <c r="AA217" s="10">
        <f>INDEX(LINEST(L158:L217,M158:T217,TRUE,TRUE),1,9)*12</f>
        <v/>
      </c>
      <c r="AB217" s="9">
        <f>INDEX(LINEST(L158:L217,M158:T217,TRUE,TRUE),1,8)</f>
        <v/>
      </c>
      <c r="AC217" s="9">
        <f>INDEX(LINEST(L158:L217,M158:T217,TRUE,TRUE),1,7)</f>
        <v/>
      </c>
      <c r="AD217" s="9">
        <f>INDEX(LINEST(L158:L217,M158:T217,TRUE,TRUE),1,6)</f>
        <v/>
      </c>
      <c r="AE217" s="9">
        <f>INDEX(LINEST(L158:L217,M158:T217,TRUE,TRUE),1,5)</f>
        <v/>
      </c>
      <c r="AF217" s="9">
        <f>INDEX(LINEST(L158:L217,M158:T217,TRUE,TRUE),1,4)</f>
        <v/>
      </c>
      <c r="AG217" s="9">
        <f>INDEX(LINEST(L158:L217,M158:T217,TRUE,TRUE),1,3)</f>
        <v/>
      </c>
      <c r="AH217" s="9">
        <f>INDEX(LINEST(L158:L217,M158:T217,TRUE,TRUE),1,2)</f>
        <v/>
      </c>
      <c r="AI217" s="9">
        <f>INDEX(LINEST(L158:L217,M158:T217,TRUE,TRUE),1,1)</f>
        <v/>
      </c>
      <c r="AJ217" s="10">
        <f>INDEX(LINEST(L158:L217,M158:T217,TRUE,TRUE),3,1)</f>
        <v/>
      </c>
      <c r="AK217" s="9">
        <f>AA216/12+AB216*M217+AC216*N217+AD216*O217+AE216*P217+AF216*Q217+AG216*R217+AH216*S217+AI216*T217</f>
        <v/>
      </c>
      <c r="AL217" s="9">
        <f>AVERAGE(L157:L216)</f>
        <v/>
      </c>
    </row>
    <row r="218">
      <c r="A218" s="7" t="n">
        <v>44196</v>
      </c>
      <c r="B218" s="8" t="n">
        <v>1887.6</v>
      </c>
      <c r="C218" s="8" t="n">
        <v>1.99</v>
      </c>
      <c r="D218" s="8" t="n">
        <v>-1.06</v>
      </c>
      <c r="E218" s="8" t="n">
        <v>89.94000200000001</v>
      </c>
      <c r="F218" s="8" t="n">
        <v>48.35</v>
      </c>
      <c r="G218" s="8" t="n">
        <v>22.75</v>
      </c>
      <c r="H218" s="8" t="n">
        <v>48.98</v>
      </c>
      <c r="I218" s="8" t="n">
        <v>3756.070068</v>
      </c>
      <c r="J218" s="8" t="n">
        <v>100.220718</v>
      </c>
      <c r="L218" s="9">
        <f>LN(B218/B217)</f>
        <v/>
      </c>
      <c r="M218" s="9">
        <f>$M$1*(C218-C217)</f>
        <v/>
      </c>
      <c r="N218" s="9">
        <f>$N$1*(D218-D217)</f>
        <v/>
      </c>
      <c r="O218" s="9">
        <f>$O$1*LN(E218/E217)</f>
        <v/>
      </c>
      <c r="P218" s="9">
        <f>$P$1*LN(F218/F217)</f>
        <v/>
      </c>
      <c r="Q218" s="9">
        <f>$Q$1*(G218-G217)</f>
        <v/>
      </c>
      <c r="R218" s="9">
        <f>$R$1*(H218-H217)</f>
        <v/>
      </c>
      <c r="S218" s="9">
        <f>$S$1*LN(I218/I217)</f>
        <v/>
      </c>
      <c r="T218" s="9">
        <f>$T$1*LN(J218/J217)</f>
        <v/>
      </c>
      <c r="U218" s="9">
        <f>$W$12+$W$4*M218+$W$5*N218+$W$6*O218+$W$7*P218+$W$8*Q218+$W$9*R218+$W$10*S218+$W$11*T218</f>
        <v/>
      </c>
      <c r="AA218" s="10">
        <f>INDEX(LINEST(L159:L218,M159:T218,TRUE,TRUE),1,9)*12</f>
        <v/>
      </c>
      <c r="AB218" s="9">
        <f>INDEX(LINEST(L159:L218,M159:T218,TRUE,TRUE),1,8)</f>
        <v/>
      </c>
      <c r="AC218" s="9">
        <f>INDEX(LINEST(L159:L218,M159:T218,TRUE,TRUE),1,7)</f>
        <v/>
      </c>
      <c r="AD218" s="9">
        <f>INDEX(LINEST(L159:L218,M159:T218,TRUE,TRUE),1,6)</f>
        <v/>
      </c>
      <c r="AE218" s="9">
        <f>INDEX(LINEST(L159:L218,M159:T218,TRUE,TRUE),1,5)</f>
        <v/>
      </c>
      <c r="AF218" s="9">
        <f>INDEX(LINEST(L159:L218,M159:T218,TRUE,TRUE),1,4)</f>
        <v/>
      </c>
      <c r="AG218" s="9">
        <f>INDEX(LINEST(L159:L218,M159:T218,TRUE,TRUE),1,3)</f>
        <v/>
      </c>
      <c r="AH218" s="9">
        <f>INDEX(LINEST(L159:L218,M159:T218,TRUE,TRUE),1,2)</f>
        <v/>
      </c>
      <c r="AI218" s="9">
        <f>INDEX(LINEST(L159:L218,M159:T218,TRUE,TRUE),1,1)</f>
        <v/>
      </c>
      <c r="AJ218" s="10">
        <f>INDEX(LINEST(L159:L218,M159:T218,TRUE,TRUE),3,1)</f>
        <v/>
      </c>
      <c r="AK218" s="9">
        <f>AA217/12+AB217*M218+AC217*N218+AD217*O218+AE217*P218+AF217*Q218+AG217*R218+AH217*S218+AI217*T218</f>
        <v/>
      </c>
      <c r="AL218" s="9">
        <f>AVERAGE(L158:L217)</f>
        <v/>
      </c>
    </row>
    <row r="219">
      <c r="A219" s="7" t="n">
        <v>44227</v>
      </c>
      <c r="B219" s="8" t="n">
        <v>1863.8</v>
      </c>
      <c r="C219" s="8" t="n">
        <v>2.13</v>
      </c>
      <c r="D219" s="8" t="n">
        <v>-1.02</v>
      </c>
      <c r="E219" s="8" t="n">
        <v>90.58000199999999</v>
      </c>
      <c r="F219" s="8" t="n">
        <v>52.16</v>
      </c>
      <c r="G219" s="8" t="n">
        <v>33.09</v>
      </c>
      <c r="H219" s="8" t="n">
        <v>47.41</v>
      </c>
      <c r="I219" s="8" t="n">
        <v>3714.23999</v>
      </c>
      <c r="J219" s="8" t="n">
        <v>99.474518</v>
      </c>
      <c r="L219" s="9">
        <f>LN(B219/B218)</f>
        <v/>
      </c>
      <c r="M219" s="9">
        <f>$M$1*(C219-C218)</f>
        <v/>
      </c>
      <c r="N219" s="9">
        <f>$N$1*(D219-D218)</f>
        <v/>
      </c>
      <c r="O219" s="9">
        <f>$O$1*LN(E219/E218)</f>
        <v/>
      </c>
      <c r="P219" s="9">
        <f>$P$1*LN(F219/F218)</f>
        <v/>
      </c>
      <c r="Q219" s="9">
        <f>$Q$1*(G219-G218)</f>
        <v/>
      </c>
      <c r="R219" s="9">
        <f>$R$1*(H219-H218)</f>
        <v/>
      </c>
      <c r="S219" s="9">
        <f>$S$1*LN(I219/I218)</f>
        <v/>
      </c>
      <c r="T219" s="9">
        <f>$T$1*LN(J219/J218)</f>
        <v/>
      </c>
      <c r="U219" s="9">
        <f>$W$12+$W$4*M219+$W$5*N219+$W$6*O219+$W$7*P219+$W$8*Q219+$W$9*R219+$W$10*S219+$W$11*T219</f>
        <v/>
      </c>
      <c r="AA219" s="10">
        <f>INDEX(LINEST(L160:L219,M160:T219,TRUE,TRUE),1,9)*12</f>
        <v/>
      </c>
      <c r="AB219" s="9">
        <f>INDEX(LINEST(L160:L219,M160:T219,TRUE,TRUE),1,8)</f>
        <v/>
      </c>
      <c r="AC219" s="9">
        <f>INDEX(LINEST(L160:L219,M160:T219,TRUE,TRUE),1,7)</f>
        <v/>
      </c>
      <c r="AD219" s="9">
        <f>INDEX(LINEST(L160:L219,M160:T219,TRUE,TRUE),1,6)</f>
        <v/>
      </c>
      <c r="AE219" s="9">
        <f>INDEX(LINEST(L160:L219,M160:T219,TRUE,TRUE),1,5)</f>
        <v/>
      </c>
      <c r="AF219" s="9">
        <f>INDEX(LINEST(L160:L219,M160:T219,TRUE,TRUE),1,4)</f>
        <v/>
      </c>
      <c r="AG219" s="9">
        <f>INDEX(LINEST(L160:L219,M160:T219,TRUE,TRUE),1,3)</f>
        <v/>
      </c>
      <c r="AH219" s="9">
        <f>INDEX(LINEST(L160:L219,M160:T219,TRUE,TRUE),1,2)</f>
        <v/>
      </c>
      <c r="AI219" s="9">
        <f>INDEX(LINEST(L160:L219,M160:T219,TRUE,TRUE),1,1)</f>
        <v/>
      </c>
      <c r="AJ219" s="10">
        <f>INDEX(LINEST(L160:L219,M160:T219,TRUE,TRUE),3,1)</f>
        <v/>
      </c>
      <c r="AK219" s="9">
        <f>AA218/12+AB218*M219+AC218*N219+AD218*O219+AE218*P219+AF218*Q219+AG218*R219+AH218*S219+AI218*T219</f>
        <v/>
      </c>
      <c r="AL219" s="9">
        <f>AVERAGE(L159:L218)</f>
        <v/>
      </c>
    </row>
    <row r="220">
      <c r="A220" s="7" t="n">
        <v>44255</v>
      </c>
      <c r="B220" s="8" t="n">
        <v>1742.85</v>
      </c>
      <c r="C220" s="8" t="n">
        <v>2.15</v>
      </c>
      <c r="D220" s="8" t="n">
        <v>-0.71</v>
      </c>
      <c r="E220" s="8" t="n">
        <v>90.93000000000001</v>
      </c>
      <c r="F220" s="8" t="n">
        <v>61.55</v>
      </c>
      <c r="G220" s="8" t="n">
        <v>27.95</v>
      </c>
      <c r="H220" s="8" t="n">
        <v>75.660004</v>
      </c>
      <c r="I220" s="8" t="n">
        <v>3811.149902</v>
      </c>
      <c r="J220" s="8" t="n">
        <v>97.964348</v>
      </c>
      <c r="L220" s="9">
        <f>LN(B220/B219)</f>
        <v/>
      </c>
      <c r="M220" s="9">
        <f>$M$1*(C220-C219)</f>
        <v/>
      </c>
      <c r="N220" s="9">
        <f>$N$1*(D220-D219)</f>
        <v/>
      </c>
      <c r="O220" s="9">
        <f>$O$1*LN(E220/E219)</f>
        <v/>
      </c>
      <c r="P220" s="9">
        <f>$P$1*LN(F220/F219)</f>
        <v/>
      </c>
      <c r="Q220" s="9">
        <f>$Q$1*(G220-G219)</f>
        <v/>
      </c>
      <c r="R220" s="9">
        <f>$R$1*(H220-H219)</f>
        <v/>
      </c>
      <c r="S220" s="9">
        <f>$S$1*LN(I220/I219)</f>
        <v/>
      </c>
      <c r="T220" s="9">
        <f>$T$1*LN(J220/J219)</f>
        <v/>
      </c>
      <c r="U220" s="9">
        <f>$W$12+$W$4*M220+$W$5*N220+$W$6*O220+$W$7*P220+$W$8*Q220+$W$9*R220+$W$10*S220+$W$11*T220</f>
        <v/>
      </c>
      <c r="AA220" s="10">
        <f>INDEX(LINEST(L161:L220,M161:T220,TRUE,TRUE),1,9)*12</f>
        <v/>
      </c>
      <c r="AB220" s="9">
        <f>INDEX(LINEST(L161:L220,M161:T220,TRUE,TRUE),1,8)</f>
        <v/>
      </c>
      <c r="AC220" s="9">
        <f>INDEX(LINEST(L161:L220,M161:T220,TRUE,TRUE),1,7)</f>
        <v/>
      </c>
      <c r="AD220" s="9">
        <f>INDEX(LINEST(L161:L220,M161:T220,TRUE,TRUE),1,6)</f>
        <v/>
      </c>
      <c r="AE220" s="9">
        <f>INDEX(LINEST(L161:L220,M161:T220,TRUE,TRUE),1,5)</f>
        <v/>
      </c>
      <c r="AF220" s="9">
        <f>INDEX(LINEST(L161:L220,M161:T220,TRUE,TRUE),1,4)</f>
        <v/>
      </c>
      <c r="AG220" s="9">
        <f>INDEX(LINEST(L161:L220,M161:T220,TRUE,TRUE),1,3)</f>
        <v/>
      </c>
      <c r="AH220" s="9">
        <f>INDEX(LINEST(L161:L220,M161:T220,TRUE,TRUE),1,2)</f>
        <v/>
      </c>
      <c r="AI220" s="9">
        <f>INDEX(LINEST(L161:L220,M161:T220,TRUE,TRUE),1,1)</f>
        <v/>
      </c>
      <c r="AJ220" s="10">
        <f>INDEX(LINEST(L161:L220,M161:T220,TRUE,TRUE),3,1)</f>
        <v/>
      </c>
      <c r="AK220" s="9">
        <f>AA219/12+AB219*M220+AC219*N220+AD219*O220+AE219*P220+AF219*Q220+AG219*R220+AH219*S220+AI219*T220</f>
        <v/>
      </c>
      <c r="AL220" s="9">
        <f>AVERAGE(L160:L219)</f>
        <v/>
      </c>
    </row>
    <row r="221">
      <c r="A221" s="7" t="n">
        <v>44286</v>
      </c>
      <c r="B221" s="8" t="n">
        <v>1691.05</v>
      </c>
      <c r="C221" s="8" t="n">
        <v>2.37</v>
      </c>
      <c r="D221" s="8" t="n">
        <v>-0.63</v>
      </c>
      <c r="E221" s="8" t="n">
        <v>93.230003</v>
      </c>
      <c r="F221" s="8" t="n">
        <v>59.19</v>
      </c>
      <c r="G221" s="8" t="n">
        <v>19.4</v>
      </c>
      <c r="H221" s="8" t="n">
        <v>71.269997</v>
      </c>
      <c r="I221" s="8" t="n">
        <v>3972.889893</v>
      </c>
      <c r="J221" s="8" t="n">
        <v>96.841354</v>
      </c>
      <c r="L221" s="9">
        <f>LN(B221/B220)</f>
        <v/>
      </c>
      <c r="M221" s="9">
        <f>$M$1*(C221-C220)</f>
        <v/>
      </c>
      <c r="N221" s="9">
        <f>$N$1*(D221-D220)</f>
        <v/>
      </c>
      <c r="O221" s="9">
        <f>$O$1*LN(E221/E220)</f>
        <v/>
      </c>
      <c r="P221" s="9">
        <f>$P$1*LN(F221/F220)</f>
        <v/>
      </c>
      <c r="Q221" s="9">
        <f>$Q$1*(G221-G220)</f>
        <v/>
      </c>
      <c r="R221" s="9">
        <f>$R$1*(H221-H220)</f>
        <v/>
      </c>
      <c r="S221" s="9">
        <f>$S$1*LN(I221/I220)</f>
        <v/>
      </c>
      <c r="T221" s="9">
        <f>$T$1*LN(J221/J220)</f>
        <v/>
      </c>
      <c r="U221" s="9">
        <f>$W$12+$W$4*M221+$W$5*N221+$W$6*O221+$W$7*P221+$W$8*Q221+$W$9*R221+$W$10*S221+$W$11*T221</f>
        <v/>
      </c>
      <c r="AA221" s="10">
        <f>INDEX(LINEST(L162:L221,M162:T221,TRUE,TRUE),1,9)*12</f>
        <v/>
      </c>
      <c r="AB221" s="9">
        <f>INDEX(LINEST(L162:L221,M162:T221,TRUE,TRUE),1,8)</f>
        <v/>
      </c>
      <c r="AC221" s="9">
        <f>INDEX(LINEST(L162:L221,M162:T221,TRUE,TRUE),1,7)</f>
        <v/>
      </c>
      <c r="AD221" s="9">
        <f>INDEX(LINEST(L162:L221,M162:T221,TRUE,TRUE),1,6)</f>
        <v/>
      </c>
      <c r="AE221" s="9">
        <f>INDEX(LINEST(L162:L221,M162:T221,TRUE,TRUE),1,5)</f>
        <v/>
      </c>
      <c r="AF221" s="9">
        <f>INDEX(LINEST(L162:L221,M162:T221,TRUE,TRUE),1,4)</f>
        <v/>
      </c>
      <c r="AG221" s="9">
        <f>INDEX(LINEST(L162:L221,M162:T221,TRUE,TRUE),1,3)</f>
        <v/>
      </c>
      <c r="AH221" s="9">
        <f>INDEX(LINEST(L162:L221,M162:T221,TRUE,TRUE),1,2)</f>
        <v/>
      </c>
      <c r="AI221" s="9">
        <f>INDEX(LINEST(L162:L221,M162:T221,TRUE,TRUE),1,1)</f>
        <v/>
      </c>
      <c r="AJ221" s="10">
        <f>INDEX(LINEST(L162:L221,M162:T221,TRUE,TRUE),3,1)</f>
        <v/>
      </c>
      <c r="AK221" s="9">
        <f>AA220/12+AB220*M221+AC220*N221+AD220*O221+AE220*P221+AF220*Q221+AG220*R221+AH220*S221+AI220*T221</f>
        <v/>
      </c>
      <c r="AL221" s="9">
        <f>AVERAGE(L161:L220)</f>
        <v/>
      </c>
    </row>
    <row r="222">
      <c r="A222" s="7" t="n">
        <v>44316</v>
      </c>
      <c r="B222" s="8" t="n">
        <v>1767.65</v>
      </c>
      <c r="C222" s="8" t="n">
        <v>2.41</v>
      </c>
      <c r="D222" s="8" t="n">
        <v>-0.76</v>
      </c>
      <c r="E222" s="8" t="n">
        <v>91.279999</v>
      </c>
      <c r="F222" s="8" t="n">
        <v>63.5</v>
      </c>
      <c r="G222" s="8" t="n">
        <v>18.61</v>
      </c>
      <c r="H222" s="8" t="n">
        <v>58.130001</v>
      </c>
      <c r="I222" s="8" t="n">
        <v>4181.169922</v>
      </c>
      <c r="J222" s="8" t="n">
        <v>97.550262</v>
      </c>
      <c r="L222" s="9">
        <f>LN(B222/B221)</f>
        <v/>
      </c>
      <c r="M222" s="9">
        <f>$M$1*(C222-C221)</f>
        <v/>
      </c>
      <c r="N222" s="9">
        <f>$N$1*(D222-D221)</f>
        <v/>
      </c>
      <c r="O222" s="9">
        <f>$O$1*LN(E222/E221)</f>
        <v/>
      </c>
      <c r="P222" s="9">
        <f>$P$1*LN(F222/F221)</f>
        <v/>
      </c>
      <c r="Q222" s="9">
        <f>$Q$1*(G222-G221)</f>
        <v/>
      </c>
      <c r="R222" s="9">
        <f>$R$1*(H222-H221)</f>
        <v/>
      </c>
      <c r="S222" s="9">
        <f>$S$1*LN(I222/I221)</f>
        <v/>
      </c>
      <c r="T222" s="9">
        <f>$T$1*LN(J222/J221)</f>
        <v/>
      </c>
      <c r="U222" s="9">
        <f>$W$12+$W$4*M222+$W$5*N222+$W$6*O222+$W$7*P222+$W$8*Q222+$W$9*R222+$W$10*S222+$W$11*T222</f>
        <v/>
      </c>
      <c r="AA222" s="10">
        <f>INDEX(LINEST(L163:L222,M163:T222,TRUE,TRUE),1,9)*12</f>
        <v/>
      </c>
      <c r="AB222" s="9">
        <f>INDEX(LINEST(L163:L222,M163:T222,TRUE,TRUE),1,8)</f>
        <v/>
      </c>
      <c r="AC222" s="9">
        <f>INDEX(LINEST(L163:L222,M163:T222,TRUE,TRUE),1,7)</f>
        <v/>
      </c>
      <c r="AD222" s="9">
        <f>INDEX(LINEST(L163:L222,M163:T222,TRUE,TRUE),1,6)</f>
        <v/>
      </c>
      <c r="AE222" s="9">
        <f>INDEX(LINEST(L163:L222,M163:T222,TRUE,TRUE),1,5)</f>
        <v/>
      </c>
      <c r="AF222" s="9">
        <f>INDEX(LINEST(L163:L222,M163:T222,TRUE,TRUE),1,4)</f>
        <v/>
      </c>
      <c r="AG222" s="9">
        <f>INDEX(LINEST(L163:L222,M163:T222,TRUE,TRUE),1,3)</f>
        <v/>
      </c>
      <c r="AH222" s="9">
        <f>INDEX(LINEST(L163:L222,M163:T222,TRUE,TRUE),1,2)</f>
        <v/>
      </c>
      <c r="AI222" s="9">
        <f>INDEX(LINEST(L163:L222,M163:T222,TRUE,TRUE),1,1)</f>
        <v/>
      </c>
      <c r="AJ222" s="10">
        <f>INDEX(LINEST(L163:L222,M163:T222,TRUE,TRUE),3,1)</f>
        <v/>
      </c>
      <c r="AK222" s="9">
        <f>AA221/12+AB221*M222+AC221*N222+AD221*O222+AE221*P222+AF221*Q222+AG221*R222+AH221*S222+AI221*T222</f>
        <v/>
      </c>
      <c r="AL222" s="9">
        <f>AVERAGE(L162:L221)</f>
        <v/>
      </c>
    </row>
    <row r="223">
      <c r="A223" s="7" t="n">
        <v>44347</v>
      </c>
      <c r="B223" s="8" t="n">
        <v>1899.95</v>
      </c>
      <c r="C223" s="8" t="n">
        <v>2.42</v>
      </c>
      <c r="D223" s="8" t="n">
        <v>-0.84</v>
      </c>
      <c r="E223" s="8" t="n">
        <v>90.029999</v>
      </c>
      <c r="F223" s="8" t="n">
        <v>66.31</v>
      </c>
      <c r="G223" s="8" t="n">
        <v>16.76</v>
      </c>
      <c r="H223" s="8" t="n">
        <v>52.040001</v>
      </c>
      <c r="I223" s="8" t="n">
        <v>4204.109863</v>
      </c>
      <c r="J223" s="8" t="n">
        <v>97.749115</v>
      </c>
      <c r="L223" s="9">
        <f>LN(B223/B222)</f>
        <v/>
      </c>
      <c r="M223" s="9">
        <f>$M$1*(C223-C222)</f>
        <v/>
      </c>
      <c r="N223" s="9">
        <f>$N$1*(D223-D222)</f>
        <v/>
      </c>
      <c r="O223" s="9">
        <f>$O$1*LN(E223/E222)</f>
        <v/>
      </c>
      <c r="P223" s="9">
        <f>$P$1*LN(F223/F222)</f>
        <v/>
      </c>
      <c r="Q223" s="9">
        <f>$Q$1*(G223-G222)</f>
        <v/>
      </c>
      <c r="R223" s="9">
        <f>$R$1*(H223-H222)</f>
        <v/>
      </c>
      <c r="S223" s="9">
        <f>$S$1*LN(I223/I222)</f>
        <v/>
      </c>
      <c r="T223" s="9">
        <f>$T$1*LN(J223/J222)</f>
        <v/>
      </c>
      <c r="U223" s="9">
        <f>$W$12+$W$4*M223+$W$5*N223+$W$6*O223+$W$7*P223+$W$8*Q223+$W$9*R223+$W$10*S223+$W$11*T223</f>
        <v/>
      </c>
      <c r="AA223" s="10">
        <f>INDEX(LINEST(L164:L223,M164:T223,TRUE,TRUE),1,9)*12</f>
        <v/>
      </c>
      <c r="AB223" s="9">
        <f>INDEX(LINEST(L164:L223,M164:T223,TRUE,TRUE),1,8)</f>
        <v/>
      </c>
      <c r="AC223" s="9">
        <f>INDEX(LINEST(L164:L223,M164:T223,TRUE,TRUE),1,7)</f>
        <v/>
      </c>
      <c r="AD223" s="9">
        <f>INDEX(LINEST(L164:L223,M164:T223,TRUE,TRUE),1,6)</f>
        <v/>
      </c>
      <c r="AE223" s="9">
        <f>INDEX(LINEST(L164:L223,M164:T223,TRUE,TRUE),1,5)</f>
        <v/>
      </c>
      <c r="AF223" s="9">
        <f>INDEX(LINEST(L164:L223,M164:T223,TRUE,TRUE),1,4)</f>
        <v/>
      </c>
      <c r="AG223" s="9">
        <f>INDEX(LINEST(L164:L223,M164:T223,TRUE,TRUE),1,3)</f>
        <v/>
      </c>
      <c r="AH223" s="9">
        <f>INDEX(LINEST(L164:L223,M164:T223,TRUE,TRUE),1,2)</f>
        <v/>
      </c>
      <c r="AI223" s="9">
        <f>INDEX(LINEST(L164:L223,M164:T223,TRUE,TRUE),1,1)</f>
        <v/>
      </c>
      <c r="AJ223" s="10">
        <f>INDEX(LINEST(L164:L223,M164:T223,TRUE,TRUE),3,1)</f>
        <v/>
      </c>
      <c r="AK223" s="9">
        <f>AA222/12+AB222*M223+AC222*N223+AD222*O223+AE222*P223+AF222*Q223+AG222*R223+AH222*S223+AI222*T223</f>
        <v/>
      </c>
      <c r="AL223" s="9">
        <f>AVERAGE(L163:L222)</f>
        <v/>
      </c>
    </row>
    <row r="224">
      <c r="A224" s="7" t="n">
        <v>44377</v>
      </c>
      <c r="B224" s="8" t="n">
        <v>1763.15</v>
      </c>
      <c r="C224" s="8" t="n">
        <v>2.32</v>
      </c>
      <c r="D224" s="8" t="n">
        <v>-0.87</v>
      </c>
      <c r="E224" s="8" t="n">
        <v>92.44000200000001</v>
      </c>
      <c r="F224" s="8" t="n">
        <v>73.52</v>
      </c>
      <c r="G224" s="8" t="n">
        <v>15.83</v>
      </c>
      <c r="H224" s="8" t="n">
        <v>57.27</v>
      </c>
      <c r="I224" s="8" t="n">
        <v>4297.5</v>
      </c>
      <c r="J224" s="8" t="n">
        <v>98.55832700000001</v>
      </c>
      <c r="L224" s="9">
        <f>LN(B224/B223)</f>
        <v/>
      </c>
      <c r="M224" s="9">
        <f>$M$1*(C224-C223)</f>
        <v/>
      </c>
      <c r="N224" s="9">
        <f>$N$1*(D224-D223)</f>
        <v/>
      </c>
      <c r="O224" s="9">
        <f>$O$1*LN(E224/E223)</f>
        <v/>
      </c>
      <c r="P224" s="9">
        <f>$P$1*LN(F224/F223)</f>
        <v/>
      </c>
      <c r="Q224" s="9">
        <f>$Q$1*(G224-G223)</f>
        <v/>
      </c>
      <c r="R224" s="9">
        <f>$R$1*(H224-H223)</f>
        <v/>
      </c>
      <c r="S224" s="9">
        <f>$S$1*LN(I224/I223)</f>
        <v/>
      </c>
      <c r="T224" s="9">
        <f>$T$1*LN(J224/J223)</f>
        <v/>
      </c>
      <c r="U224" s="9">
        <f>$W$12+$W$4*M224+$W$5*N224+$W$6*O224+$W$7*P224+$W$8*Q224+$W$9*R224+$W$10*S224+$W$11*T224</f>
        <v/>
      </c>
      <c r="AA224" s="10">
        <f>INDEX(LINEST(L165:L224,M165:T224,TRUE,TRUE),1,9)*12</f>
        <v/>
      </c>
      <c r="AB224" s="9">
        <f>INDEX(LINEST(L165:L224,M165:T224,TRUE,TRUE),1,8)</f>
        <v/>
      </c>
      <c r="AC224" s="9">
        <f>INDEX(LINEST(L165:L224,M165:T224,TRUE,TRUE),1,7)</f>
        <v/>
      </c>
      <c r="AD224" s="9">
        <f>INDEX(LINEST(L165:L224,M165:T224,TRUE,TRUE),1,6)</f>
        <v/>
      </c>
      <c r="AE224" s="9">
        <f>INDEX(LINEST(L165:L224,M165:T224,TRUE,TRUE),1,5)</f>
        <v/>
      </c>
      <c r="AF224" s="9">
        <f>INDEX(LINEST(L165:L224,M165:T224,TRUE,TRUE),1,4)</f>
        <v/>
      </c>
      <c r="AG224" s="9">
        <f>INDEX(LINEST(L165:L224,M165:T224,TRUE,TRUE),1,3)</f>
        <v/>
      </c>
      <c r="AH224" s="9">
        <f>INDEX(LINEST(L165:L224,M165:T224,TRUE,TRUE),1,2)</f>
        <v/>
      </c>
      <c r="AI224" s="9">
        <f>INDEX(LINEST(L165:L224,M165:T224,TRUE,TRUE),1,1)</f>
        <v/>
      </c>
      <c r="AJ224" s="10">
        <f>INDEX(LINEST(L165:L224,M165:T224,TRUE,TRUE),3,1)</f>
        <v/>
      </c>
      <c r="AK224" s="9">
        <f>AA223/12+AB223*M224+AC223*N224+AD223*O224+AE223*P224+AF223*Q224+AG223*R224+AH223*S224+AI223*T224</f>
        <v/>
      </c>
      <c r="AL224" s="9">
        <f>AVERAGE(L164:L223)</f>
        <v/>
      </c>
    </row>
    <row r="225">
      <c r="A225" s="7" t="n">
        <v>44408</v>
      </c>
      <c r="B225" s="8" t="n">
        <v>1825.75</v>
      </c>
      <c r="C225" s="8" t="n">
        <v>2.4</v>
      </c>
      <c r="D225" s="8" t="n">
        <v>-1.16</v>
      </c>
      <c r="E225" s="8" t="n">
        <v>92.16999800000001</v>
      </c>
      <c r="F225" s="8" t="n">
        <v>73.93000000000001</v>
      </c>
      <c r="G225" s="8" t="n">
        <v>18.24</v>
      </c>
      <c r="H225" s="8" t="n">
        <v>61.189999</v>
      </c>
      <c r="I225" s="8" t="n">
        <v>4395.259766</v>
      </c>
      <c r="J225" s="8" t="n">
        <v>99.658821</v>
      </c>
      <c r="L225" s="9">
        <f>LN(B225/B224)</f>
        <v/>
      </c>
      <c r="M225" s="9">
        <f>$M$1*(C225-C224)</f>
        <v/>
      </c>
      <c r="N225" s="9">
        <f>$N$1*(D225-D224)</f>
        <v/>
      </c>
      <c r="O225" s="9">
        <f>$O$1*LN(E225/E224)</f>
        <v/>
      </c>
      <c r="P225" s="9">
        <f>$P$1*LN(F225/F224)</f>
        <v/>
      </c>
      <c r="Q225" s="9">
        <f>$Q$1*(G225-G224)</f>
        <v/>
      </c>
      <c r="R225" s="9">
        <f>$R$1*(H225-H224)</f>
        <v/>
      </c>
      <c r="S225" s="9">
        <f>$S$1*LN(I225/I224)</f>
        <v/>
      </c>
      <c r="T225" s="9">
        <f>$T$1*LN(J225/J224)</f>
        <v/>
      </c>
      <c r="U225" s="9">
        <f>$W$12+$W$4*M225+$W$5*N225+$W$6*O225+$W$7*P225+$W$8*Q225+$W$9*R225+$W$10*S225+$W$11*T225</f>
        <v/>
      </c>
      <c r="AA225" s="10">
        <f>INDEX(LINEST(L166:L225,M166:T225,TRUE,TRUE),1,9)*12</f>
        <v/>
      </c>
      <c r="AB225" s="9">
        <f>INDEX(LINEST(L166:L225,M166:T225,TRUE,TRUE),1,8)</f>
        <v/>
      </c>
      <c r="AC225" s="9">
        <f>INDEX(LINEST(L166:L225,M166:T225,TRUE,TRUE),1,7)</f>
        <v/>
      </c>
      <c r="AD225" s="9">
        <f>INDEX(LINEST(L166:L225,M166:T225,TRUE,TRUE),1,6)</f>
        <v/>
      </c>
      <c r="AE225" s="9">
        <f>INDEX(LINEST(L166:L225,M166:T225,TRUE,TRUE),1,5)</f>
        <v/>
      </c>
      <c r="AF225" s="9">
        <f>INDEX(LINEST(L166:L225,M166:T225,TRUE,TRUE),1,4)</f>
        <v/>
      </c>
      <c r="AG225" s="9">
        <f>INDEX(LINEST(L166:L225,M166:T225,TRUE,TRUE),1,3)</f>
        <v/>
      </c>
      <c r="AH225" s="9">
        <f>INDEX(LINEST(L166:L225,M166:T225,TRUE,TRUE),1,2)</f>
        <v/>
      </c>
      <c r="AI225" s="9">
        <f>INDEX(LINEST(L166:L225,M166:T225,TRUE,TRUE),1,1)</f>
        <v/>
      </c>
      <c r="AJ225" s="10">
        <f>INDEX(LINEST(L166:L225,M166:T225,TRUE,TRUE),3,1)</f>
        <v/>
      </c>
      <c r="AK225" s="9">
        <f>AA224/12+AB224*M225+AC224*N225+AD224*O225+AE224*P225+AF224*Q225+AG224*R225+AH224*S225+AI224*T225</f>
        <v/>
      </c>
      <c r="AL225" s="9">
        <f>AVERAGE(L165:L224)</f>
        <v/>
      </c>
    </row>
    <row r="226">
      <c r="A226" s="7" t="n">
        <v>44439</v>
      </c>
      <c r="B226" s="8" t="n">
        <v>1814.85</v>
      </c>
      <c r="C226" s="8" t="n">
        <v>2.33</v>
      </c>
      <c r="D226" s="8" t="n">
        <v>-1.03</v>
      </c>
      <c r="E226" s="8" t="n">
        <v>92.629997</v>
      </c>
      <c r="F226" s="8" t="n">
        <v>68.43000000000001</v>
      </c>
      <c r="G226" s="8" t="n">
        <v>16.48</v>
      </c>
      <c r="H226" s="8" t="n">
        <v>59.540001</v>
      </c>
      <c r="I226" s="8" t="n">
        <v>4522.680176</v>
      </c>
      <c r="J226" s="8" t="n">
        <v>99.45916</v>
      </c>
      <c r="L226" s="9">
        <f>LN(B226/B225)</f>
        <v/>
      </c>
      <c r="M226" s="9">
        <f>$M$1*(C226-C225)</f>
        <v/>
      </c>
      <c r="N226" s="9">
        <f>$N$1*(D226-D225)</f>
        <v/>
      </c>
      <c r="O226" s="9">
        <f>$O$1*LN(E226/E225)</f>
        <v/>
      </c>
      <c r="P226" s="9">
        <f>$P$1*LN(F226/F225)</f>
        <v/>
      </c>
      <c r="Q226" s="9">
        <f>$Q$1*(G226-G225)</f>
        <v/>
      </c>
      <c r="R226" s="9">
        <f>$R$1*(H226-H225)</f>
        <v/>
      </c>
      <c r="S226" s="9">
        <f>$S$1*LN(I226/I225)</f>
        <v/>
      </c>
      <c r="T226" s="9">
        <f>$T$1*LN(J226/J225)</f>
        <v/>
      </c>
      <c r="U226" s="9">
        <f>$W$12+$W$4*M226+$W$5*N226+$W$6*O226+$W$7*P226+$W$8*Q226+$W$9*R226+$W$10*S226+$W$11*T226</f>
        <v/>
      </c>
      <c r="AA226" s="10">
        <f>INDEX(LINEST(L167:L226,M167:T226,TRUE,TRUE),1,9)*12</f>
        <v/>
      </c>
      <c r="AB226" s="9">
        <f>INDEX(LINEST(L167:L226,M167:T226,TRUE,TRUE),1,8)</f>
        <v/>
      </c>
      <c r="AC226" s="9">
        <f>INDEX(LINEST(L167:L226,M167:T226,TRUE,TRUE),1,7)</f>
        <v/>
      </c>
      <c r="AD226" s="9">
        <f>INDEX(LINEST(L167:L226,M167:T226,TRUE,TRUE),1,6)</f>
        <v/>
      </c>
      <c r="AE226" s="9">
        <f>INDEX(LINEST(L167:L226,M167:T226,TRUE,TRUE),1,5)</f>
        <v/>
      </c>
      <c r="AF226" s="9">
        <f>INDEX(LINEST(L167:L226,M167:T226,TRUE,TRUE),1,4)</f>
        <v/>
      </c>
      <c r="AG226" s="9">
        <f>INDEX(LINEST(L167:L226,M167:T226,TRUE,TRUE),1,3)</f>
        <v/>
      </c>
      <c r="AH226" s="9">
        <f>INDEX(LINEST(L167:L226,M167:T226,TRUE,TRUE),1,2)</f>
        <v/>
      </c>
      <c r="AI226" s="9">
        <f>INDEX(LINEST(L167:L226,M167:T226,TRUE,TRUE),1,1)</f>
        <v/>
      </c>
      <c r="AJ226" s="10">
        <f>INDEX(LINEST(L167:L226,M167:T226,TRUE,TRUE),3,1)</f>
        <v/>
      </c>
      <c r="AK226" s="9">
        <f>AA225/12+AB225*M226+AC225*N226+AD225*O226+AE225*P226+AF225*Q226+AG225*R226+AH225*S226+AI225*T226</f>
        <v/>
      </c>
      <c r="AL226" s="9">
        <f>AVERAGE(L166:L225)</f>
        <v/>
      </c>
    </row>
    <row r="227">
      <c r="A227" s="7" t="n">
        <v>44469</v>
      </c>
      <c r="B227" s="8" t="n">
        <v>1742.8</v>
      </c>
      <c r="C227" s="8" t="n">
        <v>2.37</v>
      </c>
      <c r="D227" s="8" t="n">
        <v>-0.85</v>
      </c>
      <c r="E227" s="8" t="n">
        <v>94.25</v>
      </c>
      <c r="F227" s="8" t="n">
        <v>75.22</v>
      </c>
      <c r="G227" s="8" t="n">
        <v>23.14</v>
      </c>
      <c r="H227" s="8" t="n">
        <v>61.07</v>
      </c>
      <c r="I227" s="8" t="n">
        <v>4307.540039</v>
      </c>
      <c r="J227" s="8" t="n">
        <v>98.546898</v>
      </c>
      <c r="L227" s="9">
        <f>LN(B227/B226)</f>
        <v/>
      </c>
      <c r="M227" s="9">
        <f>$M$1*(C227-C226)</f>
        <v/>
      </c>
      <c r="N227" s="9">
        <f>$N$1*(D227-D226)</f>
        <v/>
      </c>
      <c r="O227" s="9">
        <f>$O$1*LN(E227/E226)</f>
        <v/>
      </c>
      <c r="P227" s="9">
        <f>$P$1*LN(F227/F226)</f>
        <v/>
      </c>
      <c r="Q227" s="9">
        <f>$Q$1*(G227-G226)</f>
        <v/>
      </c>
      <c r="R227" s="9">
        <f>$R$1*(H227-H226)</f>
        <v/>
      </c>
      <c r="S227" s="9">
        <f>$S$1*LN(I227/I226)</f>
        <v/>
      </c>
      <c r="T227" s="9">
        <f>$T$1*LN(J227/J226)</f>
        <v/>
      </c>
      <c r="U227" s="9">
        <f>$W$12+$W$4*M227+$W$5*N227+$W$6*O227+$W$7*P227+$W$8*Q227+$W$9*R227+$W$10*S227+$W$11*T227</f>
        <v/>
      </c>
      <c r="AA227" s="10">
        <f>INDEX(LINEST(L168:L227,M168:T227,TRUE,TRUE),1,9)*12</f>
        <v/>
      </c>
      <c r="AB227" s="9">
        <f>INDEX(LINEST(L168:L227,M168:T227,TRUE,TRUE),1,8)</f>
        <v/>
      </c>
      <c r="AC227" s="9">
        <f>INDEX(LINEST(L168:L227,M168:T227,TRUE,TRUE),1,7)</f>
        <v/>
      </c>
      <c r="AD227" s="9">
        <f>INDEX(LINEST(L168:L227,M168:T227,TRUE,TRUE),1,6)</f>
        <v/>
      </c>
      <c r="AE227" s="9">
        <f>INDEX(LINEST(L168:L227,M168:T227,TRUE,TRUE),1,5)</f>
        <v/>
      </c>
      <c r="AF227" s="9">
        <f>INDEX(LINEST(L168:L227,M168:T227,TRUE,TRUE),1,4)</f>
        <v/>
      </c>
      <c r="AG227" s="9">
        <f>INDEX(LINEST(L168:L227,M168:T227,TRUE,TRUE),1,3)</f>
        <v/>
      </c>
      <c r="AH227" s="9">
        <f>INDEX(LINEST(L168:L227,M168:T227,TRUE,TRUE),1,2)</f>
        <v/>
      </c>
      <c r="AI227" s="9">
        <f>INDEX(LINEST(L168:L227,M168:T227,TRUE,TRUE),1,1)</f>
        <v/>
      </c>
      <c r="AJ227" s="10">
        <f>INDEX(LINEST(L168:L227,M168:T227,TRUE,TRUE),3,1)</f>
        <v/>
      </c>
      <c r="AK227" s="9">
        <f>AA226/12+AB226*M227+AC226*N227+AD226*O227+AE226*P227+AF226*Q227+AG226*R227+AH226*S227+AI226*T227</f>
        <v/>
      </c>
      <c r="AL227" s="9">
        <f>AVERAGE(L167:L226)</f>
        <v/>
      </c>
    </row>
    <row r="228">
      <c r="A228" s="7" t="n">
        <v>44500</v>
      </c>
      <c r="B228" s="8" t="n">
        <v>1769.15</v>
      </c>
      <c r="C228" s="8" t="n">
        <v>2.51</v>
      </c>
      <c r="D228" s="8" t="n">
        <v>-0.96</v>
      </c>
      <c r="E228" s="8" t="n">
        <v>94.120003</v>
      </c>
      <c r="F228" s="8" t="n">
        <v>83.5</v>
      </c>
      <c r="G228" s="8" t="n">
        <v>16.26</v>
      </c>
      <c r="H228" s="8" t="n">
        <v>75.449997</v>
      </c>
      <c r="I228" s="8" t="n">
        <v>4605.379883</v>
      </c>
      <c r="J228" s="8" t="n">
        <v>98.538284</v>
      </c>
      <c r="L228" s="9">
        <f>LN(B228/B227)</f>
        <v/>
      </c>
      <c r="M228" s="9">
        <f>$M$1*(C228-C227)</f>
        <v/>
      </c>
      <c r="N228" s="9">
        <f>$N$1*(D228-D227)</f>
        <v/>
      </c>
      <c r="O228" s="9">
        <f>$O$1*LN(E228/E227)</f>
        <v/>
      </c>
      <c r="P228" s="9">
        <f>$P$1*LN(F228/F227)</f>
        <v/>
      </c>
      <c r="Q228" s="9">
        <f>$Q$1*(G228-G227)</f>
        <v/>
      </c>
      <c r="R228" s="9">
        <f>$R$1*(H228-H227)</f>
        <v/>
      </c>
      <c r="S228" s="9">
        <f>$S$1*LN(I228/I227)</f>
        <v/>
      </c>
      <c r="T228" s="9">
        <f>$T$1*LN(J228/J227)</f>
        <v/>
      </c>
      <c r="U228" s="9">
        <f>$W$12+$W$4*M228+$W$5*N228+$W$6*O228+$W$7*P228+$W$8*Q228+$W$9*R228+$W$10*S228+$W$11*T228</f>
        <v/>
      </c>
      <c r="AA228" s="10">
        <f>INDEX(LINEST(L169:L228,M169:T228,TRUE,TRUE),1,9)*12</f>
        <v/>
      </c>
      <c r="AB228" s="9">
        <f>INDEX(LINEST(L169:L228,M169:T228,TRUE,TRUE),1,8)</f>
        <v/>
      </c>
      <c r="AC228" s="9">
        <f>INDEX(LINEST(L169:L228,M169:T228,TRUE,TRUE),1,7)</f>
        <v/>
      </c>
      <c r="AD228" s="9">
        <f>INDEX(LINEST(L169:L228,M169:T228,TRUE,TRUE),1,6)</f>
        <v/>
      </c>
      <c r="AE228" s="9">
        <f>INDEX(LINEST(L169:L228,M169:T228,TRUE,TRUE),1,5)</f>
        <v/>
      </c>
      <c r="AF228" s="9">
        <f>INDEX(LINEST(L169:L228,M169:T228,TRUE,TRUE),1,4)</f>
        <v/>
      </c>
      <c r="AG228" s="9">
        <f>INDEX(LINEST(L169:L228,M169:T228,TRUE,TRUE),1,3)</f>
        <v/>
      </c>
      <c r="AH228" s="9">
        <f>INDEX(LINEST(L169:L228,M169:T228,TRUE,TRUE),1,2)</f>
        <v/>
      </c>
      <c r="AI228" s="9">
        <f>INDEX(LINEST(L169:L228,M169:T228,TRUE,TRUE),1,1)</f>
        <v/>
      </c>
      <c r="AJ228" s="10">
        <f>INDEX(LINEST(L169:L228,M169:T228,TRUE,TRUE),3,1)</f>
        <v/>
      </c>
      <c r="AK228" s="9">
        <f>AA227/12+AB227*M228+AC227*N228+AD227*O228+AE227*P228+AF227*Q228+AG227*R228+AH227*S228+AI227*T228</f>
        <v/>
      </c>
      <c r="AL228" s="9">
        <f>AVERAGE(L168:L227)</f>
        <v/>
      </c>
    </row>
    <row r="229">
      <c r="A229" s="7" t="n">
        <v>44530</v>
      </c>
      <c r="B229" s="8" t="n">
        <v>1804.4</v>
      </c>
      <c r="C229" s="8" t="n">
        <v>2.5</v>
      </c>
      <c r="D229" s="8" t="n">
        <v>-1.07</v>
      </c>
      <c r="E229" s="8" t="n">
        <v>95.989998</v>
      </c>
      <c r="F229" s="8" t="n">
        <v>66.14</v>
      </c>
      <c r="G229" s="8" t="n">
        <v>27.19</v>
      </c>
      <c r="H229" s="8" t="n">
        <v>84.040001</v>
      </c>
      <c r="I229" s="8" t="n">
        <v>4567</v>
      </c>
      <c r="J229" s="8" t="n">
        <v>98.805176</v>
      </c>
      <c r="L229" s="9">
        <f>LN(B229/B228)</f>
        <v/>
      </c>
      <c r="M229" s="9">
        <f>$M$1*(C229-C228)</f>
        <v/>
      </c>
      <c r="N229" s="9">
        <f>$N$1*(D229-D228)</f>
        <v/>
      </c>
      <c r="O229" s="9">
        <f>$O$1*LN(E229/E228)</f>
        <v/>
      </c>
      <c r="P229" s="9">
        <f>$P$1*LN(F229/F228)</f>
        <v/>
      </c>
      <c r="Q229" s="9">
        <f>$Q$1*(G229-G228)</f>
        <v/>
      </c>
      <c r="R229" s="9">
        <f>$R$1*(H229-H228)</f>
        <v/>
      </c>
      <c r="S229" s="9">
        <f>$S$1*LN(I229/I228)</f>
        <v/>
      </c>
      <c r="T229" s="9">
        <f>$T$1*LN(J229/J228)</f>
        <v/>
      </c>
      <c r="U229" s="9">
        <f>$W$12+$W$4*M229+$W$5*N229+$W$6*O229+$W$7*P229+$W$8*Q229+$W$9*R229+$W$10*S229+$W$11*T229</f>
        <v/>
      </c>
      <c r="AA229" s="10">
        <f>INDEX(LINEST(L170:L229,M170:T229,TRUE,TRUE),1,9)*12</f>
        <v/>
      </c>
      <c r="AB229" s="9">
        <f>INDEX(LINEST(L170:L229,M170:T229,TRUE,TRUE),1,8)</f>
        <v/>
      </c>
      <c r="AC229" s="9">
        <f>INDEX(LINEST(L170:L229,M170:T229,TRUE,TRUE),1,7)</f>
        <v/>
      </c>
      <c r="AD229" s="9">
        <f>INDEX(LINEST(L170:L229,M170:T229,TRUE,TRUE),1,6)</f>
        <v/>
      </c>
      <c r="AE229" s="9">
        <f>INDEX(LINEST(L170:L229,M170:T229,TRUE,TRUE),1,5)</f>
        <v/>
      </c>
      <c r="AF229" s="9">
        <f>INDEX(LINEST(L170:L229,M170:T229,TRUE,TRUE),1,4)</f>
        <v/>
      </c>
      <c r="AG229" s="9">
        <f>INDEX(LINEST(L170:L229,M170:T229,TRUE,TRUE),1,3)</f>
        <v/>
      </c>
      <c r="AH229" s="9">
        <f>INDEX(LINEST(L170:L229,M170:T229,TRUE,TRUE),1,2)</f>
        <v/>
      </c>
      <c r="AI229" s="9">
        <f>INDEX(LINEST(L170:L229,M170:T229,TRUE,TRUE),1,1)</f>
        <v/>
      </c>
      <c r="AJ229" s="10">
        <f>INDEX(LINEST(L170:L229,M170:T229,TRUE,TRUE),3,1)</f>
        <v/>
      </c>
      <c r="AK229" s="9">
        <f>AA228/12+AB228*M229+AC228*N229+AD228*O229+AE228*P229+AF228*Q229+AG228*R229+AH228*S229+AI228*T229</f>
        <v/>
      </c>
      <c r="AL229" s="9">
        <f>AVERAGE(L169:L228)</f>
        <v/>
      </c>
    </row>
    <row r="230">
      <c r="A230" s="7" t="n">
        <v>44561</v>
      </c>
      <c r="B230" s="8" t="n">
        <v>1805.85</v>
      </c>
      <c r="C230" s="8" t="n">
        <v>2.56</v>
      </c>
      <c r="D230" s="8" t="n">
        <v>-1.04</v>
      </c>
      <c r="E230" s="8" t="n">
        <v>95.66999800000001</v>
      </c>
      <c r="F230" s="8" t="n">
        <v>75.33</v>
      </c>
      <c r="G230" s="8" t="n">
        <v>17.22</v>
      </c>
      <c r="H230" s="8" t="n">
        <v>77.099998</v>
      </c>
      <c r="I230" s="8" t="n">
        <v>4766.180176</v>
      </c>
      <c r="J230" s="8" t="n">
        <v>98.450729</v>
      </c>
      <c r="L230" s="9">
        <f>LN(B230/B229)</f>
        <v/>
      </c>
      <c r="M230" s="9">
        <f>$M$1*(C230-C229)</f>
        <v/>
      </c>
      <c r="N230" s="9">
        <f>$N$1*(D230-D229)</f>
        <v/>
      </c>
      <c r="O230" s="9">
        <f>$O$1*LN(E230/E229)</f>
        <v/>
      </c>
      <c r="P230" s="9">
        <f>$P$1*LN(F230/F229)</f>
        <v/>
      </c>
      <c r="Q230" s="9">
        <f>$Q$1*(G230-G229)</f>
        <v/>
      </c>
      <c r="R230" s="9">
        <f>$R$1*(H230-H229)</f>
        <v/>
      </c>
      <c r="S230" s="9">
        <f>$S$1*LN(I230/I229)</f>
        <v/>
      </c>
      <c r="T230" s="9">
        <f>$T$1*LN(J230/J229)</f>
        <v/>
      </c>
      <c r="U230" s="9">
        <f>$W$12+$W$4*M230+$W$5*N230+$W$6*O230+$W$7*P230+$W$8*Q230+$W$9*R230+$W$10*S230+$W$11*T230</f>
        <v/>
      </c>
      <c r="AA230" s="10">
        <f>INDEX(LINEST(L171:L230,M171:T230,TRUE,TRUE),1,9)*12</f>
        <v/>
      </c>
      <c r="AB230" s="9">
        <f>INDEX(LINEST(L171:L230,M171:T230,TRUE,TRUE),1,8)</f>
        <v/>
      </c>
      <c r="AC230" s="9">
        <f>INDEX(LINEST(L171:L230,M171:T230,TRUE,TRUE),1,7)</f>
        <v/>
      </c>
      <c r="AD230" s="9">
        <f>INDEX(LINEST(L171:L230,M171:T230,TRUE,TRUE),1,6)</f>
        <v/>
      </c>
      <c r="AE230" s="9">
        <f>INDEX(LINEST(L171:L230,M171:T230,TRUE,TRUE),1,5)</f>
        <v/>
      </c>
      <c r="AF230" s="9">
        <f>INDEX(LINEST(L171:L230,M171:T230,TRUE,TRUE),1,4)</f>
        <v/>
      </c>
      <c r="AG230" s="9">
        <f>INDEX(LINEST(L171:L230,M171:T230,TRUE,TRUE),1,3)</f>
        <v/>
      </c>
      <c r="AH230" s="9">
        <f>INDEX(LINEST(L171:L230,M171:T230,TRUE,TRUE),1,2)</f>
        <v/>
      </c>
      <c r="AI230" s="9">
        <f>INDEX(LINEST(L171:L230,M171:T230,TRUE,TRUE),1,1)</f>
        <v/>
      </c>
      <c r="AJ230" s="10">
        <f>INDEX(LINEST(L171:L230,M171:T230,TRUE,TRUE),3,1)</f>
        <v/>
      </c>
      <c r="AK230" s="9">
        <f>AA229/12+AB229*M230+AC229*N230+AD229*O230+AE229*P230+AF229*Q230+AG229*R230+AH229*S230+AI229*T230</f>
        <v/>
      </c>
      <c r="AL230" s="9">
        <f>AVERAGE(L170:L229)</f>
        <v/>
      </c>
    </row>
    <row r="231">
      <c r="A231" s="7" t="n">
        <v>44592</v>
      </c>
      <c r="B231" s="8" t="n">
        <v>1795.25</v>
      </c>
      <c r="C231" s="8" t="n">
        <v>2.44</v>
      </c>
      <c r="D231" s="8" t="n">
        <v>-0.65</v>
      </c>
      <c r="E231" s="8" t="n">
        <v>96.540001</v>
      </c>
      <c r="F231" s="8" t="n">
        <v>89.16</v>
      </c>
      <c r="G231" s="8" t="n">
        <v>24.83</v>
      </c>
      <c r="H231" s="8" t="n">
        <v>85.139999</v>
      </c>
      <c r="I231" s="8" t="n">
        <v>4515.549805</v>
      </c>
      <c r="J231" s="8" t="n">
        <v>96.483116</v>
      </c>
      <c r="L231" s="9">
        <f>LN(B231/B230)</f>
        <v/>
      </c>
      <c r="M231" s="9">
        <f>$M$1*(C231-C230)</f>
        <v/>
      </c>
      <c r="N231" s="9">
        <f>$N$1*(D231-D230)</f>
        <v/>
      </c>
      <c r="O231" s="9">
        <f>$O$1*LN(E231/E230)</f>
        <v/>
      </c>
      <c r="P231" s="9">
        <f>$P$1*LN(F231/F230)</f>
        <v/>
      </c>
      <c r="Q231" s="9">
        <f>$Q$1*(G231-G230)</f>
        <v/>
      </c>
      <c r="R231" s="9">
        <f>$R$1*(H231-H230)</f>
        <v/>
      </c>
      <c r="S231" s="9">
        <f>$S$1*LN(I231/I230)</f>
        <v/>
      </c>
      <c r="T231" s="9">
        <f>$T$1*LN(J231/J230)</f>
        <v/>
      </c>
      <c r="U231" s="9">
        <f>$W$12+$W$4*M231+$W$5*N231+$W$6*O231+$W$7*P231+$W$8*Q231+$W$9*R231+$W$10*S231+$W$11*T231</f>
        <v/>
      </c>
      <c r="AA231" s="10">
        <f>INDEX(LINEST(L172:L231,M172:T231,TRUE,TRUE),1,9)*12</f>
        <v/>
      </c>
      <c r="AB231" s="9">
        <f>INDEX(LINEST(L172:L231,M172:T231,TRUE,TRUE),1,8)</f>
        <v/>
      </c>
      <c r="AC231" s="9">
        <f>INDEX(LINEST(L172:L231,M172:T231,TRUE,TRUE),1,7)</f>
        <v/>
      </c>
      <c r="AD231" s="9">
        <f>INDEX(LINEST(L172:L231,M172:T231,TRUE,TRUE),1,6)</f>
        <v/>
      </c>
      <c r="AE231" s="9">
        <f>INDEX(LINEST(L172:L231,M172:T231,TRUE,TRUE),1,5)</f>
        <v/>
      </c>
      <c r="AF231" s="9">
        <f>INDEX(LINEST(L172:L231,M172:T231,TRUE,TRUE),1,4)</f>
        <v/>
      </c>
      <c r="AG231" s="9">
        <f>INDEX(LINEST(L172:L231,M172:T231,TRUE,TRUE),1,3)</f>
        <v/>
      </c>
      <c r="AH231" s="9">
        <f>INDEX(LINEST(L172:L231,M172:T231,TRUE,TRUE),1,2)</f>
        <v/>
      </c>
      <c r="AI231" s="9">
        <f>INDEX(LINEST(L172:L231,M172:T231,TRUE,TRUE),1,1)</f>
        <v/>
      </c>
      <c r="AJ231" s="10">
        <f>INDEX(LINEST(L172:L231,M172:T231,TRUE,TRUE),3,1)</f>
        <v/>
      </c>
      <c r="AK231" s="9">
        <f>AA230/12+AB230*M231+AC230*N231+AD230*O231+AE230*P231+AF230*Q231+AG230*R231+AH230*S231+AI230*T231</f>
        <v/>
      </c>
      <c r="AL231" s="9">
        <f>AVERAGE(L171:L230)</f>
        <v/>
      </c>
    </row>
    <row r="232">
      <c r="A232" s="7" t="n">
        <v>44620</v>
      </c>
      <c r="B232" s="8" t="n">
        <v>1909.85</v>
      </c>
      <c r="C232" s="8" t="n">
        <v>2.62</v>
      </c>
      <c r="D232" s="8" t="n">
        <v>-0.79</v>
      </c>
      <c r="E232" s="8" t="n">
        <v>96.709999</v>
      </c>
      <c r="F232" s="8" t="n">
        <v>96.13</v>
      </c>
      <c r="G232" s="8" t="n">
        <v>30.15</v>
      </c>
      <c r="H232" s="8" t="n">
        <v>100.400002</v>
      </c>
      <c r="I232" s="8" t="n">
        <v>4373.939941</v>
      </c>
      <c r="J232" s="8" t="n">
        <v>95.37771600000001</v>
      </c>
      <c r="L232" s="9">
        <f>LN(B232/B231)</f>
        <v/>
      </c>
      <c r="M232" s="9">
        <f>$M$1*(C232-C231)</f>
        <v/>
      </c>
      <c r="N232" s="9">
        <f>$N$1*(D232-D231)</f>
        <v/>
      </c>
      <c r="O232" s="9">
        <f>$O$1*LN(E232/E231)</f>
        <v/>
      </c>
      <c r="P232" s="9">
        <f>$P$1*LN(F232/F231)</f>
        <v/>
      </c>
      <c r="Q232" s="9">
        <f>$Q$1*(G232-G231)</f>
        <v/>
      </c>
      <c r="R232" s="9">
        <f>$R$1*(H232-H231)</f>
        <v/>
      </c>
      <c r="S232" s="9">
        <f>$S$1*LN(I232/I231)</f>
        <v/>
      </c>
      <c r="T232" s="9">
        <f>$T$1*LN(J232/J231)</f>
        <v/>
      </c>
      <c r="U232" s="9">
        <f>$W$12+$W$4*M232+$W$5*N232+$W$6*O232+$W$7*P232+$W$8*Q232+$W$9*R232+$W$10*S232+$W$11*T232</f>
        <v/>
      </c>
      <c r="AA232" s="10">
        <f>INDEX(LINEST(L173:L232,M173:T232,TRUE,TRUE),1,9)*12</f>
        <v/>
      </c>
      <c r="AB232" s="9">
        <f>INDEX(LINEST(L173:L232,M173:T232,TRUE,TRUE),1,8)</f>
        <v/>
      </c>
      <c r="AC232" s="9">
        <f>INDEX(LINEST(L173:L232,M173:T232,TRUE,TRUE),1,7)</f>
        <v/>
      </c>
      <c r="AD232" s="9">
        <f>INDEX(LINEST(L173:L232,M173:T232,TRUE,TRUE),1,6)</f>
        <v/>
      </c>
      <c r="AE232" s="9">
        <f>INDEX(LINEST(L173:L232,M173:T232,TRUE,TRUE),1,5)</f>
        <v/>
      </c>
      <c r="AF232" s="9">
        <f>INDEX(LINEST(L173:L232,M173:T232,TRUE,TRUE),1,4)</f>
        <v/>
      </c>
      <c r="AG232" s="9">
        <f>INDEX(LINEST(L173:L232,M173:T232,TRUE,TRUE),1,3)</f>
        <v/>
      </c>
      <c r="AH232" s="9">
        <f>INDEX(LINEST(L173:L232,M173:T232,TRUE,TRUE),1,2)</f>
        <v/>
      </c>
      <c r="AI232" s="9">
        <f>INDEX(LINEST(L173:L232,M173:T232,TRUE,TRUE),1,1)</f>
        <v/>
      </c>
      <c r="AJ232" s="10">
        <f>INDEX(LINEST(L173:L232,M173:T232,TRUE,TRUE),3,1)</f>
        <v/>
      </c>
      <c r="AK232" s="9">
        <f>AA231/12+AB231*M232+AC231*N232+AD231*O232+AE231*P232+AF231*Q232+AG231*R232+AH231*S232+AI231*T232</f>
        <v/>
      </c>
      <c r="AL232" s="9">
        <f>AVERAGE(L172:L231)</f>
        <v/>
      </c>
    </row>
    <row r="233">
      <c r="A233" s="7" t="n">
        <v>44651</v>
      </c>
      <c r="B233" s="8" t="n">
        <v>1942.15</v>
      </c>
      <c r="C233" s="8" t="n">
        <v>2.84</v>
      </c>
      <c r="D233" s="8" t="n">
        <v>-0.52</v>
      </c>
      <c r="E233" s="8" t="n">
        <v>98.30999799999999</v>
      </c>
      <c r="F233" s="8" t="n">
        <v>100.53</v>
      </c>
      <c r="G233" s="8" t="n">
        <v>20.56</v>
      </c>
      <c r="H233" s="8" t="n">
        <v>106.879997</v>
      </c>
      <c r="I233" s="8" t="n">
        <v>4530.410156</v>
      </c>
      <c r="J233" s="8" t="n">
        <v>92.69553399999999</v>
      </c>
      <c r="L233" s="9">
        <f>LN(B233/B232)</f>
        <v/>
      </c>
      <c r="M233" s="9">
        <f>$M$1*(C233-C232)</f>
        <v/>
      </c>
      <c r="N233" s="9">
        <f>$N$1*(D233-D232)</f>
        <v/>
      </c>
      <c r="O233" s="9">
        <f>$O$1*LN(E233/E232)</f>
        <v/>
      </c>
      <c r="P233" s="9">
        <f>$P$1*LN(F233/F232)</f>
        <v/>
      </c>
      <c r="Q233" s="9">
        <f>$Q$1*(G233-G232)</f>
        <v/>
      </c>
      <c r="R233" s="9">
        <f>$R$1*(H233-H232)</f>
        <v/>
      </c>
      <c r="S233" s="9">
        <f>$S$1*LN(I233/I232)</f>
        <v/>
      </c>
      <c r="T233" s="9">
        <f>$T$1*LN(J233/J232)</f>
        <v/>
      </c>
      <c r="U233" s="9">
        <f>$W$12+$W$4*M233+$W$5*N233+$W$6*O233+$W$7*P233+$W$8*Q233+$W$9*R233+$W$10*S233+$W$11*T233</f>
        <v/>
      </c>
      <c r="AA233" s="10">
        <f>INDEX(LINEST(L174:L233,M174:T233,TRUE,TRUE),1,9)*12</f>
        <v/>
      </c>
      <c r="AB233" s="9">
        <f>INDEX(LINEST(L174:L233,M174:T233,TRUE,TRUE),1,8)</f>
        <v/>
      </c>
      <c r="AC233" s="9">
        <f>INDEX(LINEST(L174:L233,M174:T233,TRUE,TRUE),1,7)</f>
        <v/>
      </c>
      <c r="AD233" s="9">
        <f>INDEX(LINEST(L174:L233,M174:T233,TRUE,TRUE),1,6)</f>
        <v/>
      </c>
      <c r="AE233" s="9">
        <f>INDEX(LINEST(L174:L233,M174:T233,TRUE,TRUE),1,5)</f>
        <v/>
      </c>
      <c r="AF233" s="9">
        <f>INDEX(LINEST(L174:L233,M174:T233,TRUE,TRUE),1,4)</f>
        <v/>
      </c>
      <c r="AG233" s="9">
        <f>INDEX(LINEST(L174:L233,M174:T233,TRUE,TRUE),1,3)</f>
        <v/>
      </c>
      <c r="AH233" s="9">
        <f>INDEX(LINEST(L174:L233,M174:T233,TRUE,TRUE),1,2)</f>
        <v/>
      </c>
      <c r="AI233" s="9">
        <f>INDEX(LINEST(L174:L233,M174:T233,TRUE,TRUE),1,1)</f>
        <v/>
      </c>
      <c r="AJ233" s="10">
        <f>INDEX(LINEST(L174:L233,M174:T233,TRUE,TRUE),3,1)</f>
        <v/>
      </c>
      <c r="AK233" s="9">
        <f>AA232/12+AB232*M233+AC232*N233+AD232*O233+AE232*P233+AF232*Q233+AG232*R233+AH232*S233+AI232*T233</f>
        <v/>
      </c>
      <c r="AL233" s="9">
        <f>AVERAGE(L173:L232)</f>
        <v/>
      </c>
    </row>
    <row r="234">
      <c r="A234" s="7" t="n">
        <v>44681</v>
      </c>
      <c r="B234" s="8" t="n">
        <v>1911.3</v>
      </c>
      <c r="C234" s="8" t="n">
        <v>2.88</v>
      </c>
      <c r="D234" s="8" t="n">
        <v>0.01</v>
      </c>
      <c r="E234" s="8" t="n">
        <v>102.959999</v>
      </c>
      <c r="F234" s="8" t="n">
        <v>104.59</v>
      </c>
      <c r="G234" s="8" t="n">
        <v>33.4</v>
      </c>
      <c r="H234" s="8" t="n">
        <v>128.399994</v>
      </c>
      <c r="I234" s="8" t="n">
        <v>4131.930176</v>
      </c>
      <c r="J234" s="8" t="n">
        <v>89.167664</v>
      </c>
      <c r="L234" s="9">
        <f>LN(B234/B233)</f>
        <v/>
      </c>
      <c r="M234" s="9">
        <f>$M$1*(C234-C233)</f>
        <v/>
      </c>
      <c r="N234" s="9">
        <f>$N$1*(D234-D233)</f>
        <v/>
      </c>
      <c r="O234" s="9">
        <f>$O$1*LN(E234/E233)</f>
        <v/>
      </c>
      <c r="P234" s="9">
        <f>$P$1*LN(F234/F233)</f>
        <v/>
      </c>
      <c r="Q234" s="9">
        <f>$Q$1*(G234-G233)</f>
        <v/>
      </c>
      <c r="R234" s="9">
        <f>$R$1*(H234-H233)</f>
        <v/>
      </c>
      <c r="S234" s="9">
        <f>$S$1*LN(I234/I233)</f>
        <v/>
      </c>
      <c r="T234" s="9">
        <f>$T$1*LN(J234/J233)</f>
        <v/>
      </c>
      <c r="U234" s="9">
        <f>$W$12+$W$4*M234+$W$5*N234+$W$6*O234+$W$7*P234+$W$8*Q234+$W$9*R234+$W$10*S234+$W$11*T234</f>
        <v/>
      </c>
      <c r="AA234" s="10">
        <f>INDEX(LINEST(L175:L234,M175:T234,TRUE,TRUE),1,9)*12</f>
        <v/>
      </c>
      <c r="AB234" s="9">
        <f>INDEX(LINEST(L175:L234,M175:T234,TRUE,TRUE),1,8)</f>
        <v/>
      </c>
      <c r="AC234" s="9">
        <f>INDEX(LINEST(L175:L234,M175:T234,TRUE,TRUE),1,7)</f>
        <v/>
      </c>
      <c r="AD234" s="9">
        <f>INDEX(LINEST(L175:L234,M175:T234,TRUE,TRUE),1,6)</f>
        <v/>
      </c>
      <c r="AE234" s="9">
        <f>INDEX(LINEST(L175:L234,M175:T234,TRUE,TRUE),1,5)</f>
        <v/>
      </c>
      <c r="AF234" s="9">
        <f>INDEX(LINEST(L175:L234,M175:T234,TRUE,TRUE),1,4)</f>
        <v/>
      </c>
      <c r="AG234" s="9">
        <f>INDEX(LINEST(L175:L234,M175:T234,TRUE,TRUE),1,3)</f>
        <v/>
      </c>
      <c r="AH234" s="9">
        <f>INDEX(LINEST(L175:L234,M175:T234,TRUE,TRUE),1,2)</f>
        <v/>
      </c>
      <c r="AI234" s="9">
        <f>INDEX(LINEST(L175:L234,M175:T234,TRUE,TRUE),1,1)</f>
        <v/>
      </c>
      <c r="AJ234" s="10">
        <f>INDEX(LINEST(L175:L234,M175:T234,TRUE,TRUE),3,1)</f>
        <v/>
      </c>
      <c r="AK234" s="9">
        <f>AA233/12+AB233*M234+AC233*N234+AD233*O234+AE233*P234+AF233*Q234+AG233*R234+AH233*S234+AI233*T234</f>
        <v/>
      </c>
      <c r="AL234" s="9">
        <f>AVERAGE(L174:L233)</f>
        <v/>
      </c>
    </row>
    <row r="235">
      <c r="A235" s="7" t="n">
        <v>44712</v>
      </c>
      <c r="B235" s="8" t="n">
        <v>1838.7</v>
      </c>
      <c r="C235" s="8" t="n">
        <v>2.64</v>
      </c>
      <c r="D235" s="8" t="n">
        <v>0.21</v>
      </c>
      <c r="E235" s="8" t="n">
        <v>101.75</v>
      </c>
      <c r="F235" s="8" t="n">
        <v>114.38</v>
      </c>
      <c r="G235" s="8" t="n">
        <v>26.19</v>
      </c>
      <c r="H235" s="8" t="n">
        <v>107.120003</v>
      </c>
      <c r="I235" s="8" t="n">
        <v>4132.149902</v>
      </c>
      <c r="J235" s="8" t="n">
        <v>89.845825</v>
      </c>
      <c r="L235" s="9">
        <f>LN(B235/B234)</f>
        <v/>
      </c>
      <c r="M235" s="9">
        <f>$M$1*(C235-C234)</f>
        <v/>
      </c>
      <c r="N235" s="9">
        <f>$N$1*(D235-D234)</f>
        <v/>
      </c>
      <c r="O235" s="9">
        <f>$O$1*LN(E235/E234)</f>
        <v/>
      </c>
      <c r="P235" s="9">
        <f>$P$1*LN(F235/F234)</f>
        <v/>
      </c>
      <c r="Q235" s="9">
        <f>$Q$1*(G235-G234)</f>
        <v/>
      </c>
      <c r="R235" s="9">
        <f>$R$1*(H235-H234)</f>
        <v/>
      </c>
      <c r="S235" s="9">
        <f>$S$1*LN(I235/I234)</f>
        <v/>
      </c>
      <c r="T235" s="9">
        <f>$T$1*LN(J235/J234)</f>
        <v/>
      </c>
      <c r="U235" s="9">
        <f>$W$12+$W$4*M235+$W$5*N235+$W$6*O235+$W$7*P235+$W$8*Q235+$W$9*R235+$W$10*S235+$W$11*T235</f>
        <v/>
      </c>
      <c r="AA235" s="10">
        <f>INDEX(LINEST(L176:L235,M176:T235,TRUE,TRUE),1,9)*12</f>
        <v/>
      </c>
      <c r="AB235" s="9">
        <f>INDEX(LINEST(L176:L235,M176:T235,TRUE,TRUE),1,8)</f>
        <v/>
      </c>
      <c r="AC235" s="9">
        <f>INDEX(LINEST(L176:L235,M176:T235,TRUE,TRUE),1,7)</f>
        <v/>
      </c>
      <c r="AD235" s="9">
        <f>INDEX(LINEST(L176:L235,M176:T235,TRUE,TRUE),1,6)</f>
        <v/>
      </c>
      <c r="AE235" s="9">
        <f>INDEX(LINEST(L176:L235,M176:T235,TRUE,TRUE),1,5)</f>
        <v/>
      </c>
      <c r="AF235" s="9">
        <f>INDEX(LINEST(L176:L235,M176:T235,TRUE,TRUE),1,4)</f>
        <v/>
      </c>
      <c r="AG235" s="9">
        <f>INDEX(LINEST(L176:L235,M176:T235,TRUE,TRUE),1,3)</f>
        <v/>
      </c>
      <c r="AH235" s="9">
        <f>INDEX(LINEST(L176:L235,M176:T235,TRUE,TRUE),1,2)</f>
        <v/>
      </c>
      <c r="AI235" s="9">
        <f>INDEX(LINEST(L176:L235,M176:T235,TRUE,TRUE),1,1)</f>
        <v/>
      </c>
      <c r="AJ235" s="10">
        <f>INDEX(LINEST(L176:L235,M176:T235,TRUE,TRUE),3,1)</f>
        <v/>
      </c>
      <c r="AK235" s="9">
        <f>AA234/12+AB234*M235+AC234*N235+AD234*O235+AE234*P235+AF234*Q235+AG234*R235+AH234*S235+AI234*T235</f>
        <v/>
      </c>
      <c r="AL235" s="9">
        <f>AVERAGE(L175:L234)</f>
        <v/>
      </c>
    </row>
    <row r="236">
      <c r="A236" s="7" t="n">
        <v>44742</v>
      </c>
      <c r="B236" s="8" t="n">
        <v>1817</v>
      </c>
      <c r="C236" s="8" t="n">
        <v>2.33</v>
      </c>
      <c r="D236" s="8" t="n">
        <v>0.65</v>
      </c>
      <c r="E236" s="8" t="n">
        <v>104.690002</v>
      </c>
      <c r="F236" s="8" t="n">
        <v>107.76</v>
      </c>
      <c r="G236" s="8" t="n">
        <v>28.71</v>
      </c>
      <c r="H236" s="8" t="n">
        <v>135.5</v>
      </c>
      <c r="I236" s="8" t="n">
        <v>3785.379883</v>
      </c>
      <c r="J236" s="8" t="n">
        <v>88.450508</v>
      </c>
      <c r="L236" s="9">
        <f>LN(B236/B235)</f>
        <v/>
      </c>
      <c r="M236" s="9">
        <f>$M$1*(C236-C235)</f>
        <v/>
      </c>
      <c r="N236" s="9">
        <f>$N$1*(D236-D235)</f>
        <v/>
      </c>
      <c r="O236" s="9">
        <f>$O$1*LN(E236/E235)</f>
        <v/>
      </c>
      <c r="P236" s="9">
        <f>$P$1*LN(F236/F235)</f>
        <v/>
      </c>
      <c r="Q236" s="9">
        <f>$Q$1*(G236-G235)</f>
        <v/>
      </c>
      <c r="R236" s="9">
        <f>$R$1*(H236-H235)</f>
        <v/>
      </c>
      <c r="S236" s="9">
        <f>$S$1*LN(I236/I235)</f>
        <v/>
      </c>
      <c r="T236" s="9">
        <f>$T$1*LN(J236/J235)</f>
        <v/>
      </c>
      <c r="U236" s="9">
        <f>$W$12+$W$4*M236+$W$5*N236+$W$6*O236+$W$7*P236+$W$8*Q236+$W$9*R236+$W$10*S236+$W$11*T236</f>
        <v/>
      </c>
      <c r="AA236" s="10">
        <f>INDEX(LINEST(L177:L236,M177:T236,TRUE,TRUE),1,9)*12</f>
        <v/>
      </c>
      <c r="AB236" s="9">
        <f>INDEX(LINEST(L177:L236,M177:T236,TRUE,TRUE),1,8)</f>
        <v/>
      </c>
      <c r="AC236" s="9">
        <f>INDEX(LINEST(L177:L236,M177:T236,TRUE,TRUE),1,7)</f>
        <v/>
      </c>
      <c r="AD236" s="9">
        <f>INDEX(LINEST(L177:L236,M177:T236,TRUE,TRUE),1,6)</f>
        <v/>
      </c>
      <c r="AE236" s="9">
        <f>INDEX(LINEST(L177:L236,M177:T236,TRUE,TRUE),1,5)</f>
        <v/>
      </c>
      <c r="AF236" s="9">
        <f>INDEX(LINEST(L177:L236,M177:T236,TRUE,TRUE),1,4)</f>
        <v/>
      </c>
      <c r="AG236" s="9">
        <f>INDEX(LINEST(L177:L236,M177:T236,TRUE,TRUE),1,3)</f>
        <v/>
      </c>
      <c r="AH236" s="9">
        <f>INDEX(LINEST(L177:L236,M177:T236,TRUE,TRUE),1,2)</f>
        <v/>
      </c>
      <c r="AI236" s="9">
        <f>INDEX(LINEST(L177:L236,M177:T236,TRUE,TRUE),1,1)</f>
        <v/>
      </c>
      <c r="AJ236" s="10">
        <f>INDEX(LINEST(L177:L236,M177:T236,TRUE,TRUE),3,1)</f>
        <v/>
      </c>
      <c r="AK236" s="9">
        <f>AA235/12+AB235*M236+AC235*N236+AD235*O236+AE235*P236+AF235*Q236+AG235*R236+AH235*S236+AI235*T236</f>
        <v/>
      </c>
      <c r="AL236" s="9">
        <f>AVERAGE(L176:L235)</f>
        <v/>
      </c>
    </row>
    <row r="237">
      <c r="A237" s="7" t="n">
        <v>44773</v>
      </c>
      <c r="B237" s="8" t="n">
        <v>1753.4</v>
      </c>
      <c r="C237" s="8" t="n">
        <v>2.53</v>
      </c>
      <c r="D237" s="8" t="n">
        <v>0.14</v>
      </c>
      <c r="E237" s="8" t="n">
        <v>105.900002</v>
      </c>
      <c r="F237" s="8" t="n">
        <v>101.31</v>
      </c>
      <c r="G237" s="8" t="n">
        <v>21.33</v>
      </c>
      <c r="H237" s="8" t="n">
        <v>116.360001</v>
      </c>
      <c r="I237" s="8" t="n">
        <v>4130.290039</v>
      </c>
      <c r="J237" s="8" t="n">
        <v>90.69547300000001</v>
      </c>
      <c r="L237" s="9">
        <f>LN(B237/B236)</f>
        <v/>
      </c>
      <c r="M237" s="9">
        <f>$M$1*(C237-C236)</f>
        <v/>
      </c>
      <c r="N237" s="9">
        <f>$N$1*(D237-D236)</f>
        <v/>
      </c>
      <c r="O237" s="9">
        <f>$O$1*LN(E237/E236)</f>
        <v/>
      </c>
      <c r="P237" s="9">
        <f>$P$1*LN(F237/F236)</f>
        <v/>
      </c>
      <c r="Q237" s="9">
        <f>$Q$1*(G237-G236)</f>
        <v/>
      </c>
      <c r="R237" s="9">
        <f>$R$1*(H237-H236)</f>
        <v/>
      </c>
      <c r="S237" s="9">
        <f>$S$1*LN(I237/I236)</f>
        <v/>
      </c>
      <c r="T237" s="9">
        <f>$T$1*LN(J237/J236)</f>
        <v/>
      </c>
      <c r="U237" s="9">
        <f>$W$12+$W$4*M237+$W$5*N237+$W$6*O237+$W$7*P237+$W$8*Q237+$W$9*R237+$W$10*S237+$W$11*T237</f>
        <v/>
      </c>
      <c r="AA237" s="10">
        <f>INDEX(LINEST(L178:L237,M178:T237,TRUE,TRUE),1,9)*12</f>
        <v/>
      </c>
      <c r="AB237" s="9">
        <f>INDEX(LINEST(L178:L237,M178:T237,TRUE,TRUE),1,8)</f>
        <v/>
      </c>
      <c r="AC237" s="9">
        <f>INDEX(LINEST(L178:L237,M178:T237,TRUE,TRUE),1,7)</f>
        <v/>
      </c>
      <c r="AD237" s="9">
        <f>INDEX(LINEST(L178:L237,M178:T237,TRUE,TRUE),1,6)</f>
        <v/>
      </c>
      <c r="AE237" s="9">
        <f>INDEX(LINEST(L178:L237,M178:T237,TRUE,TRUE),1,5)</f>
        <v/>
      </c>
      <c r="AF237" s="9">
        <f>INDEX(LINEST(L178:L237,M178:T237,TRUE,TRUE),1,4)</f>
        <v/>
      </c>
      <c r="AG237" s="9">
        <f>INDEX(LINEST(L178:L237,M178:T237,TRUE,TRUE),1,3)</f>
        <v/>
      </c>
      <c r="AH237" s="9">
        <f>INDEX(LINEST(L178:L237,M178:T237,TRUE,TRUE),1,2)</f>
        <v/>
      </c>
      <c r="AI237" s="9">
        <f>INDEX(LINEST(L178:L237,M178:T237,TRUE,TRUE),1,1)</f>
        <v/>
      </c>
      <c r="AJ237" s="10">
        <f>INDEX(LINEST(L178:L237,M178:T237,TRUE,TRUE),3,1)</f>
        <v/>
      </c>
      <c r="AK237" s="9">
        <f>AA236/12+AB236*M237+AC236*N237+AD236*O237+AE236*P237+AF236*Q237+AG236*R237+AH236*S237+AI236*T237</f>
        <v/>
      </c>
      <c r="AL237" s="9">
        <f>AVERAGE(L177:L236)</f>
        <v/>
      </c>
    </row>
    <row r="238">
      <c r="A238" s="7" t="n">
        <v>44804</v>
      </c>
      <c r="B238" s="8" t="n">
        <v>1715.9</v>
      </c>
      <c r="C238" s="8" t="n">
        <v>2.48</v>
      </c>
      <c r="D238" s="8" t="n">
        <v>0.67</v>
      </c>
      <c r="E238" s="8" t="n">
        <v>108.699997</v>
      </c>
      <c r="F238" s="8" t="n">
        <v>90.09</v>
      </c>
      <c r="G238" s="8" t="n">
        <v>25.87</v>
      </c>
      <c r="H238" s="8" t="n">
        <v>124.839996</v>
      </c>
      <c r="I238" s="8" t="n">
        <v>3955</v>
      </c>
      <c r="J238" s="8" t="n">
        <v>87.93628699999999</v>
      </c>
      <c r="L238" s="9">
        <f>LN(B238/B237)</f>
        <v/>
      </c>
      <c r="M238" s="9">
        <f>$M$1*(C238-C237)</f>
        <v/>
      </c>
      <c r="N238" s="9">
        <f>$N$1*(D238-D237)</f>
        <v/>
      </c>
      <c r="O238" s="9">
        <f>$O$1*LN(E238/E237)</f>
        <v/>
      </c>
      <c r="P238" s="9">
        <f>$P$1*LN(F238/F237)</f>
        <v/>
      </c>
      <c r="Q238" s="9">
        <f>$Q$1*(G238-G237)</f>
        <v/>
      </c>
      <c r="R238" s="9">
        <f>$R$1*(H238-H237)</f>
        <v/>
      </c>
      <c r="S238" s="9">
        <f>$S$1*LN(I238/I237)</f>
        <v/>
      </c>
      <c r="T238" s="9">
        <f>$T$1*LN(J238/J237)</f>
        <v/>
      </c>
      <c r="U238" s="9">
        <f>$W$12+$W$4*M238+$W$5*N238+$W$6*O238+$W$7*P238+$W$8*Q238+$W$9*R238+$W$10*S238+$W$11*T238</f>
        <v/>
      </c>
      <c r="AA238" s="10">
        <f>INDEX(LINEST(L179:L238,M179:T238,TRUE,TRUE),1,9)*12</f>
        <v/>
      </c>
      <c r="AB238" s="9">
        <f>INDEX(LINEST(L179:L238,M179:T238,TRUE,TRUE),1,8)</f>
        <v/>
      </c>
      <c r="AC238" s="9">
        <f>INDEX(LINEST(L179:L238,M179:T238,TRUE,TRUE),1,7)</f>
        <v/>
      </c>
      <c r="AD238" s="9">
        <f>INDEX(LINEST(L179:L238,M179:T238,TRUE,TRUE),1,6)</f>
        <v/>
      </c>
      <c r="AE238" s="9">
        <f>INDEX(LINEST(L179:L238,M179:T238,TRUE,TRUE),1,5)</f>
        <v/>
      </c>
      <c r="AF238" s="9">
        <f>INDEX(LINEST(L179:L238,M179:T238,TRUE,TRUE),1,4)</f>
        <v/>
      </c>
      <c r="AG238" s="9">
        <f>INDEX(LINEST(L179:L238,M179:T238,TRUE,TRUE),1,3)</f>
        <v/>
      </c>
      <c r="AH238" s="9">
        <f>INDEX(LINEST(L179:L238,M179:T238,TRUE,TRUE),1,2)</f>
        <v/>
      </c>
      <c r="AI238" s="9">
        <f>INDEX(LINEST(L179:L238,M179:T238,TRUE,TRUE),1,1)</f>
        <v/>
      </c>
      <c r="AJ238" s="10">
        <f>INDEX(LINEST(L179:L238,M179:T238,TRUE,TRUE),3,1)</f>
        <v/>
      </c>
      <c r="AK238" s="9">
        <f>AA237/12+AB237*M238+AC237*N238+AD237*O238+AE237*P238+AF237*Q238+AG237*R238+AH237*S238+AI237*T238</f>
        <v/>
      </c>
      <c r="AL238" s="9">
        <f>AVERAGE(L178:L237)</f>
        <v/>
      </c>
    </row>
    <row r="239">
      <c r="A239" s="7" t="n">
        <v>44834</v>
      </c>
      <c r="B239" s="8" t="n">
        <v>1671.75</v>
      </c>
      <c r="C239" s="8" t="n">
        <v>2.15</v>
      </c>
      <c r="D239" s="8" t="n">
        <v>1.68</v>
      </c>
      <c r="E239" s="8" t="n">
        <v>112.120003</v>
      </c>
      <c r="F239" s="8" t="n">
        <v>79.91</v>
      </c>
      <c r="G239" s="8" t="n">
        <v>31.62</v>
      </c>
      <c r="H239" s="8" t="n">
        <v>141.889999</v>
      </c>
      <c r="I239" s="8" t="n">
        <v>3585.620117</v>
      </c>
      <c r="J239" s="8" t="n">
        <v>84.29128300000001</v>
      </c>
      <c r="L239" s="9">
        <f>LN(B239/B238)</f>
        <v/>
      </c>
      <c r="M239" s="9">
        <f>$M$1*(C239-C238)</f>
        <v/>
      </c>
      <c r="N239" s="9">
        <f>$N$1*(D239-D238)</f>
        <v/>
      </c>
      <c r="O239" s="9">
        <f>$O$1*LN(E239/E238)</f>
        <v/>
      </c>
      <c r="P239" s="9">
        <f>$P$1*LN(F239/F238)</f>
        <v/>
      </c>
      <c r="Q239" s="9">
        <f>$Q$1*(G239-G238)</f>
        <v/>
      </c>
      <c r="R239" s="9">
        <f>$R$1*(H239-H238)</f>
        <v/>
      </c>
      <c r="S239" s="9">
        <f>$S$1*LN(I239/I238)</f>
        <v/>
      </c>
      <c r="T239" s="9">
        <f>$T$1*LN(J239/J238)</f>
        <v/>
      </c>
      <c r="U239" s="9">
        <f>$W$12+$W$4*M239+$W$5*N239+$W$6*O239+$W$7*P239+$W$8*Q239+$W$9*R239+$W$10*S239+$W$11*T239</f>
        <v/>
      </c>
      <c r="AA239" s="10">
        <f>INDEX(LINEST(L180:L239,M180:T239,TRUE,TRUE),1,9)*12</f>
        <v/>
      </c>
      <c r="AB239" s="9">
        <f>INDEX(LINEST(L180:L239,M180:T239,TRUE,TRUE),1,8)</f>
        <v/>
      </c>
      <c r="AC239" s="9">
        <f>INDEX(LINEST(L180:L239,M180:T239,TRUE,TRUE),1,7)</f>
        <v/>
      </c>
      <c r="AD239" s="9">
        <f>INDEX(LINEST(L180:L239,M180:T239,TRUE,TRUE),1,6)</f>
        <v/>
      </c>
      <c r="AE239" s="9">
        <f>INDEX(LINEST(L180:L239,M180:T239,TRUE,TRUE),1,5)</f>
        <v/>
      </c>
      <c r="AF239" s="9">
        <f>INDEX(LINEST(L180:L239,M180:T239,TRUE,TRUE),1,4)</f>
        <v/>
      </c>
      <c r="AG239" s="9">
        <f>INDEX(LINEST(L180:L239,M180:T239,TRUE,TRUE),1,3)</f>
        <v/>
      </c>
      <c r="AH239" s="9">
        <f>INDEX(LINEST(L180:L239,M180:T239,TRUE,TRUE),1,2)</f>
        <v/>
      </c>
      <c r="AI239" s="9">
        <f>INDEX(LINEST(L180:L239,M180:T239,TRUE,TRUE),1,1)</f>
        <v/>
      </c>
      <c r="AJ239" s="10">
        <f>INDEX(LINEST(L180:L239,M180:T239,TRUE,TRUE),3,1)</f>
        <v/>
      </c>
      <c r="AK239" s="9">
        <f>AA238/12+AB238*M239+AC238*N239+AD238*O239+AE238*P239+AF238*Q239+AG238*R239+AH238*S239+AI238*T239</f>
        <v/>
      </c>
      <c r="AL239" s="9">
        <f>AVERAGE(L179:L238)</f>
        <v/>
      </c>
    </row>
    <row r="240">
      <c r="A240" s="7" t="n">
        <v>44865</v>
      </c>
      <c r="B240" s="8" t="n">
        <v>1639</v>
      </c>
      <c r="C240" s="8" t="n">
        <v>2.52</v>
      </c>
      <c r="D240" s="8" t="n">
        <v>1.58</v>
      </c>
      <c r="E240" s="8" t="n">
        <v>111.529999</v>
      </c>
      <c r="F240" s="8" t="n">
        <v>86.54000000000001</v>
      </c>
      <c r="G240" s="8" t="n">
        <v>25.88</v>
      </c>
      <c r="H240" s="8" t="n">
        <v>147.919998</v>
      </c>
      <c r="I240" s="8" t="n">
        <v>3871.97998</v>
      </c>
      <c r="J240" s="8" t="n">
        <v>83.213615</v>
      </c>
      <c r="L240" s="9">
        <f>LN(B240/B239)</f>
        <v/>
      </c>
      <c r="M240" s="9">
        <f>$M$1*(C240-C239)</f>
        <v/>
      </c>
      <c r="N240" s="9">
        <f>$N$1*(D240-D239)</f>
        <v/>
      </c>
      <c r="O240" s="9">
        <f>$O$1*LN(E240/E239)</f>
        <v/>
      </c>
      <c r="P240" s="9">
        <f>$P$1*LN(F240/F239)</f>
        <v/>
      </c>
      <c r="Q240" s="9">
        <f>$Q$1*(G240-G239)</f>
        <v/>
      </c>
      <c r="R240" s="9">
        <f>$R$1*(H240-H239)</f>
        <v/>
      </c>
      <c r="S240" s="9">
        <f>$S$1*LN(I240/I239)</f>
        <v/>
      </c>
      <c r="T240" s="9">
        <f>$T$1*LN(J240/J239)</f>
        <v/>
      </c>
      <c r="U240" s="9">
        <f>$W$12+$W$4*M240+$W$5*N240+$W$6*O240+$W$7*P240+$W$8*Q240+$W$9*R240+$W$10*S240+$W$11*T240</f>
        <v/>
      </c>
      <c r="AA240" s="10">
        <f>INDEX(LINEST(L181:L240,M181:T240,TRUE,TRUE),1,9)*12</f>
        <v/>
      </c>
      <c r="AB240" s="9">
        <f>INDEX(LINEST(L181:L240,M181:T240,TRUE,TRUE),1,8)</f>
        <v/>
      </c>
      <c r="AC240" s="9">
        <f>INDEX(LINEST(L181:L240,M181:T240,TRUE,TRUE),1,7)</f>
        <v/>
      </c>
      <c r="AD240" s="9">
        <f>INDEX(LINEST(L181:L240,M181:T240,TRUE,TRUE),1,6)</f>
        <v/>
      </c>
      <c r="AE240" s="9">
        <f>INDEX(LINEST(L181:L240,M181:T240,TRUE,TRUE),1,5)</f>
        <v/>
      </c>
      <c r="AF240" s="9">
        <f>INDEX(LINEST(L181:L240,M181:T240,TRUE,TRUE),1,4)</f>
        <v/>
      </c>
      <c r="AG240" s="9">
        <f>INDEX(LINEST(L181:L240,M181:T240,TRUE,TRUE),1,3)</f>
        <v/>
      </c>
      <c r="AH240" s="9">
        <f>INDEX(LINEST(L181:L240,M181:T240,TRUE,TRUE),1,2)</f>
        <v/>
      </c>
      <c r="AI240" s="9">
        <f>INDEX(LINEST(L181:L240,M181:T240,TRUE,TRUE),1,1)</f>
        <v/>
      </c>
      <c r="AJ240" s="10">
        <f>INDEX(LINEST(L181:L240,M181:T240,TRUE,TRUE),3,1)</f>
        <v/>
      </c>
      <c r="AK240" s="9">
        <f>AA239/12+AB239*M240+AC239*N240+AD239*O240+AE239*P240+AF239*Q240+AG239*R240+AH239*S240+AI239*T240</f>
        <v/>
      </c>
      <c r="AL240" s="9">
        <f>AVERAGE(L180:L239)</f>
        <v/>
      </c>
    </row>
    <row r="241">
      <c r="A241" s="7" t="n">
        <v>44895</v>
      </c>
      <c r="B241" s="8" t="n">
        <v>1753.5</v>
      </c>
      <c r="C241" s="8" t="n">
        <v>2.34</v>
      </c>
      <c r="D241" s="8" t="n">
        <v>1.34</v>
      </c>
      <c r="E241" s="8" t="n">
        <v>105.949997</v>
      </c>
      <c r="F241" s="8" t="n">
        <v>80.48</v>
      </c>
      <c r="G241" s="8" t="n">
        <v>20.58</v>
      </c>
      <c r="H241" s="8" t="n">
        <v>127.269997</v>
      </c>
      <c r="I241" s="8" t="n">
        <v>4080.110107</v>
      </c>
      <c r="J241" s="8" t="n">
        <v>86.38279</v>
      </c>
      <c r="L241" s="9">
        <f>LN(B241/B240)</f>
        <v/>
      </c>
      <c r="M241" s="9">
        <f>$M$1*(C241-C240)</f>
        <v/>
      </c>
      <c r="N241" s="9">
        <f>$N$1*(D241-D240)</f>
        <v/>
      </c>
      <c r="O241" s="9">
        <f>$O$1*LN(E241/E240)</f>
        <v/>
      </c>
      <c r="P241" s="9">
        <f>$P$1*LN(F241/F240)</f>
        <v/>
      </c>
      <c r="Q241" s="9">
        <f>$Q$1*(G241-G240)</f>
        <v/>
      </c>
      <c r="R241" s="9">
        <f>$R$1*(H241-H240)</f>
        <v/>
      </c>
      <c r="S241" s="9">
        <f>$S$1*LN(I241/I240)</f>
        <v/>
      </c>
      <c r="T241" s="9">
        <f>$T$1*LN(J241/J240)</f>
        <v/>
      </c>
      <c r="U241" s="9">
        <f>$W$12+$W$4*M241+$W$5*N241+$W$6*O241+$W$7*P241+$W$8*Q241+$W$9*R241+$W$10*S241+$W$11*T241</f>
        <v/>
      </c>
      <c r="AA241" s="10">
        <f>INDEX(LINEST(L182:L241,M182:T241,TRUE,TRUE),1,9)*12</f>
        <v/>
      </c>
      <c r="AB241" s="9">
        <f>INDEX(LINEST(L182:L241,M182:T241,TRUE,TRUE),1,8)</f>
        <v/>
      </c>
      <c r="AC241" s="9">
        <f>INDEX(LINEST(L182:L241,M182:T241,TRUE,TRUE),1,7)</f>
        <v/>
      </c>
      <c r="AD241" s="9">
        <f>INDEX(LINEST(L182:L241,M182:T241,TRUE,TRUE),1,6)</f>
        <v/>
      </c>
      <c r="AE241" s="9">
        <f>INDEX(LINEST(L182:L241,M182:T241,TRUE,TRUE),1,5)</f>
        <v/>
      </c>
      <c r="AF241" s="9">
        <f>INDEX(LINEST(L182:L241,M182:T241,TRUE,TRUE),1,4)</f>
        <v/>
      </c>
      <c r="AG241" s="9">
        <f>INDEX(LINEST(L182:L241,M182:T241,TRUE,TRUE),1,3)</f>
        <v/>
      </c>
      <c r="AH241" s="9">
        <f>INDEX(LINEST(L182:L241,M182:T241,TRUE,TRUE),1,2)</f>
        <v/>
      </c>
      <c r="AI241" s="9">
        <f>INDEX(LINEST(L182:L241,M182:T241,TRUE,TRUE),1,1)</f>
        <v/>
      </c>
      <c r="AJ241" s="10">
        <f>INDEX(LINEST(L182:L241,M182:T241,TRUE,TRUE),3,1)</f>
        <v/>
      </c>
      <c r="AK241" s="9">
        <f>AA240/12+AB240*M241+AC240*N241+AD240*O241+AE240*P241+AF240*Q241+AG240*R241+AH240*S241+AI240*T241</f>
        <v/>
      </c>
      <c r="AL241" s="9">
        <f>AVERAGE(L181:L240)</f>
        <v/>
      </c>
    </row>
    <row r="242">
      <c r="A242" s="7" t="n">
        <v>44926</v>
      </c>
      <c r="B242" s="8" t="n">
        <v>1813.75</v>
      </c>
      <c r="C242" s="8" t="n">
        <v>2.3</v>
      </c>
      <c r="D242" s="8" t="n">
        <v>1.58</v>
      </c>
      <c r="E242" s="8" t="n">
        <v>103.519997</v>
      </c>
      <c r="F242" s="8" t="n">
        <v>80.16</v>
      </c>
      <c r="G242" s="8" t="n">
        <v>21.67</v>
      </c>
      <c r="H242" s="8" t="n">
        <v>121.610001</v>
      </c>
      <c r="I242" s="8" t="n">
        <v>3839.5</v>
      </c>
      <c r="J242" s="8" t="n">
        <v>85.63082900000001</v>
      </c>
      <c r="L242" s="9">
        <f>LN(B242/B241)</f>
        <v/>
      </c>
      <c r="M242" s="9">
        <f>$M$1*(C242-C241)</f>
        <v/>
      </c>
      <c r="N242" s="9">
        <f>$N$1*(D242-D241)</f>
        <v/>
      </c>
      <c r="O242" s="9">
        <f>$O$1*LN(E242/E241)</f>
        <v/>
      </c>
      <c r="P242" s="9">
        <f>$P$1*LN(F242/F241)</f>
        <v/>
      </c>
      <c r="Q242" s="9">
        <f>$Q$1*(G242-G241)</f>
        <v/>
      </c>
      <c r="R242" s="9">
        <f>$R$1*(H242-H241)</f>
        <v/>
      </c>
      <c r="S242" s="9">
        <f>$S$1*LN(I242/I241)</f>
        <v/>
      </c>
      <c r="T242" s="9">
        <f>$T$1*LN(J242/J241)</f>
        <v/>
      </c>
      <c r="U242" s="9">
        <f>$W$12+$W$4*M242+$W$5*N242+$W$6*O242+$W$7*P242+$W$8*Q242+$W$9*R242+$W$10*S242+$W$11*T242</f>
        <v/>
      </c>
      <c r="AA242" s="10">
        <f>INDEX(LINEST(L183:L242,M183:T242,TRUE,TRUE),1,9)*12</f>
        <v/>
      </c>
      <c r="AB242" s="9">
        <f>INDEX(LINEST(L183:L242,M183:T242,TRUE,TRUE),1,8)</f>
        <v/>
      </c>
      <c r="AC242" s="9">
        <f>INDEX(LINEST(L183:L242,M183:T242,TRUE,TRUE),1,7)</f>
        <v/>
      </c>
      <c r="AD242" s="9">
        <f>INDEX(LINEST(L183:L242,M183:T242,TRUE,TRUE),1,6)</f>
        <v/>
      </c>
      <c r="AE242" s="9">
        <f>INDEX(LINEST(L183:L242,M183:T242,TRUE,TRUE),1,5)</f>
        <v/>
      </c>
      <c r="AF242" s="9">
        <f>INDEX(LINEST(L183:L242,M183:T242,TRUE,TRUE),1,4)</f>
        <v/>
      </c>
      <c r="AG242" s="9">
        <f>INDEX(LINEST(L183:L242,M183:T242,TRUE,TRUE),1,3)</f>
        <v/>
      </c>
      <c r="AH242" s="9">
        <f>INDEX(LINEST(L183:L242,M183:T242,TRUE,TRUE),1,2)</f>
        <v/>
      </c>
      <c r="AI242" s="9">
        <f>INDEX(LINEST(L183:L242,M183:T242,TRUE,TRUE),1,1)</f>
        <v/>
      </c>
      <c r="AJ242" s="10">
        <f>INDEX(LINEST(L183:L242,M183:T242,TRUE,TRUE),3,1)</f>
        <v/>
      </c>
      <c r="AK242" s="9">
        <f>AA241/12+AB241*M242+AC241*N242+AD241*O242+AE241*P242+AF241*Q242+AG241*R242+AH241*S242+AI241*T242</f>
        <v/>
      </c>
      <c r="AL242" s="9">
        <f>AVERAGE(L182:L241)</f>
        <v/>
      </c>
    </row>
    <row r="243">
      <c r="A243" s="7" t="n">
        <v>44957</v>
      </c>
      <c r="B243" s="8" t="n">
        <v>1923.9</v>
      </c>
      <c r="C243" s="8" t="n">
        <v>2.24</v>
      </c>
      <c r="D243" s="8" t="n">
        <v>1.28</v>
      </c>
      <c r="E243" s="8" t="n">
        <v>102.099998</v>
      </c>
      <c r="F243" s="8" t="n">
        <v>78.95</v>
      </c>
      <c r="G243" s="8" t="n">
        <v>19.4</v>
      </c>
      <c r="H243" s="8" t="n">
        <v>99.540001</v>
      </c>
      <c r="I243" s="8" t="n">
        <v>4076.600098</v>
      </c>
      <c r="J243" s="8" t="n">
        <v>88.482529</v>
      </c>
      <c r="L243" s="9">
        <f>LN(B243/B242)</f>
        <v/>
      </c>
      <c r="M243" s="9">
        <f>$M$1*(C243-C242)</f>
        <v/>
      </c>
      <c r="N243" s="9">
        <f>$N$1*(D243-D242)</f>
        <v/>
      </c>
      <c r="O243" s="9">
        <f>$O$1*LN(E243/E242)</f>
        <v/>
      </c>
      <c r="P243" s="9">
        <f>$P$1*LN(F243/F242)</f>
        <v/>
      </c>
      <c r="Q243" s="9">
        <f>$Q$1*(G243-G242)</f>
        <v/>
      </c>
      <c r="R243" s="9">
        <f>$R$1*(H243-H242)</f>
        <v/>
      </c>
      <c r="S243" s="9">
        <f>$S$1*LN(I243/I242)</f>
        <v/>
      </c>
      <c r="T243" s="9">
        <f>$T$1*LN(J243/J242)</f>
        <v/>
      </c>
      <c r="U243" s="9">
        <f>$W$12+$W$4*M243+$W$5*N243+$W$6*O243+$W$7*P243+$W$8*Q243+$W$9*R243+$W$10*S243+$W$11*T243</f>
        <v/>
      </c>
      <c r="AA243" s="10">
        <f>INDEX(LINEST(L184:L243,M184:T243,TRUE,TRUE),1,9)*12</f>
        <v/>
      </c>
      <c r="AB243" s="9">
        <f>INDEX(LINEST(L184:L243,M184:T243,TRUE,TRUE),1,8)</f>
        <v/>
      </c>
      <c r="AC243" s="9">
        <f>INDEX(LINEST(L184:L243,M184:T243,TRUE,TRUE),1,7)</f>
        <v/>
      </c>
      <c r="AD243" s="9">
        <f>INDEX(LINEST(L184:L243,M184:T243,TRUE,TRUE),1,6)</f>
        <v/>
      </c>
      <c r="AE243" s="9">
        <f>INDEX(LINEST(L184:L243,M184:T243,TRUE,TRUE),1,5)</f>
        <v/>
      </c>
      <c r="AF243" s="9">
        <f>INDEX(LINEST(L184:L243,M184:T243,TRUE,TRUE),1,4)</f>
        <v/>
      </c>
      <c r="AG243" s="9">
        <f>INDEX(LINEST(L184:L243,M184:T243,TRUE,TRUE),1,3)</f>
        <v/>
      </c>
      <c r="AH243" s="9">
        <f>INDEX(LINEST(L184:L243,M184:T243,TRUE,TRUE),1,2)</f>
        <v/>
      </c>
      <c r="AI243" s="9">
        <f>INDEX(LINEST(L184:L243,M184:T243,TRUE,TRUE),1,1)</f>
        <v/>
      </c>
      <c r="AJ243" s="10">
        <f>INDEX(LINEST(L184:L243,M184:T243,TRUE,TRUE),3,1)</f>
        <v/>
      </c>
      <c r="AK243" s="9">
        <f>AA242/12+AB242*M243+AC242*N243+AD242*O243+AE242*P243+AF242*Q243+AG242*R243+AH242*S243+AI242*T243</f>
        <v/>
      </c>
      <c r="AL243" s="9">
        <f>AVERAGE(L183:L242)</f>
        <v/>
      </c>
    </row>
    <row r="244">
      <c r="A244" s="7" t="n">
        <v>44985</v>
      </c>
      <c r="B244" s="8" t="n">
        <v>1824.6</v>
      </c>
      <c r="C244" s="8" t="n">
        <v>2.43</v>
      </c>
      <c r="D244" s="8" t="n">
        <v>1.49</v>
      </c>
      <c r="E244" s="8" t="n">
        <v>104.870003</v>
      </c>
      <c r="F244" s="8" t="n">
        <v>76.88</v>
      </c>
      <c r="G244" s="8" t="n">
        <v>20.7</v>
      </c>
      <c r="H244" s="8" t="n">
        <v>123.599998</v>
      </c>
      <c r="I244" s="8" t="n">
        <v>3970.149902</v>
      </c>
      <c r="J244" s="8" t="n">
        <v>86.123886</v>
      </c>
      <c r="L244" s="9">
        <f>LN(B244/B243)</f>
        <v/>
      </c>
      <c r="M244" s="9">
        <f>$M$1*(C244-C243)</f>
        <v/>
      </c>
      <c r="N244" s="9">
        <f>$N$1*(D244-D243)</f>
        <v/>
      </c>
      <c r="O244" s="9">
        <f>$O$1*LN(E244/E243)</f>
        <v/>
      </c>
      <c r="P244" s="9">
        <f>$P$1*LN(F244/F243)</f>
        <v/>
      </c>
      <c r="Q244" s="9">
        <f>$Q$1*(G244-G243)</f>
        <v/>
      </c>
      <c r="R244" s="9">
        <f>$R$1*(H244-H243)</f>
        <v/>
      </c>
      <c r="S244" s="9">
        <f>$S$1*LN(I244/I243)</f>
        <v/>
      </c>
      <c r="T244" s="9">
        <f>$T$1*LN(J244/J243)</f>
        <v/>
      </c>
      <c r="U244" s="9">
        <f>$W$12+$W$4*M244+$W$5*N244+$W$6*O244+$W$7*P244+$W$8*Q244+$W$9*R244+$W$10*S244+$W$11*T244</f>
        <v/>
      </c>
      <c r="AA244" s="10">
        <f>INDEX(LINEST(L185:L244,M185:T244,TRUE,TRUE),1,9)*12</f>
        <v/>
      </c>
      <c r="AB244" s="9">
        <f>INDEX(LINEST(L185:L244,M185:T244,TRUE,TRUE),1,8)</f>
        <v/>
      </c>
      <c r="AC244" s="9">
        <f>INDEX(LINEST(L185:L244,M185:T244,TRUE,TRUE),1,7)</f>
        <v/>
      </c>
      <c r="AD244" s="9">
        <f>INDEX(LINEST(L185:L244,M185:T244,TRUE,TRUE),1,6)</f>
        <v/>
      </c>
      <c r="AE244" s="9">
        <f>INDEX(LINEST(L185:L244,M185:T244,TRUE,TRUE),1,5)</f>
        <v/>
      </c>
      <c r="AF244" s="9">
        <f>INDEX(LINEST(L185:L244,M185:T244,TRUE,TRUE),1,4)</f>
        <v/>
      </c>
      <c r="AG244" s="9">
        <f>INDEX(LINEST(L185:L244,M185:T244,TRUE,TRUE),1,3)</f>
        <v/>
      </c>
      <c r="AH244" s="9">
        <f>INDEX(LINEST(L185:L244,M185:T244,TRUE,TRUE),1,2)</f>
        <v/>
      </c>
      <c r="AI244" s="9">
        <f>INDEX(LINEST(L185:L244,M185:T244,TRUE,TRUE),1,1)</f>
        <v/>
      </c>
      <c r="AJ244" s="10">
        <f>INDEX(LINEST(L185:L244,M185:T244,TRUE,TRUE),3,1)</f>
        <v/>
      </c>
      <c r="AK244" s="9">
        <f>AA243/12+AB243*M244+AC243*N244+AD243*O244+AE243*P244+AF243*Q244+AG243*R244+AH243*S244+AI243*T244</f>
        <v/>
      </c>
      <c r="AL244" s="9">
        <f>AVERAGE(L184:L243)</f>
        <v/>
      </c>
    </row>
    <row r="245">
      <c r="A245" s="7" t="n">
        <v>45016</v>
      </c>
      <c r="B245" s="8" t="n">
        <v>1979.7</v>
      </c>
      <c r="C245" s="8" t="n">
        <v>2.32</v>
      </c>
      <c r="D245" s="8" t="n">
        <v>1.16</v>
      </c>
      <c r="E245" s="8" t="n">
        <v>102.510002</v>
      </c>
      <c r="F245" s="8" t="n">
        <v>75.68000000000001</v>
      </c>
      <c r="G245" s="8" t="n">
        <v>18.7</v>
      </c>
      <c r="H245" s="8" t="n">
        <v>135.929993</v>
      </c>
      <c r="I245" s="8" t="n">
        <v>4109.310059</v>
      </c>
      <c r="J245" s="8" t="n">
        <v>88.39864300000001</v>
      </c>
      <c r="L245" s="9">
        <f>LN(B245/B244)</f>
        <v/>
      </c>
      <c r="M245" s="9">
        <f>$M$1*(C245-C244)</f>
        <v/>
      </c>
      <c r="N245" s="9">
        <f>$N$1*(D245-D244)</f>
        <v/>
      </c>
      <c r="O245" s="9">
        <f>$O$1*LN(E245/E244)</f>
        <v/>
      </c>
      <c r="P245" s="9">
        <f>$P$1*LN(F245/F244)</f>
        <v/>
      </c>
      <c r="Q245" s="9">
        <f>$Q$1*(G245-G244)</f>
        <v/>
      </c>
      <c r="R245" s="9">
        <f>$R$1*(H245-H244)</f>
        <v/>
      </c>
      <c r="S245" s="9">
        <f>$S$1*LN(I245/I244)</f>
        <v/>
      </c>
      <c r="T245" s="9">
        <f>$T$1*LN(J245/J244)</f>
        <v/>
      </c>
      <c r="U245" s="9">
        <f>$W$12+$W$4*M245+$W$5*N245+$W$6*O245+$W$7*P245+$W$8*Q245+$W$9*R245+$W$10*S245+$W$11*T245</f>
        <v/>
      </c>
      <c r="AA245" s="10">
        <f>INDEX(LINEST(L186:L245,M186:T245,TRUE,TRUE),1,9)*12</f>
        <v/>
      </c>
      <c r="AB245" s="9">
        <f>INDEX(LINEST(L186:L245,M186:T245,TRUE,TRUE),1,8)</f>
        <v/>
      </c>
      <c r="AC245" s="9">
        <f>INDEX(LINEST(L186:L245,M186:T245,TRUE,TRUE),1,7)</f>
        <v/>
      </c>
      <c r="AD245" s="9">
        <f>INDEX(LINEST(L186:L245,M186:T245,TRUE,TRUE),1,6)</f>
        <v/>
      </c>
      <c r="AE245" s="9">
        <f>INDEX(LINEST(L186:L245,M186:T245,TRUE,TRUE),1,5)</f>
        <v/>
      </c>
      <c r="AF245" s="9">
        <f>INDEX(LINEST(L186:L245,M186:T245,TRUE,TRUE),1,4)</f>
        <v/>
      </c>
      <c r="AG245" s="9">
        <f>INDEX(LINEST(L186:L245,M186:T245,TRUE,TRUE),1,3)</f>
        <v/>
      </c>
      <c r="AH245" s="9">
        <f>INDEX(LINEST(L186:L245,M186:T245,TRUE,TRUE),1,2)</f>
        <v/>
      </c>
      <c r="AI245" s="9">
        <f>INDEX(LINEST(L186:L245,M186:T245,TRUE,TRUE),1,1)</f>
        <v/>
      </c>
      <c r="AJ245" s="10">
        <f>INDEX(LINEST(L186:L245,M186:T245,TRUE,TRUE),3,1)</f>
        <v/>
      </c>
      <c r="AK245" s="9">
        <f>AA244/12+AB244*M245+AC244*N245+AD244*O245+AE244*P245+AF244*Q245+AG244*R245+AH244*S245+AI244*T245</f>
        <v/>
      </c>
      <c r="AL245" s="9">
        <f>AVERAGE(L185:L244)</f>
        <v/>
      </c>
    </row>
    <row r="246">
      <c r="A246" s="7" t="n">
        <v>45046</v>
      </c>
      <c r="B246" s="8" t="n">
        <v>1982.55</v>
      </c>
      <c r="C246" s="8" t="n">
        <v>2.18</v>
      </c>
      <c r="D246" s="8" t="n">
        <v>1.26</v>
      </c>
      <c r="E246" s="8" t="n">
        <v>101.669998</v>
      </c>
      <c r="F246" s="8" t="n">
        <v>76.78</v>
      </c>
      <c r="G246" s="8" t="n">
        <v>15.78</v>
      </c>
      <c r="H246" s="8" t="n">
        <v>122.459999</v>
      </c>
      <c r="I246" s="8" t="n">
        <v>4169.47998</v>
      </c>
      <c r="J246" s="8" t="n">
        <v>88.90741</v>
      </c>
      <c r="L246" s="9">
        <f>LN(B246/B245)</f>
        <v/>
      </c>
      <c r="M246" s="9">
        <f>$M$1*(C246-C245)</f>
        <v/>
      </c>
      <c r="N246" s="9">
        <f>$N$1*(D246-D245)</f>
        <v/>
      </c>
      <c r="O246" s="9">
        <f>$O$1*LN(E246/E245)</f>
        <v/>
      </c>
      <c r="P246" s="9">
        <f>$P$1*LN(F246/F245)</f>
        <v/>
      </c>
      <c r="Q246" s="9">
        <f>$Q$1*(G246-G245)</f>
        <v/>
      </c>
      <c r="R246" s="9">
        <f>$R$1*(H246-H245)</f>
        <v/>
      </c>
      <c r="S246" s="9">
        <f>$S$1*LN(I246/I245)</f>
        <v/>
      </c>
      <c r="T246" s="9">
        <f>$T$1*LN(J246/J245)</f>
        <v/>
      </c>
      <c r="U246" s="9">
        <f>$W$12+$W$4*M246+$W$5*N246+$W$6*O246+$W$7*P246+$W$8*Q246+$W$9*R246+$W$10*S246+$W$11*T246</f>
        <v/>
      </c>
      <c r="AA246" s="10">
        <f>INDEX(LINEST(L187:L246,M187:T246,TRUE,TRUE),1,9)*12</f>
        <v/>
      </c>
      <c r="AB246" s="9">
        <f>INDEX(LINEST(L187:L246,M187:T246,TRUE,TRUE),1,8)</f>
        <v/>
      </c>
      <c r="AC246" s="9">
        <f>INDEX(LINEST(L187:L246,M187:T246,TRUE,TRUE),1,7)</f>
        <v/>
      </c>
      <c r="AD246" s="9">
        <f>INDEX(LINEST(L187:L246,M187:T246,TRUE,TRUE),1,6)</f>
        <v/>
      </c>
      <c r="AE246" s="9">
        <f>INDEX(LINEST(L187:L246,M187:T246,TRUE,TRUE),1,5)</f>
        <v/>
      </c>
      <c r="AF246" s="9">
        <f>INDEX(LINEST(L187:L246,M187:T246,TRUE,TRUE),1,4)</f>
        <v/>
      </c>
      <c r="AG246" s="9">
        <f>INDEX(LINEST(L187:L246,M187:T246,TRUE,TRUE),1,3)</f>
        <v/>
      </c>
      <c r="AH246" s="9">
        <f>INDEX(LINEST(L187:L246,M187:T246,TRUE,TRUE),1,2)</f>
        <v/>
      </c>
      <c r="AI246" s="9">
        <f>INDEX(LINEST(L187:L246,M187:T246,TRUE,TRUE),1,1)</f>
        <v/>
      </c>
      <c r="AJ246" s="10">
        <f>INDEX(LINEST(L187:L246,M187:T246,TRUE,TRUE),3,1)</f>
        <v/>
      </c>
      <c r="AK246" s="9">
        <f>AA245/12+AB245*M246+AC245*N246+AD245*O246+AE245*P246+AF245*Q246+AG245*R246+AH245*S246+AI245*T246</f>
        <v/>
      </c>
      <c r="AL246" s="9">
        <f>AVERAGE(L186:L245)</f>
        <v/>
      </c>
    </row>
    <row r="247">
      <c r="A247" s="7" t="n">
        <v>45077</v>
      </c>
      <c r="B247" s="8" t="n">
        <v>1964.4</v>
      </c>
      <c r="C247" s="8" t="n">
        <v>2.18</v>
      </c>
      <c r="D247" s="8" t="n">
        <v>1.46</v>
      </c>
      <c r="E247" s="8" t="n">
        <v>104.32</v>
      </c>
      <c r="F247" s="8" t="n">
        <v>68.11</v>
      </c>
      <c r="G247" s="8" t="n">
        <v>17.94</v>
      </c>
      <c r="H247" s="8" t="n">
        <v>136.020004</v>
      </c>
      <c r="I247" s="8" t="n">
        <v>4179.830078</v>
      </c>
      <c r="J247" s="8" t="n">
        <v>87.89003</v>
      </c>
      <c r="L247" s="9">
        <f>LN(B247/B246)</f>
        <v/>
      </c>
      <c r="M247" s="9">
        <f>$M$1*(C247-C246)</f>
        <v/>
      </c>
      <c r="N247" s="9">
        <f>$N$1*(D247-D246)</f>
        <v/>
      </c>
      <c r="O247" s="9">
        <f>$O$1*LN(E247/E246)</f>
        <v/>
      </c>
      <c r="P247" s="9">
        <f>$P$1*LN(F247/F246)</f>
        <v/>
      </c>
      <c r="Q247" s="9">
        <f>$Q$1*(G247-G246)</f>
        <v/>
      </c>
      <c r="R247" s="9">
        <f>$R$1*(H247-H246)</f>
        <v/>
      </c>
      <c r="S247" s="9">
        <f>$S$1*LN(I247/I246)</f>
        <v/>
      </c>
      <c r="T247" s="9">
        <f>$T$1*LN(J247/J246)</f>
        <v/>
      </c>
      <c r="U247" s="9">
        <f>$W$12+$W$4*M247+$W$5*N247+$W$6*O247+$W$7*P247+$W$8*Q247+$W$9*R247+$W$10*S247+$W$11*T247</f>
        <v/>
      </c>
      <c r="AA247" s="10">
        <f>INDEX(LINEST(L188:L247,M188:T247,TRUE,TRUE),1,9)*12</f>
        <v/>
      </c>
      <c r="AB247" s="9">
        <f>INDEX(LINEST(L188:L247,M188:T247,TRUE,TRUE),1,8)</f>
        <v/>
      </c>
      <c r="AC247" s="9">
        <f>INDEX(LINEST(L188:L247,M188:T247,TRUE,TRUE),1,7)</f>
        <v/>
      </c>
      <c r="AD247" s="9">
        <f>INDEX(LINEST(L188:L247,M188:T247,TRUE,TRUE),1,6)</f>
        <v/>
      </c>
      <c r="AE247" s="9">
        <f>INDEX(LINEST(L188:L247,M188:T247,TRUE,TRUE),1,5)</f>
        <v/>
      </c>
      <c r="AF247" s="9">
        <f>INDEX(LINEST(L188:L247,M188:T247,TRUE,TRUE),1,4)</f>
        <v/>
      </c>
      <c r="AG247" s="9">
        <f>INDEX(LINEST(L188:L247,M188:T247,TRUE,TRUE),1,3)</f>
        <v/>
      </c>
      <c r="AH247" s="9">
        <f>INDEX(LINEST(L188:L247,M188:T247,TRUE,TRUE),1,2)</f>
        <v/>
      </c>
      <c r="AI247" s="9">
        <f>INDEX(LINEST(L188:L247,M188:T247,TRUE,TRUE),1,1)</f>
        <v/>
      </c>
      <c r="AJ247" s="10">
        <f>INDEX(LINEST(L188:L247,M188:T247,TRUE,TRUE),3,1)</f>
        <v/>
      </c>
      <c r="AK247" s="9">
        <f>AA246/12+AB246*M247+AC246*N247+AD246*O247+AE246*P247+AF246*Q247+AG246*R247+AH246*S247+AI246*T247</f>
        <v/>
      </c>
      <c r="AL247" s="9">
        <f>AVERAGE(L187:L246)</f>
        <v/>
      </c>
    </row>
    <row r="248">
      <c r="A248" s="7" t="n">
        <v>45107</v>
      </c>
      <c r="B248" s="8" t="n">
        <v>1912.25</v>
      </c>
      <c r="C248" s="8" t="n">
        <v>2.22</v>
      </c>
      <c r="D248" s="8" t="n">
        <v>1.59</v>
      </c>
      <c r="E248" s="8" t="n">
        <v>102.910004</v>
      </c>
      <c r="F248" s="8" t="n">
        <v>70.66</v>
      </c>
      <c r="G248" s="8" t="n">
        <v>13.59</v>
      </c>
      <c r="H248" s="8" t="n">
        <v>110.639999</v>
      </c>
      <c r="I248" s="8" t="n">
        <v>4450.379883</v>
      </c>
      <c r="J248" s="8" t="n">
        <v>87.566383</v>
      </c>
      <c r="L248" s="9">
        <f>LN(B248/B247)</f>
        <v/>
      </c>
      <c r="M248" s="9">
        <f>$M$1*(C248-C247)</f>
        <v/>
      </c>
      <c r="N248" s="9">
        <f>$N$1*(D248-D247)</f>
        <v/>
      </c>
      <c r="O248" s="9">
        <f>$O$1*LN(E248/E247)</f>
        <v/>
      </c>
      <c r="P248" s="9">
        <f>$P$1*LN(F248/F247)</f>
        <v/>
      </c>
      <c r="Q248" s="9">
        <f>$Q$1*(G248-G247)</f>
        <v/>
      </c>
      <c r="R248" s="9">
        <f>$R$1*(H248-H247)</f>
        <v/>
      </c>
      <c r="S248" s="9">
        <f>$S$1*LN(I248/I247)</f>
        <v/>
      </c>
      <c r="T248" s="9">
        <f>$T$1*LN(J248/J247)</f>
        <v/>
      </c>
      <c r="U248" s="9">
        <f>$W$12+$W$4*M248+$W$5*N248+$W$6*O248+$W$7*P248+$W$8*Q248+$W$9*R248+$W$10*S248+$W$11*T248</f>
        <v/>
      </c>
      <c r="AA248" s="10">
        <f>INDEX(LINEST(L189:L248,M189:T248,TRUE,TRUE),1,9)*12</f>
        <v/>
      </c>
      <c r="AB248" s="9">
        <f>INDEX(LINEST(L189:L248,M189:T248,TRUE,TRUE),1,8)</f>
        <v/>
      </c>
      <c r="AC248" s="9">
        <f>INDEX(LINEST(L189:L248,M189:T248,TRUE,TRUE),1,7)</f>
        <v/>
      </c>
      <c r="AD248" s="9">
        <f>INDEX(LINEST(L189:L248,M189:T248,TRUE,TRUE),1,6)</f>
        <v/>
      </c>
      <c r="AE248" s="9">
        <f>INDEX(LINEST(L189:L248,M189:T248,TRUE,TRUE),1,5)</f>
        <v/>
      </c>
      <c r="AF248" s="9">
        <f>INDEX(LINEST(L189:L248,M189:T248,TRUE,TRUE),1,4)</f>
        <v/>
      </c>
      <c r="AG248" s="9">
        <f>INDEX(LINEST(L189:L248,M189:T248,TRUE,TRUE),1,3)</f>
        <v/>
      </c>
      <c r="AH248" s="9">
        <f>INDEX(LINEST(L189:L248,M189:T248,TRUE,TRUE),1,2)</f>
        <v/>
      </c>
      <c r="AI248" s="9">
        <f>INDEX(LINEST(L189:L248,M189:T248,TRUE,TRUE),1,1)</f>
        <v/>
      </c>
      <c r="AJ248" s="10">
        <f>INDEX(LINEST(L189:L248,M189:T248,TRUE,TRUE),3,1)</f>
        <v/>
      </c>
      <c r="AK248" s="9">
        <f>AA247/12+AB247*M248+AC247*N248+AD247*O248+AE247*P248+AF247*Q248+AG247*R248+AH247*S248+AI247*T248</f>
        <v/>
      </c>
      <c r="AL248" s="9">
        <f>AVERAGE(L188:L247)</f>
        <v/>
      </c>
    </row>
    <row r="249">
      <c r="A249" s="7" t="n">
        <v>45138</v>
      </c>
      <c r="B249" s="8" t="n">
        <v>1970.65</v>
      </c>
      <c r="C249" s="8" t="n">
        <v>2.37</v>
      </c>
      <c r="D249" s="8" t="n">
        <v>1.6</v>
      </c>
      <c r="E249" s="8" t="n">
        <v>101.860001</v>
      </c>
      <c r="F249" s="8" t="n">
        <v>81.8</v>
      </c>
      <c r="G249" s="8" t="n">
        <v>13.63</v>
      </c>
      <c r="H249" s="8" t="n">
        <v>112.029999</v>
      </c>
      <c r="I249" s="8" t="n">
        <v>4588.959961</v>
      </c>
      <c r="J249" s="8" t="n">
        <v>87.55295599999999</v>
      </c>
      <c r="L249" s="9">
        <f>LN(B249/B248)</f>
        <v/>
      </c>
      <c r="M249" s="9">
        <f>$M$1*(C249-C248)</f>
        <v/>
      </c>
      <c r="N249" s="9">
        <f>$N$1*(D249-D248)</f>
        <v/>
      </c>
      <c r="O249" s="9">
        <f>$O$1*LN(E249/E248)</f>
        <v/>
      </c>
      <c r="P249" s="9">
        <f>$P$1*LN(F249/F248)</f>
        <v/>
      </c>
      <c r="Q249" s="9">
        <f>$Q$1*(G249-G248)</f>
        <v/>
      </c>
      <c r="R249" s="9">
        <f>$R$1*(H249-H248)</f>
        <v/>
      </c>
      <c r="S249" s="9">
        <f>$S$1*LN(I249/I248)</f>
        <v/>
      </c>
      <c r="T249" s="9">
        <f>$T$1*LN(J249/J248)</f>
        <v/>
      </c>
      <c r="U249" s="9">
        <f>$W$12+$W$4*M249+$W$5*N249+$W$6*O249+$W$7*P249+$W$8*Q249+$W$9*R249+$W$10*S249+$W$11*T249</f>
        <v/>
      </c>
      <c r="AA249" s="10">
        <f>INDEX(LINEST(L190:L249,M190:T249,TRUE,TRUE),1,9)*12</f>
        <v/>
      </c>
      <c r="AB249" s="9">
        <f>INDEX(LINEST(L190:L249,M190:T249,TRUE,TRUE),1,8)</f>
        <v/>
      </c>
      <c r="AC249" s="9">
        <f>INDEX(LINEST(L190:L249,M190:T249,TRUE,TRUE),1,7)</f>
        <v/>
      </c>
      <c r="AD249" s="9">
        <f>INDEX(LINEST(L190:L249,M190:T249,TRUE,TRUE),1,6)</f>
        <v/>
      </c>
      <c r="AE249" s="9">
        <f>INDEX(LINEST(L190:L249,M190:T249,TRUE,TRUE),1,5)</f>
        <v/>
      </c>
      <c r="AF249" s="9">
        <f>INDEX(LINEST(L190:L249,M190:T249,TRUE,TRUE),1,4)</f>
        <v/>
      </c>
      <c r="AG249" s="9">
        <f>INDEX(LINEST(L190:L249,M190:T249,TRUE,TRUE),1,3)</f>
        <v/>
      </c>
      <c r="AH249" s="9">
        <f>INDEX(LINEST(L190:L249,M190:T249,TRUE,TRUE),1,2)</f>
        <v/>
      </c>
      <c r="AI249" s="9">
        <f>INDEX(LINEST(L190:L249,M190:T249,TRUE,TRUE),1,1)</f>
        <v/>
      </c>
      <c r="AJ249" s="10">
        <f>INDEX(LINEST(L190:L249,M190:T249,TRUE,TRUE),3,1)</f>
        <v/>
      </c>
      <c r="AK249" s="9">
        <f>AA248/12+AB248*M249+AC248*N249+AD248*O249+AE248*P249+AF248*Q249+AG248*R249+AH248*S249+AI248*T249</f>
        <v/>
      </c>
      <c r="AL249" s="9">
        <f>AVERAGE(L189:L248)</f>
        <v/>
      </c>
    </row>
    <row r="250">
      <c r="A250" s="7" t="n">
        <v>45169</v>
      </c>
      <c r="B250" s="8" t="n">
        <v>1942.3</v>
      </c>
      <c r="C250" s="8" t="n">
        <v>2.24</v>
      </c>
      <c r="D250" s="8" t="n">
        <v>1.85</v>
      </c>
      <c r="E250" s="8" t="n">
        <v>103.620003</v>
      </c>
      <c r="F250" s="8" t="n">
        <v>83.55</v>
      </c>
      <c r="G250" s="8" t="n">
        <v>13.57</v>
      </c>
      <c r="H250" s="8" t="n">
        <v>107.93</v>
      </c>
      <c r="I250" s="8" t="n">
        <v>4507.660156</v>
      </c>
      <c r="J250" s="8" t="n">
        <v>87.00020600000001</v>
      </c>
      <c r="L250" s="9">
        <f>LN(B250/B249)</f>
        <v/>
      </c>
      <c r="M250" s="9">
        <f>$M$1*(C250-C249)</f>
        <v/>
      </c>
      <c r="N250" s="9">
        <f>$N$1*(D250-D249)</f>
        <v/>
      </c>
      <c r="O250" s="9">
        <f>$O$1*LN(E250/E249)</f>
        <v/>
      </c>
      <c r="P250" s="9">
        <f>$P$1*LN(F250/F249)</f>
        <v/>
      </c>
      <c r="Q250" s="9">
        <f>$Q$1*(G250-G249)</f>
        <v/>
      </c>
      <c r="R250" s="9">
        <f>$R$1*(H250-H249)</f>
        <v/>
      </c>
      <c r="S250" s="9">
        <f>$S$1*LN(I250/I249)</f>
        <v/>
      </c>
      <c r="T250" s="9">
        <f>$T$1*LN(J250/J249)</f>
        <v/>
      </c>
      <c r="U250" s="9">
        <f>$W$12+$W$4*M250+$W$5*N250+$W$6*O250+$W$7*P250+$W$8*Q250+$W$9*R250+$W$10*S250+$W$11*T250</f>
        <v/>
      </c>
      <c r="AA250" s="10">
        <f>INDEX(LINEST(L191:L250,M191:T250,TRUE,TRUE),1,9)*12</f>
        <v/>
      </c>
      <c r="AB250" s="9">
        <f>INDEX(LINEST(L191:L250,M191:T250,TRUE,TRUE),1,8)</f>
        <v/>
      </c>
      <c r="AC250" s="9">
        <f>INDEX(LINEST(L191:L250,M191:T250,TRUE,TRUE),1,7)</f>
        <v/>
      </c>
      <c r="AD250" s="9">
        <f>INDEX(LINEST(L191:L250,M191:T250,TRUE,TRUE),1,6)</f>
        <v/>
      </c>
      <c r="AE250" s="9">
        <f>INDEX(LINEST(L191:L250,M191:T250,TRUE,TRUE),1,5)</f>
        <v/>
      </c>
      <c r="AF250" s="9">
        <f>INDEX(LINEST(L191:L250,M191:T250,TRUE,TRUE),1,4)</f>
        <v/>
      </c>
      <c r="AG250" s="9">
        <f>INDEX(LINEST(L191:L250,M191:T250,TRUE,TRUE),1,3)</f>
        <v/>
      </c>
      <c r="AH250" s="9">
        <f>INDEX(LINEST(L191:L250,M191:T250,TRUE,TRUE),1,2)</f>
        <v/>
      </c>
      <c r="AI250" s="9">
        <f>INDEX(LINEST(L191:L250,M191:T250,TRUE,TRUE),1,1)</f>
        <v/>
      </c>
      <c r="AJ250" s="10">
        <f>INDEX(LINEST(L191:L250,M191:T250,TRUE,TRUE),3,1)</f>
        <v/>
      </c>
      <c r="AK250" s="9">
        <f>AA249/12+AB249*M250+AC249*N250+AD249*O250+AE249*P250+AF249*Q250+AG249*R250+AH249*S250+AI249*T250</f>
        <v/>
      </c>
      <c r="AL250" s="9">
        <f>AVERAGE(L190:L249)</f>
        <v/>
      </c>
    </row>
    <row r="251">
      <c r="A251" s="7" t="n">
        <v>45199</v>
      </c>
      <c r="B251" s="8" t="n">
        <v>1870.5</v>
      </c>
      <c r="C251" s="8" t="n">
        <v>2.35</v>
      </c>
      <c r="D251" s="8" t="n">
        <v>2.24</v>
      </c>
      <c r="E251" s="8" t="n">
        <v>106.169998</v>
      </c>
      <c r="F251" s="8" t="n">
        <v>90.77</v>
      </c>
      <c r="G251" s="8" t="n">
        <v>17.52</v>
      </c>
      <c r="H251" s="8" t="n">
        <v>113.550003</v>
      </c>
      <c r="I251" s="8" t="n">
        <v>4288.049805</v>
      </c>
      <c r="J251" s="8" t="n">
        <v>84.747246</v>
      </c>
      <c r="L251" s="9">
        <f>LN(B251/B250)</f>
        <v/>
      </c>
      <c r="M251" s="9">
        <f>$M$1*(C251-C250)</f>
        <v/>
      </c>
      <c r="N251" s="9">
        <f>$N$1*(D251-D250)</f>
        <v/>
      </c>
      <c r="O251" s="9">
        <f>$O$1*LN(E251/E250)</f>
        <v/>
      </c>
      <c r="P251" s="9">
        <f>$P$1*LN(F251/F250)</f>
        <v/>
      </c>
      <c r="Q251" s="9">
        <f>$Q$1*(G251-G250)</f>
        <v/>
      </c>
      <c r="R251" s="9">
        <f>$R$1*(H251-H250)</f>
        <v/>
      </c>
      <c r="S251" s="9">
        <f>$S$1*LN(I251/I250)</f>
        <v/>
      </c>
      <c r="T251" s="9">
        <f>$T$1*LN(J251/J250)</f>
        <v/>
      </c>
      <c r="U251" s="9">
        <f>$W$12+$W$4*M251+$W$5*N251+$W$6*O251+$W$7*P251+$W$8*Q251+$W$9*R251+$W$10*S251+$W$11*T251</f>
        <v/>
      </c>
      <c r="AA251" s="10">
        <f>INDEX(LINEST(L192:L251,M192:T251,TRUE,TRUE),1,9)*12</f>
        <v/>
      </c>
      <c r="AB251" s="9">
        <f>INDEX(LINEST(L192:L251,M192:T251,TRUE,TRUE),1,8)</f>
        <v/>
      </c>
      <c r="AC251" s="9">
        <f>INDEX(LINEST(L192:L251,M192:T251,TRUE,TRUE),1,7)</f>
        <v/>
      </c>
      <c r="AD251" s="9">
        <f>INDEX(LINEST(L192:L251,M192:T251,TRUE,TRUE),1,6)</f>
        <v/>
      </c>
      <c r="AE251" s="9">
        <f>INDEX(LINEST(L192:L251,M192:T251,TRUE,TRUE),1,5)</f>
        <v/>
      </c>
      <c r="AF251" s="9">
        <f>INDEX(LINEST(L192:L251,M192:T251,TRUE,TRUE),1,4)</f>
        <v/>
      </c>
      <c r="AG251" s="9">
        <f>INDEX(LINEST(L192:L251,M192:T251,TRUE,TRUE),1,3)</f>
        <v/>
      </c>
      <c r="AH251" s="9">
        <f>INDEX(LINEST(L192:L251,M192:T251,TRUE,TRUE),1,2)</f>
        <v/>
      </c>
      <c r="AI251" s="9">
        <f>INDEX(LINEST(L192:L251,M192:T251,TRUE,TRUE),1,1)</f>
        <v/>
      </c>
      <c r="AJ251" s="10">
        <f>INDEX(LINEST(L192:L251,M192:T251,TRUE,TRUE),3,1)</f>
        <v/>
      </c>
      <c r="AK251" s="9">
        <f>AA250/12+AB250*M251+AC250*N251+AD250*O251+AE250*P251+AF250*Q251+AG250*R251+AH250*S251+AI250*T251</f>
        <v/>
      </c>
      <c r="AL251" s="9">
        <f>AVERAGE(L191:L250)</f>
        <v/>
      </c>
    </row>
    <row r="252">
      <c r="A252" s="7" t="n">
        <v>45230</v>
      </c>
      <c r="B252" s="8" t="n">
        <v>1996.9</v>
      </c>
      <c r="C252" s="8" t="n">
        <v>2.42</v>
      </c>
      <c r="D252" s="8" t="n">
        <v>2.46</v>
      </c>
      <c r="E252" s="8" t="n">
        <v>106.660004</v>
      </c>
      <c r="F252" s="8" t="n">
        <v>81.64</v>
      </c>
      <c r="G252" s="8" t="n">
        <v>18.14</v>
      </c>
      <c r="H252" s="8" t="n">
        <v>126.860001</v>
      </c>
      <c r="I252" s="8" t="n">
        <v>4193.799805</v>
      </c>
      <c r="J252" s="8" t="n">
        <v>83.41617599999999</v>
      </c>
      <c r="L252" s="9">
        <f>LN(B252/B251)</f>
        <v/>
      </c>
      <c r="M252" s="9">
        <f>$M$1*(C252-C251)</f>
        <v/>
      </c>
      <c r="N252" s="9">
        <f>$N$1*(D252-D251)</f>
        <v/>
      </c>
      <c r="O252" s="9">
        <f>$O$1*LN(E252/E251)</f>
        <v/>
      </c>
      <c r="P252" s="9">
        <f>$P$1*LN(F252/F251)</f>
        <v/>
      </c>
      <c r="Q252" s="9">
        <f>$Q$1*(G252-G251)</f>
        <v/>
      </c>
      <c r="R252" s="9">
        <f>$R$1*(H252-H251)</f>
        <v/>
      </c>
      <c r="S252" s="9">
        <f>$S$1*LN(I252/I251)</f>
        <v/>
      </c>
      <c r="T252" s="9">
        <f>$T$1*LN(J252/J251)</f>
        <v/>
      </c>
      <c r="U252" s="9">
        <f>$W$12+$W$4*M252+$W$5*N252+$W$6*O252+$W$7*P252+$W$8*Q252+$W$9*R252+$W$10*S252+$W$11*T252</f>
        <v/>
      </c>
      <c r="AA252" s="10">
        <f>INDEX(LINEST(L193:L252,M193:T252,TRUE,TRUE),1,9)*12</f>
        <v/>
      </c>
      <c r="AB252" s="9">
        <f>INDEX(LINEST(L193:L252,M193:T252,TRUE,TRUE),1,8)</f>
        <v/>
      </c>
      <c r="AC252" s="9">
        <f>INDEX(LINEST(L193:L252,M193:T252,TRUE,TRUE),1,7)</f>
        <v/>
      </c>
      <c r="AD252" s="9">
        <f>INDEX(LINEST(L193:L252,M193:T252,TRUE,TRUE),1,6)</f>
        <v/>
      </c>
      <c r="AE252" s="9">
        <f>INDEX(LINEST(L193:L252,M193:T252,TRUE,TRUE),1,5)</f>
        <v/>
      </c>
      <c r="AF252" s="9">
        <f>INDEX(LINEST(L193:L252,M193:T252,TRUE,TRUE),1,4)</f>
        <v/>
      </c>
      <c r="AG252" s="9">
        <f>INDEX(LINEST(L193:L252,M193:T252,TRUE,TRUE),1,3)</f>
        <v/>
      </c>
      <c r="AH252" s="9">
        <f>INDEX(LINEST(L193:L252,M193:T252,TRUE,TRUE),1,2)</f>
        <v/>
      </c>
      <c r="AI252" s="9">
        <f>INDEX(LINEST(L193:L252,M193:T252,TRUE,TRUE),1,1)</f>
        <v/>
      </c>
      <c r="AJ252" s="10">
        <f>INDEX(LINEST(L193:L252,M193:T252,TRUE,TRUE),3,1)</f>
        <v/>
      </c>
      <c r="AK252" s="9">
        <f>AA251/12+AB251*M252+AC251*N252+AD251*O252+AE251*P252+AF251*Q252+AG251*R252+AH251*S252+AI251*T252</f>
        <v/>
      </c>
      <c r="AL252" s="9">
        <f>AVERAGE(L192:L251)</f>
        <v/>
      </c>
    </row>
    <row r="253">
      <c r="A253" s="7" t="n">
        <v>45260</v>
      </c>
      <c r="B253" s="8" t="n">
        <v>2035.45</v>
      </c>
      <c r="C253" s="8" t="n">
        <v>2.23</v>
      </c>
      <c r="D253" s="8" t="n">
        <v>2.14</v>
      </c>
      <c r="E253" s="8" t="n">
        <v>103.5</v>
      </c>
      <c r="F253" s="8" t="n">
        <v>75.66</v>
      </c>
      <c r="G253" s="8" t="n">
        <v>12.92</v>
      </c>
      <c r="H253" s="8" t="n">
        <v>115.32</v>
      </c>
      <c r="I253" s="8" t="n">
        <v>4567.799805</v>
      </c>
      <c r="J253" s="8" t="n">
        <v>87.247421</v>
      </c>
      <c r="L253" s="9">
        <f>LN(B253/B252)</f>
        <v/>
      </c>
      <c r="M253" s="9">
        <f>$M$1*(C253-C252)</f>
        <v/>
      </c>
      <c r="N253" s="9">
        <f>$N$1*(D253-D252)</f>
        <v/>
      </c>
      <c r="O253" s="9">
        <f>$O$1*LN(E253/E252)</f>
        <v/>
      </c>
      <c r="P253" s="9">
        <f>$P$1*LN(F253/F252)</f>
        <v/>
      </c>
      <c r="Q253" s="9">
        <f>$Q$1*(G253-G252)</f>
        <v/>
      </c>
      <c r="R253" s="9">
        <f>$R$1*(H253-H252)</f>
        <v/>
      </c>
      <c r="S253" s="9">
        <f>$S$1*LN(I253/I252)</f>
        <v/>
      </c>
      <c r="T253" s="9">
        <f>$T$1*LN(J253/J252)</f>
        <v/>
      </c>
      <c r="U253" s="9">
        <f>$W$12+$W$4*M253+$W$5*N253+$W$6*O253+$W$7*P253+$W$8*Q253+$W$9*R253+$W$10*S253+$W$11*T253</f>
        <v/>
      </c>
      <c r="AA253" s="10">
        <f>INDEX(LINEST(L194:L253,M194:T253,TRUE,TRUE),1,9)*12</f>
        <v/>
      </c>
      <c r="AB253" s="9">
        <f>INDEX(LINEST(L194:L253,M194:T253,TRUE,TRUE),1,8)</f>
        <v/>
      </c>
      <c r="AC253" s="9">
        <f>INDEX(LINEST(L194:L253,M194:T253,TRUE,TRUE),1,7)</f>
        <v/>
      </c>
      <c r="AD253" s="9">
        <f>INDEX(LINEST(L194:L253,M194:T253,TRUE,TRUE),1,6)</f>
        <v/>
      </c>
      <c r="AE253" s="9">
        <f>INDEX(LINEST(L194:L253,M194:T253,TRUE,TRUE),1,5)</f>
        <v/>
      </c>
      <c r="AF253" s="9">
        <f>INDEX(LINEST(L194:L253,M194:T253,TRUE,TRUE),1,4)</f>
        <v/>
      </c>
      <c r="AG253" s="9">
        <f>INDEX(LINEST(L194:L253,M194:T253,TRUE,TRUE),1,3)</f>
        <v/>
      </c>
      <c r="AH253" s="9">
        <f>INDEX(LINEST(L194:L253,M194:T253,TRUE,TRUE),1,2)</f>
        <v/>
      </c>
      <c r="AI253" s="9">
        <f>INDEX(LINEST(L194:L253,M194:T253,TRUE,TRUE),1,1)</f>
        <v/>
      </c>
      <c r="AJ253" s="10">
        <f>INDEX(LINEST(L194:L253,M194:T253,TRUE,TRUE),3,1)</f>
        <v/>
      </c>
      <c r="AK253" s="9">
        <f>AA252/12+AB252*M253+AC252*N253+AD252*O253+AE252*P253+AF252*Q253+AG252*R253+AH252*S253+AI252*T253</f>
        <v/>
      </c>
      <c r="AL253" s="9">
        <f>AVERAGE(L193:L252)</f>
        <v/>
      </c>
    </row>
    <row r="254">
      <c r="A254" s="7" t="n">
        <v>45291</v>
      </c>
      <c r="B254" s="8" t="n">
        <v>2078.4</v>
      </c>
      <c r="C254" s="8" t="n">
        <v>2.16</v>
      </c>
      <c r="D254" s="8" t="n">
        <v>1.72</v>
      </c>
      <c r="E254" s="8" t="n">
        <v>101.330002</v>
      </c>
      <c r="F254" s="8" t="n">
        <v>71.89</v>
      </c>
      <c r="G254" s="8" t="n">
        <v>12.45</v>
      </c>
      <c r="H254" s="8" t="n">
        <v>114.620003</v>
      </c>
      <c r="I254" s="8" t="n">
        <v>4769.830078</v>
      </c>
      <c r="J254" s="8" t="n">
        <v>90.473488</v>
      </c>
      <c r="L254" s="9">
        <f>LN(B254/B253)</f>
        <v/>
      </c>
      <c r="M254" s="9">
        <f>$M$1*(C254-C253)</f>
        <v/>
      </c>
      <c r="N254" s="9">
        <f>$N$1*(D254-D253)</f>
        <v/>
      </c>
      <c r="O254" s="9">
        <f>$O$1*LN(E254/E253)</f>
        <v/>
      </c>
      <c r="P254" s="9">
        <f>$P$1*LN(F254/F253)</f>
        <v/>
      </c>
      <c r="Q254" s="9">
        <f>$Q$1*(G254-G253)</f>
        <v/>
      </c>
      <c r="R254" s="9">
        <f>$R$1*(H254-H253)</f>
        <v/>
      </c>
      <c r="S254" s="9">
        <f>$S$1*LN(I254/I253)</f>
        <v/>
      </c>
      <c r="T254" s="9">
        <f>$T$1*LN(J254/J253)</f>
        <v/>
      </c>
      <c r="U254" s="9">
        <f>$W$12+$W$4*M254+$W$5*N254+$W$6*O254+$W$7*P254+$W$8*Q254+$W$9*R254+$W$10*S254+$W$11*T254</f>
        <v/>
      </c>
      <c r="AA254" s="10">
        <f>INDEX(LINEST(L195:L254,M195:T254,TRUE,TRUE),1,9)*12</f>
        <v/>
      </c>
      <c r="AB254" s="9">
        <f>INDEX(LINEST(L195:L254,M195:T254,TRUE,TRUE),1,8)</f>
        <v/>
      </c>
      <c r="AC254" s="9">
        <f>INDEX(LINEST(L195:L254,M195:T254,TRUE,TRUE),1,7)</f>
        <v/>
      </c>
      <c r="AD254" s="9">
        <f>INDEX(LINEST(L195:L254,M195:T254,TRUE,TRUE),1,6)</f>
        <v/>
      </c>
      <c r="AE254" s="9">
        <f>INDEX(LINEST(L195:L254,M195:T254,TRUE,TRUE),1,5)</f>
        <v/>
      </c>
      <c r="AF254" s="9">
        <f>INDEX(LINEST(L195:L254,M195:T254,TRUE,TRUE),1,4)</f>
        <v/>
      </c>
      <c r="AG254" s="9">
        <f>INDEX(LINEST(L195:L254,M195:T254,TRUE,TRUE),1,3)</f>
        <v/>
      </c>
      <c r="AH254" s="9">
        <f>INDEX(LINEST(L195:L254,M195:T254,TRUE,TRUE),1,2)</f>
        <v/>
      </c>
      <c r="AI254" s="9">
        <f>INDEX(LINEST(L195:L254,M195:T254,TRUE,TRUE),1,1)</f>
        <v/>
      </c>
      <c r="AJ254" s="10">
        <f>INDEX(LINEST(L195:L254,M195:T254,TRUE,TRUE),3,1)</f>
        <v/>
      </c>
      <c r="AK254" s="9">
        <f>AA253/12+AB253*M254+AC253*N254+AD253*O254+AE253*P254+AF253*Q254+AG253*R254+AH253*S254+AI253*T254</f>
        <v/>
      </c>
      <c r="AL254" s="9">
        <f>AVERAGE(L194:L253)</f>
        <v/>
      </c>
    </row>
    <row r="255">
      <c r="A255" s="7" t="n">
        <v>45322</v>
      </c>
      <c r="B255" s="8" t="n">
        <v>2053.25</v>
      </c>
      <c r="C255" s="8" t="n">
        <v>2.26</v>
      </c>
      <c r="D255" s="8" t="n">
        <v>1.73</v>
      </c>
      <c r="E255" s="8" t="n">
        <v>103.269997</v>
      </c>
      <c r="F255" s="8" t="n">
        <v>76.28</v>
      </c>
      <c r="G255" s="8" t="n">
        <v>14.35</v>
      </c>
      <c r="H255" s="8" t="n">
        <v>107.279999</v>
      </c>
      <c r="I255" s="8" t="n">
        <v>4845.649902</v>
      </c>
      <c r="J255" s="8" t="n">
        <v>90.33678399999999</v>
      </c>
      <c r="L255" s="9">
        <f>LN(B255/B254)</f>
        <v/>
      </c>
      <c r="M255" s="9">
        <f>$M$1*(C255-C254)</f>
        <v/>
      </c>
      <c r="N255" s="9">
        <f>$N$1*(D255-D254)</f>
        <v/>
      </c>
      <c r="O255" s="9">
        <f>$O$1*LN(E255/E254)</f>
        <v/>
      </c>
      <c r="P255" s="9">
        <f>$P$1*LN(F255/F254)</f>
        <v/>
      </c>
      <c r="Q255" s="9">
        <f>$Q$1*(G255-G254)</f>
        <v/>
      </c>
      <c r="R255" s="9">
        <f>$R$1*(H255-H254)</f>
        <v/>
      </c>
      <c r="S255" s="9">
        <f>$S$1*LN(I255/I254)</f>
        <v/>
      </c>
      <c r="T255" s="9">
        <f>$T$1*LN(J255/J254)</f>
        <v/>
      </c>
      <c r="U255" s="9">
        <f>$W$12+$W$4*M255+$W$5*N255+$W$6*O255+$W$7*P255+$W$8*Q255+$W$9*R255+$W$10*S255+$W$11*T255</f>
        <v/>
      </c>
      <c r="AA255" s="10">
        <f>INDEX(LINEST(L196:L255,M196:T255,TRUE,TRUE),1,9)*12</f>
        <v/>
      </c>
      <c r="AB255" s="9">
        <f>INDEX(LINEST(L196:L255,M196:T255,TRUE,TRUE),1,8)</f>
        <v/>
      </c>
      <c r="AC255" s="9">
        <f>INDEX(LINEST(L196:L255,M196:T255,TRUE,TRUE),1,7)</f>
        <v/>
      </c>
      <c r="AD255" s="9">
        <f>INDEX(LINEST(L196:L255,M196:T255,TRUE,TRUE),1,6)</f>
        <v/>
      </c>
      <c r="AE255" s="9">
        <f>INDEX(LINEST(L196:L255,M196:T255,TRUE,TRUE),1,5)</f>
        <v/>
      </c>
      <c r="AF255" s="9">
        <f>INDEX(LINEST(L196:L255,M196:T255,TRUE,TRUE),1,4)</f>
        <v/>
      </c>
      <c r="AG255" s="9">
        <f>INDEX(LINEST(L196:L255,M196:T255,TRUE,TRUE),1,3)</f>
        <v/>
      </c>
      <c r="AH255" s="9">
        <f>INDEX(LINEST(L196:L255,M196:T255,TRUE,TRUE),1,2)</f>
        <v/>
      </c>
      <c r="AI255" s="9">
        <f>INDEX(LINEST(L196:L255,M196:T255,TRUE,TRUE),1,1)</f>
        <v/>
      </c>
      <c r="AJ255" s="10">
        <f>INDEX(LINEST(L196:L255,M196:T255,TRUE,TRUE),3,1)</f>
        <v/>
      </c>
      <c r="AK255" s="9">
        <f>AA254/12+AB254*M255+AC254*N255+AD254*O255+AE254*P255+AF254*Q255+AG254*R255+AH254*S255+AI254*T255</f>
        <v/>
      </c>
      <c r="AL255" s="9">
        <f>AVERAGE(L195:L254)</f>
        <v/>
      </c>
    </row>
    <row r="256">
      <c r="A256" s="7" t="n">
        <v>45351</v>
      </c>
      <c r="B256" s="8" t="n">
        <v>2048.05</v>
      </c>
      <c r="C256" s="8" t="n">
        <v>2.33</v>
      </c>
      <c r="D256" s="8" t="n">
        <v>1.92</v>
      </c>
      <c r="E256" s="8" t="n">
        <v>104.160004</v>
      </c>
      <c r="F256" s="8" t="n">
        <v>79.22</v>
      </c>
      <c r="G256" s="8" t="n">
        <v>13.4</v>
      </c>
      <c r="H256" s="8" t="n">
        <v>109.099998</v>
      </c>
      <c r="I256" s="8" t="n">
        <v>5096.27002</v>
      </c>
      <c r="J256" s="8" t="n">
        <v>89.004677</v>
      </c>
      <c r="L256" s="9">
        <f>LN(B256/B255)</f>
        <v/>
      </c>
      <c r="M256" s="9">
        <f>$M$1*(C256-C255)</f>
        <v/>
      </c>
      <c r="N256" s="9">
        <f>$N$1*(D256-D255)</f>
        <v/>
      </c>
      <c r="O256" s="9">
        <f>$O$1*LN(E256/E255)</f>
        <v/>
      </c>
      <c r="P256" s="9">
        <f>$P$1*LN(F256/F255)</f>
        <v/>
      </c>
      <c r="Q256" s="9">
        <f>$Q$1*(G256-G255)</f>
        <v/>
      </c>
      <c r="R256" s="9">
        <f>$R$1*(H256-H255)</f>
        <v/>
      </c>
      <c r="S256" s="9">
        <f>$S$1*LN(I256/I255)</f>
        <v/>
      </c>
      <c r="T256" s="9">
        <f>$T$1*LN(J256/J255)</f>
        <v/>
      </c>
      <c r="U256" s="9">
        <f>$W$12+$W$4*M256+$W$5*N256+$W$6*O256+$W$7*P256+$W$8*Q256+$W$9*R256+$W$10*S256+$W$11*T256</f>
        <v/>
      </c>
      <c r="AA256" s="10">
        <f>INDEX(LINEST(L197:L256,M197:T256,TRUE,TRUE),1,9)*12</f>
        <v/>
      </c>
      <c r="AB256" s="9">
        <f>INDEX(LINEST(L197:L256,M197:T256,TRUE,TRUE),1,8)</f>
        <v/>
      </c>
      <c r="AC256" s="9">
        <f>INDEX(LINEST(L197:L256,M197:T256,TRUE,TRUE),1,7)</f>
        <v/>
      </c>
      <c r="AD256" s="9">
        <f>INDEX(LINEST(L197:L256,M197:T256,TRUE,TRUE),1,6)</f>
        <v/>
      </c>
      <c r="AE256" s="9">
        <f>INDEX(LINEST(L197:L256,M197:T256,TRUE,TRUE),1,5)</f>
        <v/>
      </c>
      <c r="AF256" s="9">
        <f>INDEX(LINEST(L197:L256,M197:T256,TRUE,TRUE),1,4)</f>
        <v/>
      </c>
      <c r="AG256" s="9">
        <f>INDEX(LINEST(L197:L256,M197:T256,TRUE,TRUE),1,3)</f>
        <v/>
      </c>
      <c r="AH256" s="9">
        <f>INDEX(LINEST(L197:L256,M197:T256,TRUE,TRUE),1,2)</f>
        <v/>
      </c>
      <c r="AI256" s="9">
        <f>INDEX(LINEST(L197:L256,M197:T256,TRUE,TRUE),1,1)</f>
        <v/>
      </c>
      <c r="AJ256" s="10">
        <f>INDEX(LINEST(L197:L256,M197:T256,TRUE,TRUE),3,1)</f>
        <v/>
      </c>
      <c r="AK256" s="9">
        <f>AA255/12+AB255*M256+AC255*N256+AD255*O256+AE255*P256+AF255*Q256+AG255*R256+AH255*S256+AI255*T256</f>
        <v/>
      </c>
      <c r="AL256" s="9">
        <f>AVERAGE(L196:L255)</f>
        <v/>
      </c>
    </row>
    <row r="257">
      <c r="A257" s="7" t="n">
        <v>45382</v>
      </c>
      <c r="B257" s="8" t="n">
        <v>2214.35</v>
      </c>
      <c r="C257" s="8" t="n">
        <v>2.32</v>
      </c>
      <c r="D257" s="8" t="n">
        <v>1.88</v>
      </c>
      <c r="E257" s="8" t="n">
        <v>104.550003</v>
      </c>
      <c r="F257" s="8" t="n">
        <v>83.95999999999999</v>
      </c>
      <c r="G257" s="8" t="n">
        <v>13.01</v>
      </c>
      <c r="H257" s="8" t="n">
        <v>86.379997</v>
      </c>
      <c r="I257" s="8" t="n">
        <v>5254.350098</v>
      </c>
      <c r="J257" s="8" t="n">
        <v>89.807922</v>
      </c>
      <c r="L257" s="9">
        <f>LN(B257/B256)</f>
        <v/>
      </c>
      <c r="M257" s="9">
        <f>$M$1*(C257-C256)</f>
        <v/>
      </c>
      <c r="N257" s="9">
        <f>$N$1*(D257-D256)</f>
        <v/>
      </c>
      <c r="O257" s="9">
        <f>$O$1*LN(E257/E256)</f>
        <v/>
      </c>
      <c r="P257" s="9">
        <f>$P$1*LN(F257/F256)</f>
        <v/>
      </c>
      <c r="Q257" s="9">
        <f>$Q$1*(G257-G256)</f>
        <v/>
      </c>
      <c r="R257" s="9">
        <f>$R$1*(H257-H256)</f>
        <v/>
      </c>
      <c r="S257" s="9">
        <f>$S$1*LN(I257/I256)</f>
        <v/>
      </c>
      <c r="T257" s="9">
        <f>$T$1*LN(J257/J256)</f>
        <v/>
      </c>
      <c r="U257" s="9">
        <f>$W$12+$W$4*M257+$W$5*N257+$W$6*O257+$W$7*P257+$W$8*Q257+$W$9*R257+$W$10*S257+$W$11*T257</f>
        <v/>
      </c>
      <c r="AA257" s="10">
        <f>INDEX(LINEST(L198:L257,M198:T257,TRUE,TRUE),1,9)*12</f>
        <v/>
      </c>
      <c r="AB257" s="9">
        <f>INDEX(LINEST(L198:L257,M198:T257,TRUE,TRUE),1,8)</f>
        <v/>
      </c>
      <c r="AC257" s="9">
        <f>INDEX(LINEST(L198:L257,M198:T257,TRUE,TRUE),1,7)</f>
        <v/>
      </c>
      <c r="AD257" s="9">
        <f>INDEX(LINEST(L198:L257,M198:T257,TRUE,TRUE),1,6)</f>
        <v/>
      </c>
      <c r="AE257" s="9">
        <f>INDEX(LINEST(L198:L257,M198:T257,TRUE,TRUE),1,5)</f>
        <v/>
      </c>
      <c r="AF257" s="9">
        <f>INDEX(LINEST(L198:L257,M198:T257,TRUE,TRUE),1,4)</f>
        <v/>
      </c>
      <c r="AG257" s="9">
        <f>INDEX(LINEST(L198:L257,M198:T257,TRUE,TRUE),1,3)</f>
        <v/>
      </c>
      <c r="AH257" s="9">
        <f>INDEX(LINEST(L198:L257,M198:T257,TRUE,TRUE),1,2)</f>
        <v/>
      </c>
      <c r="AI257" s="9">
        <f>INDEX(LINEST(L198:L257,M198:T257,TRUE,TRUE),1,1)</f>
        <v/>
      </c>
      <c r="AJ257" s="10">
        <f>INDEX(LINEST(L198:L257,M198:T257,TRUE,TRUE),3,1)</f>
        <v/>
      </c>
      <c r="AK257" s="9">
        <f>AA256/12+AB256*M257+AC256*N257+AD256*O257+AE256*P257+AF256*Q257+AG256*R257+AH256*S257+AI256*T257</f>
        <v/>
      </c>
      <c r="AL257" s="9">
        <f>AVERAGE(L197:L256)</f>
        <v/>
      </c>
    </row>
    <row r="258">
      <c r="A258" s="7" t="n">
        <v>45412</v>
      </c>
      <c r="B258" s="8" t="n">
        <v>2307</v>
      </c>
      <c r="C258" s="8" t="n">
        <v>2.41</v>
      </c>
      <c r="D258" s="8" t="n">
        <v>2.28</v>
      </c>
      <c r="E258" s="8" t="n">
        <v>106.220001</v>
      </c>
      <c r="F258" s="8" t="n">
        <v>83.48999999999999</v>
      </c>
      <c r="G258" s="8" t="n">
        <v>15.65</v>
      </c>
      <c r="H258" s="8" t="n">
        <v>107.459999</v>
      </c>
      <c r="I258" s="8" t="n">
        <v>5035.689941</v>
      </c>
      <c r="J258" s="8" t="n">
        <v>87.582291</v>
      </c>
      <c r="L258" s="9">
        <f>LN(B258/B257)</f>
        <v/>
      </c>
      <c r="M258" s="9">
        <f>$M$1*(C258-C257)</f>
        <v/>
      </c>
      <c r="N258" s="9">
        <f>$N$1*(D258-D257)</f>
        <v/>
      </c>
      <c r="O258" s="9">
        <f>$O$1*LN(E258/E257)</f>
        <v/>
      </c>
      <c r="P258" s="9">
        <f>$P$1*LN(F258/F257)</f>
        <v/>
      </c>
      <c r="Q258" s="9">
        <f>$Q$1*(G258-G257)</f>
        <v/>
      </c>
      <c r="R258" s="9">
        <f>$R$1*(H258-H257)</f>
        <v/>
      </c>
      <c r="S258" s="9">
        <f>$S$1*LN(I258/I257)</f>
        <v/>
      </c>
      <c r="T258" s="9">
        <f>$T$1*LN(J258/J257)</f>
        <v/>
      </c>
      <c r="U258" s="9">
        <f>$W$12+$W$4*M258+$W$5*N258+$W$6*O258+$W$7*P258+$W$8*Q258+$W$9*R258+$W$10*S258+$W$11*T258</f>
        <v/>
      </c>
      <c r="AA258" s="10">
        <f>INDEX(LINEST(L199:L258,M199:T258,TRUE,TRUE),1,9)*12</f>
        <v/>
      </c>
      <c r="AB258" s="9">
        <f>INDEX(LINEST(L199:L258,M199:T258,TRUE,TRUE),1,8)</f>
        <v/>
      </c>
      <c r="AC258" s="9">
        <f>INDEX(LINEST(L199:L258,M199:T258,TRUE,TRUE),1,7)</f>
        <v/>
      </c>
      <c r="AD258" s="9">
        <f>INDEX(LINEST(L199:L258,M199:T258,TRUE,TRUE),1,6)</f>
        <v/>
      </c>
      <c r="AE258" s="9">
        <f>INDEX(LINEST(L199:L258,M199:T258,TRUE,TRUE),1,5)</f>
        <v/>
      </c>
      <c r="AF258" s="9">
        <f>INDEX(LINEST(L199:L258,M199:T258,TRUE,TRUE),1,4)</f>
        <v/>
      </c>
      <c r="AG258" s="9">
        <f>INDEX(LINEST(L199:L258,M199:T258,TRUE,TRUE),1,3)</f>
        <v/>
      </c>
      <c r="AH258" s="9">
        <f>INDEX(LINEST(L199:L258,M199:T258,TRUE,TRUE),1,2)</f>
        <v/>
      </c>
      <c r="AI258" s="9">
        <f>INDEX(LINEST(L199:L258,M199:T258,TRUE,TRUE),1,1)</f>
        <v/>
      </c>
      <c r="AJ258" s="10">
        <f>INDEX(LINEST(L199:L258,M199:T258,TRUE,TRUE),3,1)</f>
        <v/>
      </c>
      <c r="AK258" s="9">
        <f>AA257/12+AB257*M258+AC257*N258+AD257*O258+AE257*P258+AF257*Q258+AG257*R258+AH257*S258+AI257*T258</f>
        <v/>
      </c>
      <c r="AL258" s="9">
        <f>AVERAGE(L198:L257)</f>
        <v/>
      </c>
    </row>
    <row r="259">
      <c r="A259" s="7" t="n">
        <v>45443</v>
      </c>
      <c r="B259" s="8" t="n">
        <v>2348.25</v>
      </c>
      <c r="C259" s="8" t="n">
        <v>2.35</v>
      </c>
      <c r="D259" s="8" t="n">
        <v>2.16</v>
      </c>
      <c r="E259" s="8" t="n">
        <v>104.669998</v>
      </c>
      <c r="F259" s="8" t="n">
        <v>77.97</v>
      </c>
      <c r="G259" s="8" t="n">
        <v>12.92</v>
      </c>
      <c r="H259" s="8" t="n">
        <v>91.139999</v>
      </c>
      <c r="I259" s="8" t="n">
        <v>5277.509766</v>
      </c>
      <c r="J259" s="8" t="n">
        <v>89.044518</v>
      </c>
      <c r="L259" s="9">
        <f>LN(B259/B258)</f>
        <v/>
      </c>
      <c r="M259" s="9">
        <f>$M$1*(C259-C258)</f>
        <v/>
      </c>
      <c r="N259" s="9">
        <f>$N$1*(D259-D258)</f>
        <v/>
      </c>
      <c r="O259" s="9">
        <f>$O$1*LN(E259/E258)</f>
        <v/>
      </c>
      <c r="P259" s="9">
        <f>$P$1*LN(F259/F258)</f>
        <v/>
      </c>
      <c r="Q259" s="9">
        <f>$Q$1*(G259-G258)</f>
        <v/>
      </c>
      <c r="R259" s="9">
        <f>$R$1*(H259-H258)</f>
        <v/>
      </c>
      <c r="S259" s="9">
        <f>$S$1*LN(I259/I258)</f>
        <v/>
      </c>
      <c r="T259" s="9">
        <f>$T$1*LN(J259/J258)</f>
        <v/>
      </c>
      <c r="U259" s="9">
        <f>$W$12+$W$4*M259+$W$5*N259+$W$6*O259+$W$7*P259+$W$8*Q259+$W$9*R259+$W$10*S259+$W$11*T259</f>
        <v/>
      </c>
      <c r="AA259" s="10">
        <f>INDEX(LINEST(L200:L259,M200:T259,TRUE,TRUE),1,9)*12</f>
        <v/>
      </c>
      <c r="AB259" s="9">
        <f>INDEX(LINEST(L200:L259,M200:T259,TRUE,TRUE),1,8)</f>
        <v/>
      </c>
      <c r="AC259" s="9">
        <f>INDEX(LINEST(L200:L259,M200:T259,TRUE,TRUE),1,7)</f>
        <v/>
      </c>
      <c r="AD259" s="9">
        <f>INDEX(LINEST(L200:L259,M200:T259,TRUE,TRUE),1,6)</f>
        <v/>
      </c>
      <c r="AE259" s="9">
        <f>INDEX(LINEST(L200:L259,M200:T259,TRUE,TRUE),1,5)</f>
        <v/>
      </c>
      <c r="AF259" s="9">
        <f>INDEX(LINEST(L200:L259,M200:T259,TRUE,TRUE),1,4)</f>
        <v/>
      </c>
      <c r="AG259" s="9">
        <f>INDEX(LINEST(L200:L259,M200:T259,TRUE,TRUE),1,3)</f>
        <v/>
      </c>
      <c r="AH259" s="9">
        <f>INDEX(LINEST(L200:L259,M200:T259,TRUE,TRUE),1,2)</f>
        <v/>
      </c>
      <c r="AI259" s="9">
        <f>INDEX(LINEST(L200:L259,M200:T259,TRUE,TRUE),1,1)</f>
        <v/>
      </c>
      <c r="AJ259" s="10">
        <f>INDEX(LINEST(L200:L259,M200:T259,TRUE,TRUE),3,1)</f>
        <v/>
      </c>
      <c r="AK259" s="9">
        <f>AA258/12+AB258*M259+AC258*N259+AD258*O259+AE258*P259+AF258*Q259+AG258*R259+AH258*S259+AI258*T259</f>
        <v/>
      </c>
      <c r="AL259" s="9">
        <f>AVERAGE(L199:L258)</f>
        <v/>
      </c>
    </row>
    <row r="260">
      <c r="A260" s="7" t="n">
        <v>45473</v>
      </c>
      <c r="B260" s="8" t="n">
        <v>2330.9</v>
      </c>
      <c r="C260" s="8" t="n">
        <v>2.28</v>
      </c>
      <c r="D260" s="8" t="n">
        <v>2.08</v>
      </c>
      <c r="E260" s="8" t="n">
        <v>105.870003</v>
      </c>
      <c r="F260" s="8" t="n">
        <v>82.83</v>
      </c>
      <c r="G260" s="8" t="n">
        <v>12.44</v>
      </c>
      <c r="H260" s="8" t="n">
        <v>98.589996</v>
      </c>
      <c r="I260" s="8" t="n">
        <v>5460.47998</v>
      </c>
      <c r="J260" s="8" t="n">
        <v>89.83300800000001</v>
      </c>
      <c r="L260" s="9">
        <f>LN(B260/B259)</f>
        <v/>
      </c>
      <c r="M260" s="9">
        <f>$M$1*(C260-C259)</f>
        <v/>
      </c>
      <c r="N260" s="9">
        <f>$N$1*(D260-D259)</f>
        <v/>
      </c>
      <c r="O260" s="9">
        <f>$O$1*LN(E260/E259)</f>
        <v/>
      </c>
      <c r="P260" s="9">
        <f>$P$1*LN(F260/F259)</f>
        <v/>
      </c>
      <c r="Q260" s="9">
        <f>$Q$1*(G260-G259)</f>
        <v/>
      </c>
      <c r="R260" s="9">
        <f>$R$1*(H260-H259)</f>
        <v/>
      </c>
      <c r="S260" s="9">
        <f>$S$1*LN(I260/I259)</f>
        <v/>
      </c>
      <c r="T260" s="9">
        <f>$T$1*LN(J260/J259)</f>
        <v/>
      </c>
      <c r="U260" s="9">
        <f>$W$12+$W$4*M260+$W$5*N260+$W$6*O260+$W$7*P260+$W$8*Q260+$W$9*R260+$W$10*S260+$W$11*T260</f>
        <v/>
      </c>
      <c r="AA260" s="10">
        <f>INDEX(LINEST(L201:L260,M201:T260,TRUE,TRUE),1,9)*12</f>
        <v/>
      </c>
      <c r="AB260" s="9">
        <f>INDEX(LINEST(L201:L260,M201:T260,TRUE,TRUE),1,8)</f>
        <v/>
      </c>
      <c r="AC260" s="9">
        <f>INDEX(LINEST(L201:L260,M201:T260,TRUE,TRUE),1,7)</f>
        <v/>
      </c>
      <c r="AD260" s="9">
        <f>INDEX(LINEST(L201:L260,M201:T260,TRUE,TRUE),1,6)</f>
        <v/>
      </c>
      <c r="AE260" s="9">
        <f>INDEX(LINEST(L201:L260,M201:T260,TRUE,TRUE),1,5)</f>
        <v/>
      </c>
      <c r="AF260" s="9">
        <f>INDEX(LINEST(L201:L260,M201:T260,TRUE,TRUE),1,4)</f>
        <v/>
      </c>
      <c r="AG260" s="9">
        <f>INDEX(LINEST(L201:L260,M201:T260,TRUE,TRUE),1,3)</f>
        <v/>
      </c>
      <c r="AH260" s="9">
        <f>INDEX(LINEST(L201:L260,M201:T260,TRUE,TRUE),1,2)</f>
        <v/>
      </c>
      <c r="AI260" s="9">
        <f>INDEX(LINEST(L201:L260,M201:T260,TRUE,TRUE),1,1)</f>
        <v/>
      </c>
      <c r="AJ260" s="10">
        <f>INDEX(LINEST(L201:L260,M201:T260,TRUE,TRUE),3,1)</f>
        <v/>
      </c>
      <c r="AK260" s="9">
        <f>AA259/12+AB259*M260+AC259*N260+AD259*O260+AE259*P260+AF259*Q260+AG259*R260+AH259*S260+AI259*T260</f>
        <v/>
      </c>
      <c r="AL260" s="9">
        <f>AVERAGE(L200:L259)</f>
        <v/>
      </c>
    </row>
    <row r="261">
      <c r="A261" s="7" t="n">
        <v>45504</v>
      </c>
      <c r="B261" s="8" t="n">
        <v>2426.3</v>
      </c>
      <c r="C261" s="8" t="n">
        <v>2.24</v>
      </c>
      <c r="D261" s="8" t="n">
        <v>1.85</v>
      </c>
      <c r="E261" s="8" t="n">
        <v>104.099998</v>
      </c>
      <c r="F261" s="8" t="n">
        <v>79.36</v>
      </c>
      <c r="G261" s="8" t="n">
        <v>16.36</v>
      </c>
      <c r="H261" s="8" t="n">
        <v>99.410004</v>
      </c>
      <c r="I261" s="8" t="n">
        <v>5522.299805</v>
      </c>
      <c r="J261" s="8" t="n">
        <v>92.006218</v>
      </c>
      <c r="L261" s="9">
        <f>LN(B261/B260)</f>
        <v/>
      </c>
      <c r="M261" s="9">
        <f>$M$1*(C261-C260)</f>
        <v/>
      </c>
      <c r="N261" s="9">
        <f>$N$1*(D261-D260)</f>
        <v/>
      </c>
      <c r="O261" s="9">
        <f>$O$1*LN(E261/E260)</f>
        <v/>
      </c>
      <c r="P261" s="9">
        <f>$P$1*LN(F261/F260)</f>
        <v/>
      </c>
      <c r="Q261" s="9">
        <f>$Q$1*(G261-G260)</f>
        <v/>
      </c>
      <c r="R261" s="9">
        <f>$R$1*(H261-H260)</f>
        <v/>
      </c>
      <c r="S261" s="9">
        <f>$S$1*LN(I261/I260)</f>
        <v/>
      </c>
      <c r="T261" s="9">
        <f>$T$1*LN(J261/J260)</f>
        <v/>
      </c>
      <c r="U261" s="9">
        <f>$W$12+$W$4*M261+$W$5*N261+$W$6*O261+$W$7*P261+$W$8*Q261+$W$9*R261+$W$10*S261+$W$11*T261</f>
        <v/>
      </c>
      <c r="AA261" s="10">
        <f>INDEX(LINEST(L202:L261,M202:T261,TRUE,TRUE),1,9)*12</f>
        <v/>
      </c>
      <c r="AB261" s="9">
        <f>INDEX(LINEST(L202:L261,M202:T261,TRUE,TRUE),1,8)</f>
        <v/>
      </c>
      <c r="AC261" s="9">
        <f>INDEX(LINEST(L202:L261,M202:T261,TRUE,TRUE),1,7)</f>
        <v/>
      </c>
      <c r="AD261" s="9">
        <f>INDEX(LINEST(L202:L261,M202:T261,TRUE,TRUE),1,6)</f>
        <v/>
      </c>
      <c r="AE261" s="9">
        <f>INDEX(LINEST(L202:L261,M202:T261,TRUE,TRUE),1,5)</f>
        <v/>
      </c>
      <c r="AF261" s="9">
        <f>INDEX(LINEST(L202:L261,M202:T261,TRUE,TRUE),1,4)</f>
        <v/>
      </c>
      <c r="AG261" s="9">
        <f>INDEX(LINEST(L202:L261,M202:T261,TRUE,TRUE),1,3)</f>
        <v/>
      </c>
      <c r="AH261" s="9">
        <f>INDEX(LINEST(L202:L261,M202:T261,TRUE,TRUE),1,2)</f>
        <v/>
      </c>
      <c r="AI261" s="9">
        <f>INDEX(LINEST(L202:L261,M202:T261,TRUE,TRUE),1,1)</f>
        <v/>
      </c>
      <c r="AJ261" s="10">
        <f>INDEX(LINEST(L202:L261,M202:T261,TRUE,TRUE),3,1)</f>
        <v/>
      </c>
      <c r="AK261" s="9">
        <f>AA260/12+AB260*M261+AC260*N261+AD260*O261+AE260*P261+AF260*Q261+AG260*R261+AH260*S261+AI260*T261</f>
        <v/>
      </c>
      <c r="AL261" s="9">
        <f>AVERAGE(L201:L260)</f>
        <v/>
      </c>
    </row>
    <row r="262">
      <c r="A262" s="7" t="n">
        <v>45535</v>
      </c>
      <c r="B262" s="8" t="n">
        <v>2513.35</v>
      </c>
      <c r="C262" s="8" t="n">
        <v>2.15</v>
      </c>
      <c r="D262" s="8" t="n">
        <v>1.76</v>
      </c>
      <c r="E262" s="8" t="n">
        <v>101.699997</v>
      </c>
      <c r="F262" s="8" t="n">
        <v>74.52</v>
      </c>
      <c r="G262" s="8" t="n">
        <v>15</v>
      </c>
      <c r="H262" s="8" t="n">
        <v>107.769997</v>
      </c>
      <c r="I262" s="8" t="n">
        <v>5648.399902</v>
      </c>
      <c r="J262" s="8" t="n">
        <v>93.350838</v>
      </c>
      <c r="L262" s="9">
        <f>LN(B262/B261)</f>
        <v/>
      </c>
      <c r="M262" s="9">
        <f>$M$1*(C262-C261)</f>
        <v/>
      </c>
      <c r="N262" s="9">
        <f>$N$1*(D262-D261)</f>
        <v/>
      </c>
      <c r="O262" s="9">
        <f>$O$1*LN(E262/E261)</f>
        <v/>
      </c>
      <c r="P262" s="9">
        <f>$P$1*LN(F262/F261)</f>
        <v/>
      </c>
      <c r="Q262" s="9">
        <f>$Q$1*(G262-G261)</f>
        <v/>
      </c>
      <c r="R262" s="9">
        <f>$R$1*(H262-H261)</f>
        <v/>
      </c>
      <c r="S262" s="9">
        <f>$S$1*LN(I262/I261)</f>
        <v/>
      </c>
      <c r="T262" s="9">
        <f>$T$1*LN(J262/J261)</f>
        <v/>
      </c>
      <c r="U262" s="9">
        <f>$W$12+$W$4*M262+$W$5*N262+$W$6*O262+$W$7*P262+$W$8*Q262+$W$9*R262+$W$10*S262+$W$11*T262</f>
        <v/>
      </c>
      <c r="AA262" s="10">
        <f>INDEX(LINEST(L203:L262,M203:T262,TRUE,TRUE),1,9)*12</f>
        <v/>
      </c>
      <c r="AB262" s="9">
        <f>INDEX(LINEST(L203:L262,M203:T262,TRUE,TRUE),1,8)</f>
        <v/>
      </c>
      <c r="AC262" s="9">
        <f>INDEX(LINEST(L203:L262,M203:T262,TRUE,TRUE),1,7)</f>
        <v/>
      </c>
      <c r="AD262" s="9">
        <f>INDEX(LINEST(L203:L262,M203:T262,TRUE,TRUE),1,6)</f>
        <v/>
      </c>
      <c r="AE262" s="9">
        <f>INDEX(LINEST(L203:L262,M203:T262,TRUE,TRUE),1,5)</f>
        <v/>
      </c>
      <c r="AF262" s="9">
        <f>INDEX(LINEST(L203:L262,M203:T262,TRUE,TRUE),1,4)</f>
        <v/>
      </c>
      <c r="AG262" s="9">
        <f>INDEX(LINEST(L203:L262,M203:T262,TRUE,TRUE),1,3)</f>
        <v/>
      </c>
      <c r="AH262" s="9">
        <f>INDEX(LINEST(L203:L262,M203:T262,TRUE,TRUE),1,2)</f>
        <v/>
      </c>
      <c r="AI262" s="9">
        <f>INDEX(LINEST(L203:L262,M203:T262,TRUE,TRUE),1,1)</f>
        <v/>
      </c>
      <c r="AJ262" s="10">
        <f>INDEX(LINEST(L203:L262,M203:T262,TRUE,TRUE),3,1)</f>
        <v/>
      </c>
      <c r="AK262" s="9">
        <f>AA261/12+AB261*M262+AC261*N262+AD261*O262+AE261*P262+AF261*Q262+AG261*R262+AH261*S262+AI261*T262</f>
        <v/>
      </c>
      <c r="AL262" s="9">
        <f>AVERAGE(L202:L261)</f>
        <v/>
      </c>
    </row>
    <row r="263">
      <c r="A263" s="7" t="n">
        <v>45565</v>
      </c>
      <c r="B263" s="8" t="n">
        <v>2629.95</v>
      </c>
      <c r="C263" s="8" t="n">
        <v>2.18</v>
      </c>
      <c r="D263" s="8" t="n">
        <v>1.63</v>
      </c>
      <c r="E263" s="8" t="n">
        <v>100.779999</v>
      </c>
      <c r="F263" s="8" t="n">
        <v>68.75</v>
      </c>
      <c r="G263" s="8" t="n">
        <v>16.73</v>
      </c>
      <c r="H263" s="8" t="n">
        <v>94.610001</v>
      </c>
      <c r="I263" s="8" t="n">
        <v>5762.47998</v>
      </c>
      <c r="J263" s="8" t="n">
        <v>94.595039</v>
      </c>
      <c r="L263" s="9">
        <f>LN(B263/B262)</f>
        <v/>
      </c>
      <c r="M263" s="9">
        <f>$M$1*(C263-C262)</f>
        <v/>
      </c>
      <c r="N263" s="9">
        <f>$N$1*(D263-D262)</f>
        <v/>
      </c>
      <c r="O263" s="9">
        <f>$O$1*LN(E263/E262)</f>
        <v/>
      </c>
      <c r="P263" s="9">
        <f>$P$1*LN(F263/F262)</f>
        <v/>
      </c>
      <c r="Q263" s="9">
        <f>$Q$1*(G263-G262)</f>
        <v/>
      </c>
      <c r="R263" s="9">
        <f>$R$1*(H263-H262)</f>
        <v/>
      </c>
      <c r="S263" s="9">
        <f>$S$1*LN(I263/I262)</f>
        <v/>
      </c>
      <c r="T263" s="9">
        <f>$T$1*LN(J263/J262)</f>
        <v/>
      </c>
      <c r="U263" s="9">
        <f>$W$12+$W$4*M263+$W$5*N263+$W$6*O263+$W$7*P263+$W$8*Q263+$W$9*R263+$W$10*S263+$W$11*T263</f>
        <v/>
      </c>
      <c r="AA263" s="10">
        <f>INDEX(LINEST(L204:L263,M204:T263,TRUE,TRUE),1,9)*12</f>
        <v/>
      </c>
      <c r="AB263" s="9">
        <f>INDEX(LINEST(L204:L263,M204:T263,TRUE,TRUE),1,8)</f>
        <v/>
      </c>
      <c r="AC263" s="9">
        <f>INDEX(LINEST(L204:L263,M204:T263,TRUE,TRUE),1,7)</f>
        <v/>
      </c>
      <c r="AD263" s="9">
        <f>INDEX(LINEST(L204:L263,M204:T263,TRUE,TRUE),1,6)</f>
        <v/>
      </c>
      <c r="AE263" s="9">
        <f>INDEX(LINEST(L204:L263,M204:T263,TRUE,TRUE),1,5)</f>
        <v/>
      </c>
      <c r="AF263" s="9">
        <f>INDEX(LINEST(L204:L263,M204:T263,TRUE,TRUE),1,4)</f>
        <v/>
      </c>
      <c r="AG263" s="9">
        <f>INDEX(LINEST(L204:L263,M204:T263,TRUE,TRUE),1,3)</f>
        <v/>
      </c>
      <c r="AH263" s="9">
        <f>INDEX(LINEST(L204:L263,M204:T263,TRUE,TRUE),1,2)</f>
        <v/>
      </c>
      <c r="AI263" s="9">
        <f>INDEX(LINEST(L204:L263,M204:T263,TRUE,TRUE),1,1)</f>
        <v/>
      </c>
      <c r="AJ263" s="10">
        <f>INDEX(LINEST(L204:L263,M204:T263,TRUE,TRUE),3,1)</f>
        <v/>
      </c>
      <c r="AK263" s="9">
        <f>AA262/12+AB262*M263+AC262*N263+AD262*O263+AE262*P263+AF262*Q263+AG262*R263+AH262*S263+AI262*T263</f>
        <v/>
      </c>
      <c r="AL263" s="9">
        <f>AVERAGE(L203:L262)</f>
        <v/>
      </c>
    </row>
    <row r="264">
      <c r="A264" s="7" t="n">
        <v>45596</v>
      </c>
      <c r="B264" s="8" t="n">
        <v>2734.15</v>
      </c>
      <c r="C264" s="8" t="n">
        <v>2.33</v>
      </c>
      <c r="D264" s="8" t="n">
        <v>1.95</v>
      </c>
      <c r="E264" s="8" t="n">
        <v>103.980003</v>
      </c>
      <c r="F264" s="8" t="n">
        <v>69.58</v>
      </c>
      <c r="G264" s="8" t="n">
        <v>23.16</v>
      </c>
      <c r="H264" s="8" t="n">
        <v>135.179993</v>
      </c>
      <c r="I264" s="8" t="n">
        <v>5705.450195</v>
      </c>
      <c r="J264" s="8" t="n">
        <v>92.212433</v>
      </c>
      <c r="L264" s="9">
        <f>LN(B264/B263)</f>
        <v/>
      </c>
      <c r="M264" s="9">
        <f>$M$1*(C264-C263)</f>
        <v/>
      </c>
      <c r="N264" s="9">
        <f>$N$1*(D264-D263)</f>
        <v/>
      </c>
      <c r="O264" s="9">
        <f>$O$1*LN(E264/E263)</f>
        <v/>
      </c>
      <c r="P264" s="9">
        <f>$P$1*LN(F264/F263)</f>
        <v/>
      </c>
      <c r="Q264" s="9">
        <f>$Q$1*(G264-G263)</f>
        <v/>
      </c>
      <c r="R264" s="9">
        <f>$R$1*(H264-H263)</f>
        <v/>
      </c>
      <c r="S264" s="9">
        <f>$S$1*LN(I264/I263)</f>
        <v/>
      </c>
      <c r="T264" s="9">
        <f>$T$1*LN(J264/J263)</f>
        <v/>
      </c>
      <c r="U264" s="9">
        <f>$W$12+$W$4*M264+$W$5*N264+$W$6*O264+$W$7*P264+$W$8*Q264+$W$9*R264+$W$10*S264+$W$11*T264</f>
        <v/>
      </c>
      <c r="AA264" s="10">
        <f>INDEX(LINEST(L205:L264,M205:T264,TRUE,TRUE),1,9)*12</f>
        <v/>
      </c>
      <c r="AB264" s="9">
        <f>INDEX(LINEST(L205:L264,M205:T264,TRUE,TRUE),1,8)</f>
        <v/>
      </c>
      <c r="AC264" s="9">
        <f>INDEX(LINEST(L205:L264,M205:T264,TRUE,TRUE),1,7)</f>
        <v/>
      </c>
      <c r="AD264" s="9">
        <f>INDEX(LINEST(L205:L264,M205:T264,TRUE,TRUE),1,6)</f>
        <v/>
      </c>
      <c r="AE264" s="9">
        <f>INDEX(LINEST(L205:L264,M205:T264,TRUE,TRUE),1,5)</f>
        <v/>
      </c>
      <c r="AF264" s="9">
        <f>INDEX(LINEST(L205:L264,M205:T264,TRUE,TRUE),1,4)</f>
        <v/>
      </c>
      <c r="AG264" s="9">
        <f>INDEX(LINEST(L205:L264,M205:T264,TRUE,TRUE),1,3)</f>
        <v/>
      </c>
      <c r="AH264" s="9">
        <f>INDEX(LINEST(L205:L264,M205:T264,TRUE,TRUE),1,2)</f>
        <v/>
      </c>
      <c r="AI264" s="9">
        <f>INDEX(LINEST(L205:L264,M205:T264,TRUE,TRUE),1,1)</f>
        <v/>
      </c>
      <c r="AJ264" s="10">
        <f>INDEX(LINEST(L205:L264,M205:T264,TRUE,TRUE),3,1)</f>
        <v/>
      </c>
      <c r="AK264" s="9">
        <f>AA263/12+AB263*M264+AC263*N264+AD263*O264+AE263*P264+AF263*Q264+AG263*R264+AH263*S264+AI263*T264</f>
        <v/>
      </c>
      <c r="AL264" s="9">
        <f>AVERAGE(L204:L263)</f>
        <v/>
      </c>
    </row>
    <row r="265">
      <c r="A265" s="7" t="n">
        <v>45626</v>
      </c>
      <c r="B265" s="8" t="n">
        <v>2651.05</v>
      </c>
      <c r="C265" s="8" t="n">
        <v>2.26</v>
      </c>
      <c r="D265" s="8" t="n">
        <v>1.92</v>
      </c>
      <c r="E265" s="8" t="n">
        <v>105.739998</v>
      </c>
      <c r="F265" s="8" t="n">
        <v>68.26000000000001</v>
      </c>
      <c r="G265" s="8" t="n">
        <v>13.51</v>
      </c>
      <c r="H265" s="8" t="n">
        <v>95.220001</v>
      </c>
      <c r="I265" s="8" t="n">
        <v>6032.379883</v>
      </c>
      <c r="J265" s="8" t="n">
        <v>93.23690000000001</v>
      </c>
      <c r="L265" s="9">
        <f>LN(B265/B264)</f>
        <v/>
      </c>
      <c r="M265" s="9">
        <f>$M$1*(C265-C264)</f>
        <v/>
      </c>
      <c r="N265" s="9">
        <f>$N$1*(D265-D264)</f>
        <v/>
      </c>
      <c r="O265" s="9">
        <f>$O$1*LN(E265/E264)</f>
        <v/>
      </c>
      <c r="P265" s="9">
        <f>$P$1*LN(F265/F264)</f>
        <v/>
      </c>
      <c r="Q265" s="9">
        <f>$Q$1*(G265-G264)</f>
        <v/>
      </c>
      <c r="R265" s="9">
        <f>$R$1*(H265-H264)</f>
        <v/>
      </c>
      <c r="S265" s="9">
        <f>$S$1*LN(I265/I264)</f>
        <v/>
      </c>
      <c r="T265" s="9">
        <f>$T$1*LN(J265/J264)</f>
        <v/>
      </c>
      <c r="U265" s="9">
        <f>$W$12+$W$4*M265+$W$5*N265+$W$6*O265+$W$7*P265+$W$8*Q265+$W$9*R265+$W$10*S265+$W$11*T265</f>
        <v/>
      </c>
      <c r="AA265" s="10">
        <f>INDEX(LINEST(L206:L265,M206:T265,TRUE,TRUE),1,9)*12</f>
        <v/>
      </c>
      <c r="AB265" s="9">
        <f>INDEX(LINEST(L206:L265,M206:T265,TRUE,TRUE),1,8)</f>
        <v/>
      </c>
      <c r="AC265" s="9">
        <f>INDEX(LINEST(L206:L265,M206:T265,TRUE,TRUE),1,7)</f>
        <v/>
      </c>
      <c r="AD265" s="9">
        <f>INDEX(LINEST(L206:L265,M206:T265,TRUE,TRUE),1,6)</f>
        <v/>
      </c>
      <c r="AE265" s="9">
        <f>INDEX(LINEST(L206:L265,M206:T265,TRUE,TRUE),1,5)</f>
        <v/>
      </c>
      <c r="AF265" s="9">
        <f>INDEX(LINEST(L206:L265,M206:T265,TRUE,TRUE),1,4)</f>
        <v/>
      </c>
      <c r="AG265" s="9">
        <f>INDEX(LINEST(L206:L265,M206:T265,TRUE,TRUE),1,3)</f>
        <v/>
      </c>
      <c r="AH265" s="9">
        <f>INDEX(LINEST(L206:L265,M206:T265,TRUE,TRUE),1,2)</f>
        <v/>
      </c>
      <c r="AI265" s="9">
        <f>INDEX(LINEST(L206:L265,M206:T265,TRUE,TRUE),1,1)</f>
        <v/>
      </c>
      <c r="AJ265" s="10">
        <f>INDEX(LINEST(L206:L265,M206:T265,TRUE,TRUE),3,1)</f>
        <v/>
      </c>
      <c r="AK265" s="9">
        <f>AA264/12+AB264*M265+AC264*N265+AD264*O265+AE264*P265+AF264*Q265+AG264*R265+AH264*S265+AI264*T265</f>
        <v/>
      </c>
      <c r="AL265" s="9">
        <f>AVERAGE(L205:L264)</f>
        <v/>
      </c>
    </row>
    <row r="266">
      <c r="A266" s="7" t="n">
        <v>45657</v>
      </c>
      <c r="B266" s="8" t="n">
        <v>2609.1</v>
      </c>
      <c r="C266" s="8" t="n">
        <v>2.34</v>
      </c>
      <c r="D266" s="8" t="n">
        <v>2.24</v>
      </c>
      <c r="E266" s="8" t="n">
        <v>108.489998</v>
      </c>
      <c r="F266" s="8" t="n">
        <v>72.44</v>
      </c>
      <c r="G266" s="8" t="n">
        <v>17.35</v>
      </c>
      <c r="H266" s="8" t="n">
        <v>98.800003</v>
      </c>
      <c r="I266" s="8" t="n">
        <v>5881.629883</v>
      </c>
      <c r="J266" s="8" t="n">
        <v>91.658058</v>
      </c>
      <c r="L266" s="9">
        <f>LN(B266/B265)</f>
        <v/>
      </c>
      <c r="M266" s="9">
        <f>$M$1*(C266-C265)</f>
        <v/>
      </c>
      <c r="N266" s="9">
        <f>$N$1*(D266-D265)</f>
        <v/>
      </c>
      <c r="O266" s="9">
        <f>$O$1*LN(E266/E265)</f>
        <v/>
      </c>
      <c r="P266" s="9">
        <f>$P$1*LN(F266/F265)</f>
        <v/>
      </c>
      <c r="Q266" s="9">
        <f>$Q$1*(G266-G265)</f>
        <v/>
      </c>
      <c r="R266" s="9">
        <f>$R$1*(H266-H265)</f>
        <v/>
      </c>
      <c r="S266" s="9">
        <f>$S$1*LN(I266/I265)</f>
        <v/>
      </c>
      <c r="T266" s="9">
        <f>$T$1*LN(J266/J265)</f>
        <v/>
      </c>
      <c r="U266" s="9">
        <f>$W$12+$W$4*M266+$W$5*N266+$W$6*O266+$W$7*P266+$W$8*Q266+$W$9*R266+$W$10*S266+$W$11*T266</f>
        <v/>
      </c>
      <c r="AA266" s="10">
        <f>INDEX(LINEST(L207:L266,M207:T266,TRUE,TRUE),1,9)*12</f>
        <v/>
      </c>
      <c r="AB266" s="9">
        <f>INDEX(LINEST(L207:L266,M207:T266,TRUE,TRUE),1,8)</f>
        <v/>
      </c>
      <c r="AC266" s="9">
        <f>INDEX(LINEST(L207:L266,M207:T266,TRUE,TRUE),1,7)</f>
        <v/>
      </c>
      <c r="AD266" s="9">
        <f>INDEX(LINEST(L207:L266,M207:T266,TRUE,TRUE),1,6)</f>
        <v/>
      </c>
      <c r="AE266" s="9">
        <f>INDEX(LINEST(L207:L266,M207:T266,TRUE,TRUE),1,5)</f>
        <v/>
      </c>
      <c r="AF266" s="9">
        <f>INDEX(LINEST(L207:L266,M207:T266,TRUE,TRUE),1,4)</f>
        <v/>
      </c>
      <c r="AG266" s="9">
        <f>INDEX(LINEST(L207:L266,M207:T266,TRUE,TRUE),1,3)</f>
        <v/>
      </c>
      <c r="AH266" s="9">
        <f>INDEX(LINEST(L207:L266,M207:T266,TRUE,TRUE),1,2)</f>
        <v/>
      </c>
      <c r="AI266" s="9">
        <f>INDEX(LINEST(L207:L266,M207:T266,TRUE,TRUE),1,1)</f>
        <v/>
      </c>
      <c r="AJ266" s="10">
        <f>INDEX(LINEST(L207:L266,M207:T266,TRUE,TRUE),3,1)</f>
        <v/>
      </c>
      <c r="AK266" s="9">
        <f>AA265/12+AB265*M266+AC265*N266+AD265*O266+AE265*P266+AF265*Q266+AG265*R266+AH265*S266+AI265*T266</f>
        <v/>
      </c>
      <c r="AL266" s="9">
        <f>AVERAGE(L206:L265)</f>
        <v/>
      </c>
    </row>
    <row r="267">
      <c r="A267" s="7" t="n">
        <v>45688</v>
      </c>
      <c r="B267" s="8" t="n">
        <v>2812.05</v>
      </c>
      <c r="C267" s="8" t="n">
        <v>2.42</v>
      </c>
      <c r="D267" s="8" t="n">
        <v>2.16</v>
      </c>
      <c r="E267" s="8" t="n">
        <v>108.370003</v>
      </c>
      <c r="F267" s="8" t="n">
        <v>72.84</v>
      </c>
      <c r="G267" s="8" t="n">
        <v>16.43</v>
      </c>
      <c r="H267" s="8" t="n">
        <v>91.760002</v>
      </c>
      <c r="I267" s="8" t="n">
        <v>6040.529785</v>
      </c>
      <c r="J267" s="8" t="n">
        <v>92.13099699999999</v>
      </c>
      <c r="L267" s="9">
        <f>LN(B267/B266)</f>
        <v/>
      </c>
      <c r="M267" s="9">
        <f>$M$1*(C267-C266)</f>
        <v/>
      </c>
      <c r="N267" s="9">
        <f>$N$1*(D267-D266)</f>
        <v/>
      </c>
      <c r="O267" s="9">
        <f>$O$1*LN(E267/E266)</f>
        <v/>
      </c>
      <c r="P267" s="9">
        <f>$P$1*LN(F267/F266)</f>
        <v/>
      </c>
      <c r="Q267" s="9">
        <f>$Q$1*(G267-G266)</f>
        <v/>
      </c>
      <c r="R267" s="9">
        <f>$R$1*(H267-H266)</f>
        <v/>
      </c>
      <c r="S267" s="9">
        <f>$S$1*LN(I267/I266)</f>
        <v/>
      </c>
      <c r="T267" s="9">
        <f>$T$1*LN(J267/J266)</f>
        <v/>
      </c>
      <c r="U267" s="9">
        <f>$W$12+$W$4*M267+$W$5*N267+$W$6*O267+$W$7*P267+$W$8*Q267+$W$9*R267+$W$10*S267+$W$11*T267</f>
        <v/>
      </c>
      <c r="AA267" s="10">
        <f>INDEX(LINEST(L208:L267,M208:T267,TRUE,TRUE),1,9)*12</f>
        <v/>
      </c>
      <c r="AB267" s="9">
        <f>INDEX(LINEST(L208:L267,M208:T267,TRUE,TRUE),1,8)</f>
        <v/>
      </c>
      <c r="AC267" s="9">
        <f>INDEX(LINEST(L208:L267,M208:T267,TRUE,TRUE),1,7)</f>
        <v/>
      </c>
      <c r="AD267" s="9">
        <f>INDEX(LINEST(L208:L267,M208:T267,TRUE,TRUE),1,6)</f>
        <v/>
      </c>
      <c r="AE267" s="9">
        <f>INDEX(LINEST(L208:L267,M208:T267,TRUE,TRUE),1,5)</f>
        <v/>
      </c>
      <c r="AF267" s="9">
        <f>INDEX(LINEST(L208:L267,M208:T267,TRUE,TRUE),1,4)</f>
        <v/>
      </c>
      <c r="AG267" s="9">
        <f>INDEX(LINEST(L208:L267,M208:T267,TRUE,TRUE),1,3)</f>
        <v/>
      </c>
      <c r="AH267" s="9">
        <f>INDEX(LINEST(L208:L267,M208:T267,TRUE,TRUE),1,2)</f>
        <v/>
      </c>
      <c r="AI267" s="9">
        <f>INDEX(LINEST(L208:L267,M208:T267,TRUE,TRUE),1,1)</f>
        <v/>
      </c>
      <c r="AJ267" s="10">
        <f>INDEX(LINEST(L208:L267,M208:T267,TRUE,TRUE),3,1)</f>
        <v/>
      </c>
      <c r="AK267" s="9">
        <f>AA266/12+AB266*M267+AC266*N267+AD266*O267+AE266*P267+AF266*Q267+AG266*R267+AH266*S267+AI266*T267</f>
        <v/>
      </c>
      <c r="AL267" s="9">
        <f>AVERAGE(L207:L266)</f>
        <v/>
      </c>
    </row>
    <row r="268">
      <c r="A268" s="7" t="n">
        <v>45716</v>
      </c>
      <c r="B268" s="8" t="n">
        <v>2834.55</v>
      </c>
      <c r="C268" s="8" t="n">
        <v>2.38</v>
      </c>
      <c r="D268" s="8" t="n">
        <v>1.86</v>
      </c>
      <c r="E268" s="8" t="n">
        <v>107.610001</v>
      </c>
      <c r="F268" s="8" t="n">
        <v>69.97</v>
      </c>
      <c r="G268" s="8" t="n">
        <v>19.63</v>
      </c>
      <c r="H268" s="8" t="n">
        <v>104.459999</v>
      </c>
      <c r="I268" s="8" t="n">
        <v>5954.5</v>
      </c>
      <c r="J268" s="8" t="n">
        <v>94.192307</v>
      </c>
      <c r="L268" s="9">
        <f>LN(B268/B267)</f>
        <v/>
      </c>
      <c r="M268" s="9">
        <f>$M$1*(C268-C267)</f>
        <v/>
      </c>
      <c r="N268" s="9">
        <f>$N$1*(D268-D267)</f>
        <v/>
      </c>
      <c r="O268" s="9">
        <f>$O$1*LN(E268/E267)</f>
        <v/>
      </c>
      <c r="P268" s="9">
        <f>$P$1*LN(F268/F267)</f>
        <v/>
      </c>
      <c r="Q268" s="9">
        <f>$Q$1*(G268-G267)</f>
        <v/>
      </c>
      <c r="R268" s="9">
        <f>$R$1*(H268-H267)</f>
        <v/>
      </c>
      <c r="S268" s="9">
        <f>$S$1*LN(I268/I267)</f>
        <v/>
      </c>
      <c r="T268" s="9">
        <f>$T$1*LN(J268/J267)</f>
        <v/>
      </c>
      <c r="U268" s="9">
        <f>$W$12+$W$4*M268+$W$5*N268+$W$6*O268+$W$7*P268+$W$8*Q268+$W$9*R268+$W$10*S268+$W$11*T268</f>
        <v/>
      </c>
      <c r="AA268" s="10">
        <f>INDEX(LINEST(L209:L268,M209:T268,TRUE,TRUE),1,9)*12</f>
        <v/>
      </c>
      <c r="AB268" s="9">
        <f>INDEX(LINEST(L209:L268,M209:T268,TRUE,TRUE),1,8)</f>
        <v/>
      </c>
      <c r="AC268" s="9">
        <f>INDEX(LINEST(L209:L268,M209:T268,TRUE,TRUE),1,7)</f>
        <v/>
      </c>
      <c r="AD268" s="9">
        <f>INDEX(LINEST(L209:L268,M209:T268,TRUE,TRUE),1,6)</f>
        <v/>
      </c>
      <c r="AE268" s="9">
        <f>INDEX(LINEST(L209:L268,M209:T268,TRUE,TRUE),1,5)</f>
        <v/>
      </c>
      <c r="AF268" s="9">
        <f>INDEX(LINEST(L209:L268,M209:T268,TRUE,TRUE),1,4)</f>
        <v/>
      </c>
      <c r="AG268" s="9">
        <f>INDEX(LINEST(L209:L268,M209:T268,TRUE,TRUE),1,3)</f>
        <v/>
      </c>
      <c r="AH268" s="9">
        <f>INDEX(LINEST(L209:L268,M209:T268,TRUE,TRUE),1,2)</f>
        <v/>
      </c>
      <c r="AI268" s="9">
        <f>INDEX(LINEST(L209:L268,M209:T268,TRUE,TRUE),1,1)</f>
        <v/>
      </c>
      <c r="AJ268" s="10">
        <f>INDEX(LINEST(L209:L268,M209:T268,TRUE,TRUE),3,1)</f>
        <v/>
      </c>
      <c r="AK268" s="9">
        <f>AA267/12+AB267*M268+AC267*N268+AD267*O268+AE267*P268+AF267*Q268+AG267*R268+AH267*S268+AI267*T268</f>
        <v/>
      </c>
      <c r="AL268" s="9">
        <f>AVERAGE(L208:L267)</f>
        <v/>
      </c>
    </row>
    <row r="269">
      <c r="A269" s="7" t="n">
        <v>45747</v>
      </c>
      <c r="B269" s="8" t="n">
        <v>3115.1</v>
      </c>
      <c r="C269" s="8" t="n">
        <v>2.38</v>
      </c>
      <c r="D269" s="8" t="n">
        <v>1.85</v>
      </c>
      <c r="E269" s="8" t="n">
        <v>104.209999</v>
      </c>
      <c r="F269" s="8" t="n">
        <v>71.87</v>
      </c>
      <c r="G269" s="8" t="n">
        <v>22.28</v>
      </c>
      <c r="H269" s="8" t="n">
        <v>101.349998</v>
      </c>
      <c r="I269" s="8" t="n">
        <v>5611.850098</v>
      </c>
      <c r="J269" s="8" t="n">
        <v>94.16754899999999</v>
      </c>
      <c r="L269" s="9">
        <f>LN(B269/B268)</f>
        <v/>
      </c>
      <c r="M269" s="9">
        <f>$M$1*(C269-C268)</f>
        <v/>
      </c>
      <c r="N269" s="9">
        <f>$N$1*(D269-D268)</f>
        <v/>
      </c>
      <c r="O269" s="9">
        <f>$O$1*LN(E269/E268)</f>
        <v/>
      </c>
      <c r="P269" s="9">
        <f>$P$1*LN(F269/F268)</f>
        <v/>
      </c>
      <c r="Q269" s="9">
        <f>$Q$1*(G269-G268)</f>
        <v/>
      </c>
      <c r="R269" s="9">
        <f>$R$1*(H269-H268)</f>
        <v/>
      </c>
      <c r="S269" s="9">
        <f>$S$1*LN(I269/I268)</f>
        <v/>
      </c>
      <c r="T269" s="9">
        <f>$T$1*LN(J269/J268)</f>
        <v/>
      </c>
      <c r="U269" s="9">
        <f>$W$12+$W$4*M269+$W$5*N269+$W$6*O269+$W$7*P269+$W$8*Q269+$W$9*R269+$W$10*S269+$W$11*T269</f>
        <v/>
      </c>
      <c r="AA269" s="10">
        <f>INDEX(LINEST(L210:L269,M210:T269,TRUE,TRUE),1,9)*12</f>
        <v/>
      </c>
      <c r="AB269" s="9">
        <f>INDEX(LINEST(L210:L269,M210:T269,TRUE,TRUE),1,8)</f>
        <v/>
      </c>
      <c r="AC269" s="9">
        <f>INDEX(LINEST(L210:L269,M210:T269,TRUE,TRUE),1,7)</f>
        <v/>
      </c>
      <c r="AD269" s="9">
        <f>INDEX(LINEST(L210:L269,M210:T269,TRUE,TRUE),1,6)</f>
        <v/>
      </c>
      <c r="AE269" s="9">
        <f>INDEX(LINEST(L210:L269,M210:T269,TRUE,TRUE),1,5)</f>
        <v/>
      </c>
      <c r="AF269" s="9">
        <f>INDEX(LINEST(L210:L269,M210:T269,TRUE,TRUE),1,4)</f>
        <v/>
      </c>
      <c r="AG269" s="9">
        <f>INDEX(LINEST(L210:L269,M210:T269,TRUE,TRUE),1,3)</f>
        <v/>
      </c>
      <c r="AH269" s="9">
        <f>INDEX(LINEST(L210:L269,M210:T269,TRUE,TRUE),1,2)</f>
        <v/>
      </c>
      <c r="AI269" s="9">
        <f>INDEX(LINEST(L210:L269,M210:T269,TRUE,TRUE),1,1)</f>
        <v/>
      </c>
      <c r="AJ269" s="10">
        <f>INDEX(LINEST(L210:L269,M210:T269,TRUE,TRUE),3,1)</f>
        <v/>
      </c>
      <c r="AK269" s="9">
        <f>AA268/12+AB268*M269+AC268*N269+AD268*O269+AE268*P269+AF268*Q269+AG268*R269+AH268*S269+AI268*T269</f>
        <v/>
      </c>
      <c r="AL269" s="9">
        <f>AVERAGE(L209:L268)</f>
        <v/>
      </c>
    </row>
    <row r="270">
      <c r="A270" s="7" t="n">
        <v>45777</v>
      </c>
      <c r="B270" s="8" t="n">
        <v>3302.05</v>
      </c>
      <c r="C270" s="8" t="n">
        <v>2.23</v>
      </c>
      <c r="D270" s="8" t="n">
        <v>1.94</v>
      </c>
      <c r="E270" s="8" t="n">
        <v>99.470001</v>
      </c>
      <c r="F270" s="8" t="n">
        <v>59.55</v>
      </c>
      <c r="G270" s="8" t="n">
        <v>24.7</v>
      </c>
      <c r="H270" s="8" t="n">
        <v>112.480003</v>
      </c>
      <c r="I270" s="8" t="n">
        <v>5569.060059</v>
      </c>
      <c r="J270" s="8" t="n">
        <v>94.573471</v>
      </c>
      <c r="L270" s="9">
        <f>LN(B270/B269)</f>
        <v/>
      </c>
      <c r="M270" s="9">
        <f>$M$1*(C270-C269)</f>
        <v/>
      </c>
      <c r="N270" s="9">
        <f>$N$1*(D270-D269)</f>
        <v/>
      </c>
      <c r="O270" s="9">
        <f>$O$1*LN(E270/E269)</f>
        <v/>
      </c>
      <c r="P270" s="9">
        <f>$P$1*LN(F270/F269)</f>
        <v/>
      </c>
      <c r="Q270" s="9">
        <f>$Q$1*(G270-G269)</f>
        <v/>
      </c>
      <c r="R270" s="9">
        <f>$R$1*(H270-H269)</f>
        <v/>
      </c>
      <c r="S270" s="9">
        <f>$S$1*LN(I270/I269)</f>
        <v/>
      </c>
      <c r="T270" s="9">
        <f>$T$1*LN(J270/J269)</f>
        <v/>
      </c>
      <c r="U270" s="9">
        <f>$W$12+$W$4*M270+$W$5*N270+$W$6*O270+$W$7*P270+$W$8*Q270+$W$9*R270+$W$10*S270+$W$11*T270</f>
        <v/>
      </c>
      <c r="AA270" s="10">
        <f>INDEX(LINEST(L211:L270,M211:T270,TRUE,TRUE),1,9)*12</f>
        <v/>
      </c>
      <c r="AB270" s="9">
        <f>INDEX(LINEST(L211:L270,M211:T270,TRUE,TRUE),1,8)</f>
        <v/>
      </c>
      <c r="AC270" s="9">
        <f>INDEX(LINEST(L211:L270,M211:T270,TRUE,TRUE),1,7)</f>
        <v/>
      </c>
      <c r="AD270" s="9">
        <f>INDEX(LINEST(L211:L270,M211:T270,TRUE,TRUE),1,6)</f>
        <v/>
      </c>
      <c r="AE270" s="9">
        <f>INDEX(LINEST(L211:L270,M211:T270,TRUE,TRUE),1,5)</f>
        <v/>
      </c>
      <c r="AF270" s="9">
        <f>INDEX(LINEST(L211:L270,M211:T270,TRUE,TRUE),1,4)</f>
        <v/>
      </c>
      <c r="AG270" s="9">
        <f>INDEX(LINEST(L211:L270,M211:T270,TRUE,TRUE),1,3)</f>
        <v/>
      </c>
      <c r="AH270" s="9">
        <f>INDEX(LINEST(L211:L270,M211:T270,TRUE,TRUE),1,2)</f>
        <v/>
      </c>
      <c r="AI270" s="9">
        <f>INDEX(LINEST(L211:L270,M211:T270,TRUE,TRUE),1,1)</f>
        <v/>
      </c>
      <c r="AJ270" s="10">
        <f>INDEX(LINEST(L211:L270,M211:T270,TRUE,TRUE),3,1)</f>
        <v/>
      </c>
      <c r="AK270" s="9">
        <f>AA269/12+AB269*M270+AC269*N270+AD269*O270+AE269*P270+AF269*Q270+AG269*R270+AH269*S270+AI269*T270</f>
        <v/>
      </c>
      <c r="AL270" s="9">
        <f>AVERAGE(L210:L269)</f>
        <v/>
      </c>
    </row>
    <row r="271">
      <c r="A271" s="7" t="n">
        <v>45808</v>
      </c>
      <c r="B271" s="8" t="n">
        <v>3277.55</v>
      </c>
      <c r="C271" s="8" t="n">
        <v>2.34</v>
      </c>
      <c r="D271" s="8" t="n">
        <v>2.07</v>
      </c>
      <c r="E271" s="8" t="n">
        <v>99.33000199999999</v>
      </c>
      <c r="F271" s="8" t="n">
        <v>61.46</v>
      </c>
      <c r="G271" s="8" t="n">
        <v>18.57</v>
      </c>
      <c r="H271" s="8" t="n">
        <v>92.110001</v>
      </c>
      <c r="I271" s="8" t="n">
        <v>5911.689941</v>
      </c>
      <c r="J271" s="8" t="n">
        <v>93.999504</v>
      </c>
      <c r="L271" s="9">
        <f>LN(B271/B270)</f>
        <v/>
      </c>
      <c r="M271" s="9">
        <f>$M$1*(C271-C270)</f>
        <v/>
      </c>
      <c r="N271" s="9">
        <f>$N$1*(D271-D270)</f>
        <v/>
      </c>
      <c r="O271" s="9">
        <f>$O$1*LN(E271/E270)</f>
        <v/>
      </c>
      <c r="P271" s="9">
        <f>$P$1*LN(F271/F270)</f>
        <v/>
      </c>
      <c r="Q271" s="9">
        <f>$Q$1*(G271-G270)</f>
        <v/>
      </c>
      <c r="R271" s="9">
        <f>$R$1*(H271-H270)</f>
        <v/>
      </c>
      <c r="S271" s="9">
        <f>$S$1*LN(I271/I270)</f>
        <v/>
      </c>
      <c r="T271" s="9">
        <f>$T$1*LN(J271/J270)</f>
        <v/>
      </c>
      <c r="U271" s="9">
        <f>$W$12+$W$4*M271+$W$5*N271+$W$6*O271+$W$7*P271+$W$8*Q271+$W$9*R271+$W$10*S271+$W$11*T271</f>
        <v/>
      </c>
      <c r="AA271" s="10">
        <f>INDEX(LINEST(L212:L271,M212:T271,TRUE,TRUE),1,9)*12</f>
        <v/>
      </c>
      <c r="AB271" s="9">
        <f>INDEX(LINEST(L212:L271,M212:T271,TRUE,TRUE),1,8)</f>
        <v/>
      </c>
      <c r="AC271" s="9">
        <f>INDEX(LINEST(L212:L271,M212:T271,TRUE,TRUE),1,7)</f>
        <v/>
      </c>
      <c r="AD271" s="9">
        <f>INDEX(LINEST(L212:L271,M212:T271,TRUE,TRUE),1,6)</f>
        <v/>
      </c>
      <c r="AE271" s="9">
        <f>INDEX(LINEST(L212:L271,M212:T271,TRUE,TRUE),1,5)</f>
        <v/>
      </c>
      <c r="AF271" s="9">
        <f>INDEX(LINEST(L212:L271,M212:T271,TRUE,TRUE),1,4)</f>
        <v/>
      </c>
      <c r="AG271" s="9">
        <f>INDEX(LINEST(L212:L271,M212:T271,TRUE,TRUE),1,3)</f>
        <v/>
      </c>
      <c r="AH271" s="9">
        <f>INDEX(LINEST(L212:L271,M212:T271,TRUE,TRUE),1,2)</f>
        <v/>
      </c>
      <c r="AI271" s="9">
        <f>INDEX(LINEST(L212:L271,M212:T271,TRUE,TRUE),1,1)</f>
        <v/>
      </c>
      <c r="AJ271" s="10">
        <f>INDEX(LINEST(L212:L271,M212:T271,TRUE,TRUE),3,1)</f>
        <v/>
      </c>
      <c r="AK271" s="9">
        <f>AA270/12+AB270*M271+AC270*N271+AD270*O271+AE270*P271+AF270*Q271+AG270*R271+AH270*S271+AI270*T271</f>
        <v/>
      </c>
      <c r="AL271" s="9">
        <f>AVERAGE(L211:L270)</f>
        <v/>
      </c>
    </row>
    <row r="272">
      <c r="A272" s="7" t="n">
        <v>45838</v>
      </c>
      <c r="B272" s="8" t="n">
        <v>3287.45</v>
      </c>
      <c r="C272" s="8" t="n">
        <v>2.29</v>
      </c>
      <c r="D272" s="8" t="n">
        <v>1.95</v>
      </c>
      <c r="E272" s="8" t="n">
        <v>96.879997</v>
      </c>
      <c r="F272" s="8" t="n">
        <v>66.3</v>
      </c>
      <c r="G272" s="8" t="n">
        <v>16.73</v>
      </c>
      <c r="H272" s="8" t="n">
        <v>90.260002</v>
      </c>
      <c r="I272" s="8" t="n">
        <v>6204.950195</v>
      </c>
      <c r="J272" s="8" t="n">
        <v>95.367531</v>
      </c>
      <c r="L272" s="9">
        <f>LN(B272/B271)</f>
        <v/>
      </c>
      <c r="M272" s="9">
        <f>$M$1*(C272-C271)</f>
        <v/>
      </c>
      <c r="N272" s="9">
        <f>$N$1*(D272-D271)</f>
        <v/>
      </c>
      <c r="O272" s="9">
        <f>$O$1*LN(E272/E271)</f>
        <v/>
      </c>
      <c r="P272" s="9">
        <f>$P$1*LN(F272/F271)</f>
        <v/>
      </c>
      <c r="Q272" s="9">
        <f>$Q$1*(G272-G271)</f>
        <v/>
      </c>
      <c r="R272" s="9">
        <f>$R$1*(H272-H271)</f>
        <v/>
      </c>
      <c r="S272" s="9">
        <f>$S$1*LN(I272/I271)</f>
        <v/>
      </c>
      <c r="T272" s="9">
        <f>$T$1*LN(J272/J271)</f>
        <v/>
      </c>
      <c r="U272" s="9">
        <f>$W$12+$W$4*M272+$W$5*N272+$W$6*O272+$W$7*P272+$W$8*Q272+$W$9*R272+$W$10*S272+$W$11*T272</f>
        <v/>
      </c>
      <c r="AA272" s="10">
        <f>INDEX(LINEST(L213:L272,M213:T272,TRUE,TRUE),1,9)*12</f>
        <v/>
      </c>
      <c r="AB272" s="9">
        <f>INDEX(LINEST(L213:L272,M213:T272,TRUE,TRUE),1,8)</f>
        <v/>
      </c>
      <c r="AC272" s="9">
        <f>INDEX(LINEST(L213:L272,M213:T272,TRUE,TRUE),1,7)</f>
        <v/>
      </c>
      <c r="AD272" s="9">
        <f>INDEX(LINEST(L213:L272,M213:T272,TRUE,TRUE),1,6)</f>
        <v/>
      </c>
      <c r="AE272" s="9">
        <f>INDEX(LINEST(L213:L272,M213:T272,TRUE,TRUE),1,5)</f>
        <v/>
      </c>
      <c r="AF272" s="9">
        <f>INDEX(LINEST(L213:L272,M213:T272,TRUE,TRUE),1,4)</f>
        <v/>
      </c>
      <c r="AG272" s="9">
        <f>INDEX(LINEST(L213:L272,M213:T272,TRUE,TRUE),1,3)</f>
        <v/>
      </c>
      <c r="AH272" s="9">
        <f>INDEX(LINEST(L213:L272,M213:T272,TRUE,TRUE),1,2)</f>
        <v/>
      </c>
      <c r="AI272" s="9">
        <f>INDEX(LINEST(L213:L272,M213:T272,TRUE,TRUE),1,1)</f>
        <v/>
      </c>
      <c r="AJ272" s="10">
        <f>INDEX(LINEST(L213:L272,M213:T272,TRUE,TRUE),3,1)</f>
        <v/>
      </c>
      <c r="AK272" s="9">
        <f>AA271/12+AB271*M272+AC271*N272+AD271*O272+AE271*P272+AF271*Q272+AG271*R272+AH271*S272+AI271*T272</f>
        <v/>
      </c>
      <c r="AL272" s="9">
        <f>AVERAGE(L212:L271)</f>
        <v/>
      </c>
    </row>
    <row r="273">
      <c r="A273" s="7" t="n">
        <v>45869</v>
      </c>
      <c r="B273" s="8" t="n">
        <v>3298.85</v>
      </c>
      <c r="C273" s="8" t="n">
        <v>2.39</v>
      </c>
      <c r="D273" s="8" t="n">
        <v>1.98</v>
      </c>
      <c r="E273" s="8" t="n">
        <v>100.029999</v>
      </c>
      <c r="F273" s="8" t="n">
        <v>70.36</v>
      </c>
      <c r="G273" s="8" t="n">
        <v>16.72</v>
      </c>
      <c r="H273" s="8" t="n">
        <v>79.839996</v>
      </c>
      <c r="I273" s="8" t="n">
        <v>6339.390137</v>
      </c>
      <c r="J273" s="8" t="n">
        <v>95.115814</v>
      </c>
      <c r="L273" s="9">
        <f>LN(B273/B272)</f>
        <v/>
      </c>
      <c r="M273" s="9">
        <f>$M$1*(C273-C272)</f>
        <v/>
      </c>
      <c r="N273" s="9">
        <f>$N$1*(D273-D272)</f>
        <v/>
      </c>
      <c r="O273" s="9">
        <f>$O$1*LN(E273/E272)</f>
        <v/>
      </c>
      <c r="P273" s="9">
        <f>$P$1*LN(F273/F272)</f>
        <v/>
      </c>
      <c r="Q273" s="9">
        <f>$Q$1*(G273-G272)</f>
        <v/>
      </c>
      <c r="R273" s="9">
        <f>$R$1*(H273-H272)</f>
        <v/>
      </c>
      <c r="S273" s="9">
        <f>$S$1*LN(I273/I272)</f>
        <v/>
      </c>
      <c r="T273" s="9">
        <f>$T$1*LN(J273/J272)</f>
        <v/>
      </c>
      <c r="U273" s="9">
        <f>$W$12+$W$4*M273+$W$5*N273+$W$6*O273+$W$7*P273+$W$8*Q273+$W$9*R273+$W$10*S273+$W$11*T273</f>
        <v/>
      </c>
      <c r="AA273" s="10">
        <f>INDEX(LINEST(L214:L273,M214:T273,TRUE,TRUE),1,9)*12</f>
        <v/>
      </c>
      <c r="AB273" s="9">
        <f>INDEX(LINEST(L214:L273,M214:T273,TRUE,TRUE),1,8)</f>
        <v/>
      </c>
      <c r="AC273" s="9">
        <f>INDEX(LINEST(L214:L273,M214:T273,TRUE,TRUE),1,7)</f>
        <v/>
      </c>
      <c r="AD273" s="9">
        <f>INDEX(LINEST(L214:L273,M214:T273,TRUE,TRUE),1,6)</f>
        <v/>
      </c>
      <c r="AE273" s="9">
        <f>INDEX(LINEST(L214:L273,M214:T273,TRUE,TRUE),1,5)</f>
        <v/>
      </c>
      <c r="AF273" s="9">
        <f>INDEX(LINEST(L214:L273,M214:T273,TRUE,TRUE),1,4)</f>
        <v/>
      </c>
      <c r="AG273" s="9">
        <f>INDEX(LINEST(L214:L273,M214:T273,TRUE,TRUE),1,3)</f>
        <v/>
      </c>
      <c r="AH273" s="9">
        <f>INDEX(LINEST(L214:L273,M214:T273,TRUE,TRUE),1,2)</f>
        <v/>
      </c>
      <c r="AI273" s="9">
        <f>INDEX(LINEST(L214:L273,M214:T273,TRUE,TRUE),1,1)</f>
        <v/>
      </c>
      <c r="AJ273" s="10">
        <f>INDEX(LINEST(L214:L273,M214:T273,TRUE,TRUE),3,1)</f>
        <v/>
      </c>
      <c r="AK273" s="9">
        <f>AA272/12+AB272*M273+AC272*N273+AD272*O273+AE272*P273+AF272*Q273+AG272*R273+AH272*S273+AI272*T273</f>
        <v/>
      </c>
      <c r="AL273" s="9">
        <f>AVERAGE(L213:L272)</f>
        <v/>
      </c>
    </row>
    <row r="274">
      <c r="A274" s="7" t="n">
        <v>45900</v>
      </c>
      <c r="B274" s="8" t="n">
        <v>3429.15</v>
      </c>
      <c r="C274" s="8" t="n">
        <v>2.41</v>
      </c>
      <c r="D274" s="8" t="n">
        <v>1.82</v>
      </c>
      <c r="E274" s="8" t="n">
        <v>97.769997</v>
      </c>
      <c r="F274" s="8" t="n">
        <v>64.36</v>
      </c>
      <c r="G274" s="8" t="n">
        <v>15.36</v>
      </c>
      <c r="H274" s="8" t="n">
        <v>79.389999</v>
      </c>
      <c r="I274" s="8" t="n">
        <v>6460.259766</v>
      </c>
      <c r="J274" s="8" t="n">
        <v>96.24803900000001</v>
      </c>
      <c r="L274" s="9">
        <f>LN(B274/B273)</f>
        <v/>
      </c>
      <c r="M274" s="9">
        <f>$M$1*(C274-C273)</f>
        <v/>
      </c>
      <c r="N274" s="9">
        <f>$N$1*(D274-D273)</f>
        <v/>
      </c>
      <c r="O274" s="9">
        <f>$O$1*LN(E274/E273)</f>
        <v/>
      </c>
      <c r="P274" s="9">
        <f>$P$1*LN(F274/F273)</f>
        <v/>
      </c>
      <c r="Q274" s="9">
        <f>$Q$1*(G274-G273)</f>
        <v/>
      </c>
      <c r="R274" s="9">
        <f>$R$1*(H274-H273)</f>
        <v/>
      </c>
      <c r="S274" s="9">
        <f>$S$1*LN(I274/I273)</f>
        <v/>
      </c>
      <c r="T274" s="9">
        <f>$T$1*LN(J274/J273)</f>
        <v/>
      </c>
      <c r="U274" s="9">
        <f>$W$12+$W$4*M274+$W$5*N274+$W$6*O274+$W$7*P274+$W$8*Q274+$W$9*R274+$W$10*S274+$W$11*T274</f>
        <v/>
      </c>
      <c r="AA274" s="10">
        <f>INDEX(LINEST(L215:L274,M215:T274,TRUE,TRUE),1,9)*12</f>
        <v/>
      </c>
      <c r="AB274" s="9">
        <f>INDEX(LINEST(L215:L274,M215:T274,TRUE,TRUE),1,8)</f>
        <v/>
      </c>
      <c r="AC274" s="9">
        <f>INDEX(LINEST(L215:L274,M215:T274,TRUE,TRUE),1,7)</f>
        <v/>
      </c>
      <c r="AD274" s="9">
        <f>INDEX(LINEST(L215:L274,M215:T274,TRUE,TRUE),1,6)</f>
        <v/>
      </c>
      <c r="AE274" s="9">
        <f>INDEX(LINEST(L215:L274,M215:T274,TRUE,TRUE),1,5)</f>
        <v/>
      </c>
      <c r="AF274" s="9">
        <f>INDEX(LINEST(L215:L274,M215:T274,TRUE,TRUE),1,4)</f>
        <v/>
      </c>
      <c r="AG274" s="9">
        <f>INDEX(LINEST(L215:L274,M215:T274,TRUE,TRUE),1,3)</f>
        <v/>
      </c>
      <c r="AH274" s="9">
        <f>INDEX(LINEST(L215:L274,M215:T274,TRUE,TRUE),1,2)</f>
        <v/>
      </c>
      <c r="AI274" s="9">
        <f>INDEX(LINEST(L215:L274,M215:T274,TRUE,TRUE),1,1)</f>
        <v/>
      </c>
      <c r="AJ274" s="10">
        <f>INDEX(LINEST(L215:L274,M215:T274,TRUE,TRUE),3,1)</f>
        <v/>
      </c>
      <c r="AK274" s="9">
        <f>AA273/12+AB273*M274+AC273*N274+AD273*O274+AE273*P274+AF273*Q274+AG273*R274+AH273*S274+AI273*T274</f>
        <v/>
      </c>
      <c r="AL274" s="9">
        <f>AVERAGE(L214:L273)</f>
        <v/>
      </c>
    </row>
    <row r="275">
      <c r="A275" s="7" t="n">
        <v>45930</v>
      </c>
      <c r="B275" s="8" t="n">
        <v>3825.3</v>
      </c>
      <c r="C275" s="8" t="n">
        <v>2.36</v>
      </c>
      <c r="D275" s="8" t="n">
        <v>1.8</v>
      </c>
      <c r="E275" s="8" t="n">
        <v>97.769997</v>
      </c>
      <c r="F275" s="8" t="n">
        <v>63.17</v>
      </c>
      <c r="G275" s="8" t="n">
        <v>16.28</v>
      </c>
      <c r="H275" s="8" t="n">
        <v>77.93000000000001</v>
      </c>
      <c r="I275" s="8" t="n">
        <v>6688.459961</v>
      </c>
      <c r="J275" s="8" t="n">
        <v>97.33251199999999</v>
      </c>
      <c r="L275" s="9">
        <f>LN(B275/B274)</f>
        <v/>
      </c>
      <c r="M275" s="9">
        <f>$M$1*(C275-C274)</f>
        <v/>
      </c>
      <c r="N275" s="9">
        <f>$N$1*(D275-D274)</f>
        <v/>
      </c>
      <c r="O275" s="9">
        <f>$O$1*LN(E275/E274)</f>
        <v/>
      </c>
      <c r="P275" s="9">
        <f>$P$1*LN(F275/F274)</f>
        <v/>
      </c>
      <c r="Q275" s="9">
        <f>$Q$1*(G275-G274)</f>
        <v/>
      </c>
      <c r="R275" s="9">
        <f>$R$1*(H275-H274)</f>
        <v/>
      </c>
      <c r="S275" s="9">
        <f>$S$1*LN(I275/I274)</f>
        <v/>
      </c>
      <c r="T275" s="9">
        <f>$T$1*LN(J275/J274)</f>
        <v/>
      </c>
      <c r="U275" s="9">
        <f>$W$12+$W$4*M275+$W$5*N275+$W$6*O275+$W$7*P275+$W$8*Q275+$W$9*R275+$W$10*S275+$W$11*T275</f>
        <v/>
      </c>
      <c r="AA275" s="10">
        <f>INDEX(LINEST(L216:L275,M216:T275,TRUE,TRUE),1,9)*12</f>
        <v/>
      </c>
      <c r="AB275" s="9">
        <f>INDEX(LINEST(L216:L275,M216:T275,TRUE,TRUE),1,8)</f>
        <v/>
      </c>
      <c r="AC275" s="9">
        <f>INDEX(LINEST(L216:L275,M216:T275,TRUE,TRUE),1,7)</f>
        <v/>
      </c>
      <c r="AD275" s="9">
        <f>INDEX(LINEST(L216:L275,M216:T275,TRUE,TRUE),1,6)</f>
        <v/>
      </c>
      <c r="AE275" s="9">
        <f>INDEX(LINEST(L216:L275,M216:T275,TRUE,TRUE),1,5)</f>
        <v/>
      </c>
      <c r="AF275" s="9">
        <f>INDEX(LINEST(L216:L275,M216:T275,TRUE,TRUE),1,4)</f>
        <v/>
      </c>
      <c r="AG275" s="9">
        <f>INDEX(LINEST(L216:L275,M216:T275,TRUE,TRUE),1,3)</f>
        <v/>
      </c>
      <c r="AH275" s="9">
        <f>INDEX(LINEST(L216:L275,M216:T275,TRUE,TRUE),1,2)</f>
        <v/>
      </c>
      <c r="AI275" s="9">
        <f>INDEX(LINEST(L216:L275,M216:T275,TRUE,TRUE),1,1)</f>
        <v/>
      </c>
      <c r="AJ275" s="10">
        <f>INDEX(LINEST(L216:L275,M216:T275,TRUE,TRUE),3,1)</f>
        <v/>
      </c>
      <c r="AK275" s="9">
        <f>AA274/12+AB274*M275+AC274*N275+AD274*O275+AE274*P275+AF274*Q275+AG274*R275+AH274*S275+AI274*T275</f>
        <v/>
      </c>
      <c r="AL275" s="9">
        <f>AVERAGE(L215:L274)</f>
        <v/>
      </c>
    </row>
    <row r="276">
      <c r="A276" s="7" t="n">
        <v>45961</v>
      </c>
      <c r="B276" s="8" t="n">
        <v>4011.5</v>
      </c>
      <c r="C276" s="8" t="n">
        <v>2.3</v>
      </c>
      <c r="D276" s="8" t="n">
        <v>1.81</v>
      </c>
      <c r="E276" s="8" t="n">
        <v>99.800003</v>
      </c>
      <c r="F276" s="8" t="n">
        <v>61.75</v>
      </c>
      <c r="G276" s="8" t="n">
        <v>17.44</v>
      </c>
      <c r="H276" s="8" t="n">
        <v>66.610001</v>
      </c>
      <c r="I276" s="8" t="n">
        <v>6840.200195</v>
      </c>
      <c r="J276" s="8" t="n">
        <v>97.93156399999999</v>
      </c>
      <c r="L276" s="9">
        <f>LN(B276/B275)</f>
        <v/>
      </c>
      <c r="M276" s="9">
        <f>$M$1*(C276-C275)</f>
        <v/>
      </c>
      <c r="N276" s="9">
        <f>$N$1*(D276-D275)</f>
        <v/>
      </c>
      <c r="O276" s="9">
        <f>$O$1*LN(E276/E275)</f>
        <v/>
      </c>
      <c r="P276" s="9">
        <f>$P$1*LN(F276/F275)</f>
        <v/>
      </c>
      <c r="Q276" s="9">
        <f>$Q$1*(G276-G275)</f>
        <v/>
      </c>
      <c r="R276" s="9">
        <f>$R$1*(H276-H275)</f>
        <v/>
      </c>
      <c r="S276" s="9">
        <f>$S$1*LN(I276/I275)</f>
        <v/>
      </c>
      <c r="T276" s="9">
        <f>$T$1*LN(J276/J275)</f>
        <v/>
      </c>
      <c r="U276" s="9">
        <f>$W$12+$W$4*M276+$W$5*N276+$W$6*O276+$W$7*P276+$W$8*Q276+$W$9*R276+$W$10*S276+$W$11*T276</f>
        <v/>
      </c>
      <c r="AA276" s="10">
        <f>INDEX(LINEST(L217:L276,M217:T276,TRUE,TRUE),1,9)*12</f>
        <v/>
      </c>
      <c r="AB276" s="9">
        <f>INDEX(LINEST(L217:L276,M217:T276,TRUE,TRUE),1,8)</f>
        <v/>
      </c>
      <c r="AC276" s="9">
        <f>INDEX(LINEST(L217:L276,M217:T276,TRUE,TRUE),1,7)</f>
        <v/>
      </c>
      <c r="AD276" s="9">
        <f>INDEX(LINEST(L217:L276,M217:T276,TRUE,TRUE),1,6)</f>
        <v/>
      </c>
      <c r="AE276" s="9">
        <f>INDEX(LINEST(L217:L276,M217:T276,TRUE,TRUE),1,5)</f>
        <v/>
      </c>
      <c r="AF276" s="9">
        <f>INDEX(LINEST(L217:L276,M217:T276,TRUE,TRUE),1,4)</f>
        <v/>
      </c>
      <c r="AG276" s="9">
        <f>INDEX(LINEST(L217:L276,M217:T276,TRUE,TRUE),1,3)</f>
        <v/>
      </c>
      <c r="AH276" s="9">
        <f>INDEX(LINEST(L217:L276,M217:T276,TRUE,TRUE),1,2)</f>
        <v/>
      </c>
      <c r="AI276" s="9">
        <f>INDEX(LINEST(L217:L276,M217:T276,TRUE,TRUE),1,1)</f>
        <v/>
      </c>
      <c r="AJ276" s="10">
        <f>INDEX(LINEST(L217:L276,M217:T276,TRUE,TRUE),3,1)</f>
        <v/>
      </c>
      <c r="AK276" s="9">
        <f>AA275/12+AB275*M276+AC275*N276+AD275*O276+AE275*P276+AF275*Q276+AG275*R276+AH275*S276+AI275*T276</f>
        <v/>
      </c>
      <c r="AL276" s="9">
        <f>AVERAGE(L216:L275)</f>
        <v/>
      </c>
    </row>
    <row r="277">
      <c r="A277" s="7" t="n">
        <v>45991</v>
      </c>
      <c r="B277" s="8" t="n">
        <v>4191.05</v>
      </c>
      <c r="C277" s="8" t="n">
        <v>2.23</v>
      </c>
      <c r="D277" s="8" t="n">
        <v>1.79</v>
      </c>
      <c r="E277" s="8" t="n">
        <v>99.459999</v>
      </c>
      <c r="F277" s="8" t="n">
        <v>58.58</v>
      </c>
      <c r="G277" s="8" t="n">
        <v>16.35</v>
      </c>
      <c r="H277" s="8" t="n">
        <v>68.949997</v>
      </c>
      <c r="I277" s="8" t="n">
        <v>6849.089844</v>
      </c>
      <c r="J277" s="8" t="n">
        <v>98.524742</v>
      </c>
      <c r="L277" s="9">
        <f>LN(B277/B276)</f>
        <v/>
      </c>
      <c r="M277" s="9">
        <f>$M$1*(C277-C276)</f>
        <v/>
      </c>
      <c r="N277" s="9">
        <f>$N$1*(D277-D276)</f>
        <v/>
      </c>
      <c r="O277" s="9">
        <f>$O$1*LN(E277/E276)</f>
        <v/>
      </c>
      <c r="P277" s="9">
        <f>$P$1*LN(F277/F276)</f>
        <v/>
      </c>
      <c r="Q277" s="9">
        <f>$Q$1*(G277-G276)</f>
        <v/>
      </c>
      <c r="R277" s="9">
        <f>$R$1*(H277-H276)</f>
        <v/>
      </c>
      <c r="S277" s="9">
        <f>$S$1*LN(I277/I276)</f>
        <v/>
      </c>
      <c r="T277" s="9">
        <f>$T$1*LN(J277/J276)</f>
        <v/>
      </c>
      <c r="U277" s="9">
        <f>$W$12+$W$4*M277+$W$5*N277+$W$6*O277+$W$7*P277+$W$8*Q277+$W$9*R277+$W$10*S277+$W$11*T277</f>
        <v/>
      </c>
      <c r="AA277" s="10">
        <f>INDEX(LINEST(L218:L277,M218:T277,TRUE,TRUE),1,9)*12</f>
        <v/>
      </c>
      <c r="AB277" s="9">
        <f>INDEX(LINEST(L218:L277,M218:T277,TRUE,TRUE),1,8)</f>
        <v/>
      </c>
      <c r="AC277" s="9">
        <f>INDEX(LINEST(L218:L277,M218:T277,TRUE,TRUE),1,7)</f>
        <v/>
      </c>
      <c r="AD277" s="9">
        <f>INDEX(LINEST(L218:L277,M218:T277,TRUE,TRUE),1,6)</f>
        <v/>
      </c>
      <c r="AE277" s="9">
        <f>INDEX(LINEST(L218:L277,M218:T277,TRUE,TRUE),1,5)</f>
        <v/>
      </c>
      <c r="AF277" s="9">
        <f>INDEX(LINEST(L218:L277,M218:T277,TRUE,TRUE),1,4)</f>
        <v/>
      </c>
      <c r="AG277" s="9">
        <f>INDEX(LINEST(L218:L277,M218:T277,TRUE,TRUE),1,3)</f>
        <v/>
      </c>
      <c r="AH277" s="9">
        <f>INDEX(LINEST(L218:L277,M218:T277,TRUE,TRUE),1,2)</f>
        <v/>
      </c>
      <c r="AI277" s="9">
        <f>INDEX(LINEST(L218:L277,M218:T277,TRUE,TRUE),1,1)</f>
        <v/>
      </c>
      <c r="AJ277" s="10">
        <f>INDEX(LINEST(L218:L277,M218:T277,TRUE,TRUE),3,1)</f>
        <v/>
      </c>
      <c r="AK277" s="9">
        <f>AA276/12+AB276*M277+AC276*N277+AD276*O277+AE276*P277+AF276*Q277+AG276*R277+AH276*S277+AI276*T277</f>
        <v/>
      </c>
      <c r="AL277" s="9">
        <f>AVERAGE(L217:L276)</f>
        <v/>
      </c>
    </row>
    <row r="278">
      <c r="A278" s="7" t="n">
        <v>46022</v>
      </c>
      <c r="B278" s="8" t="n">
        <v>4367.8</v>
      </c>
      <c r="C278" s="8" t="n">
        <v>2.25</v>
      </c>
      <c r="D278" s="8" t="n">
        <v>1.93</v>
      </c>
      <c r="E278" s="8" t="n">
        <v>98.279999</v>
      </c>
      <c r="F278" s="8" t="n">
        <v>57.26</v>
      </c>
      <c r="G278" s="8" t="n">
        <v>14.95</v>
      </c>
      <c r="H278" s="8" t="n">
        <v>63.959999</v>
      </c>
      <c r="I278" s="8" t="n">
        <v>6845.5</v>
      </c>
      <c r="J278" s="8" t="n">
        <v>98.249886</v>
      </c>
      <c r="L278" s="9">
        <f>LN(B278/B277)</f>
        <v/>
      </c>
      <c r="M278" s="9">
        <f>$M$1*(C278-C277)</f>
        <v/>
      </c>
      <c r="N278" s="9">
        <f>$N$1*(D278-D277)</f>
        <v/>
      </c>
      <c r="O278" s="9">
        <f>$O$1*LN(E278/E277)</f>
        <v/>
      </c>
      <c r="P278" s="9">
        <f>$P$1*LN(F278/F277)</f>
        <v/>
      </c>
      <c r="Q278" s="9">
        <f>$Q$1*(G278-G277)</f>
        <v/>
      </c>
      <c r="R278" s="9">
        <f>$R$1*(H278-H277)</f>
        <v/>
      </c>
      <c r="S278" s="9">
        <f>$S$1*LN(I278/I277)</f>
        <v/>
      </c>
      <c r="T278" s="9">
        <f>$T$1*LN(J278/J277)</f>
        <v/>
      </c>
      <c r="U278" s="9">
        <f>$W$12+$W$4*M278+$W$5*N278+$W$6*O278+$W$7*P278+$W$8*Q278+$W$9*R278+$W$10*S278+$W$11*T278</f>
        <v/>
      </c>
      <c r="AA278" s="10">
        <f>INDEX(LINEST(L219:L278,M219:T278,TRUE,TRUE),1,9)*12</f>
        <v/>
      </c>
      <c r="AB278" s="9">
        <f>INDEX(LINEST(L219:L278,M219:T278,TRUE,TRUE),1,8)</f>
        <v/>
      </c>
      <c r="AC278" s="9">
        <f>INDEX(LINEST(L219:L278,M219:T278,TRUE,TRUE),1,7)</f>
        <v/>
      </c>
      <c r="AD278" s="9">
        <f>INDEX(LINEST(L219:L278,M219:T278,TRUE,TRUE),1,6)</f>
        <v/>
      </c>
      <c r="AE278" s="9">
        <f>INDEX(LINEST(L219:L278,M219:T278,TRUE,TRUE),1,5)</f>
        <v/>
      </c>
      <c r="AF278" s="9">
        <f>INDEX(LINEST(L219:L278,M219:T278,TRUE,TRUE),1,4)</f>
        <v/>
      </c>
      <c r="AG278" s="9">
        <f>INDEX(LINEST(L219:L278,M219:T278,TRUE,TRUE),1,3)</f>
        <v/>
      </c>
      <c r="AH278" s="9">
        <f>INDEX(LINEST(L219:L278,M219:T278,TRUE,TRUE),1,2)</f>
        <v/>
      </c>
      <c r="AI278" s="9">
        <f>INDEX(LINEST(L219:L278,M219:T278,TRUE,TRUE),1,1)</f>
        <v/>
      </c>
      <c r="AJ278" s="10">
        <f>INDEX(LINEST(L219:L278,M219:T278,TRUE,TRUE),3,1)</f>
        <v/>
      </c>
      <c r="AK278" s="9">
        <f>AA277/12+AB277*M278+AC277*N278+AD277*O278+AE277*P278+AF277*Q278+AG277*R278+AH277*S278+AI277*T278</f>
        <v/>
      </c>
      <c r="AL278" s="9">
        <f>AVERAGE(L218:L277)</f>
        <v/>
      </c>
    </row>
    <row r="279">
      <c r="A279" s="7" t="n">
        <v>46053</v>
      </c>
      <c r="B279" s="8" t="n">
        <v>4981.85</v>
      </c>
      <c r="C279" s="8" t="n">
        <v>2.36</v>
      </c>
      <c r="D279" s="8" t="n">
        <v>1.9</v>
      </c>
      <c r="E279" s="8" t="n">
        <v>96.989998</v>
      </c>
      <c r="F279" s="8" t="n">
        <v>64.5</v>
      </c>
      <c r="G279" s="8" t="n">
        <v>17.44</v>
      </c>
      <c r="H279" s="8" t="n">
        <v>59.200001</v>
      </c>
      <c r="I279" s="8" t="n">
        <v>6939.029785</v>
      </c>
      <c r="J279" s="8" t="n">
        <v>98.495789</v>
      </c>
      <c r="L279" s="9">
        <f>LN(B279/B278)</f>
        <v/>
      </c>
      <c r="M279" s="9">
        <f>$M$1*(C279-C278)</f>
        <v/>
      </c>
      <c r="N279" s="9">
        <f>$N$1*(D279-D278)</f>
        <v/>
      </c>
      <c r="O279" s="9">
        <f>$O$1*LN(E279/E278)</f>
        <v/>
      </c>
      <c r="P279" s="9">
        <f>$P$1*LN(F279/F278)</f>
        <v/>
      </c>
      <c r="Q279" s="9">
        <f>$Q$1*(G279-G278)</f>
        <v/>
      </c>
      <c r="R279" s="9">
        <f>$R$1*(H279-H278)</f>
        <v/>
      </c>
      <c r="S279" s="9">
        <f>$S$1*LN(I279/I278)</f>
        <v/>
      </c>
      <c r="T279" s="9">
        <f>$T$1*LN(J279/J278)</f>
        <v/>
      </c>
      <c r="U279" s="9">
        <f>$W$12+$W$4*M279+$W$5*N279+$W$6*O279+$W$7*P279+$W$8*Q279+$W$9*R279+$W$10*S279+$W$11*T279</f>
        <v/>
      </c>
      <c r="AA279" s="10">
        <f>INDEX(LINEST(L220:L279,M220:T279,TRUE,TRUE),1,9)*12</f>
        <v/>
      </c>
      <c r="AB279" s="9">
        <f>INDEX(LINEST(L220:L279,M220:T279,TRUE,TRUE),1,8)</f>
        <v/>
      </c>
      <c r="AC279" s="9">
        <f>INDEX(LINEST(L220:L279,M220:T279,TRUE,TRUE),1,7)</f>
        <v/>
      </c>
      <c r="AD279" s="9">
        <f>INDEX(LINEST(L220:L279,M220:T279,TRUE,TRUE),1,6)</f>
        <v/>
      </c>
      <c r="AE279" s="9">
        <f>INDEX(LINEST(L220:L279,M220:T279,TRUE,TRUE),1,5)</f>
        <v/>
      </c>
      <c r="AF279" s="9">
        <f>INDEX(LINEST(L220:L279,M220:T279,TRUE,TRUE),1,4)</f>
        <v/>
      </c>
      <c r="AG279" s="9">
        <f>INDEX(LINEST(L220:L279,M220:T279,TRUE,TRUE),1,3)</f>
        <v/>
      </c>
      <c r="AH279" s="9">
        <f>INDEX(LINEST(L220:L279,M220:T279,TRUE,TRUE),1,2)</f>
        <v/>
      </c>
      <c r="AI279" s="9">
        <f>INDEX(LINEST(L220:L279,M220:T279,TRUE,TRUE),1,1)</f>
        <v/>
      </c>
      <c r="AJ279" s="10">
        <f>INDEX(LINEST(L220:L279,M220:T279,TRUE,TRUE),3,1)</f>
        <v/>
      </c>
      <c r="AK279" s="9">
        <f>AA278/12+AB278*M279+AC278*N279+AD278*O279+AE278*P279+AF278*Q279+AG278*R279+AH278*S279+AI278*T279</f>
        <v/>
      </c>
      <c r="AL279" s="9">
        <f>AVERAGE(L219:L278)</f>
        <v/>
      </c>
    </row>
    <row r="280">
      <c r="A280" s="7" t="n">
        <v>46081</v>
      </c>
      <c r="B280" s="8" t="n">
        <v>5222.3</v>
      </c>
      <c r="C280" s="8" t="n">
        <v>2.25</v>
      </c>
      <c r="D280" s="8" t="n">
        <v>1.72</v>
      </c>
      <c r="E280" s="8" t="n">
        <v>97.610001</v>
      </c>
      <c r="F280" s="8" t="n">
        <v>66.95999999999999</v>
      </c>
      <c r="G280" s="8" t="n">
        <v>19.86</v>
      </c>
      <c r="H280" s="8" t="n">
        <v>73.379997</v>
      </c>
      <c r="I280" s="8" t="n">
        <v>6878.879883</v>
      </c>
      <c r="J280" s="8" t="n">
        <v>100.069878</v>
      </c>
      <c r="L280" s="9">
        <f>LN(B280/B279)</f>
        <v/>
      </c>
      <c r="M280" s="9">
        <f>$M$1*(C280-C279)</f>
        <v/>
      </c>
      <c r="N280" s="9">
        <f>$N$1*(D280-D279)</f>
        <v/>
      </c>
      <c r="O280" s="9">
        <f>$O$1*LN(E280/E279)</f>
        <v/>
      </c>
      <c r="P280" s="9">
        <f>$P$1*LN(F280/F279)</f>
        <v/>
      </c>
      <c r="Q280" s="9">
        <f>$Q$1*(G280-G279)</f>
        <v/>
      </c>
      <c r="R280" s="9">
        <f>$R$1*(H280-H279)</f>
        <v/>
      </c>
      <c r="S280" s="9">
        <f>$S$1*LN(I280/I279)</f>
        <v/>
      </c>
      <c r="T280" s="9">
        <f>$T$1*LN(J280/J279)</f>
        <v/>
      </c>
      <c r="U280" s="9">
        <f>$W$12+$W$4*M280+$W$5*N280+$W$6*O280+$W$7*P280+$W$8*Q280+$W$9*R280+$W$10*S280+$W$11*T280</f>
        <v/>
      </c>
      <c r="AA280" s="10">
        <f>INDEX(LINEST(L221:L280,M221:T280,TRUE,TRUE),1,9)*12</f>
        <v/>
      </c>
      <c r="AB280" s="9">
        <f>INDEX(LINEST(L221:L280,M221:T280,TRUE,TRUE),1,8)</f>
        <v/>
      </c>
      <c r="AC280" s="9">
        <f>INDEX(LINEST(L221:L280,M221:T280,TRUE,TRUE),1,7)</f>
        <v/>
      </c>
      <c r="AD280" s="9">
        <f>INDEX(LINEST(L221:L280,M221:T280,TRUE,TRUE),1,6)</f>
        <v/>
      </c>
      <c r="AE280" s="9">
        <f>INDEX(LINEST(L221:L280,M221:T280,TRUE,TRUE),1,5)</f>
        <v/>
      </c>
      <c r="AF280" s="9">
        <f>INDEX(LINEST(L221:L280,M221:T280,TRUE,TRUE),1,4)</f>
        <v/>
      </c>
      <c r="AG280" s="9">
        <f>INDEX(LINEST(L221:L280,M221:T280,TRUE,TRUE),1,3)</f>
        <v/>
      </c>
      <c r="AH280" s="9">
        <f>INDEX(LINEST(L221:L280,M221:T280,TRUE,TRUE),1,2)</f>
        <v/>
      </c>
      <c r="AI280" s="9">
        <f>INDEX(LINEST(L221:L280,M221:T280,TRUE,TRUE),1,1)</f>
        <v/>
      </c>
      <c r="AJ280" s="10">
        <f>INDEX(LINEST(L221:L280,M221:T280,TRUE,TRUE),3,1)</f>
        <v/>
      </c>
      <c r="AK280" s="9">
        <f>AA279/12+AB279*M280+AC279*N280+AD279*O280+AE279*P280+AF279*Q280+AG279*R280+AH279*S280+AI279*T280</f>
        <v/>
      </c>
      <c r="AL280" s="9">
        <f>AVERAGE(L220:L279)</f>
        <v/>
      </c>
    </row>
    <row r="281">
      <c r="A281" s="7" t="n">
        <v>46112</v>
      </c>
      <c r="B281" s="8" t="n">
        <v>4608.35</v>
      </c>
      <c r="C281" s="8" t="n">
        <v>2.3</v>
      </c>
      <c r="D281" s="8" t="n">
        <v>2</v>
      </c>
      <c r="E281" s="8" t="n">
        <v>99.959999</v>
      </c>
      <c r="F281" s="8" t="n">
        <v>102.86</v>
      </c>
      <c r="G281" s="8" t="n">
        <v>25.25</v>
      </c>
      <c r="H281" s="8" t="n">
        <v>96.050003</v>
      </c>
      <c r="I281" s="8" t="n">
        <v>6528.52002</v>
      </c>
      <c r="J281" s="8" t="n">
        <v>98.274078</v>
      </c>
      <c r="L281" s="9">
        <f>LN(B281/B280)</f>
        <v/>
      </c>
      <c r="M281" s="9">
        <f>$M$1*(C281-C280)</f>
        <v/>
      </c>
      <c r="N281" s="9">
        <f>$N$1*(D281-D280)</f>
        <v/>
      </c>
      <c r="O281" s="9">
        <f>$O$1*LN(E281/E280)</f>
        <v/>
      </c>
      <c r="P281" s="9">
        <f>$P$1*LN(F281/F280)</f>
        <v/>
      </c>
      <c r="Q281" s="9">
        <f>$Q$1*(G281-G280)</f>
        <v/>
      </c>
      <c r="R281" s="9">
        <f>$R$1*(H281-H280)</f>
        <v/>
      </c>
      <c r="S281" s="9">
        <f>$S$1*LN(I281/I280)</f>
        <v/>
      </c>
      <c r="T281" s="9">
        <f>$T$1*LN(J281/J280)</f>
        <v/>
      </c>
      <c r="U281" s="9">
        <f>$W$12+$W$4*M281+$W$5*N281+$W$6*O281+$W$7*P281+$W$8*Q281+$W$9*R281+$W$10*S281+$W$11*T281</f>
        <v/>
      </c>
      <c r="AA281" s="10">
        <f>INDEX(LINEST(L222:L281,M222:T281,TRUE,TRUE),1,9)*12</f>
        <v/>
      </c>
      <c r="AB281" s="9">
        <f>INDEX(LINEST(L222:L281,M222:T281,TRUE,TRUE),1,8)</f>
        <v/>
      </c>
      <c r="AC281" s="9">
        <f>INDEX(LINEST(L222:L281,M222:T281,TRUE,TRUE),1,7)</f>
        <v/>
      </c>
      <c r="AD281" s="9">
        <f>INDEX(LINEST(L222:L281,M222:T281,TRUE,TRUE),1,6)</f>
        <v/>
      </c>
      <c r="AE281" s="9">
        <f>INDEX(LINEST(L222:L281,M222:T281,TRUE,TRUE),1,5)</f>
        <v/>
      </c>
      <c r="AF281" s="9">
        <f>INDEX(LINEST(L222:L281,M222:T281,TRUE,TRUE),1,4)</f>
        <v/>
      </c>
      <c r="AG281" s="9">
        <f>INDEX(LINEST(L222:L281,M222:T281,TRUE,TRUE),1,3)</f>
        <v/>
      </c>
      <c r="AH281" s="9">
        <f>INDEX(LINEST(L222:L281,M222:T281,TRUE,TRUE),1,2)</f>
        <v/>
      </c>
      <c r="AI281" s="9">
        <f>INDEX(LINEST(L222:L281,M222:T281,TRUE,TRUE),1,1)</f>
        <v/>
      </c>
      <c r="AJ281" s="10">
        <f>INDEX(LINEST(L222:L281,M222:T281,TRUE,TRUE),3,1)</f>
        <v/>
      </c>
      <c r="AK281" s="9">
        <f>AA280/12+AB280*M281+AC280*N281+AD280*O281+AE280*P281+AF280*Q281+AG280*R281+AH280*S281+AI280*T281</f>
        <v/>
      </c>
      <c r="AL281" s="9">
        <f>AVERAGE(L221:L280)</f>
        <v/>
      </c>
    </row>
    <row r="282">
      <c r="A282" s="7" t="n">
        <v>46142</v>
      </c>
      <c r="B282" s="8" t="n">
        <v>4611.35</v>
      </c>
      <c r="C282" s="8" t="n">
        <v>2.46</v>
      </c>
      <c r="D282" s="8" t="n">
        <v>1.94</v>
      </c>
      <c r="E282" s="8" t="n">
        <v>98.08000199999999</v>
      </c>
      <c r="F282" s="8" t="n">
        <v>108.64</v>
      </c>
      <c r="G282" s="8" t="n">
        <v>16.89</v>
      </c>
      <c r="H282" s="8" t="n">
        <v>72.06999999999999</v>
      </c>
      <c r="I282" s="8" t="n">
        <v>7209.009766</v>
      </c>
      <c r="J282" s="8" t="n">
        <v>98.439964</v>
      </c>
      <c r="L282" s="9">
        <f>LN(B282/B281)</f>
        <v/>
      </c>
      <c r="M282" s="9">
        <f>$M$1*(C282-C281)</f>
        <v/>
      </c>
      <c r="N282" s="9">
        <f>$N$1*(D282-D281)</f>
        <v/>
      </c>
      <c r="O282" s="9">
        <f>$O$1*LN(E282/E281)</f>
        <v/>
      </c>
      <c r="P282" s="9">
        <f>$P$1*LN(F282/F281)</f>
        <v/>
      </c>
      <c r="Q282" s="9">
        <f>$Q$1*(G282-G281)</f>
        <v/>
      </c>
      <c r="R282" s="9">
        <f>$R$1*(H282-H281)</f>
        <v/>
      </c>
      <c r="S282" s="9">
        <f>$S$1*LN(I282/I281)</f>
        <v/>
      </c>
      <c r="T282" s="9">
        <f>$T$1*LN(J282/J281)</f>
        <v/>
      </c>
      <c r="U282" s="9">
        <f>$W$12+$W$4*M282+$W$5*N282+$W$6*O282+$W$7*P282+$W$8*Q282+$W$9*R282+$W$10*S282+$W$11*T282</f>
        <v/>
      </c>
      <c r="AA282" s="10">
        <f>INDEX(LINEST(L223:L282,M223:T282,TRUE,TRUE),1,9)*12</f>
        <v/>
      </c>
      <c r="AB282" s="9">
        <f>INDEX(LINEST(L223:L282,M223:T282,TRUE,TRUE),1,8)</f>
        <v/>
      </c>
      <c r="AC282" s="9">
        <f>INDEX(LINEST(L223:L282,M223:T282,TRUE,TRUE),1,7)</f>
        <v/>
      </c>
      <c r="AD282" s="9">
        <f>INDEX(LINEST(L223:L282,M223:T282,TRUE,TRUE),1,6)</f>
        <v/>
      </c>
      <c r="AE282" s="9">
        <f>INDEX(LINEST(L223:L282,M223:T282,TRUE,TRUE),1,5)</f>
        <v/>
      </c>
      <c r="AF282" s="9">
        <f>INDEX(LINEST(L223:L282,M223:T282,TRUE,TRUE),1,4)</f>
        <v/>
      </c>
      <c r="AG282" s="9">
        <f>INDEX(LINEST(L223:L282,M223:T282,TRUE,TRUE),1,3)</f>
        <v/>
      </c>
      <c r="AH282" s="9">
        <f>INDEX(LINEST(L223:L282,M223:T282,TRUE,TRUE),1,2)</f>
        <v/>
      </c>
      <c r="AI282" s="9">
        <f>INDEX(LINEST(L223:L282,M223:T282,TRUE,TRUE),1,1)</f>
        <v/>
      </c>
      <c r="AJ282" s="10">
        <f>INDEX(LINEST(L223:L282,M223:T282,TRUE,TRUE),3,1)</f>
        <v/>
      </c>
      <c r="AK282" s="9">
        <f>AA281/12+AB281*M282+AC281*N282+AD281*O282+AE281*P282+AF281*Q282+AG281*R282+AH281*S282+AI281*T282</f>
        <v/>
      </c>
      <c r="AL282" s="9">
        <f>AVERAGE(L222:L281)</f>
        <v/>
      </c>
    </row>
    <row r="283">
      <c r="A283" s="7" t="n">
        <v>46173</v>
      </c>
      <c r="B283" s="8" t="n">
        <v>4545.95</v>
      </c>
      <c r="C283" s="8" t="n">
        <v>2.38</v>
      </c>
      <c r="D283" s="8" t="n">
        <v>2.07</v>
      </c>
      <c r="E283" s="8" t="n">
        <v>98.910004</v>
      </c>
      <c r="F283" s="8" t="n">
        <v>91.16</v>
      </c>
      <c r="G283" s="8" t="n">
        <v>15.32</v>
      </c>
      <c r="H283" s="8" t="n">
        <v>70.220001</v>
      </c>
      <c r="I283" s="8" t="n">
        <v>7580.060059</v>
      </c>
      <c r="J283" s="8" t="n">
        <v>98.728996</v>
      </c>
      <c r="L283" s="9">
        <f>LN(B283/B282)</f>
        <v/>
      </c>
      <c r="M283" s="9">
        <f>$M$1*(C283-C282)</f>
        <v/>
      </c>
      <c r="N283" s="9">
        <f>$N$1*(D283-D282)</f>
        <v/>
      </c>
      <c r="O283" s="9">
        <f>$O$1*LN(E283/E282)</f>
        <v/>
      </c>
      <c r="P283" s="9">
        <f>$P$1*LN(F283/F282)</f>
        <v/>
      </c>
      <c r="Q283" s="9">
        <f>$Q$1*(G283-G282)</f>
        <v/>
      </c>
      <c r="R283" s="9">
        <f>$R$1*(H283-H282)</f>
        <v/>
      </c>
      <c r="S283" s="9">
        <f>$S$1*LN(I283/I282)</f>
        <v/>
      </c>
      <c r="T283" s="9">
        <f>$T$1*LN(J283/J282)</f>
        <v/>
      </c>
      <c r="U283" s="9">
        <f>$W$12+$W$4*M283+$W$5*N283+$W$6*O283+$W$7*P283+$W$8*Q283+$W$9*R283+$W$10*S283+$W$11*T283</f>
        <v/>
      </c>
      <c r="AA283" s="10">
        <f>INDEX(LINEST(L224:L283,M224:T283,TRUE,TRUE),1,9)*12</f>
        <v/>
      </c>
      <c r="AB283" s="9">
        <f>INDEX(LINEST(L224:L283,M224:T283,TRUE,TRUE),1,8)</f>
        <v/>
      </c>
      <c r="AC283" s="9">
        <f>INDEX(LINEST(L224:L283,M224:T283,TRUE,TRUE),1,7)</f>
        <v/>
      </c>
      <c r="AD283" s="9">
        <f>INDEX(LINEST(L224:L283,M224:T283,TRUE,TRUE),1,6)</f>
        <v/>
      </c>
      <c r="AE283" s="9">
        <f>INDEX(LINEST(L224:L283,M224:T283,TRUE,TRUE),1,5)</f>
        <v/>
      </c>
      <c r="AF283" s="9">
        <f>INDEX(LINEST(L224:L283,M224:T283,TRUE,TRUE),1,4)</f>
        <v/>
      </c>
      <c r="AG283" s="9">
        <f>INDEX(LINEST(L224:L283,M224:T283,TRUE,TRUE),1,3)</f>
        <v/>
      </c>
      <c r="AH283" s="9">
        <f>INDEX(LINEST(L224:L283,M224:T283,TRUE,TRUE),1,2)</f>
        <v/>
      </c>
      <c r="AI283" s="9">
        <f>INDEX(LINEST(L224:L283,M224:T283,TRUE,TRUE),1,1)</f>
        <v/>
      </c>
      <c r="AJ283" s="10">
        <f>INDEX(LINEST(L224:L283,M224:T283,TRUE,TRUE),3,1)</f>
        <v/>
      </c>
      <c r="AK283" s="9">
        <f>AA282/12+AB282*M283+AC282*N283+AD282*O283+AE282*P283+AF282*Q283+AG282*R283+AH282*S283+AI282*T283</f>
        <v/>
      </c>
      <c r="AL283" s="9">
        <f>AVERAGE(L223:L282)</f>
        <v/>
      </c>
    </row>
    <row r="284">
      <c r="A284" s="7" t="n">
        <v>46203</v>
      </c>
      <c r="B284" s="8" t="n">
        <v>4150.9</v>
      </c>
      <c r="C284" s="8" t="n">
        <v>2.23</v>
      </c>
      <c r="D284" s="8" t="n">
        <v>2.23</v>
      </c>
      <c r="E284" s="8" t="n">
        <v>101.417</v>
      </c>
      <c r="F284" s="8" t="n">
        <v>84.65000000000001</v>
      </c>
      <c r="G284" s="8" t="n">
        <v>17.28</v>
      </c>
      <c r="H284" s="8" t="n">
        <v>68.77979999999999</v>
      </c>
      <c r="I284" s="8" t="n">
        <v>7365.459961</v>
      </c>
      <c r="J284" s="8" t="n">
        <v>98.709999</v>
      </c>
      <c r="L284" s="9">
        <f>LN(B284/B283)</f>
        <v/>
      </c>
      <c r="M284" s="9">
        <f>$M$1*(C284-C283)</f>
        <v/>
      </c>
      <c r="N284" s="9">
        <f>$N$1*(D284-D283)</f>
        <v/>
      </c>
      <c r="O284" s="9">
        <f>$O$1*LN(E284/E283)</f>
        <v/>
      </c>
      <c r="P284" s="9">
        <f>$P$1*LN(F284/F283)</f>
        <v/>
      </c>
      <c r="Q284" s="9">
        <f>$Q$1*(G284-G283)</f>
        <v/>
      </c>
      <c r="R284" s="9">
        <f>$R$1*(H284-H283)</f>
        <v/>
      </c>
      <c r="S284" s="9">
        <f>$S$1*LN(I284/I283)</f>
        <v/>
      </c>
      <c r="T284" s="9">
        <f>$T$1*LN(J284/J283)</f>
        <v/>
      </c>
      <c r="U284" s="9">
        <f>$W$12+$W$4*M284+$W$5*N284+$W$6*O284+$W$7*P284+$W$8*Q284+$W$9*R284+$W$10*S284+$W$11*T284</f>
        <v/>
      </c>
      <c r="AA284" s="10">
        <f>INDEX(LINEST(L225:L284,M225:T284,TRUE,TRUE),1,9)*12</f>
        <v/>
      </c>
      <c r="AB284" s="9">
        <f>INDEX(LINEST(L225:L284,M225:T284,TRUE,TRUE),1,8)</f>
        <v/>
      </c>
      <c r="AC284" s="9">
        <f>INDEX(LINEST(L225:L284,M225:T284,TRUE,TRUE),1,7)</f>
        <v/>
      </c>
      <c r="AD284" s="9">
        <f>INDEX(LINEST(L225:L284,M225:T284,TRUE,TRUE),1,6)</f>
        <v/>
      </c>
      <c r="AE284" s="9">
        <f>INDEX(LINEST(L225:L284,M225:T284,TRUE,TRUE),1,5)</f>
        <v/>
      </c>
      <c r="AF284" s="9">
        <f>INDEX(LINEST(L225:L284,M225:T284,TRUE,TRUE),1,4)</f>
        <v/>
      </c>
      <c r="AG284" s="9">
        <f>INDEX(LINEST(L225:L284,M225:T284,TRUE,TRUE),1,3)</f>
        <v/>
      </c>
      <c r="AH284" s="9">
        <f>INDEX(LINEST(L225:L284,M225:T284,TRUE,TRUE),1,2)</f>
        <v/>
      </c>
      <c r="AI284" s="9">
        <f>INDEX(LINEST(L225:L284,M225:T284,TRUE,TRUE),1,1)</f>
        <v/>
      </c>
      <c r="AJ284" s="10">
        <f>INDEX(LINEST(L225:L284,M225:T284,TRUE,TRUE),3,1)</f>
        <v/>
      </c>
      <c r="AK284" s="9">
        <f>AA283/12+AB283*M284+AC283*N284+AD283*O284+AE283*P284+AF283*Q284+AG283*R284+AH283*S284+AI283*T284</f>
        <v/>
      </c>
      <c r="AL284" s="9">
        <f>AVERAGE(L224:L283)</f>
        <v/>
      </c>
    </row>
  </sheetData>
  <mergeCells count="1">
    <mergeCell ref="A1:J1"/>
  </mergeCells>
  <dataValidations count="1">
    <dataValidation sqref="M1 N1 O1 P1 Q1 R1 S1 T1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12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2" customWidth="1" min="22" max="22"/>
  </cols>
  <sheetData>
    <row r="1">
      <c r="A1" s="1" t="inlineStr">
        <is>
          <t>Gold factor regression — weekly, data embedded (blue = inputs, toggles row 1)</t>
        </is>
      </c>
      <c r="L1" s="2" t="inlineStr">
        <is>
          <t>Include 1/0 →</t>
        </is>
      </c>
      <c r="M1" s="3" t="n">
        <v>1</v>
      </c>
      <c r="N1" s="3" t="n">
        <v>1</v>
      </c>
      <c r="O1" s="3" t="n">
        <v>1</v>
      </c>
      <c r="P1" s="3" t="n">
        <v>1</v>
      </c>
      <c r="Q1" s="3" t="n">
        <v>1</v>
      </c>
      <c r="R1" s="3" t="n">
        <v>1</v>
      </c>
      <c r="S1" s="3" t="n">
        <v>1</v>
      </c>
      <c r="T1" s="3" t="n">
        <v>1</v>
      </c>
    </row>
    <row r="2">
      <c r="A2" s="4" t="inlineStr">
        <is>
          <t>Date</t>
        </is>
      </c>
      <c r="B2" s="4" t="inlineStr">
        <is>
          <t>Gold (LBMA PM)</t>
        </is>
      </c>
      <c r="C2" s="4" t="inlineStr">
        <is>
          <t>10Y breakeven</t>
        </is>
      </c>
      <c r="D2" s="4" t="inlineStr">
        <is>
          <t>10Y TIPS real</t>
        </is>
      </c>
      <c r="E2" s="4" t="inlineStr">
        <is>
          <t>US Dollar Index DXY</t>
        </is>
      </c>
      <c r="F2" s="4" t="inlineStr">
        <is>
          <t>WTI crude oil</t>
        </is>
      </c>
      <c r="G2" s="4" t="inlineStr">
        <is>
          <t>Equity vol VIX</t>
        </is>
      </c>
      <c r="H2" s="4" t="inlineStr">
        <is>
          <t>Rate vol MOVE</t>
        </is>
      </c>
      <c r="I2" s="4" t="inlineStr">
        <is>
          <t>S&amp;P 500 (price)</t>
        </is>
      </c>
      <c r="J2" s="4" t="inlineStr">
        <is>
          <t>US Agg bonds TR</t>
        </is>
      </c>
      <c r="L2" s="4" t="inlineStr">
        <is>
          <t>Gold ret</t>
        </is>
      </c>
      <c r="M2" s="4" t="inlineStr">
        <is>
          <t>Δ 10Y BE</t>
        </is>
      </c>
      <c r="N2" s="4" t="inlineStr">
        <is>
          <t>Δ 10Y real</t>
        </is>
      </c>
      <c r="O2" s="4" t="inlineStr">
        <is>
          <t>DXY ret</t>
        </is>
      </c>
      <c r="P2" s="4" t="inlineStr">
        <is>
          <t>Oil ret</t>
        </is>
      </c>
      <c r="Q2" s="4" t="inlineStr">
        <is>
          <t>Δ VIX</t>
        </is>
      </c>
      <c r="R2" s="4" t="inlineStr">
        <is>
          <t>Δ MOVE</t>
        </is>
      </c>
      <c r="S2" s="4" t="inlineStr">
        <is>
          <t>S&amp;P ret</t>
        </is>
      </c>
      <c r="T2" s="4" t="inlineStr">
        <is>
          <t>Agg ret</t>
        </is>
      </c>
      <c r="U2" s="5" t="inlineStr">
        <is>
          <t>Fitted</t>
        </is>
      </c>
      <c r="V2" s="6" t="inlineStr">
        <is>
          <t>Regression (full sample)</t>
        </is>
      </c>
      <c r="AK2" s="5" t="inlineStr">
        <is>
          <t>OOS pred</t>
        </is>
      </c>
      <c r="AL2" s="5" t="inlineStr">
        <is>
          <t>trail mean</t>
        </is>
      </c>
    </row>
    <row r="3">
      <c r="A3" s="7" t="n">
        <v>37624</v>
      </c>
      <c r="B3" s="8" t="n">
        <v>344.5</v>
      </c>
      <c r="C3" s="8" t="n">
        <v>1.62</v>
      </c>
      <c r="D3" s="8" t="n">
        <v>2.43</v>
      </c>
      <c r="E3" s="8" t="n">
        <v>102.470001</v>
      </c>
      <c r="F3" s="8" t="n">
        <v>33.26</v>
      </c>
      <c r="G3" s="8" t="n">
        <v>24.68</v>
      </c>
      <c r="H3" s="8" t="n">
        <v>130.869995</v>
      </c>
      <c r="I3" s="8" t="n">
        <v>908.590027</v>
      </c>
      <c r="J3" s="8" t="n">
        <v>47.627932</v>
      </c>
      <c r="V3" s="5" t="inlineStr">
        <is>
          <t>Factor</t>
        </is>
      </c>
      <c r="W3" s="5" t="inlineStr">
        <is>
          <t>β</t>
        </is>
      </c>
      <c r="X3" s="5" t="inlineStr">
        <is>
          <t>std err</t>
        </is>
      </c>
      <c r="Y3" s="5" t="inlineStr">
        <is>
          <t>t-stat</t>
        </is>
      </c>
    </row>
    <row r="4">
      <c r="A4" s="7" t="n">
        <v>37631</v>
      </c>
      <c r="B4" s="8" t="n">
        <v>353</v>
      </c>
      <c r="C4" s="8" t="n">
        <v>1.75</v>
      </c>
      <c r="D4" s="8" t="n">
        <v>2.41</v>
      </c>
      <c r="E4" s="8" t="n">
        <v>101.230003</v>
      </c>
      <c r="F4" s="8" t="n">
        <v>31.59</v>
      </c>
      <c r="G4" s="8" t="n">
        <v>24.32</v>
      </c>
      <c r="H4" s="8" t="n">
        <v>120.019997</v>
      </c>
      <c r="I4" s="8" t="n">
        <v>927.570007</v>
      </c>
      <c r="J4" s="8" t="n">
        <v>47.581713</v>
      </c>
      <c r="L4" s="9">
        <f>LN(B4/B3)</f>
        <v/>
      </c>
      <c r="M4" s="9">
        <f>$M$1*(C4-C3)</f>
        <v/>
      </c>
      <c r="N4" s="9">
        <f>$N$1*(D4-D3)</f>
        <v/>
      </c>
      <c r="O4" s="9">
        <f>$O$1*LN(E4/E3)</f>
        <v/>
      </c>
      <c r="P4" s="9">
        <f>$P$1*LN(F4/F3)</f>
        <v/>
      </c>
      <c r="Q4" s="9">
        <f>$Q$1*(G4-G3)</f>
        <v/>
      </c>
      <c r="R4" s="9">
        <f>$R$1*(H4-H3)</f>
        <v/>
      </c>
      <c r="S4" s="9">
        <f>$S$1*LN(I4/I3)</f>
        <v/>
      </c>
      <c r="T4" s="9">
        <f>$T$1*LN(J4/J3)</f>
        <v/>
      </c>
      <c r="U4" s="9">
        <f>$W$12+$W$4*M4+$W$5*N4+$W$6*O4+$W$7*P4+$W$8*Q4+$W$9*R4+$W$10*S4+$W$11*T4</f>
        <v/>
      </c>
      <c r="V4" t="inlineStr">
        <is>
          <t>10Y breakeven</t>
        </is>
      </c>
      <c r="W4" s="9">
        <f>INDEX(LINEST($L$4:$L$1226,$M$4:$T$1226,TRUE,TRUE),1,8)</f>
        <v/>
      </c>
      <c r="X4" s="9">
        <f>INDEX(LINEST($L$4:$L$1226,$M$4:$T$1226,TRUE,TRUE),2,8)</f>
        <v/>
      </c>
      <c r="Y4" s="9">
        <f>W4/X4</f>
        <v/>
      </c>
    </row>
    <row r="5">
      <c r="A5" s="7" t="n">
        <v>37638</v>
      </c>
      <c r="B5" s="8" t="n">
        <v>357</v>
      </c>
      <c r="C5" s="8" t="n">
        <v>1.8</v>
      </c>
      <c r="D5" s="8" t="n">
        <v>2.25</v>
      </c>
      <c r="E5" s="8" t="n">
        <v>100.550003</v>
      </c>
      <c r="F5" s="8" t="n">
        <v>33.88</v>
      </c>
      <c r="G5" s="8" t="n">
        <v>25.7</v>
      </c>
      <c r="H5" s="8" t="n">
        <v>116.019997</v>
      </c>
      <c r="I5" s="8" t="n">
        <v>901.780029</v>
      </c>
      <c r="J5" s="8" t="n">
        <v>47.766659</v>
      </c>
      <c r="L5" s="9">
        <f>LN(B5/B4)</f>
        <v/>
      </c>
      <c r="M5" s="9">
        <f>$M$1*(C5-C4)</f>
        <v/>
      </c>
      <c r="N5" s="9">
        <f>$N$1*(D5-D4)</f>
        <v/>
      </c>
      <c r="O5" s="9">
        <f>$O$1*LN(E5/E4)</f>
        <v/>
      </c>
      <c r="P5" s="9">
        <f>$P$1*LN(F5/F4)</f>
        <v/>
      </c>
      <c r="Q5" s="9">
        <f>$Q$1*(G5-G4)</f>
        <v/>
      </c>
      <c r="R5" s="9">
        <f>$R$1*(H5-H4)</f>
        <v/>
      </c>
      <c r="S5" s="9">
        <f>$S$1*LN(I5/I4)</f>
        <v/>
      </c>
      <c r="T5" s="9">
        <f>$T$1*LN(J5/J4)</f>
        <v/>
      </c>
      <c r="U5" s="9">
        <f>$W$12+$W$4*M5+$W$5*N5+$W$6*O5+$W$7*P5+$W$8*Q5+$W$9*R5+$W$10*S5+$W$11*T5</f>
        <v/>
      </c>
      <c r="V5" t="inlineStr">
        <is>
          <t>10Y TIPS real</t>
        </is>
      </c>
      <c r="W5" s="9">
        <f>INDEX(LINEST($L$4:$L$1226,$M$4:$T$1226,TRUE,TRUE),1,7)</f>
        <v/>
      </c>
      <c r="X5" s="9">
        <f>INDEX(LINEST($L$4:$L$1226,$M$4:$T$1226,TRUE,TRUE),2,7)</f>
        <v/>
      </c>
      <c r="Y5" s="9">
        <f>W5/X5</f>
        <v/>
      </c>
    </row>
    <row r="6">
      <c r="A6" s="7" t="n">
        <v>37645</v>
      </c>
      <c r="B6" s="8" t="n">
        <v>366</v>
      </c>
      <c r="C6" s="8" t="n">
        <v>1.8</v>
      </c>
      <c r="D6" s="8" t="n">
        <v>2.14</v>
      </c>
      <c r="E6" s="8" t="n">
        <v>99.220001</v>
      </c>
      <c r="F6" s="8" t="n">
        <v>34.98</v>
      </c>
      <c r="G6" s="8" t="n">
        <v>31.51</v>
      </c>
      <c r="H6" s="8" t="n">
        <v>109.410004</v>
      </c>
      <c r="I6" s="8" t="n">
        <v>861.400024</v>
      </c>
      <c r="J6" s="8" t="n">
        <v>47.905395</v>
      </c>
      <c r="L6" s="9">
        <f>LN(B6/B5)</f>
        <v/>
      </c>
      <c r="M6" s="9">
        <f>$M$1*(C6-C5)</f>
        <v/>
      </c>
      <c r="N6" s="9">
        <f>$N$1*(D6-D5)</f>
        <v/>
      </c>
      <c r="O6" s="9">
        <f>$O$1*LN(E6/E5)</f>
        <v/>
      </c>
      <c r="P6" s="9">
        <f>$P$1*LN(F6/F5)</f>
        <v/>
      </c>
      <c r="Q6" s="9">
        <f>$Q$1*(G6-G5)</f>
        <v/>
      </c>
      <c r="R6" s="9">
        <f>$R$1*(H6-H5)</f>
        <v/>
      </c>
      <c r="S6" s="9">
        <f>$S$1*LN(I6/I5)</f>
        <v/>
      </c>
      <c r="T6" s="9">
        <f>$T$1*LN(J6/J5)</f>
        <v/>
      </c>
      <c r="U6" s="9">
        <f>$W$12+$W$4*M6+$W$5*N6+$W$6*O6+$W$7*P6+$W$8*Q6+$W$9*R6+$W$10*S6+$W$11*T6</f>
        <v/>
      </c>
      <c r="V6" t="inlineStr">
        <is>
          <t>US Dollar Index DXY</t>
        </is>
      </c>
      <c r="W6" s="9">
        <f>INDEX(LINEST($L$4:$L$1226,$M$4:$T$1226,TRUE,TRUE),1,6)</f>
        <v/>
      </c>
      <c r="X6" s="9">
        <f>INDEX(LINEST($L$4:$L$1226,$M$4:$T$1226,TRUE,TRUE),2,6)</f>
        <v/>
      </c>
      <c r="Y6" s="9">
        <f>W6/X6</f>
        <v/>
      </c>
    </row>
    <row r="7">
      <c r="A7" s="7" t="n">
        <v>37652</v>
      </c>
      <c r="B7" s="8" t="n">
        <v>367.5</v>
      </c>
      <c r="C7" s="8" t="n">
        <v>1.81</v>
      </c>
      <c r="D7" s="8" t="n">
        <v>2.19</v>
      </c>
      <c r="E7" s="8" t="n">
        <v>99.910004</v>
      </c>
      <c r="F7" s="8" t="n">
        <v>33.51</v>
      </c>
      <c r="G7" s="8" t="n">
        <v>31.17</v>
      </c>
      <c r="H7" s="8" t="n">
        <v>110.889999</v>
      </c>
      <c r="I7" s="8" t="n">
        <v>855.700012</v>
      </c>
      <c r="J7" s="8" t="n">
        <v>48.026736</v>
      </c>
      <c r="L7" s="9">
        <f>LN(B7/B6)</f>
        <v/>
      </c>
      <c r="M7" s="9">
        <f>$M$1*(C7-C6)</f>
        <v/>
      </c>
      <c r="N7" s="9">
        <f>$N$1*(D7-D6)</f>
        <v/>
      </c>
      <c r="O7" s="9">
        <f>$O$1*LN(E7/E6)</f>
        <v/>
      </c>
      <c r="P7" s="9">
        <f>$P$1*LN(F7/F6)</f>
        <v/>
      </c>
      <c r="Q7" s="9">
        <f>$Q$1*(G7-G6)</f>
        <v/>
      </c>
      <c r="R7" s="9">
        <f>$R$1*(H7-H6)</f>
        <v/>
      </c>
      <c r="S7" s="9">
        <f>$S$1*LN(I7/I6)</f>
        <v/>
      </c>
      <c r="T7" s="9">
        <f>$T$1*LN(J7/J6)</f>
        <v/>
      </c>
      <c r="U7" s="9">
        <f>$W$12+$W$4*M7+$W$5*N7+$W$6*O7+$W$7*P7+$W$8*Q7+$W$9*R7+$W$10*S7+$W$11*T7</f>
        <v/>
      </c>
      <c r="V7" t="inlineStr">
        <is>
          <t>WTI crude oil</t>
        </is>
      </c>
      <c r="W7" s="9">
        <f>INDEX(LINEST($L$4:$L$1226,$M$4:$T$1226,TRUE,TRUE),1,5)</f>
        <v/>
      </c>
      <c r="X7" s="9">
        <f>INDEX(LINEST($L$4:$L$1226,$M$4:$T$1226,TRUE,TRUE),2,5)</f>
        <v/>
      </c>
      <c r="Y7" s="9">
        <f>W7/X7</f>
        <v/>
      </c>
    </row>
    <row r="8">
      <c r="A8" s="7" t="n">
        <v>37659</v>
      </c>
      <c r="B8" s="8" t="n">
        <v>373.25</v>
      </c>
      <c r="C8" s="8" t="n">
        <v>1.89</v>
      </c>
      <c r="D8" s="8" t="n">
        <v>2.07</v>
      </c>
      <c r="E8" s="8" t="n">
        <v>99.56999999999999</v>
      </c>
      <c r="F8" s="8" t="n">
        <v>35.05</v>
      </c>
      <c r="G8" s="8" t="n">
        <v>34.01</v>
      </c>
      <c r="H8" s="8" t="n">
        <v>115.489998</v>
      </c>
      <c r="I8" s="8" t="n">
        <v>829.690002</v>
      </c>
      <c r="J8" s="8" t="n">
        <v>48.16616</v>
      </c>
      <c r="L8" s="9">
        <f>LN(B8/B7)</f>
        <v/>
      </c>
      <c r="M8" s="9">
        <f>$M$1*(C8-C7)</f>
        <v/>
      </c>
      <c r="N8" s="9">
        <f>$N$1*(D8-D7)</f>
        <v/>
      </c>
      <c r="O8" s="9">
        <f>$O$1*LN(E8/E7)</f>
        <v/>
      </c>
      <c r="P8" s="9">
        <f>$P$1*LN(F8/F7)</f>
        <v/>
      </c>
      <c r="Q8" s="9">
        <f>$Q$1*(G8-G7)</f>
        <v/>
      </c>
      <c r="R8" s="9">
        <f>$R$1*(H8-H7)</f>
        <v/>
      </c>
      <c r="S8" s="9">
        <f>$S$1*LN(I8/I7)</f>
        <v/>
      </c>
      <c r="T8" s="9">
        <f>$T$1*LN(J8/J7)</f>
        <v/>
      </c>
      <c r="U8" s="9">
        <f>$W$12+$W$4*M8+$W$5*N8+$W$6*O8+$W$7*P8+$W$8*Q8+$W$9*R8+$W$10*S8+$W$11*T8</f>
        <v/>
      </c>
      <c r="V8" t="inlineStr">
        <is>
          <t>Equity vol VIX</t>
        </is>
      </c>
      <c r="W8" s="9">
        <f>INDEX(LINEST($L$4:$L$1226,$M$4:$T$1226,TRUE,TRUE),1,4)</f>
        <v/>
      </c>
      <c r="X8" s="9">
        <f>INDEX(LINEST($L$4:$L$1226,$M$4:$T$1226,TRUE,TRUE),2,4)</f>
        <v/>
      </c>
      <c r="Y8" s="9">
        <f>W8/X8</f>
        <v/>
      </c>
    </row>
    <row r="9">
      <c r="A9" s="7" t="n">
        <v>37666</v>
      </c>
      <c r="B9" s="8" t="n">
        <v>354.25</v>
      </c>
      <c r="C9" s="8" t="n">
        <v>1.92</v>
      </c>
      <c r="D9" s="8" t="n">
        <v>2.03</v>
      </c>
      <c r="E9" s="8" t="n">
        <v>100.040001</v>
      </c>
      <c r="F9" s="8" t="n">
        <v>36.61</v>
      </c>
      <c r="G9" s="8" t="n">
        <v>32.62</v>
      </c>
      <c r="H9" s="8" t="n">
        <v>116.339996</v>
      </c>
      <c r="I9" s="8" t="n">
        <v>834.8900149999999</v>
      </c>
      <c r="J9" s="8" t="n">
        <v>48.073233</v>
      </c>
      <c r="L9" s="9">
        <f>LN(B9/B8)</f>
        <v/>
      </c>
      <c r="M9" s="9">
        <f>$M$1*(C9-C8)</f>
        <v/>
      </c>
      <c r="N9" s="9">
        <f>$N$1*(D9-D8)</f>
        <v/>
      </c>
      <c r="O9" s="9">
        <f>$O$1*LN(E9/E8)</f>
        <v/>
      </c>
      <c r="P9" s="9">
        <f>$P$1*LN(F9/F8)</f>
        <v/>
      </c>
      <c r="Q9" s="9">
        <f>$Q$1*(G9-G8)</f>
        <v/>
      </c>
      <c r="R9" s="9">
        <f>$R$1*(H9-H8)</f>
        <v/>
      </c>
      <c r="S9" s="9">
        <f>$S$1*LN(I9/I8)</f>
        <v/>
      </c>
      <c r="T9" s="9">
        <f>$T$1*LN(J9/J8)</f>
        <v/>
      </c>
      <c r="U9" s="9">
        <f>$W$12+$W$4*M9+$W$5*N9+$W$6*O9+$W$7*P9+$W$8*Q9+$W$9*R9+$W$10*S9+$W$11*T9</f>
        <v/>
      </c>
      <c r="V9" t="inlineStr">
        <is>
          <t>Rate vol MOVE</t>
        </is>
      </c>
      <c r="W9" s="9">
        <f>INDEX(LINEST($L$4:$L$1226,$M$4:$T$1226,TRUE,TRUE),1,3)</f>
        <v/>
      </c>
      <c r="X9" s="9">
        <f>INDEX(LINEST($L$4:$L$1226,$M$4:$T$1226,TRUE,TRUE),2,3)</f>
        <v/>
      </c>
      <c r="Y9" s="9">
        <f>W9/X9</f>
        <v/>
      </c>
    </row>
    <row r="10">
      <c r="A10" s="7" t="n">
        <v>37673</v>
      </c>
      <c r="B10" s="8" t="n">
        <v>352.3</v>
      </c>
      <c r="C10" s="8" t="n">
        <v>1.97</v>
      </c>
      <c r="D10" s="8" t="n">
        <v>1.93</v>
      </c>
      <c r="E10" s="8" t="n">
        <v>100.089996</v>
      </c>
      <c r="F10" s="8" t="n">
        <v>36.76</v>
      </c>
      <c r="G10" s="8" t="n">
        <v>30.25</v>
      </c>
      <c r="H10" s="8" t="n">
        <v>104.849998</v>
      </c>
      <c r="I10" s="8" t="n">
        <v>848.169983</v>
      </c>
      <c r="J10" s="8" t="n">
        <v>48.16616</v>
      </c>
      <c r="L10" s="9">
        <f>LN(B10/B9)</f>
        <v/>
      </c>
      <c r="M10" s="9">
        <f>$M$1*(C10-C9)</f>
        <v/>
      </c>
      <c r="N10" s="9">
        <f>$N$1*(D10-D9)</f>
        <v/>
      </c>
      <c r="O10" s="9">
        <f>$O$1*LN(E10/E9)</f>
        <v/>
      </c>
      <c r="P10" s="9">
        <f>$P$1*LN(F10/F9)</f>
        <v/>
      </c>
      <c r="Q10" s="9">
        <f>$Q$1*(G10-G9)</f>
        <v/>
      </c>
      <c r="R10" s="9">
        <f>$R$1*(H10-H9)</f>
        <v/>
      </c>
      <c r="S10" s="9">
        <f>$S$1*LN(I10/I9)</f>
        <v/>
      </c>
      <c r="T10" s="9">
        <f>$T$1*LN(J10/J9)</f>
        <v/>
      </c>
      <c r="U10" s="9">
        <f>$W$12+$W$4*M10+$W$5*N10+$W$6*O10+$W$7*P10+$W$8*Q10+$W$9*R10+$W$10*S10+$W$11*T10</f>
        <v/>
      </c>
      <c r="V10" t="inlineStr">
        <is>
          <t>S&amp;P 500 (price)</t>
        </is>
      </c>
      <c r="W10" s="9">
        <f>INDEX(LINEST($L$4:$L$1226,$M$4:$T$1226,TRUE,TRUE),1,2)</f>
        <v/>
      </c>
      <c r="X10" s="9">
        <f>INDEX(LINEST($L$4:$L$1226,$M$4:$T$1226,TRUE,TRUE),2,2)</f>
        <v/>
      </c>
      <c r="Y10" s="9">
        <f>W10/X10</f>
        <v/>
      </c>
    </row>
    <row r="11">
      <c r="A11" s="7" t="n">
        <v>37680</v>
      </c>
      <c r="B11" s="8" t="n">
        <v>347.45</v>
      </c>
      <c r="C11" s="8" t="n">
        <v>1.94</v>
      </c>
      <c r="D11" s="8" t="n">
        <v>1.77</v>
      </c>
      <c r="E11" s="8" t="n">
        <v>99.709999</v>
      </c>
      <c r="F11" s="8" t="n">
        <v>36.76</v>
      </c>
      <c r="G11" s="8" t="n">
        <v>29.63</v>
      </c>
      <c r="H11" s="8" t="n">
        <v>105.360001</v>
      </c>
      <c r="I11" s="8" t="n">
        <v>841.150024</v>
      </c>
      <c r="J11" s="8" t="n">
        <v>48.692169</v>
      </c>
      <c r="L11" s="9">
        <f>LN(B11/B10)</f>
        <v/>
      </c>
      <c r="M11" s="9">
        <f>$M$1*(C11-C10)</f>
        <v/>
      </c>
      <c r="N11" s="9">
        <f>$N$1*(D11-D10)</f>
        <v/>
      </c>
      <c r="O11" s="9">
        <f>$O$1*LN(E11/E10)</f>
        <v/>
      </c>
      <c r="P11" s="9">
        <f>$P$1*LN(F11/F10)</f>
        <v/>
      </c>
      <c r="Q11" s="9">
        <f>$Q$1*(G11-G10)</f>
        <v/>
      </c>
      <c r="R11" s="9">
        <f>$R$1*(H11-H10)</f>
        <v/>
      </c>
      <c r="S11" s="9">
        <f>$S$1*LN(I11/I10)</f>
        <v/>
      </c>
      <c r="T11" s="9">
        <f>$T$1*LN(J11/J10)</f>
        <v/>
      </c>
      <c r="U11" s="9">
        <f>$W$12+$W$4*M11+$W$5*N11+$W$6*O11+$W$7*P11+$W$8*Q11+$W$9*R11+$W$10*S11+$W$11*T11</f>
        <v/>
      </c>
      <c r="V11" t="inlineStr">
        <is>
          <t>US Agg bonds TR</t>
        </is>
      </c>
      <c r="W11" s="9">
        <f>INDEX(LINEST($L$4:$L$1226,$M$4:$T$1226,TRUE,TRUE),1,1)</f>
        <v/>
      </c>
      <c r="X11" s="9">
        <f>INDEX(LINEST($L$4:$L$1226,$M$4:$T$1226,TRUE,TRUE),2,1)</f>
        <v/>
      </c>
      <c r="Y11" s="9">
        <f>W11/X11</f>
        <v/>
      </c>
    </row>
    <row r="12">
      <c r="A12" s="7" t="n">
        <v>37687</v>
      </c>
      <c r="B12" s="8" t="n">
        <v>350.75</v>
      </c>
      <c r="C12" s="8" t="n">
        <v>1.91</v>
      </c>
      <c r="D12" s="8" t="n">
        <v>1.72</v>
      </c>
      <c r="E12" s="8" t="n">
        <v>98.040001</v>
      </c>
      <c r="F12" s="8" t="n">
        <v>37.76</v>
      </c>
      <c r="G12" s="8" t="n">
        <v>31.08</v>
      </c>
      <c r="H12" s="8" t="n">
        <v>104.599998</v>
      </c>
      <c r="I12" s="8" t="n">
        <v>828.8900149999999</v>
      </c>
      <c r="J12" s="8" t="n">
        <v>48.785447</v>
      </c>
      <c r="L12" s="9">
        <f>LN(B12/B11)</f>
        <v/>
      </c>
      <c r="M12" s="9">
        <f>$M$1*(C12-C11)</f>
        <v/>
      </c>
      <c r="N12" s="9">
        <f>$N$1*(D12-D11)</f>
        <v/>
      </c>
      <c r="O12" s="9">
        <f>$O$1*LN(E12/E11)</f>
        <v/>
      </c>
      <c r="P12" s="9">
        <f>$P$1*LN(F12/F11)</f>
        <v/>
      </c>
      <c r="Q12" s="9">
        <f>$Q$1*(G12-G11)</f>
        <v/>
      </c>
      <c r="R12" s="9">
        <f>$R$1*(H12-H11)</f>
        <v/>
      </c>
      <c r="S12" s="9">
        <f>$S$1*LN(I12/I11)</f>
        <v/>
      </c>
      <c r="T12" s="9">
        <f>$T$1*LN(J12/J11)</f>
        <v/>
      </c>
      <c r="U12" s="9">
        <f>$W$12+$W$4*M12+$W$5*N12+$W$6*O12+$W$7*P12+$W$8*Q12+$W$9*R12+$W$10*S12+$W$11*T12</f>
        <v/>
      </c>
      <c r="V12" t="inlineStr">
        <is>
          <t>Intercept α</t>
        </is>
      </c>
      <c r="W12" s="9">
        <f>INDEX(LINEST($L$4:$L$1226,$M$4:$T$1226,TRUE,TRUE),1,9)</f>
        <v/>
      </c>
      <c r="X12" s="9">
        <f>INDEX(LINEST($L$4:$L$1226,$M$4:$T$1226,TRUE,TRUE),2,9)</f>
        <v/>
      </c>
      <c r="Y12" s="9">
        <f>W12/X12</f>
        <v/>
      </c>
    </row>
    <row r="13">
      <c r="A13" s="7" t="n">
        <v>37694</v>
      </c>
      <c r="B13" s="8" t="n">
        <v>335.2</v>
      </c>
      <c r="C13" s="8" t="n">
        <v>1.83</v>
      </c>
      <c r="D13" s="8" t="n">
        <v>1.89</v>
      </c>
      <c r="E13" s="8" t="n">
        <v>99.989998</v>
      </c>
      <c r="F13" s="8" t="n">
        <v>35.41</v>
      </c>
      <c r="G13" s="8" t="n">
        <v>30.98</v>
      </c>
      <c r="H13" s="8" t="n">
        <v>110.349998</v>
      </c>
      <c r="I13" s="8" t="n">
        <v>833.27002</v>
      </c>
      <c r="J13" s="8" t="n">
        <v>48.552263</v>
      </c>
      <c r="L13" s="9">
        <f>LN(B13/B12)</f>
        <v/>
      </c>
      <c r="M13" s="9">
        <f>$M$1*(C13-C12)</f>
        <v/>
      </c>
      <c r="N13" s="9">
        <f>$N$1*(D13-D12)</f>
        <v/>
      </c>
      <c r="O13" s="9">
        <f>$O$1*LN(E13/E12)</f>
        <v/>
      </c>
      <c r="P13" s="9">
        <f>$P$1*LN(F13/F12)</f>
        <v/>
      </c>
      <c r="Q13" s="9">
        <f>$Q$1*(G13-G12)</f>
        <v/>
      </c>
      <c r="R13" s="9">
        <f>$R$1*(H13-H12)</f>
        <v/>
      </c>
      <c r="S13" s="9">
        <f>$S$1*LN(I13/I12)</f>
        <v/>
      </c>
      <c r="T13" s="9">
        <f>$T$1*LN(J13/J12)</f>
        <v/>
      </c>
      <c r="U13" s="9">
        <f>$W$12+$W$4*M13+$W$5*N13+$W$6*O13+$W$7*P13+$W$8*Q13+$W$9*R13+$W$10*S13+$W$11*T13</f>
        <v/>
      </c>
    </row>
    <row r="14">
      <c r="A14" s="7" t="n">
        <v>37701</v>
      </c>
      <c r="B14" s="8" t="n">
        <v>333.5</v>
      </c>
      <c r="C14" s="8" t="n">
        <v>1.82</v>
      </c>
      <c r="D14" s="8" t="n">
        <v>2.29</v>
      </c>
      <c r="E14" s="8" t="n">
        <v>101.919998</v>
      </c>
      <c r="F14" s="8" t="n">
        <v>27.18</v>
      </c>
      <c r="G14" s="8" t="n">
        <v>28.67</v>
      </c>
      <c r="H14" s="8" t="n">
        <v>124.18</v>
      </c>
      <c r="I14" s="8" t="n">
        <v>895.789978</v>
      </c>
      <c r="J14" s="8" t="n">
        <v>47.89932</v>
      </c>
      <c r="L14" s="9">
        <f>LN(B14/B13)</f>
        <v/>
      </c>
      <c r="M14" s="9">
        <f>$M$1*(C14-C13)</f>
        <v/>
      </c>
      <c r="N14" s="9">
        <f>$N$1*(D14-D13)</f>
        <v/>
      </c>
      <c r="O14" s="9">
        <f>$O$1*LN(E14/E13)</f>
        <v/>
      </c>
      <c r="P14" s="9">
        <f>$P$1*LN(F14/F13)</f>
        <v/>
      </c>
      <c r="Q14" s="9">
        <f>$Q$1*(G14-G13)</f>
        <v/>
      </c>
      <c r="R14" s="9">
        <f>$R$1*(H14-H13)</f>
        <v/>
      </c>
      <c r="S14" s="9">
        <f>$S$1*LN(I14/I13)</f>
        <v/>
      </c>
      <c r="T14" s="9">
        <f>$T$1*LN(J14/J13)</f>
        <v/>
      </c>
      <c r="U14" s="9">
        <f>$W$12+$W$4*M14+$W$5*N14+$W$6*O14+$W$7*P14+$W$8*Q14+$W$9*R14+$W$10*S14+$W$11*T14</f>
        <v/>
      </c>
      <c r="V14" t="inlineStr">
        <is>
          <t>R²</t>
        </is>
      </c>
      <c r="W14" s="10">
        <f>INDEX(LINEST($L$4:$L$1226,$M$4:$T$1226,TRUE,TRUE),3,1)</f>
        <v/>
      </c>
    </row>
    <row r="15">
      <c r="A15" s="7" t="n">
        <v>37708</v>
      </c>
      <c r="B15" s="8" t="n">
        <v>330.75</v>
      </c>
      <c r="C15" s="8" t="n">
        <v>1.83</v>
      </c>
      <c r="D15" s="8" t="n">
        <v>2.09</v>
      </c>
      <c r="E15" s="8" t="n">
        <v>99.959999</v>
      </c>
      <c r="F15" s="8" t="n">
        <v>30.21</v>
      </c>
      <c r="G15" s="8" t="n">
        <v>27.75</v>
      </c>
      <c r="H15" s="8" t="n">
        <v>114.5</v>
      </c>
      <c r="I15" s="8" t="n">
        <v>863.5</v>
      </c>
      <c r="J15" s="8" t="n">
        <v>48.272421</v>
      </c>
      <c r="L15" s="9">
        <f>LN(B15/B14)</f>
        <v/>
      </c>
      <c r="M15" s="9">
        <f>$M$1*(C15-C14)</f>
        <v/>
      </c>
      <c r="N15" s="9">
        <f>$N$1*(D15-D14)</f>
        <v/>
      </c>
      <c r="O15" s="9">
        <f>$O$1*LN(E15/E14)</f>
        <v/>
      </c>
      <c r="P15" s="9">
        <f>$P$1*LN(F15/F14)</f>
        <v/>
      </c>
      <c r="Q15" s="9">
        <f>$Q$1*(G15-G14)</f>
        <v/>
      </c>
      <c r="R15" s="9">
        <f>$R$1*(H15-H14)</f>
        <v/>
      </c>
      <c r="S15" s="9">
        <f>$S$1*LN(I15/I14)</f>
        <v/>
      </c>
      <c r="T15" s="9">
        <f>$T$1*LN(J15/J14)</f>
        <v/>
      </c>
      <c r="U15" s="9">
        <f>$W$12+$W$4*M15+$W$5*N15+$W$6*O15+$W$7*P15+$W$8*Q15+$W$9*R15+$W$10*S15+$W$11*T15</f>
        <v/>
      </c>
      <c r="V15" t="inlineStr">
        <is>
          <t>α annualized</t>
        </is>
      </c>
      <c r="W15" s="10">
        <f>W12*52</f>
        <v/>
      </c>
    </row>
    <row r="16">
      <c r="A16" s="7" t="n">
        <v>37715</v>
      </c>
      <c r="B16" s="8" t="n">
        <v>323.8</v>
      </c>
      <c r="C16" s="8" t="n">
        <v>1.8</v>
      </c>
      <c r="D16" s="8" t="n">
        <v>2.16</v>
      </c>
      <c r="E16" s="8" t="n">
        <v>100.449997</v>
      </c>
      <c r="F16" s="8" t="n">
        <v>28.41</v>
      </c>
      <c r="G16" s="8" t="n">
        <v>29.13</v>
      </c>
      <c r="H16" s="8" t="n">
        <v>114.370003</v>
      </c>
      <c r="I16" s="8" t="n">
        <v>878.849976</v>
      </c>
      <c r="J16" s="8" t="n">
        <v>48.492621</v>
      </c>
      <c r="L16" s="9">
        <f>LN(B16/B15)</f>
        <v/>
      </c>
      <c r="M16" s="9">
        <f>$M$1*(C16-C15)</f>
        <v/>
      </c>
      <c r="N16" s="9">
        <f>$N$1*(D16-D15)</f>
        <v/>
      </c>
      <c r="O16" s="9">
        <f>$O$1*LN(E16/E15)</f>
        <v/>
      </c>
      <c r="P16" s="9">
        <f>$P$1*LN(F16/F15)</f>
        <v/>
      </c>
      <c r="Q16" s="9">
        <f>$Q$1*(G16-G15)</f>
        <v/>
      </c>
      <c r="R16" s="9">
        <f>$R$1*(H16-H15)</f>
        <v/>
      </c>
      <c r="S16" s="9">
        <f>$S$1*LN(I16/I15)</f>
        <v/>
      </c>
      <c r="T16" s="9">
        <f>$T$1*LN(J16/J15)</f>
        <v/>
      </c>
      <c r="U16" s="9">
        <f>$W$12+$W$4*M16+$W$5*N16+$W$6*O16+$W$7*P16+$W$8*Q16+$W$9*R16+$W$10*S16+$W$11*T16</f>
        <v/>
      </c>
    </row>
    <row r="17">
      <c r="A17" s="7" t="n">
        <v>37722</v>
      </c>
      <c r="B17" s="8" t="n">
        <v>324.8</v>
      </c>
      <c r="C17" s="8" t="n">
        <v>1.77</v>
      </c>
      <c r="D17" s="8" t="n">
        <v>2.23</v>
      </c>
      <c r="E17" s="8" t="n">
        <v>100.18</v>
      </c>
      <c r="F17" s="8" t="n">
        <v>28.28</v>
      </c>
      <c r="G17" s="8" t="n">
        <v>24.44</v>
      </c>
      <c r="H17" s="8" t="n">
        <v>103.660004</v>
      </c>
      <c r="I17" s="8" t="n">
        <v>868.299988</v>
      </c>
      <c r="J17" s="8" t="n">
        <v>48.445744</v>
      </c>
      <c r="L17" s="9">
        <f>LN(B17/B16)</f>
        <v/>
      </c>
      <c r="M17" s="9">
        <f>$M$1*(C17-C16)</f>
        <v/>
      </c>
      <c r="N17" s="9">
        <f>$N$1*(D17-D16)</f>
        <v/>
      </c>
      <c r="O17" s="9">
        <f>$O$1*LN(E17/E16)</f>
        <v/>
      </c>
      <c r="P17" s="9">
        <f>$P$1*LN(F17/F16)</f>
        <v/>
      </c>
      <c r="Q17" s="9">
        <f>$Q$1*(G17-G16)</f>
        <v/>
      </c>
      <c r="R17" s="9">
        <f>$R$1*(H17-H16)</f>
        <v/>
      </c>
      <c r="S17" s="9">
        <f>$S$1*LN(I17/I16)</f>
        <v/>
      </c>
      <c r="T17" s="9">
        <f>$T$1*LN(J17/J16)</f>
        <v/>
      </c>
      <c r="U17" s="9">
        <f>$W$12+$W$4*M17+$W$5*N17+$W$6*O17+$W$7*P17+$W$8*Q17+$W$9*R17+$W$10*S17+$W$11*T17</f>
        <v/>
      </c>
      <c r="V17" s="6" t="inlineStr">
        <is>
          <t>Walk-forward OOS (rolling 60m → next)</t>
        </is>
      </c>
    </row>
    <row r="18">
      <c r="A18" s="7" t="n">
        <v>37729</v>
      </c>
      <c r="B18" s="8" t="n">
        <v>327</v>
      </c>
      <c r="C18" s="8" t="n">
        <v>1.76</v>
      </c>
      <c r="D18" s="8" t="n">
        <v>2.22</v>
      </c>
      <c r="E18" s="8" t="n">
        <v>99.300003</v>
      </c>
      <c r="F18" s="8" t="n">
        <v>30.1</v>
      </c>
      <c r="G18" s="8" t="n">
        <v>21.5</v>
      </c>
      <c r="H18" s="8" t="n">
        <v>96.199997</v>
      </c>
      <c r="I18" s="8" t="n">
        <v>893.580017</v>
      </c>
      <c r="J18" s="8" t="n">
        <v>48.539465</v>
      </c>
      <c r="L18" s="9">
        <f>LN(B18/B17)</f>
        <v/>
      </c>
      <c r="M18" s="9">
        <f>$M$1*(C18-C17)</f>
        <v/>
      </c>
      <c r="N18" s="9">
        <f>$N$1*(D18-D17)</f>
        <v/>
      </c>
      <c r="O18" s="9">
        <f>$O$1*LN(E18/E17)</f>
        <v/>
      </c>
      <c r="P18" s="9">
        <f>$P$1*LN(F18/F17)</f>
        <v/>
      </c>
      <c r="Q18" s="9">
        <f>$Q$1*(G18-G17)</f>
        <v/>
      </c>
      <c r="R18" s="9">
        <f>$R$1*(H18-H17)</f>
        <v/>
      </c>
      <c r="S18" s="9">
        <f>$S$1*LN(I18/I17)</f>
        <v/>
      </c>
      <c r="T18" s="9">
        <f>$T$1*LN(J18/J17)</f>
        <v/>
      </c>
      <c r="U18" s="9">
        <f>$W$12+$W$4*M18+$W$5*N18+$W$6*O18+$W$7*P18+$W$8*Q18+$W$9*R18+$W$10*S18+$W$11*T18</f>
        <v/>
      </c>
      <c r="V18" t="inlineStr">
        <is>
          <t>OOS R² vs RW (predict 0)</t>
        </is>
      </c>
      <c r="W18" s="10">
        <f>1-SUMPRODUCT((L264:L1226-AK264:AK1226)^2)/SUMPRODUCT(L264:L1226,L264:L1226)</f>
        <v/>
      </c>
    </row>
    <row r="19">
      <c r="A19" s="7" t="n">
        <v>37736</v>
      </c>
      <c r="B19" s="8" t="n">
        <v>333.25</v>
      </c>
      <c r="C19" s="8" t="n">
        <v>1.73</v>
      </c>
      <c r="D19" s="8" t="n">
        <v>2.18</v>
      </c>
      <c r="E19" s="8" t="n">
        <v>98.360001</v>
      </c>
      <c r="F19" s="8" t="n">
        <v>25.92</v>
      </c>
      <c r="G19" s="8" t="n">
        <v>20.8</v>
      </c>
      <c r="H19" s="8" t="n">
        <v>91.660004</v>
      </c>
      <c r="I19" s="8" t="n">
        <v>898.809998</v>
      </c>
      <c r="J19" s="8" t="n">
        <v>48.773746</v>
      </c>
      <c r="L19" s="9">
        <f>LN(B19/B18)</f>
        <v/>
      </c>
      <c r="M19" s="9">
        <f>$M$1*(C19-C18)</f>
        <v/>
      </c>
      <c r="N19" s="9">
        <f>$N$1*(D19-D18)</f>
        <v/>
      </c>
      <c r="O19" s="9">
        <f>$O$1*LN(E19/E18)</f>
        <v/>
      </c>
      <c r="P19" s="9">
        <f>$P$1*LN(F19/F18)</f>
        <v/>
      </c>
      <c r="Q19" s="9">
        <f>$Q$1*(G19-G18)</f>
        <v/>
      </c>
      <c r="R19" s="9">
        <f>$R$1*(H19-H18)</f>
        <v/>
      </c>
      <c r="S19" s="9">
        <f>$S$1*LN(I19/I18)</f>
        <v/>
      </c>
      <c r="T19" s="9">
        <f>$T$1*LN(J19/J18)</f>
        <v/>
      </c>
      <c r="U19" s="9">
        <f>$W$12+$W$4*M19+$W$5*N19+$W$6*O19+$W$7*P19+$W$8*Q19+$W$9*R19+$W$10*S19+$W$11*T19</f>
        <v/>
      </c>
      <c r="V19" t="inlineStr">
        <is>
          <t>OOS R² vs RW+drift</t>
        </is>
      </c>
      <c r="W19" s="10">
        <f>1-SUMPRODUCT((L264:L1226-AK264:AK1226)^2)/SUMPRODUCT((L264:L1226-AL264:AL1226)^2)</f>
        <v/>
      </c>
    </row>
    <row r="20">
      <c r="A20" s="7" t="n">
        <v>37743</v>
      </c>
      <c r="B20" s="8" t="n">
        <v>340.5</v>
      </c>
      <c r="C20" s="8" t="n">
        <v>1.75</v>
      </c>
      <c r="D20" s="8" t="n">
        <v>2.19</v>
      </c>
      <c r="E20" s="8" t="n">
        <v>96.760002</v>
      </c>
      <c r="F20" s="8" t="n">
        <v>25.74</v>
      </c>
      <c r="G20" s="8" t="n">
        <v>20.63</v>
      </c>
      <c r="H20" s="8" t="n">
        <v>90.66999800000001</v>
      </c>
      <c r="I20" s="8" t="n">
        <v>930.080017</v>
      </c>
      <c r="J20" s="8" t="n">
        <v>49.009075</v>
      </c>
      <c r="L20" s="9">
        <f>LN(B20/B19)</f>
        <v/>
      </c>
      <c r="M20" s="9">
        <f>$M$1*(C20-C19)</f>
        <v/>
      </c>
      <c r="N20" s="9">
        <f>$N$1*(D20-D19)</f>
        <v/>
      </c>
      <c r="O20" s="9">
        <f>$O$1*LN(E20/E19)</f>
        <v/>
      </c>
      <c r="P20" s="9">
        <f>$P$1*LN(F20/F19)</f>
        <v/>
      </c>
      <c r="Q20" s="9">
        <f>$Q$1*(G20-G19)</f>
        <v/>
      </c>
      <c r="R20" s="9">
        <f>$R$1*(H20-H19)</f>
        <v/>
      </c>
      <c r="S20" s="9">
        <f>$S$1*LN(I20/I19)</f>
        <v/>
      </c>
      <c r="T20" s="9">
        <f>$T$1*LN(J20/J19)</f>
        <v/>
      </c>
      <c r="U20" s="9">
        <f>$W$12+$W$4*M20+$W$5*N20+$W$6*O20+$W$7*P20+$W$8*Q20+$W$9*R20+$W$10*S20+$W$11*T20</f>
        <v/>
      </c>
      <c r="V20" t="inlineStr">
        <is>
          <t>RMSE ratio (model/RW)</t>
        </is>
      </c>
      <c r="W20" s="11">
        <f>SQRT(SUMPRODUCT((L264:L1226-AK264:AK1226)^2)/SUMPRODUCT(L264:L1226,L264:L1226))</f>
        <v/>
      </c>
    </row>
    <row r="21">
      <c r="A21" s="7" t="n">
        <v>37750</v>
      </c>
      <c r="B21" s="8" t="n">
        <v>347.9</v>
      </c>
      <c r="C21" s="8" t="n">
        <v>1.69</v>
      </c>
      <c r="D21" s="8" t="n">
        <v>2</v>
      </c>
      <c r="E21" s="8" t="n">
        <v>94.980003</v>
      </c>
      <c r="F21" s="8" t="n">
        <v>27.65</v>
      </c>
      <c r="G21" s="8" t="n">
        <v>19.69</v>
      </c>
      <c r="H21" s="8" t="n">
        <v>82.55999799999999</v>
      </c>
      <c r="I21" s="8" t="n">
        <v>933.409973</v>
      </c>
      <c r="J21" s="8" t="n">
        <v>49.432392</v>
      </c>
      <c r="L21" s="9">
        <f>LN(B21/B20)</f>
        <v/>
      </c>
      <c r="M21" s="9">
        <f>$M$1*(C21-C20)</f>
        <v/>
      </c>
      <c r="N21" s="9">
        <f>$N$1*(D21-D20)</f>
        <v/>
      </c>
      <c r="O21" s="9">
        <f>$O$1*LN(E21/E20)</f>
        <v/>
      </c>
      <c r="P21" s="9">
        <f>$P$1*LN(F21/F20)</f>
        <v/>
      </c>
      <c r="Q21" s="9">
        <f>$Q$1*(G21-G20)</f>
        <v/>
      </c>
      <c r="R21" s="9">
        <f>$R$1*(H21-H20)</f>
        <v/>
      </c>
      <c r="S21" s="9">
        <f>$S$1*LN(I21/I20)</f>
        <v/>
      </c>
      <c r="T21" s="9">
        <f>$T$1*LN(J21/J20)</f>
        <v/>
      </c>
      <c r="U21" s="9">
        <f>$W$12+$W$4*M21+$W$5*N21+$W$6*O21+$W$7*P21+$W$8*Q21+$W$9*R21+$W$10*S21+$W$11*T21</f>
        <v/>
      </c>
      <c r="V21" t="inlineStr">
        <is>
          <t>OOS periods</t>
        </is>
      </c>
      <c r="W21" s="12">
        <f>COUNT(AK264:AK1226)</f>
        <v/>
      </c>
    </row>
    <row r="22">
      <c r="A22" s="7" t="n">
        <v>37757</v>
      </c>
      <c r="B22" s="8" t="n">
        <v>355</v>
      </c>
      <c r="C22" s="8" t="n">
        <v>1.62</v>
      </c>
      <c r="D22" s="8" t="n">
        <v>1.84</v>
      </c>
      <c r="E22" s="8" t="n">
        <v>94.08000199999999</v>
      </c>
      <c r="F22" s="8" t="n">
        <v>29.07</v>
      </c>
      <c r="G22" s="8" t="n">
        <v>18.4</v>
      </c>
      <c r="H22" s="8" t="n">
        <v>94.639999</v>
      </c>
      <c r="I22" s="8" t="n">
        <v>944.299988</v>
      </c>
      <c r="J22" s="8" t="n">
        <v>49.667561</v>
      </c>
      <c r="L22" s="9">
        <f>LN(B22/B21)</f>
        <v/>
      </c>
      <c r="M22" s="9">
        <f>$M$1*(C22-C21)</f>
        <v/>
      </c>
      <c r="N22" s="9">
        <f>$N$1*(D22-D21)</f>
        <v/>
      </c>
      <c r="O22" s="9">
        <f>$O$1*LN(E22/E21)</f>
        <v/>
      </c>
      <c r="P22" s="9">
        <f>$P$1*LN(F22/F21)</f>
        <v/>
      </c>
      <c r="Q22" s="9">
        <f>$Q$1*(G22-G21)</f>
        <v/>
      </c>
      <c r="R22" s="9">
        <f>$R$1*(H22-H21)</f>
        <v/>
      </c>
      <c r="S22" s="9">
        <f>$S$1*LN(I22/I21)</f>
        <v/>
      </c>
      <c r="T22" s="9">
        <f>$T$1*LN(J22/J21)</f>
        <v/>
      </c>
      <c r="U22" s="9">
        <f>$W$12+$W$4*M22+$W$5*N22+$W$6*O22+$W$7*P22+$W$8*Q22+$W$9*R22+$W$10*S22+$W$11*T22</f>
        <v/>
      </c>
    </row>
    <row r="23">
      <c r="A23" s="7" t="n">
        <v>37764</v>
      </c>
      <c r="B23" s="8" t="n">
        <v>370.5</v>
      </c>
      <c r="C23" s="8" t="n">
        <v>1.62</v>
      </c>
      <c r="D23" s="8" t="n">
        <v>1.72</v>
      </c>
      <c r="E23" s="8" t="n">
        <v>93.050003</v>
      </c>
      <c r="F23" s="8" t="n">
        <v>29.74</v>
      </c>
      <c r="G23" s="8" t="n">
        <v>19.17</v>
      </c>
      <c r="H23" s="8" t="n">
        <v>99.529999</v>
      </c>
      <c r="I23" s="8" t="n">
        <v>933.219971</v>
      </c>
      <c r="J23" s="8" t="n">
        <v>49.808691</v>
      </c>
      <c r="L23" s="9">
        <f>LN(B23/B22)</f>
        <v/>
      </c>
      <c r="M23" s="9">
        <f>$M$1*(C23-C22)</f>
        <v/>
      </c>
      <c r="N23" s="9">
        <f>$N$1*(D23-D22)</f>
        <v/>
      </c>
      <c r="O23" s="9">
        <f>$O$1*LN(E23/E22)</f>
        <v/>
      </c>
      <c r="P23" s="9">
        <f>$P$1*LN(F23/F22)</f>
        <v/>
      </c>
      <c r="Q23" s="9">
        <f>$Q$1*(G23-G22)</f>
        <v/>
      </c>
      <c r="R23" s="9">
        <f>$R$1*(H23-H22)</f>
        <v/>
      </c>
      <c r="S23" s="9">
        <f>$S$1*LN(I23/I22)</f>
        <v/>
      </c>
      <c r="T23" s="9">
        <f>$T$1*LN(J23/J22)</f>
        <v/>
      </c>
      <c r="U23" s="9">
        <f>$W$12+$W$4*M23+$W$5*N23+$W$6*O23+$W$7*P23+$W$8*Q23+$W$9*R23+$W$10*S23+$W$11*T23</f>
        <v/>
      </c>
    </row>
    <row r="24">
      <c r="A24" s="7" t="n">
        <v>37771</v>
      </c>
      <c r="B24" s="8" t="n">
        <v>361.4</v>
      </c>
      <c r="C24" s="8" t="n">
        <v>1.6</v>
      </c>
      <c r="D24" s="8" t="n">
        <v>1.77</v>
      </c>
      <c r="E24" s="8" t="n">
        <v>93.269997</v>
      </c>
      <c r="F24" s="8" t="n">
        <v>29.56</v>
      </c>
      <c r="G24" s="8" t="n">
        <v>19.47</v>
      </c>
      <c r="H24" s="8" t="n">
        <v>99.80999799999999</v>
      </c>
      <c r="I24" s="8" t="n">
        <v>963.590027</v>
      </c>
      <c r="J24" s="8" t="n">
        <v>49.950304</v>
      </c>
      <c r="L24" s="9">
        <f>LN(B24/B23)</f>
        <v/>
      </c>
      <c r="M24" s="9">
        <f>$M$1*(C24-C23)</f>
        <v/>
      </c>
      <c r="N24" s="9">
        <f>$N$1*(D24-D23)</f>
        <v/>
      </c>
      <c r="O24" s="9">
        <f>$O$1*LN(E24/E23)</f>
        <v/>
      </c>
      <c r="P24" s="9">
        <f>$P$1*LN(F24/F23)</f>
        <v/>
      </c>
      <c r="Q24" s="9">
        <f>$Q$1*(G24-G23)</f>
        <v/>
      </c>
      <c r="R24" s="9">
        <f>$R$1*(H24-H23)</f>
        <v/>
      </c>
      <c r="S24" s="9">
        <f>$S$1*LN(I24/I23)</f>
        <v/>
      </c>
      <c r="T24" s="9">
        <f>$T$1*LN(J24/J23)</f>
        <v/>
      </c>
      <c r="U24" s="9">
        <f>$W$12+$W$4*M24+$W$5*N24+$W$6*O24+$W$7*P24+$W$8*Q24+$W$9*R24+$W$10*S24+$W$11*T24</f>
        <v/>
      </c>
    </row>
    <row r="25">
      <c r="A25" s="7" t="n">
        <v>37778</v>
      </c>
      <c r="B25" s="8" t="n">
        <v>363</v>
      </c>
      <c r="C25" s="8" t="n">
        <v>1.61</v>
      </c>
      <c r="D25" s="8" t="n">
        <v>1.76</v>
      </c>
      <c r="E25" s="8" t="n">
        <v>93.480003</v>
      </c>
      <c r="F25" s="8" t="n">
        <v>31.26</v>
      </c>
      <c r="G25" s="8" t="n">
        <v>21.25</v>
      </c>
      <c r="H25" s="8" t="n">
        <v>103.349998</v>
      </c>
      <c r="I25" s="8" t="n">
        <v>987.76001</v>
      </c>
      <c r="J25" s="8" t="n">
        <v>49.997508</v>
      </c>
      <c r="L25" s="9">
        <f>LN(B25/B24)</f>
        <v/>
      </c>
      <c r="M25" s="9">
        <f>$M$1*(C25-C24)</f>
        <v/>
      </c>
      <c r="N25" s="9">
        <f>$N$1*(D25-D24)</f>
        <v/>
      </c>
      <c r="O25" s="9">
        <f>$O$1*LN(E25/E24)</f>
        <v/>
      </c>
      <c r="P25" s="9">
        <f>$P$1*LN(F25/F24)</f>
        <v/>
      </c>
      <c r="Q25" s="9">
        <f>$Q$1*(G25-G24)</f>
        <v/>
      </c>
      <c r="R25" s="9">
        <f>$R$1*(H25-H24)</f>
        <v/>
      </c>
      <c r="S25" s="9">
        <f>$S$1*LN(I25/I24)</f>
        <v/>
      </c>
      <c r="T25" s="9">
        <f>$T$1*LN(J25/J24)</f>
        <v/>
      </c>
      <c r="U25" s="9">
        <f>$W$12+$W$4*M25+$W$5*N25+$W$6*O25+$W$7*P25+$W$8*Q25+$W$9*R25+$W$10*S25+$W$11*T25</f>
        <v/>
      </c>
    </row>
    <row r="26">
      <c r="A26" s="7" t="n">
        <v>37785</v>
      </c>
      <c r="B26" s="8" t="n">
        <v>353.05</v>
      </c>
      <c r="C26" s="8" t="n">
        <v>1.62</v>
      </c>
      <c r="D26" s="8" t="n">
        <v>1.51</v>
      </c>
      <c r="E26" s="8" t="n">
        <v>92.220001</v>
      </c>
      <c r="F26" s="8" t="n">
        <v>30.63</v>
      </c>
      <c r="G26" s="8" t="n">
        <v>20.66</v>
      </c>
      <c r="H26" s="8" t="n">
        <v>103.18</v>
      </c>
      <c r="I26" s="8" t="n">
        <v>988.6099850000001</v>
      </c>
      <c r="J26" s="8" t="n">
        <v>50.422454</v>
      </c>
      <c r="L26" s="9">
        <f>LN(B26/B25)</f>
        <v/>
      </c>
      <c r="M26" s="9">
        <f>$M$1*(C26-C25)</f>
        <v/>
      </c>
      <c r="N26" s="9">
        <f>$N$1*(D26-D25)</f>
        <v/>
      </c>
      <c r="O26" s="9">
        <f>$O$1*LN(E26/E25)</f>
        <v/>
      </c>
      <c r="P26" s="9">
        <f>$P$1*LN(F26/F25)</f>
        <v/>
      </c>
      <c r="Q26" s="9">
        <f>$Q$1*(G26-G25)</f>
        <v/>
      </c>
      <c r="R26" s="9">
        <f>$R$1*(H26-H25)</f>
        <v/>
      </c>
      <c r="S26" s="9">
        <f>$S$1*LN(I26/I25)</f>
        <v/>
      </c>
      <c r="T26" s="9">
        <f>$T$1*LN(J26/J25)</f>
        <v/>
      </c>
      <c r="U26" s="9">
        <f>$W$12+$W$4*M26+$W$5*N26+$W$6*O26+$W$7*P26+$W$8*Q26+$W$9*R26+$W$10*S26+$W$11*T26</f>
        <v/>
      </c>
    </row>
    <row r="27">
      <c r="A27" s="7" t="n">
        <v>37792</v>
      </c>
      <c r="B27" s="8" t="n">
        <v>358</v>
      </c>
      <c r="C27" s="8" t="n">
        <v>1.63</v>
      </c>
      <c r="D27" s="8" t="n">
        <v>1.77</v>
      </c>
      <c r="E27" s="8" t="n">
        <v>94.040001</v>
      </c>
      <c r="F27" s="8" t="n">
        <v>30.63</v>
      </c>
      <c r="G27" s="8" t="n">
        <v>19.14</v>
      </c>
      <c r="H27" s="8" t="n">
        <v>113.389999</v>
      </c>
      <c r="I27" s="8" t="n">
        <v>995.690002</v>
      </c>
      <c r="J27" s="8" t="n">
        <v>49.903134</v>
      </c>
      <c r="L27" s="9">
        <f>LN(B27/B26)</f>
        <v/>
      </c>
      <c r="M27" s="9">
        <f>$M$1*(C27-C26)</f>
        <v/>
      </c>
      <c r="N27" s="9">
        <f>$N$1*(D27-D26)</f>
        <v/>
      </c>
      <c r="O27" s="9">
        <f>$O$1*LN(E27/E26)</f>
        <v/>
      </c>
      <c r="P27" s="9">
        <f>$P$1*LN(F27/F26)</f>
        <v/>
      </c>
      <c r="Q27" s="9">
        <f>$Q$1*(G27-G26)</f>
        <v/>
      </c>
      <c r="R27" s="9">
        <f>$R$1*(H27-H26)</f>
        <v/>
      </c>
      <c r="S27" s="9">
        <f>$S$1*LN(I27/I26)</f>
        <v/>
      </c>
      <c r="T27" s="9">
        <f>$T$1*LN(J27/J26)</f>
        <v/>
      </c>
      <c r="U27" s="9">
        <f>$W$12+$W$4*M27+$W$5*N27+$W$6*O27+$W$7*P27+$W$8*Q27+$W$9*R27+$W$10*S27+$W$11*T27</f>
        <v/>
      </c>
    </row>
    <row r="28">
      <c r="A28" s="7" t="n">
        <v>37799</v>
      </c>
      <c r="B28" s="8" t="n">
        <v>345.5</v>
      </c>
      <c r="C28" s="8" t="n">
        <v>1.68</v>
      </c>
      <c r="D28" s="8" t="n">
        <v>1.9</v>
      </c>
      <c r="E28" s="8" t="n">
        <v>95.150002</v>
      </c>
      <c r="F28" s="8" t="n">
        <v>29.18</v>
      </c>
      <c r="G28" s="8" t="n">
        <v>19.16</v>
      </c>
      <c r="H28" s="8" t="n">
        <v>108.190002</v>
      </c>
      <c r="I28" s="8" t="n">
        <v>976.219971</v>
      </c>
      <c r="J28" s="8" t="n">
        <v>49.572587</v>
      </c>
      <c r="L28" s="9">
        <f>LN(B28/B27)</f>
        <v/>
      </c>
      <c r="M28" s="9">
        <f>$M$1*(C28-C27)</f>
        <v/>
      </c>
      <c r="N28" s="9">
        <f>$N$1*(D28-D27)</f>
        <v/>
      </c>
      <c r="O28" s="9">
        <f>$O$1*LN(E28/E27)</f>
        <v/>
      </c>
      <c r="P28" s="9">
        <f>$P$1*LN(F28/F27)</f>
        <v/>
      </c>
      <c r="Q28" s="9">
        <f>$Q$1*(G28-G27)</f>
        <v/>
      </c>
      <c r="R28" s="9">
        <f>$R$1*(H28-H27)</f>
        <v/>
      </c>
      <c r="S28" s="9">
        <f>$S$1*LN(I28/I27)</f>
        <v/>
      </c>
      <c r="T28" s="9">
        <f>$T$1*LN(J28/J27)</f>
        <v/>
      </c>
      <c r="U28" s="9">
        <f>$W$12+$W$4*M28+$W$5*N28+$W$6*O28+$W$7*P28+$W$8*Q28+$W$9*R28+$W$10*S28+$W$11*T28</f>
        <v/>
      </c>
    </row>
    <row r="29">
      <c r="A29" s="7" t="n">
        <v>37806</v>
      </c>
      <c r="B29" s="8" t="n">
        <v>351.3</v>
      </c>
      <c r="C29" s="8" t="n">
        <v>1.58</v>
      </c>
      <c r="D29" s="8" t="n">
        <v>2.09</v>
      </c>
      <c r="E29" s="8" t="n">
        <v>94.550003</v>
      </c>
      <c r="F29" s="8" t="n">
        <v>30.39</v>
      </c>
      <c r="G29" s="8" t="n">
        <v>19.39</v>
      </c>
      <c r="H29" s="8" t="n">
        <v>107.510002</v>
      </c>
      <c r="I29" s="8" t="n">
        <v>985.700012</v>
      </c>
      <c r="J29" s="8" t="n">
        <v>49.695907</v>
      </c>
      <c r="L29" s="9">
        <f>LN(B29/B28)</f>
        <v/>
      </c>
      <c r="M29" s="9">
        <f>$M$1*(C29-C28)</f>
        <v/>
      </c>
      <c r="N29" s="9">
        <f>$N$1*(D29-D28)</f>
        <v/>
      </c>
      <c r="O29" s="9">
        <f>$O$1*LN(E29/E28)</f>
        <v/>
      </c>
      <c r="P29" s="9">
        <f>$P$1*LN(F29/F28)</f>
        <v/>
      </c>
      <c r="Q29" s="9">
        <f>$Q$1*(G29-G28)</f>
        <v/>
      </c>
      <c r="R29" s="9">
        <f>$R$1*(H29-H28)</f>
        <v/>
      </c>
      <c r="S29" s="9">
        <f>$S$1*LN(I29/I28)</f>
        <v/>
      </c>
      <c r="T29" s="9">
        <f>$T$1*LN(J29/J28)</f>
        <v/>
      </c>
      <c r="U29" s="9">
        <f>$W$12+$W$4*M29+$W$5*N29+$W$6*O29+$W$7*P29+$W$8*Q29+$W$9*R29+$W$10*S29+$W$11*T29</f>
        <v/>
      </c>
    </row>
    <row r="30">
      <c r="A30" s="7" t="n">
        <v>37813</v>
      </c>
      <c r="B30" s="8" t="n">
        <v>343.7</v>
      </c>
      <c r="C30" s="8" t="n">
        <v>1.78</v>
      </c>
      <c r="D30" s="8" t="n">
        <v>1.88</v>
      </c>
      <c r="E30" s="8" t="n">
        <v>95.800003</v>
      </c>
      <c r="F30" s="8" t="n">
        <v>31.33</v>
      </c>
      <c r="G30" s="8" t="n">
        <v>18.47</v>
      </c>
      <c r="H30" s="8" t="n">
        <v>98.870003</v>
      </c>
      <c r="I30" s="8" t="n">
        <v>998.1400149999999</v>
      </c>
      <c r="J30" s="8" t="n">
        <v>49.743326</v>
      </c>
      <c r="L30" s="9">
        <f>LN(B30/B29)</f>
        <v/>
      </c>
      <c r="M30" s="9">
        <f>$M$1*(C30-C29)</f>
        <v/>
      </c>
      <c r="N30" s="9">
        <f>$N$1*(D30-D29)</f>
        <v/>
      </c>
      <c r="O30" s="9">
        <f>$O$1*LN(E30/E29)</f>
        <v/>
      </c>
      <c r="P30" s="9">
        <f>$P$1*LN(F30/F29)</f>
        <v/>
      </c>
      <c r="Q30" s="9">
        <f>$Q$1*(G30-G29)</f>
        <v/>
      </c>
      <c r="R30" s="9">
        <f>$R$1*(H30-H29)</f>
        <v/>
      </c>
      <c r="S30" s="9">
        <f>$S$1*LN(I30/I29)</f>
        <v/>
      </c>
      <c r="T30" s="9">
        <f>$T$1*LN(J30/J29)</f>
        <v/>
      </c>
      <c r="U30" s="9">
        <f>$W$12+$W$4*M30+$W$5*N30+$W$6*O30+$W$7*P30+$W$8*Q30+$W$9*R30+$W$10*S30+$W$11*T30</f>
        <v/>
      </c>
    </row>
    <row r="31">
      <c r="A31" s="7" t="n">
        <v>37820</v>
      </c>
      <c r="B31" s="8" t="n">
        <v>344.35</v>
      </c>
      <c r="C31" s="8" t="n">
        <v>1.96</v>
      </c>
      <c r="D31" s="8" t="n">
        <v>2.04</v>
      </c>
      <c r="E31" s="8" t="n">
        <v>96.860001</v>
      </c>
      <c r="F31" s="8" t="n">
        <v>31.96</v>
      </c>
      <c r="G31" s="8" t="n">
        <v>19.11</v>
      </c>
      <c r="H31" s="8" t="n">
        <v>104.919998</v>
      </c>
      <c r="I31" s="8" t="n">
        <v>993.320007</v>
      </c>
      <c r="J31" s="8" t="n">
        <v>49.126842</v>
      </c>
      <c r="L31" s="9">
        <f>LN(B31/B30)</f>
        <v/>
      </c>
      <c r="M31" s="9">
        <f>$M$1*(C31-C30)</f>
        <v/>
      </c>
      <c r="N31" s="9">
        <f>$N$1*(D31-D30)</f>
        <v/>
      </c>
      <c r="O31" s="9">
        <f>$O$1*LN(E31/E30)</f>
        <v/>
      </c>
      <c r="P31" s="9">
        <f>$P$1*LN(F31/F30)</f>
        <v/>
      </c>
      <c r="Q31" s="9">
        <f>$Q$1*(G31-G30)</f>
        <v/>
      </c>
      <c r="R31" s="9">
        <f>$R$1*(H31-H30)</f>
        <v/>
      </c>
      <c r="S31" s="9">
        <f>$S$1*LN(I31/I30)</f>
        <v/>
      </c>
      <c r="T31" s="9">
        <f>$T$1*LN(J31/J30)</f>
        <v/>
      </c>
      <c r="U31" s="9">
        <f>$W$12+$W$4*M31+$W$5*N31+$W$6*O31+$W$7*P31+$W$8*Q31+$W$9*R31+$W$10*S31+$W$11*T31</f>
        <v/>
      </c>
    </row>
    <row r="32">
      <c r="A32" s="7" t="n">
        <v>37827</v>
      </c>
      <c r="B32" s="8" t="n">
        <v>363</v>
      </c>
      <c r="C32" s="8" t="n">
        <v>2.08</v>
      </c>
      <c r="D32" s="8" t="n">
        <v>2.14</v>
      </c>
      <c r="E32" s="8" t="n">
        <v>94.959999</v>
      </c>
      <c r="F32" s="8" t="n">
        <v>30.31</v>
      </c>
      <c r="G32" s="8" t="n">
        <v>17.75</v>
      </c>
      <c r="H32" s="8" t="n">
        <v>115.93</v>
      </c>
      <c r="I32" s="8" t="n">
        <v>998.679993</v>
      </c>
      <c r="J32" s="8" t="n">
        <v>48.794954</v>
      </c>
      <c r="L32" s="9">
        <f>LN(B32/B31)</f>
        <v/>
      </c>
      <c r="M32" s="9">
        <f>$M$1*(C32-C31)</f>
        <v/>
      </c>
      <c r="N32" s="9">
        <f>$N$1*(D32-D31)</f>
        <v/>
      </c>
      <c r="O32" s="9">
        <f>$O$1*LN(E32/E31)</f>
        <v/>
      </c>
      <c r="P32" s="9">
        <f>$P$1*LN(F32/F31)</f>
        <v/>
      </c>
      <c r="Q32" s="9">
        <f>$Q$1*(G32-G31)</f>
        <v/>
      </c>
      <c r="R32" s="9">
        <f>$R$1*(H32-H31)</f>
        <v/>
      </c>
      <c r="S32" s="9">
        <f>$S$1*LN(I32/I31)</f>
        <v/>
      </c>
      <c r="T32" s="9">
        <f>$T$1*LN(J32/J31)</f>
        <v/>
      </c>
      <c r="U32" s="9">
        <f>$W$12+$W$4*M32+$W$5*N32+$W$6*O32+$W$7*P32+$W$8*Q32+$W$9*R32+$W$10*S32+$W$11*T32</f>
        <v/>
      </c>
    </row>
    <row r="33">
      <c r="A33" s="7" t="n">
        <v>37834</v>
      </c>
      <c r="B33" s="8" t="n">
        <v>352.35</v>
      </c>
      <c r="C33" s="8" t="n">
        <v>2.04</v>
      </c>
      <c r="D33" s="8" t="n">
        <v>2.4</v>
      </c>
      <c r="E33" s="8" t="n">
        <v>96.660004</v>
      </c>
      <c r="F33" s="8" t="n">
        <v>32.23</v>
      </c>
      <c r="G33" s="8" t="n">
        <v>20.75</v>
      </c>
      <c r="H33" s="8" t="n">
        <v>157.220001</v>
      </c>
      <c r="I33" s="8" t="n">
        <v>980.150024</v>
      </c>
      <c r="J33" s="8" t="n">
        <v>48.172815</v>
      </c>
      <c r="L33" s="9">
        <f>LN(B33/B32)</f>
        <v/>
      </c>
      <c r="M33" s="9">
        <f>$M$1*(C33-C32)</f>
        <v/>
      </c>
      <c r="N33" s="9">
        <f>$N$1*(D33-D32)</f>
        <v/>
      </c>
      <c r="O33" s="9">
        <f>$O$1*LN(E33/E32)</f>
        <v/>
      </c>
      <c r="P33" s="9">
        <f>$P$1*LN(F33/F32)</f>
        <v/>
      </c>
      <c r="Q33" s="9">
        <f>$Q$1*(G33-G32)</f>
        <v/>
      </c>
      <c r="R33" s="9">
        <f>$R$1*(H33-H32)</f>
        <v/>
      </c>
      <c r="S33" s="9">
        <f>$S$1*LN(I33/I32)</f>
        <v/>
      </c>
      <c r="T33" s="9">
        <f>$T$1*LN(J33/J32)</f>
        <v/>
      </c>
      <c r="U33" s="9">
        <f>$W$12+$W$4*M33+$W$5*N33+$W$6*O33+$W$7*P33+$W$8*Q33+$W$9*R33+$W$10*S33+$W$11*T33</f>
        <v/>
      </c>
    </row>
    <row r="34">
      <c r="A34" s="7" t="n">
        <v>37841</v>
      </c>
      <c r="B34" s="8" t="n">
        <v>353.95</v>
      </c>
      <c r="C34" s="8" t="n">
        <v>2</v>
      </c>
      <c r="D34" s="8" t="n">
        <v>2.27</v>
      </c>
      <c r="E34" s="8" t="n">
        <v>96.360001</v>
      </c>
      <c r="F34" s="8" t="n">
        <v>32.23</v>
      </c>
      <c r="G34" s="8" t="n">
        <v>19.59</v>
      </c>
      <c r="H34" s="8" t="n">
        <v>130.960007</v>
      </c>
      <c r="I34" s="8" t="n">
        <v>977.590027</v>
      </c>
      <c r="J34" s="8" t="n">
        <v>48.696421</v>
      </c>
      <c r="L34" s="9">
        <f>LN(B34/B33)</f>
        <v/>
      </c>
      <c r="M34" s="9">
        <f>$M$1*(C34-C33)</f>
        <v/>
      </c>
      <c r="N34" s="9">
        <f>$N$1*(D34-D33)</f>
        <v/>
      </c>
      <c r="O34" s="9">
        <f>$O$1*LN(E34/E33)</f>
        <v/>
      </c>
      <c r="P34" s="9">
        <f>$P$1*LN(F34/F33)</f>
        <v/>
      </c>
      <c r="Q34" s="9">
        <f>$Q$1*(G34-G33)</f>
        <v/>
      </c>
      <c r="R34" s="9">
        <f>$R$1*(H34-H33)</f>
        <v/>
      </c>
      <c r="S34" s="9">
        <f>$S$1*LN(I34/I33)</f>
        <v/>
      </c>
      <c r="T34" s="9">
        <f>$T$1*LN(J34/J33)</f>
        <v/>
      </c>
      <c r="U34" s="9">
        <f>$W$12+$W$4*M34+$W$5*N34+$W$6*O34+$W$7*P34+$W$8*Q34+$W$9*R34+$W$10*S34+$W$11*T34</f>
        <v/>
      </c>
    </row>
    <row r="35">
      <c r="A35" s="7" t="n">
        <v>37848</v>
      </c>
      <c r="B35" s="8" t="n">
        <v>364.5</v>
      </c>
      <c r="C35" s="8" t="n">
        <v>2.19</v>
      </c>
      <c r="D35" s="8" t="n">
        <v>2.36</v>
      </c>
      <c r="E35" s="8" t="n">
        <v>96.650002</v>
      </c>
      <c r="F35" s="8" t="n">
        <v>31.01</v>
      </c>
      <c r="G35" s="8" t="n">
        <v>18.27</v>
      </c>
      <c r="H35" s="8" t="n">
        <v>140.589996</v>
      </c>
      <c r="I35" s="8" t="n">
        <v>990.669983</v>
      </c>
      <c r="J35" s="8" t="n">
        <v>48.125191</v>
      </c>
      <c r="L35" s="9">
        <f>LN(B35/B34)</f>
        <v/>
      </c>
      <c r="M35" s="9">
        <f>$M$1*(C35-C34)</f>
        <v/>
      </c>
      <c r="N35" s="9">
        <f>$N$1*(D35-D34)</f>
        <v/>
      </c>
      <c r="O35" s="9">
        <f>$O$1*LN(E35/E34)</f>
        <v/>
      </c>
      <c r="P35" s="9">
        <f>$P$1*LN(F35/F34)</f>
        <v/>
      </c>
      <c r="Q35" s="9">
        <f>$Q$1*(G35-G34)</f>
        <v/>
      </c>
      <c r="R35" s="9">
        <f>$R$1*(H35-H34)</f>
        <v/>
      </c>
      <c r="S35" s="9">
        <f>$S$1*LN(I35/I34)</f>
        <v/>
      </c>
      <c r="T35" s="9">
        <f>$T$1*LN(J35/J34)</f>
        <v/>
      </c>
      <c r="U35" s="9">
        <f>$W$12+$W$4*M35+$W$5*N35+$W$6*O35+$W$7*P35+$W$8*Q35+$W$9*R35+$W$10*S35+$W$11*T35</f>
        <v/>
      </c>
    </row>
    <row r="36">
      <c r="A36" s="7" t="n">
        <v>37855</v>
      </c>
      <c r="B36" s="8" t="n">
        <v>358.75</v>
      </c>
      <c r="C36" s="8" t="n">
        <v>2.22</v>
      </c>
      <c r="D36" s="8" t="n">
        <v>2.26</v>
      </c>
      <c r="E36" s="8" t="n">
        <v>98.83000199999999</v>
      </c>
      <c r="F36" s="8" t="n">
        <v>31.64</v>
      </c>
      <c r="G36" s="8" t="n">
        <v>18.55</v>
      </c>
      <c r="H36" s="8" t="n">
        <v>135.089996</v>
      </c>
      <c r="I36" s="8" t="n">
        <v>993.059998</v>
      </c>
      <c r="J36" s="8" t="n">
        <v>48.315598</v>
      </c>
      <c r="L36" s="9">
        <f>LN(B36/B35)</f>
        <v/>
      </c>
      <c r="M36" s="9">
        <f>$M$1*(C36-C35)</f>
        <v/>
      </c>
      <c r="N36" s="9">
        <f>$N$1*(D36-D35)</f>
        <v/>
      </c>
      <c r="O36" s="9">
        <f>$O$1*LN(E36/E35)</f>
        <v/>
      </c>
      <c r="P36" s="9">
        <f>$P$1*LN(F36/F35)</f>
        <v/>
      </c>
      <c r="Q36" s="9">
        <f>$Q$1*(G36-G35)</f>
        <v/>
      </c>
      <c r="R36" s="9">
        <f>$R$1*(H36-H35)</f>
        <v/>
      </c>
      <c r="S36" s="9">
        <f>$S$1*LN(I36/I35)</f>
        <v/>
      </c>
      <c r="T36" s="9">
        <f>$T$1*LN(J36/J35)</f>
        <v/>
      </c>
      <c r="U36" s="9">
        <f>$W$12+$W$4*M36+$W$5*N36+$W$6*O36+$W$7*P36+$W$8*Q36+$W$9*R36+$W$10*S36+$W$11*T36</f>
        <v/>
      </c>
    </row>
    <row r="37">
      <c r="A37" s="7" t="n">
        <v>37862</v>
      </c>
      <c r="B37" s="8" t="n">
        <v>375.6</v>
      </c>
      <c r="C37" s="8" t="n">
        <v>2.16</v>
      </c>
      <c r="D37" s="8" t="n">
        <v>2.29</v>
      </c>
      <c r="E37" s="8" t="n">
        <v>98.099998</v>
      </c>
      <c r="F37" s="8" t="n">
        <v>31.76</v>
      </c>
      <c r="G37" s="8" t="n">
        <v>18.63</v>
      </c>
      <c r="H37" s="8" t="n">
        <v>126.550003</v>
      </c>
      <c r="I37" s="8" t="n">
        <v>1008.01001</v>
      </c>
      <c r="J37" s="8" t="n">
        <v>48.515624</v>
      </c>
      <c r="L37" s="9">
        <f>LN(B37/B36)</f>
        <v/>
      </c>
      <c r="M37" s="9">
        <f>$M$1*(C37-C36)</f>
        <v/>
      </c>
      <c r="N37" s="9">
        <f>$N$1*(D37-D36)</f>
        <v/>
      </c>
      <c r="O37" s="9">
        <f>$O$1*LN(E37/E36)</f>
        <v/>
      </c>
      <c r="P37" s="9">
        <f>$P$1*LN(F37/F36)</f>
        <v/>
      </c>
      <c r="Q37" s="9">
        <f>$Q$1*(G37-G36)</f>
        <v/>
      </c>
      <c r="R37" s="9">
        <f>$R$1*(H37-H36)</f>
        <v/>
      </c>
      <c r="S37" s="9">
        <f>$S$1*LN(I37/I36)</f>
        <v/>
      </c>
      <c r="T37" s="9">
        <f>$T$1*LN(J37/J36)</f>
        <v/>
      </c>
      <c r="U37" s="9">
        <f>$W$12+$W$4*M37+$W$5*N37+$W$6*O37+$W$7*P37+$W$8*Q37+$W$9*R37+$W$10*S37+$W$11*T37</f>
        <v/>
      </c>
    </row>
    <row r="38">
      <c r="A38" s="7" t="n">
        <v>37869</v>
      </c>
      <c r="B38" s="8" t="n">
        <v>375.8</v>
      </c>
      <c r="C38" s="8" t="n">
        <v>2.18</v>
      </c>
      <c r="D38" s="8" t="n">
        <v>2.17</v>
      </c>
      <c r="E38" s="8" t="n">
        <v>97.089996</v>
      </c>
      <c r="F38" s="8" t="n">
        <v>28.93</v>
      </c>
      <c r="G38" s="8" t="n">
        <v>18.17</v>
      </c>
      <c r="H38" s="8" t="n">
        <v>124.730003</v>
      </c>
      <c r="I38" s="8" t="n">
        <v>1021.390015</v>
      </c>
      <c r="J38" s="8" t="n">
        <v>48.801872</v>
      </c>
      <c r="L38" s="9">
        <f>LN(B38/B37)</f>
        <v/>
      </c>
      <c r="M38" s="9">
        <f>$M$1*(C38-C37)</f>
        <v/>
      </c>
      <c r="N38" s="9">
        <f>$N$1*(D38-D37)</f>
        <v/>
      </c>
      <c r="O38" s="9">
        <f>$O$1*LN(E38/E37)</f>
        <v/>
      </c>
      <c r="P38" s="9">
        <f>$P$1*LN(F38/F37)</f>
        <v/>
      </c>
      <c r="Q38" s="9">
        <f>$Q$1*(G38-G37)</f>
        <v/>
      </c>
      <c r="R38" s="9">
        <f>$R$1*(H38-H37)</f>
        <v/>
      </c>
      <c r="S38" s="9">
        <f>$S$1*LN(I38/I37)</f>
        <v/>
      </c>
      <c r="T38" s="9">
        <f>$T$1*LN(J38/J37)</f>
        <v/>
      </c>
      <c r="U38" s="9">
        <f>$W$12+$W$4*M38+$W$5*N38+$W$6*O38+$W$7*P38+$W$8*Q38+$W$9*R38+$W$10*S38+$W$11*T38</f>
        <v/>
      </c>
    </row>
    <row r="39">
      <c r="A39" s="7" t="n">
        <v>37876</v>
      </c>
      <c r="B39" s="8" t="n">
        <v>378.25</v>
      </c>
      <c r="C39" s="8" t="n">
        <v>2.09</v>
      </c>
      <c r="D39" s="8" t="n">
        <v>2.18</v>
      </c>
      <c r="E39" s="8" t="n">
        <v>96.010002</v>
      </c>
      <c r="F39" s="8" t="n">
        <v>28.26</v>
      </c>
      <c r="G39" s="8" t="n">
        <v>18.68</v>
      </c>
      <c r="H39" s="8" t="n">
        <v>120.870003</v>
      </c>
      <c r="I39" s="8" t="n">
        <v>1018.630005</v>
      </c>
      <c r="J39" s="8" t="n">
        <v>49.040375</v>
      </c>
      <c r="L39" s="9">
        <f>LN(B39/B38)</f>
        <v/>
      </c>
      <c r="M39" s="9">
        <f>$M$1*(C39-C38)</f>
        <v/>
      </c>
      <c r="N39" s="9">
        <f>$N$1*(D39-D38)</f>
        <v/>
      </c>
      <c r="O39" s="9">
        <f>$O$1*LN(E39/E38)</f>
        <v/>
      </c>
      <c r="P39" s="9">
        <f>$P$1*LN(F39/F38)</f>
        <v/>
      </c>
      <c r="Q39" s="9">
        <f>$Q$1*(G39-G38)</f>
        <v/>
      </c>
      <c r="R39" s="9">
        <f>$R$1*(H39-H38)</f>
        <v/>
      </c>
      <c r="S39" s="9">
        <f>$S$1*LN(I39/I38)</f>
        <v/>
      </c>
      <c r="T39" s="9">
        <f>$T$1*LN(J39/J38)</f>
        <v/>
      </c>
      <c r="U39" s="9">
        <f>$W$12+$W$4*M39+$W$5*N39+$W$6*O39+$W$7*P39+$W$8*Q39+$W$9*R39+$W$10*S39+$W$11*T39</f>
        <v/>
      </c>
    </row>
    <row r="40">
      <c r="A40" s="7" t="n">
        <v>37883</v>
      </c>
      <c r="B40" s="8" t="n">
        <v>379.75</v>
      </c>
      <c r="C40" s="8" t="n">
        <v>2</v>
      </c>
      <c r="D40" s="8" t="n">
        <v>2.17</v>
      </c>
      <c r="E40" s="8" t="n">
        <v>94.959999</v>
      </c>
      <c r="F40" s="8" t="n">
        <v>26.93</v>
      </c>
      <c r="G40" s="8" t="n">
        <v>17.54</v>
      </c>
      <c r="H40" s="8" t="n">
        <v>112.400002</v>
      </c>
      <c r="I40" s="8" t="n">
        <v>1036.300049</v>
      </c>
      <c r="J40" s="8" t="n">
        <v>49.231221</v>
      </c>
      <c r="L40" s="9">
        <f>LN(B40/B39)</f>
        <v/>
      </c>
      <c r="M40" s="9">
        <f>$M$1*(C40-C39)</f>
        <v/>
      </c>
      <c r="N40" s="9">
        <f>$N$1*(D40-D39)</f>
        <v/>
      </c>
      <c r="O40" s="9">
        <f>$O$1*LN(E40/E39)</f>
        <v/>
      </c>
      <c r="P40" s="9">
        <f>$P$1*LN(F40/F39)</f>
        <v/>
      </c>
      <c r="Q40" s="9">
        <f>$Q$1*(G40-G39)</f>
        <v/>
      </c>
      <c r="R40" s="9">
        <f>$R$1*(H40-H39)</f>
        <v/>
      </c>
      <c r="S40" s="9">
        <f>$S$1*LN(I40/I39)</f>
        <v/>
      </c>
      <c r="T40" s="9">
        <f>$T$1*LN(J40/J39)</f>
        <v/>
      </c>
      <c r="U40" s="9">
        <f>$W$12+$W$4*M40+$W$5*N40+$W$6*O40+$W$7*P40+$W$8*Q40+$W$9*R40+$W$10*S40+$W$11*T40</f>
        <v/>
      </c>
    </row>
    <row r="41">
      <c r="A41" s="7" t="n">
        <v>37890</v>
      </c>
      <c r="B41" s="8" t="n">
        <v>382.7</v>
      </c>
      <c r="C41" s="8" t="n">
        <v>2.05</v>
      </c>
      <c r="D41" s="8" t="n">
        <v>1.99</v>
      </c>
      <c r="E41" s="8" t="n">
        <v>93.870003</v>
      </c>
      <c r="F41" s="8" t="n">
        <v>28.21</v>
      </c>
      <c r="G41" s="8" t="n">
        <v>22.23</v>
      </c>
      <c r="H41" s="8" t="n">
        <v>113.5</v>
      </c>
      <c r="I41" s="8" t="n">
        <v>996.849976</v>
      </c>
      <c r="J41" s="8" t="n">
        <v>49.517464</v>
      </c>
      <c r="L41" s="9">
        <f>LN(B41/B40)</f>
        <v/>
      </c>
      <c r="M41" s="9">
        <f>$M$1*(C41-C40)</f>
        <v/>
      </c>
      <c r="N41" s="9">
        <f>$N$1*(D41-D40)</f>
        <v/>
      </c>
      <c r="O41" s="9">
        <f>$O$1*LN(E41/E40)</f>
        <v/>
      </c>
      <c r="P41" s="9">
        <f>$P$1*LN(F41/F40)</f>
        <v/>
      </c>
      <c r="Q41" s="9">
        <f>$Q$1*(G41-G40)</f>
        <v/>
      </c>
      <c r="R41" s="9">
        <f>$R$1*(H41-H40)</f>
        <v/>
      </c>
      <c r="S41" s="9">
        <f>$S$1*LN(I41/I40)</f>
        <v/>
      </c>
      <c r="T41" s="9">
        <f>$T$1*LN(J41/J40)</f>
        <v/>
      </c>
      <c r="U41" s="9">
        <f>$W$12+$W$4*M41+$W$5*N41+$W$6*O41+$W$7*P41+$W$8*Q41+$W$9*R41+$W$10*S41+$W$11*T41</f>
        <v/>
      </c>
    </row>
    <row r="42">
      <c r="A42" s="7" t="n">
        <v>37897</v>
      </c>
      <c r="B42" s="8" t="n">
        <v>384.25</v>
      </c>
      <c r="C42" s="8" t="n">
        <v>2.05</v>
      </c>
      <c r="D42" s="8" t="n">
        <v>2.16</v>
      </c>
      <c r="E42" s="8" t="n">
        <v>93.230003</v>
      </c>
      <c r="F42" s="8" t="n">
        <v>30.37</v>
      </c>
      <c r="G42" s="8" t="n">
        <v>19.5</v>
      </c>
      <c r="H42" s="8" t="n">
        <v>124.800003</v>
      </c>
      <c r="I42" s="8" t="n">
        <v>1029.849976</v>
      </c>
      <c r="J42" s="8" t="n">
        <v>49.218826</v>
      </c>
      <c r="L42" s="9">
        <f>LN(B42/B41)</f>
        <v/>
      </c>
      <c r="M42" s="9">
        <f>$M$1*(C42-C41)</f>
        <v/>
      </c>
      <c r="N42" s="9">
        <f>$N$1*(D42-D41)</f>
        <v/>
      </c>
      <c r="O42" s="9">
        <f>$O$1*LN(E42/E41)</f>
        <v/>
      </c>
      <c r="P42" s="9">
        <f>$P$1*LN(F42/F41)</f>
        <v/>
      </c>
      <c r="Q42" s="9">
        <f>$Q$1*(G42-G41)</f>
        <v/>
      </c>
      <c r="R42" s="9">
        <f>$R$1*(H42-H41)</f>
        <v/>
      </c>
      <c r="S42" s="9">
        <f>$S$1*LN(I42/I41)</f>
        <v/>
      </c>
      <c r="T42" s="9">
        <f>$T$1*LN(J42/J41)</f>
        <v/>
      </c>
      <c r="U42" s="9">
        <f>$W$12+$W$4*M42+$W$5*N42+$W$6*O42+$W$7*P42+$W$8*Q42+$W$9*R42+$W$10*S42+$W$11*T42</f>
        <v/>
      </c>
    </row>
    <row r="43">
      <c r="A43" s="7" t="n">
        <v>37904</v>
      </c>
      <c r="B43" s="8" t="n">
        <v>372.3</v>
      </c>
      <c r="C43" s="8" t="n">
        <v>2.15</v>
      </c>
      <c r="D43" s="8" t="n">
        <v>2.14</v>
      </c>
      <c r="E43" s="8" t="n">
        <v>91.519997</v>
      </c>
      <c r="F43" s="8" t="n">
        <v>32.01</v>
      </c>
      <c r="G43" s="8" t="n">
        <v>18.45</v>
      </c>
      <c r="H43" s="8" t="n">
        <v>118.269997</v>
      </c>
      <c r="I43" s="8" t="n">
        <v>1038.060059</v>
      </c>
      <c r="J43" s="8" t="n">
        <v>49.339825</v>
      </c>
      <c r="L43" s="9">
        <f>LN(B43/B42)</f>
        <v/>
      </c>
      <c r="M43" s="9">
        <f>$M$1*(C43-C42)</f>
        <v/>
      </c>
      <c r="N43" s="9">
        <f>$N$1*(D43-D42)</f>
        <v/>
      </c>
      <c r="O43" s="9">
        <f>$O$1*LN(E43/E42)</f>
        <v/>
      </c>
      <c r="P43" s="9">
        <f>$P$1*LN(F43/F42)</f>
        <v/>
      </c>
      <c r="Q43" s="9">
        <f>$Q$1*(G43-G42)</f>
        <v/>
      </c>
      <c r="R43" s="9">
        <f>$R$1*(H43-H42)</f>
        <v/>
      </c>
      <c r="S43" s="9">
        <f>$S$1*LN(I43/I42)</f>
        <v/>
      </c>
      <c r="T43" s="9">
        <f>$T$1*LN(J43/J42)</f>
        <v/>
      </c>
      <c r="U43" s="9">
        <f>$W$12+$W$4*M43+$W$5*N43+$W$6*O43+$W$7*P43+$W$8*Q43+$W$9*R43+$W$10*S43+$W$11*T43</f>
        <v/>
      </c>
    </row>
    <row r="44">
      <c r="A44" s="7" t="n">
        <v>37911</v>
      </c>
      <c r="B44" s="8" t="n">
        <v>370.5</v>
      </c>
      <c r="C44" s="8" t="n">
        <v>2.27</v>
      </c>
      <c r="D44" s="8" t="n">
        <v>2.14</v>
      </c>
      <c r="E44" s="8" t="n">
        <v>92.290001</v>
      </c>
      <c r="F44" s="8" t="n">
        <v>30.61</v>
      </c>
      <c r="G44" s="8" t="n">
        <v>17.62</v>
      </c>
      <c r="H44" s="8" t="n">
        <v>125.550003</v>
      </c>
      <c r="I44" s="8" t="n">
        <v>1039.319946</v>
      </c>
      <c r="J44" s="8" t="n">
        <v>49.006012</v>
      </c>
      <c r="L44" s="9">
        <f>LN(B44/B43)</f>
        <v/>
      </c>
      <c r="M44" s="9">
        <f>$M$1*(C44-C43)</f>
        <v/>
      </c>
      <c r="N44" s="9">
        <f>$N$1*(D44-D43)</f>
        <v/>
      </c>
      <c r="O44" s="9">
        <f>$O$1*LN(E44/E43)</f>
        <v/>
      </c>
      <c r="P44" s="9">
        <f>$P$1*LN(F44/F43)</f>
        <v/>
      </c>
      <c r="Q44" s="9">
        <f>$Q$1*(G44-G43)</f>
        <v/>
      </c>
      <c r="R44" s="9">
        <f>$R$1*(H44-H43)</f>
        <v/>
      </c>
      <c r="S44" s="9">
        <f>$S$1*LN(I44/I43)</f>
        <v/>
      </c>
      <c r="T44" s="9">
        <f>$T$1*LN(J44/J43)</f>
        <v/>
      </c>
      <c r="U44" s="9">
        <f>$W$12+$W$4*M44+$W$5*N44+$W$6*O44+$W$7*P44+$W$8*Q44+$W$9*R44+$W$10*S44+$W$11*T44</f>
        <v/>
      </c>
    </row>
    <row r="45">
      <c r="A45" s="7" t="n">
        <v>37918</v>
      </c>
      <c r="B45" s="8" t="n">
        <v>388.25</v>
      </c>
      <c r="C45" s="8" t="n">
        <v>2.32</v>
      </c>
      <c r="D45" s="8" t="n">
        <v>1.92</v>
      </c>
      <c r="E45" s="8" t="n">
        <v>91.279999</v>
      </c>
      <c r="F45" s="8" t="n">
        <v>29.99</v>
      </c>
      <c r="G45" s="8" t="n">
        <v>17.71</v>
      </c>
      <c r="H45" s="8" t="n">
        <v>119.559998</v>
      </c>
      <c r="I45" s="8" t="n">
        <v>1028.910034</v>
      </c>
      <c r="J45" s="8" t="n">
        <v>49.412369</v>
      </c>
      <c r="L45" s="9">
        <f>LN(B45/B44)</f>
        <v/>
      </c>
      <c r="M45" s="9">
        <f>$M$1*(C45-C44)</f>
        <v/>
      </c>
      <c r="N45" s="9">
        <f>$N$1*(D45-D44)</f>
        <v/>
      </c>
      <c r="O45" s="9">
        <f>$O$1*LN(E45/E44)</f>
        <v/>
      </c>
      <c r="P45" s="9">
        <f>$P$1*LN(F45/F44)</f>
        <v/>
      </c>
      <c r="Q45" s="9">
        <f>$Q$1*(G45-G44)</f>
        <v/>
      </c>
      <c r="R45" s="9">
        <f>$R$1*(H45-H44)</f>
        <v/>
      </c>
      <c r="S45" s="9">
        <f>$S$1*LN(I45/I44)</f>
        <v/>
      </c>
      <c r="T45" s="9">
        <f>$T$1*LN(J45/J44)</f>
        <v/>
      </c>
      <c r="U45" s="9">
        <f>$W$12+$W$4*M45+$W$5*N45+$W$6*O45+$W$7*P45+$W$8*Q45+$W$9*R45+$W$10*S45+$W$11*T45</f>
        <v/>
      </c>
    </row>
    <row r="46">
      <c r="A46" s="7" t="n">
        <v>37925</v>
      </c>
      <c r="B46" s="8" t="n">
        <v>386.25</v>
      </c>
      <c r="C46" s="8" t="n">
        <v>2.4</v>
      </c>
      <c r="D46" s="8" t="n">
        <v>1.93</v>
      </c>
      <c r="E46" s="8" t="n">
        <v>92.730003</v>
      </c>
      <c r="F46" s="8" t="n">
        <v>29.24</v>
      </c>
      <c r="G46" s="8" t="n">
        <v>16.1</v>
      </c>
      <c r="H46" s="8" t="n">
        <v>118.760002</v>
      </c>
      <c r="I46" s="8" t="n">
        <v>1050.709961</v>
      </c>
      <c r="J46" s="8" t="n">
        <v>49.21402</v>
      </c>
      <c r="L46" s="9">
        <f>LN(B46/B45)</f>
        <v/>
      </c>
      <c r="M46" s="9">
        <f>$M$1*(C46-C45)</f>
        <v/>
      </c>
      <c r="N46" s="9">
        <f>$N$1*(D46-D45)</f>
        <v/>
      </c>
      <c r="O46" s="9">
        <f>$O$1*LN(E46/E45)</f>
        <v/>
      </c>
      <c r="P46" s="9">
        <f>$P$1*LN(F46/F45)</f>
        <v/>
      </c>
      <c r="Q46" s="9">
        <f>$Q$1*(G46-G45)</f>
        <v/>
      </c>
      <c r="R46" s="9">
        <f>$R$1*(H46-H45)</f>
        <v/>
      </c>
      <c r="S46" s="9">
        <f>$S$1*LN(I46/I45)</f>
        <v/>
      </c>
      <c r="T46" s="9">
        <f>$T$1*LN(J46/J45)</f>
        <v/>
      </c>
      <c r="U46" s="9">
        <f>$W$12+$W$4*M46+$W$5*N46+$W$6*O46+$W$7*P46+$W$8*Q46+$W$9*R46+$W$10*S46+$W$11*T46</f>
        <v/>
      </c>
    </row>
    <row r="47">
      <c r="A47" s="7" t="n">
        <v>37932</v>
      </c>
      <c r="B47" s="8" t="n">
        <v>378.95</v>
      </c>
      <c r="C47" s="8" t="n">
        <v>2.38</v>
      </c>
      <c r="D47" s="8" t="n">
        <v>2.1</v>
      </c>
      <c r="E47" s="8" t="n">
        <v>93.019997</v>
      </c>
      <c r="F47" s="8" t="n">
        <v>30.73</v>
      </c>
      <c r="G47" s="8" t="n">
        <v>16.93</v>
      </c>
      <c r="H47" s="8" t="n">
        <v>120.57</v>
      </c>
      <c r="I47" s="8" t="n">
        <v>1053.209961</v>
      </c>
      <c r="J47" s="8" t="n">
        <v>48.980511</v>
      </c>
      <c r="L47" s="9">
        <f>LN(B47/B46)</f>
        <v/>
      </c>
      <c r="M47" s="9">
        <f>$M$1*(C47-C46)</f>
        <v/>
      </c>
      <c r="N47" s="9">
        <f>$N$1*(D47-D46)</f>
        <v/>
      </c>
      <c r="O47" s="9">
        <f>$O$1*LN(E47/E46)</f>
        <v/>
      </c>
      <c r="P47" s="9">
        <f>$P$1*LN(F47/F46)</f>
        <v/>
      </c>
      <c r="Q47" s="9">
        <f>$Q$1*(G47-G46)</f>
        <v/>
      </c>
      <c r="R47" s="9">
        <f>$R$1*(H47-H46)</f>
        <v/>
      </c>
      <c r="S47" s="9">
        <f>$S$1*LN(I47/I46)</f>
        <v/>
      </c>
      <c r="T47" s="9">
        <f>$T$1*LN(J47/J46)</f>
        <v/>
      </c>
      <c r="U47" s="9">
        <f>$W$12+$W$4*M47+$W$5*N47+$W$6*O47+$W$7*P47+$W$8*Q47+$W$9*R47+$W$10*S47+$W$11*T47</f>
        <v/>
      </c>
    </row>
    <row r="48">
      <c r="A48" s="7" t="n">
        <v>37939</v>
      </c>
      <c r="B48" s="8" t="n">
        <v>396.7</v>
      </c>
      <c r="C48" s="8" t="n">
        <v>2.35</v>
      </c>
      <c r="D48" s="8" t="n">
        <v>1.87</v>
      </c>
      <c r="E48" s="8" t="n">
        <v>91.44000200000001</v>
      </c>
      <c r="F48" s="8" t="n">
        <v>32.31</v>
      </c>
      <c r="G48" s="8" t="n">
        <v>16.94</v>
      </c>
      <c r="H48" s="8" t="n">
        <v>114.25</v>
      </c>
      <c r="I48" s="8" t="n">
        <v>1050.349976</v>
      </c>
      <c r="J48" s="8" t="n">
        <v>49.475697</v>
      </c>
      <c r="L48" s="9">
        <f>LN(B48/B47)</f>
        <v/>
      </c>
      <c r="M48" s="9">
        <f>$M$1*(C48-C47)</f>
        <v/>
      </c>
      <c r="N48" s="9">
        <f>$N$1*(D48-D47)</f>
        <v/>
      </c>
      <c r="O48" s="9">
        <f>$O$1*LN(E48/E47)</f>
        <v/>
      </c>
      <c r="P48" s="9">
        <f>$P$1*LN(F48/F47)</f>
        <v/>
      </c>
      <c r="Q48" s="9">
        <f>$Q$1*(G48-G47)</f>
        <v/>
      </c>
      <c r="R48" s="9">
        <f>$R$1*(H48-H47)</f>
        <v/>
      </c>
      <c r="S48" s="9">
        <f>$S$1*LN(I48/I47)</f>
        <v/>
      </c>
      <c r="T48" s="9">
        <f>$T$1*LN(J48/J47)</f>
        <v/>
      </c>
      <c r="U48" s="9">
        <f>$W$12+$W$4*M48+$W$5*N48+$W$6*O48+$W$7*P48+$W$8*Q48+$W$9*R48+$W$10*S48+$W$11*T48</f>
        <v/>
      </c>
    </row>
    <row r="49">
      <c r="A49" s="7" t="n">
        <v>37946</v>
      </c>
      <c r="B49" s="8" t="n">
        <v>395.5</v>
      </c>
      <c r="C49" s="8" t="n">
        <v>2.22</v>
      </c>
      <c r="D49" s="8" t="n">
        <v>1.93</v>
      </c>
      <c r="E49" s="8" t="n">
        <v>90.599998</v>
      </c>
      <c r="F49" s="8" t="n">
        <v>32.26</v>
      </c>
      <c r="G49" s="8" t="n">
        <v>18.98</v>
      </c>
      <c r="H49" s="8" t="n">
        <v>114.440002</v>
      </c>
      <c r="I49" s="8" t="n">
        <v>1035.280029</v>
      </c>
      <c r="J49" s="8" t="n">
        <v>49.650444</v>
      </c>
      <c r="L49" s="9">
        <f>LN(B49/B48)</f>
        <v/>
      </c>
      <c r="M49" s="9">
        <f>$M$1*(C49-C48)</f>
        <v/>
      </c>
      <c r="N49" s="9">
        <f>$N$1*(D49-D48)</f>
        <v/>
      </c>
      <c r="O49" s="9">
        <f>$O$1*LN(E49/E48)</f>
        <v/>
      </c>
      <c r="P49" s="9">
        <f>$P$1*LN(F49/F48)</f>
        <v/>
      </c>
      <c r="Q49" s="9">
        <f>$Q$1*(G49-G48)</f>
        <v/>
      </c>
      <c r="R49" s="9">
        <f>$R$1*(H49-H48)</f>
        <v/>
      </c>
      <c r="S49" s="9">
        <f>$S$1*LN(I49/I48)</f>
        <v/>
      </c>
      <c r="T49" s="9">
        <f>$T$1*LN(J49/J48)</f>
        <v/>
      </c>
      <c r="U49" s="9">
        <f>$W$12+$W$4*M49+$W$5*N49+$W$6*O49+$W$7*P49+$W$8*Q49+$W$9*R49+$W$10*S49+$W$11*T49</f>
        <v/>
      </c>
    </row>
    <row r="50">
      <c r="A50" s="7" t="n">
        <v>37953</v>
      </c>
      <c r="B50" s="8" t="n">
        <v>398.35</v>
      </c>
      <c r="C50" s="8" t="n">
        <v>2.31</v>
      </c>
      <c r="D50" s="8" t="n">
        <v>2.03</v>
      </c>
      <c r="E50" s="8" t="n">
        <v>90.209999</v>
      </c>
      <c r="F50" s="8" t="n">
        <v>30.33</v>
      </c>
      <c r="G50" s="8" t="n">
        <v>16.32</v>
      </c>
      <c r="H50" s="8" t="n">
        <v>104.910004</v>
      </c>
      <c r="I50" s="8" t="n">
        <v>1058.199951</v>
      </c>
      <c r="J50" s="8" t="n">
        <v>49.378567</v>
      </c>
      <c r="L50" s="9">
        <f>LN(B50/B49)</f>
        <v/>
      </c>
      <c r="M50" s="9">
        <f>$M$1*(C50-C49)</f>
        <v/>
      </c>
      <c r="N50" s="9">
        <f>$N$1*(D50-D49)</f>
        <v/>
      </c>
      <c r="O50" s="9">
        <f>$O$1*LN(E50/E49)</f>
        <v/>
      </c>
      <c r="P50" s="9">
        <f>$P$1*LN(F50/F49)</f>
        <v/>
      </c>
      <c r="Q50" s="9">
        <f>$Q$1*(G50-G49)</f>
        <v/>
      </c>
      <c r="R50" s="9">
        <f>$R$1*(H50-H49)</f>
        <v/>
      </c>
      <c r="S50" s="9">
        <f>$S$1*LN(I50/I49)</f>
        <v/>
      </c>
      <c r="T50" s="9">
        <f>$T$1*LN(J50/J49)</f>
        <v/>
      </c>
      <c r="U50" s="9">
        <f>$W$12+$W$4*M50+$W$5*N50+$W$6*O50+$W$7*P50+$W$8*Q50+$W$9*R50+$W$10*S50+$W$11*T50</f>
        <v/>
      </c>
    </row>
    <row r="51">
      <c r="A51" s="7" t="n">
        <v>37960</v>
      </c>
      <c r="B51" s="8" t="n">
        <v>402.4</v>
      </c>
      <c r="C51" s="8" t="n">
        <v>2.31</v>
      </c>
      <c r="D51" s="8" t="n">
        <v>1.92</v>
      </c>
      <c r="E51" s="8" t="n">
        <v>89.139999</v>
      </c>
      <c r="F51" s="8" t="n">
        <v>30.68</v>
      </c>
      <c r="G51" s="8" t="n">
        <v>17.09</v>
      </c>
      <c r="H51" s="8" t="n">
        <v>116.419998</v>
      </c>
      <c r="I51" s="8" t="n">
        <v>1061.5</v>
      </c>
      <c r="J51" s="8" t="n">
        <v>49.598587</v>
      </c>
      <c r="L51" s="9">
        <f>LN(B51/B50)</f>
        <v/>
      </c>
      <c r="M51" s="9">
        <f>$M$1*(C51-C50)</f>
        <v/>
      </c>
      <c r="N51" s="9">
        <f>$N$1*(D51-D50)</f>
        <v/>
      </c>
      <c r="O51" s="9">
        <f>$O$1*LN(E51/E50)</f>
        <v/>
      </c>
      <c r="P51" s="9">
        <f>$P$1*LN(F51/F50)</f>
        <v/>
      </c>
      <c r="Q51" s="9">
        <f>$Q$1*(G51-G50)</f>
        <v/>
      </c>
      <c r="R51" s="9">
        <f>$R$1*(H51-H50)</f>
        <v/>
      </c>
      <c r="S51" s="9">
        <f>$S$1*LN(I51/I50)</f>
        <v/>
      </c>
      <c r="T51" s="9">
        <f>$T$1*LN(J51/J50)</f>
        <v/>
      </c>
      <c r="U51" s="9">
        <f>$W$12+$W$4*M51+$W$5*N51+$W$6*O51+$W$7*P51+$W$8*Q51+$W$9*R51+$W$10*S51+$W$11*T51</f>
        <v/>
      </c>
    </row>
    <row r="52">
      <c r="A52" s="7" t="n">
        <v>37967</v>
      </c>
      <c r="B52" s="8" t="n">
        <v>407.1</v>
      </c>
      <c r="C52" s="8" t="n">
        <v>2.35</v>
      </c>
      <c r="D52" s="8" t="n">
        <v>1.91</v>
      </c>
      <c r="E52" s="8" t="n">
        <v>88.489998</v>
      </c>
      <c r="F52" s="8" t="n">
        <v>33.06</v>
      </c>
      <c r="G52" s="8" t="n">
        <v>16.41</v>
      </c>
      <c r="H52" s="8" t="n">
        <v>111.050003</v>
      </c>
      <c r="I52" s="8" t="n">
        <v>1074.140015</v>
      </c>
      <c r="J52" s="8" t="n">
        <v>49.720272</v>
      </c>
      <c r="L52" s="9">
        <f>LN(B52/B51)</f>
        <v/>
      </c>
      <c r="M52" s="9">
        <f>$M$1*(C52-C51)</f>
        <v/>
      </c>
      <c r="N52" s="9">
        <f>$N$1*(D52-D51)</f>
        <v/>
      </c>
      <c r="O52" s="9">
        <f>$O$1*LN(E52/E51)</f>
        <v/>
      </c>
      <c r="P52" s="9">
        <f>$P$1*LN(F52/F51)</f>
        <v/>
      </c>
      <c r="Q52" s="9">
        <f>$Q$1*(G52-G51)</f>
        <v/>
      </c>
      <c r="R52" s="9">
        <f>$R$1*(H52-H51)</f>
        <v/>
      </c>
      <c r="S52" s="9">
        <f>$S$1*LN(I52/I51)</f>
        <v/>
      </c>
      <c r="T52" s="9">
        <f>$T$1*LN(J52/J51)</f>
        <v/>
      </c>
      <c r="U52" s="9">
        <f>$W$12+$W$4*M52+$W$5*N52+$W$6*O52+$W$7*P52+$W$8*Q52+$W$9*R52+$W$10*S52+$W$11*T52</f>
        <v/>
      </c>
    </row>
    <row r="53">
      <c r="A53" s="7" t="n">
        <v>37974</v>
      </c>
      <c r="B53" s="8" t="n">
        <v>409.75</v>
      </c>
      <c r="C53" s="8" t="n">
        <v>2.2</v>
      </c>
      <c r="D53" s="8" t="n">
        <v>1.95</v>
      </c>
      <c r="E53" s="8" t="n">
        <v>88.110001</v>
      </c>
      <c r="F53" s="8" t="n">
        <v>32.81</v>
      </c>
      <c r="G53" s="8" t="n">
        <v>16.42</v>
      </c>
      <c r="H53" s="8" t="n">
        <v>109.230003</v>
      </c>
      <c r="I53" s="8" t="n">
        <v>1088.660034</v>
      </c>
      <c r="J53" s="8" t="n">
        <v>49.939289</v>
      </c>
      <c r="L53" s="9">
        <f>LN(B53/B52)</f>
        <v/>
      </c>
      <c r="M53" s="9">
        <f>$M$1*(C53-C52)</f>
        <v/>
      </c>
      <c r="N53" s="9">
        <f>$N$1*(D53-D52)</f>
        <v/>
      </c>
      <c r="O53" s="9">
        <f>$O$1*LN(E53/E52)</f>
        <v/>
      </c>
      <c r="P53" s="9">
        <f>$P$1*LN(F53/F52)</f>
        <v/>
      </c>
      <c r="Q53" s="9">
        <f>$Q$1*(G53-G52)</f>
        <v/>
      </c>
      <c r="R53" s="9">
        <f>$R$1*(H53-H52)</f>
        <v/>
      </c>
      <c r="S53" s="9">
        <f>$S$1*LN(I53/I52)</f>
        <v/>
      </c>
      <c r="T53" s="9">
        <f>$T$1*LN(J53/J52)</f>
        <v/>
      </c>
      <c r="U53" s="9">
        <f>$W$12+$W$4*M53+$W$5*N53+$W$6*O53+$W$7*P53+$W$8*Q53+$W$9*R53+$W$10*S53+$W$11*T53</f>
        <v/>
      </c>
    </row>
    <row r="54">
      <c r="A54" s="7" t="n">
        <v>37981</v>
      </c>
      <c r="B54" s="8" t="n">
        <v>409.25</v>
      </c>
      <c r="C54" s="8" t="n">
        <v>2.23</v>
      </c>
      <c r="D54" s="8" t="n">
        <v>1.94</v>
      </c>
      <c r="E54" s="8" t="n">
        <v>87.629997</v>
      </c>
      <c r="F54" s="8" t="n">
        <v>32.99</v>
      </c>
      <c r="G54" s="8" t="n">
        <v>17.45</v>
      </c>
      <c r="H54" s="8" t="n">
        <v>116.230003</v>
      </c>
      <c r="I54" s="8" t="n">
        <v>1095.890015</v>
      </c>
      <c r="J54" s="8" t="n">
        <v>50.007458</v>
      </c>
      <c r="L54" s="9">
        <f>LN(B54/B53)</f>
        <v/>
      </c>
      <c r="M54" s="9">
        <f>$M$1*(C54-C53)</f>
        <v/>
      </c>
      <c r="N54" s="9">
        <f>$N$1*(D54-D53)</f>
        <v/>
      </c>
      <c r="O54" s="9">
        <f>$O$1*LN(E54/E53)</f>
        <v/>
      </c>
      <c r="P54" s="9">
        <f>$P$1*LN(F54/F53)</f>
        <v/>
      </c>
      <c r="Q54" s="9">
        <f>$Q$1*(G54-G53)</f>
        <v/>
      </c>
      <c r="R54" s="9">
        <f>$R$1*(H54-H53)</f>
        <v/>
      </c>
      <c r="S54" s="9">
        <f>$S$1*LN(I54/I53)</f>
        <v/>
      </c>
      <c r="T54" s="9">
        <f>$T$1*LN(J54/J53)</f>
        <v/>
      </c>
      <c r="U54" s="9">
        <f>$W$12+$W$4*M54+$W$5*N54+$W$6*O54+$W$7*P54+$W$8*Q54+$W$9*R54+$W$10*S54+$W$11*T54</f>
        <v/>
      </c>
    </row>
    <row r="55">
      <c r="A55" s="7" t="n">
        <v>37988</v>
      </c>
      <c r="B55" s="8" t="n">
        <v>415.25</v>
      </c>
      <c r="C55" s="8" t="n">
        <v>2.32</v>
      </c>
      <c r="D55" s="8" t="n">
        <v>2.06</v>
      </c>
      <c r="E55" s="8" t="n">
        <v>86.91999800000001</v>
      </c>
      <c r="F55" s="8" t="n">
        <v>32.51</v>
      </c>
      <c r="G55" s="8" t="n">
        <v>18.22</v>
      </c>
      <c r="H55" s="8" t="n">
        <v>118.010002</v>
      </c>
      <c r="I55" s="8" t="n">
        <v>1108.47998</v>
      </c>
      <c r="J55" s="8" t="n">
        <v>49.579014</v>
      </c>
      <c r="L55" s="9">
        <f>LN(B55/B54)</f>
        <v/>
      </c>
      <c r="M55" s="9">
        <f>$M$1*(C55-C54)</f>
        <v/>
      </c>
      <c r="N55" s="9">
        <f>$N$1*(D55-D54)</f>
        <v/>
      </c>
      <c r="O55" s="9">
        <f>$O$1*LN(E55/E54)</f>
        <v/>
      </c>
      <c r="P55" s="9">
        <f>$P$1*LN(F55/F54)</f>
        <v/>
      </c>
      <c r="Q55" s="9">
        <f>$Q$1*(G55-G54)</f>
        <v/>
      </c>
      <c r="R55" s="9">
        <f>$R$1*(H55-H54)</f>
        <v/>
      </c>
      <c r="S55" s="9">
        <f>$S$1*LN(I55/I54)</f>
        <v/>
      </c>
      <c r="T55" s="9">
        <f>$T$1*LN(J55/J54)</f>
        <v/>
      </c>
      <c r="U55" s="9">
        <f>$W$12+$W$4*M55+$W$5*N55+$W$6*O55+$W$7*P55+$W$8*Q55+$W$9*R55+$W$10*S55+$W$11*T55</f>
        <v/>
      </c>
    </row>
    <row r="56">
      <c r="A56" s="7" t="n">
        <v>37995</v>
      </c>
      <c r="B56" s="8" t="n">
        <v>423.35</v>
      </c>
      <c r="C56" s="8" t="n">
        <v>2.22</v>
      </c>
      <c r="D56" s="8" t="n">
        <v>1.89</v>
      </c>
      <c r="E56" s="8" t="n">
        <v>85.110001</v>
      </c>
      <c r="F56" s="8" t="n">
        <v>34.38</v>
      </c>
      <c r="G56" s="8" t="n">
        <v>16.75</v>
      </c>
      <c r="H56" s="8" t="n">
        <v>102.82</v>
      </c>
      <c r="I56" s="8" t="n">
        <v>1121.859985</v>
      </c>
      <c r="J56" s="8" t="n">
        <v>50.374664</v>
      </c>
      <c r="L56" s="9">
        <f>LN(B56/B55)</f>
        <v/>
      </c>
      <c r="M56" s="9">
        <f>$M$1*(C56-C55)</f>
        <v/>
      </c>
      <c r="N56" s="9">
        <f>$N$1*(D56-D55)</f>
        <v/>
      </c>
      <c r="O56" s="9">
        <f>$O$1*LN(E56/E55)</f>
        <v/>
      </c>
      <c r="P56" s="9">
        <f>$P$1*LN(F56/F55)</f>
        <v/>
      </c>
      <c r="Q56" s="9">
        <f>$Q$1*(G56-G55)</f>
        <v/>
      </c>
      <c r="R56" s="9">
        <f>$R$1*(H56-H55)</f>
        <v/>
      </c>
      <c r="S56" s="9">
        <f>$S$1*LN(I56/I55)</f>
        <v/>
      </c>
      <c r="T56" s="9">
        <f>$T$1*LN(J56/J55)</f>
        <v/>
      </c>
      <c r="U56" s="9">
        <f>$W$12+$W$4*M56+$W$5*N56+$W$6*O56+$W$7*P56+$W$8*Q56+$W$9*R56+$W$10*S56+$W$11*T56</f>
        <v/>
      </c>
    </row>
    <row r="57">
      <c r="A57" s="7" t="n">
        <v>38002</v>
      </c>
      <c r="B57" s="8" t="n">
        <v>408.4</v>
      </c>
      <c r="C57" s="8" t="n">
        <v>2.21</v>
      </c>
      <c r="D57" s="8" t="n">
        <v>1.83</v>
      </c>
      <c r="E57" s="8" t="n">
        <v>87.730003</v>
      </c>
      <c r="F57" s="8" t="n">
        <v>35.16</v>
      </c>
      <c r="G57" s="8" t="n">
        <v>15</v>
      </c>
      <c r="H57" s="8" t="n">
        <v>104.529999</v>
      </c>
      <c r="I57" s="8" t="n">
        <v>1139.829956</v>
      </c>
      <c r="J57" s="8" t="n">
        <v>50.369762</v>
      </c>
      <c r="L57" s="9">
        <f>LN(B57/B56)</f>
        <v/>
      </c>
      <c r="M57" s="9">
        <f>$M$1*(C57-C56)</f>
        <v/>
      </c>
      <c r="N57" s="9">
        <f>$N$1*(D57-D56)</f>
        <v/>
      </c>
      <c r="O57" s="9">
        <f>$O$1*LN(E57/E56)</f>
        <v/>
      </c>
      <c r="P57" s="9">
        <f>$P$1*LN(F57/F56)</f>
        <v/>
      </c>
      <c r="Q57" s="9">
        <f>$Q$1*(G57-G56)</f>
        <v/>
      </c>
      <c r="R57" s="9">
        <f>$R$1*(H57-H56)</f>
        <v/>
      </c>
      <c r="S57" s="9">
        <f>$S$1*LN(I57/I56)</f>
        <v/>
      </c>
      <c r="T57" s="9">
        <f>$T$1*LN(J57/J56)</f>
        <v/>
      </c>
      <c r="U57" s="9">
        <f>$W$12+$W$4*M57+$W$5*N57+$W$6*O57+$W$7*P57+$W$8*Q57+$W$9*R57+$W$10*S57+$W$11*T57</f>
        <v/>
      </c>
    </row>
    <row r="58">
      <c r="A58" s="7" t="n">
        <v>38009</v>
      </c>
      <c r="B58" s="8" t="n">
        <v>409</v>
      </c>
      <c r="C58" s="8" t="n">
        <v>2.27</v>
      </c>
      <c r="D58" s="8" t="n">
        <v>1.82</v>
      </c>
      <c r="E58" s="8" t="n">
        <v>86.55999799999999</v>
      </c>
      <c r="F58" s="8" t="n">
        <v>34.94</v>
      </c>
      <c r="G58" s="8" t="n">
        <v>14.84</v>
      </c>
      <c r="H58" s="8" t="n">
        <v>112.220001</v>
      </c>
      <c r="I58" s="8" t="n">
        <v>1141.550049</v>
      </c>
      <c r="J58" s="8" t="n">
        <v>50.325817</v>
      </c>
      <c r="L58" s="9">
        <f>LN(B58/B57)</f>
        <v/>
      </c>
      <c r="M58" s="9">
        <f>$M$1*(C58-C57)</f>
        <v/>
      </c>
      <c r="N58" s="9">
        <f>$N$1*(D58-D57)</f>
        <v/>
      </c>
      <c r="O58" s="9">
        <f>$O$1*LN(E58/E57)</f>
        <v/>
      </c>
      <c r="P58" s="9">
        <f>$P$1*LN(F58/F57)</f>
        <v/>
      </c>
      <c r="Q58" s="9">
        <f>$Q$1*(G58-G57)</f>
        <v/>
      </c>
      <c r="R58" s="9">
        <f>$R$1*(H58-H57)</f>
        <v/>
      </c>
      <c r="S58" s="9">
        <f>$S$1*LN(I58/I57)</f>
        <v/>
      </c>
      <c r="T58" s="9">
        <f>$T$1*LN(J58/J57)</f>
        <v/>
      </c>
      <c r="U58" s="9">
        <f>$W$12+$W$4*M58+$W$5*N58+$W$6*O58+$W$7*P58+$W$8*Q58+$W$9*R58+$W$10*S58+$W$11*T58</f>
        <v/>
      </c>
    </row>
    <row r="59">
      <c r="A59" s="7" t="n">
        <v>38016</v>
      </c>
      <c r="B59" s="8" t="n">
        <v>399.75</v>
      </c>
      <c r="C59" s="8" t="n">
        <v>2.31</v>
      </c>
      <c r="D59" s="8" t="n">
        <v>1.85</v>
      </c>
      <c r="E59" s="8" t="n">
        <v>87.199997</v>
      </c>
      <c r="F59" s="8" t="n">
        <v>33.16</v>
      </c>
      <c r="G59" s="8" t="n">
        <v>16.63</v>
      </c>
      <c r="H59" s="8" t="n">
        <v>116.75</v>
      </c>
      <c r="I59" s="8" t="n">
        <v>1131.130005</v>
      </c>
      <c r="J59" s="8" t="n">
        <v>50.081753</v>
      </c>
      <c r="L59" s="9">
        <f>LN(B59/B58)</f>
        <v/>
      </c>
      <c r="M59" s="9">
        <f>$M$1*(C59-C58)</f>
        <v/>
      </c>
      <c r="N59" s="9">
        <f>$N$1*(D59-D58)</f>
        <v/>
      </c>
      <c r="O59" s="9">
        <f>$O$1*LN(E59/E58)</f>
        <v/>
      </c>
      <c r="P59" s="9">
        <f>$P$1*LN(F59/F58)</f>
        <v/>
      </c>
      <c r="Q59" s="9">
        <f>$Q$1*(G59-G58)</f>
        <v/>
      </c>
      <c r="R59" s="9">
        <f>$R$1*(H59-H58)</f>
        <v/>
      </c>
      <c r="S59" s="9">
        <f>$S$1*LN(I59/I58)</f>
        <v/>
      </c>
      <c r="T59" s="9">
        <f>$T$1*LN(J59/J58)</f>
        <v/>
      </c>
      <c r="U59" s="9">
        <f>$W$12+$W$4*M59+$W$5*N59+$W$6*O59+$W$7*P59+$W$8*Q59+$W$9*R59+$W$10*S59+$W$11*T59</f>
        <v/>
      </c>
    </row>
    <row r="60">
      <c r="A60" s="7" t="n">
        <v>38023</v>
      </c>
      <c r="B60" s="8" t="n">
        <v>404.25</v>
      </c>
      <c r="C60" s="8" t="n">
        <v>2.33</v>
      </c>
      <c r="D60" s="8" t="n">
        <v>1.79</v>
      </c>
      <c r="E60" s="8" t="n">
        <v>86.019997</v>
      </c>
      <c r="F60" s="8" t="n">
        <v>32.49</v>
      </c>
      <c r="G60" s="8" t="n">
        <v>16</v>
      </c>
      <c r="H60" s="8" t="n">
        <v>115.110001</v>
      </c>
      <c r="I60" s="8" t="n">
        <v>1142.76001</v>
      </c>
      <c r="J60" s="8" t="n">
        <v>50.30101</v>
      </c>
      <c r="L60" s="9">
        <f>LN(B60/B59)</f>
        <v/>
      </c>
      <c r="M60" s="9">
        <f>$M$1*(C60-C59)</f>
        <v/>
      </c>
      <c r="N60" s="9">
        <f>$N$1*(D60-D59)</f>
        <v/>
      </c>
      <c r="O60" s="9">
        <f>$O$1*LN(E60/E59)</f>
        <v/>
      </c>
      <c r="P60" s="9">
        <f>$P$1*LN(F60/F59)</f>
        <v/>
      </c>
      <c r="Q60" s="9">
        <f>$Q$1*(G60-G59)</f>
        <v/>
      </c>
      <c r="R60" s="9">
        <f>$R$1*(H60-H59)</f>
        <v/>
      </c>
      <c r="S60" s="9">
        <f>$S$1*LN(I60/I59)</f>
        <v/>
      </c>
      <c r="T60" s="9">
        <f>$T$1*LN(J60/J59)</f>
        <v/>
      </c>
      <c r="U60" s="9">
        <f>$W$12+$W$4*M60+$W$5*N60+$W$6*O60+$W$7*P60+$W$8*Q60+$W$9*R60+$W$10*S60+$W$11*T60</f>
        <v/>
      </c>
    </row>
    <row r="61">
      <c r="A61" s="7" t="n">
        <v>38030</v>
      </c>
      <c r="B61" s="8" t="n">
        <v>416</v>
      </c>
      <c r="C61" s="8" t="n">
        <v>2.31</v>
      </c>
      <c r="D61" s="8" t="n">
        <v>1.74</v>
      </c>
      <c r="E61" s="8" t="n">
        <v>85.55999799999999</v>
      </c>
      <c r="F61" s="8" t="n">
        <v>34.51</v>
      </c>
      <c r="G61" s="8" t="n">
        <v>15.58</v>
      </c>
      <c r="H61" s="8" t="n">
        <v>96.33000199999999</v>
      </c>
      <c r="I61" s="8" t="n">
        <v>1145.810059</v>
      </c>
      <c r="J61" s="8" t="n">
        <v>50.653458</v>
      </c>
      <c r="L61" s="9">
        <f>LN(B61/B60)</f>
        <v/>
      </c>
      <c r="M61" s="9">
        <f>$M$1*(C61-C60)</f>
        <v/>
      </c>
      <c r="N61" s="9">
        <f>$N$1*(D61-D60)</f>
        <v/>
      </c>
      <c r="O61" s="9">
        <f>$O$1*LN(E61/E60)</f>
        <v/>
      </c>
      <c r="P61" s="9">
        <f>$P$1*LN(F61/F60)</f>
        <v/>
      </c>
      <c r="Q61" s="9">
        <f>$Q$1*(G61-G60)</f>
        <v/>
      </c>
      <c r="R61" s="9">
        <f>$R$1*(H61-H60)</f>
        <v/>
      </c>
      <c r="S61" s="9">
        <f>$S$1*LN(I61/I60)</f>
        <v/>
      </c>
      <c r="T61" s="9">
        <f>$T$1*LN(J61/J60)</f>
        <v/>
      </c>
      <c r="U61" s="9">
        <f>$W$12+$W$4*M61+$W$5*N61+$W$6*O61+$W$7*P61+$W$8*Q61+$W$9*R61+$W$10*S61+$W$11*T61</f>
        <v/>
      </c>
    </row>
    <row r="62">
      <c r="A62" s="7" t="n">
        <v>38037</v>
      </c>
      <c r="B62" s="8" t="n">
        <v>405.25</v>
      </c>
      <c r="C62" s="8" t="n">
        <v>2.31</v>
      </c>
      <c r="D62" s="8" t="n">
        <v>1.79</v>
      </c>
      <c r="E62" s="8" t="n">
        <v>87.239998</v>
      </c>
      <c r="F62" s="8" t="n">
        <v>35.8</v>
      </c>
      <c r="G62" s="8" t="n">
        <v>16.04</v>
      </c>
      <c r="H62" s="8" t="n">
        <v>92.83000199999999</v>
      </c>
      <c r="I62" s="8" t="n">
        <v>1144.109985</v>
      </c>
      <c r="J62" s="8" t="n">
        <v>50.389091</v>
      </c>
      <c r="L62" s="9">
        <f>LN(B62/B61)</f>
        <v/>
      </c>
      <c r="M62" s="9">
        <f>$M$1*(C62-C61)</f>
        <v/>
      </c>
      <c r="N62" s="9">
        <f>$N$1*(D62-D61)</f>
        <v/>
      </c>
      <c r="O62" s="9">
        <f>$O$1*LN(E62/E61)</f>
        <v/>
      </c>
      <c r="P62" s="9">
        <f>$P$1*LN(F62/F61)</f>
        <v/>
      </c>
      <c r="Q62" s="9">
        <f>$Q$1*(G62-G61)</f>
        <v/>
      </c>
      <c r="R62" s="9">
        <f>$R$1*(H62-H61)</f>
        <v/>
      </c>
      <c r="S62" s="9">
        <f>$S$1*LN(I62/I61)</f>
        <v/>
      </c>
      <c r="T62" s="9">
        <f>$T$1*LN(J62/J61)</f>
        <v/>
      </c>
      <c r="U62" s="9">
        <f>$W$12+$W$4*M62+$W$5*N62+$W$6*O62+$W$7*P62+$W$8*Q62+$W$9*R62+$W$10*S62+$W$11*T62</f>
        <v/>
      </c>
    </row>
    <row r="63">
      <c r="A63" s="7" t="n">
        <v>38044</v>
      </c>
      <c r="B63" s="8" t="n">
        <v>395.85</v>
      </c>
      <c r="C63" s="8" t="n">
        <v>2.38</v>
      </c>
      <c r="D63" s="8" t="n">
        <v>1.61</v>
      </c>
      <c r="E63" s="8" t="n">
        <v>87.30999799999999</v>
      </c>
      <c r="F63" s="8" t="n">
        <v>36.08</v>
      </c>
      <c r="G63" s="8" t="n">
        <v>14.55</v>
      </c>
      <c r="H63" s="8" t="n">
        <v>90.139999</v>
      </c>
      <c r="I63" s="8" t="n">
        <v>1144.939941</v>
      </c>
      <c r="J63" s="8" t="n">
        <v>50.653458</v>
      </c>
      <c r="L63" s="9">
        <f>LN(B63/B62)</f>
        <v/>
      </c>
      <c r="M63" s="9">
        <f>$M$1*(C63-C62)</f>
        <v/>
      </c>
      <c r="N63" s="9">
        <f>$N$1*(D63-D62)</f>
        <v/>
      </c>
      <c r="O63" s="9">
        <f>$O$1*LN(E63/E62)</f>
        <v/>
      </c>
      <c r="P63" s="9">
        <f>$P$1*LN(F63/F62)</f>
        <v/>
      </c>
      <c r="Q63" s="9">
        <f>$Q$1*(G63-G62)</f>
        <v/>
      </c>
      <c r="R63" s="9">
        <f>$R$1*(H63-H62)</f>
        <v/>
      </c>
      <c r="S63" s="9">
        <f>$S$1*LN(I63/I62)</f>
        <v/>
      </c>
      <c r="T63" s="9">
        <f>$T$1*LN(J63/J62)</f>
        <v/>
      </c>
      <c r="U63" s="9">
        <f>$W$12+$W$4*M63+$W$5*N63+$W$6*O63+$W$7*P63+$W$8*Q63+$W$9*R63+$W$10*S63+$W$11*T63</f>
        <v/>
      </c>
    </row>
    <row r="64">
      <c r="A64" s="7" t="n">
        <v>38051</v>
      </c>
      <c r="B64" s="8" t="n">
        <v>399.25</v>
      </c>
      <c r="C64" s="8" t="n">
        <v>2.39</v>
      </c>
      <c r="D64" s="8" t="n">
        <v>1.46</v>
      </c>
      <c r="E64" s="8" t="n">
        <v>88.18000000000001</v>
      </c>
      <c r="F64" s="8" t="n">
        <v>37.31</v>
      </c>
      <c r="G64" s="8" t="n">
        <v>14.48</v>
      </c>
      <c r="H64" s="8" t="n">
        <v>92.300003</v>
      </c>
      <c r="I64" s="8" t="n">
        <v>1156.859985</v>
      </c>
      <c r="J64" s="8" t="n">
        <v>50.940983</v>
      </c>
      <c r="L64" s="9">
        <f>LN(B64/B63)</f>
        <v/>
      </c>
      <c r="M64" s="9">
        <f>$M$1*(C64-C63)</f>
        <v/>
      </c>
      <c r="N64" s="9">
        <f>$N$1*(D64-D63)</f>
        <v/>
      </c>
      <c r="O64" s="9">
        <f>$O$1*LN(E64/E63)</f>
        <v/>
      </c>
      <c r="P64" s="9">
        <f>$P$1*LN(F64/F63)</f>
        <v/>
      </c>
      <c r="Q64" s="9">
        <f>$Q$1*(G64-G63)</f>
        <v/>
      </c>
      <c r="R64" s="9">
        <f>$R$1*(H64-H63)</f>
        <v/>
      </c>
      <c r="S64" s="9">
        <f>$S$1*LN(I64/I63)</f>
        <v/>
      </c>
      <c r="T64" s="9">
        <f>$T$1*LN(J64/J63)</f>
        <v/>
      </c>
      <c r="U64" s="9">
        <f>$W$12+$W$4*M64+$W$5*N64+$W$6*O64+$W$7*P64+$W$8*Q64+$W$9*R64+$W$10*S64+$W$11*T64</f>
        <v/>
      </c>
    </row>
    <row r="65">
      <c r="A65" s="7" t="n">
        <v>38058</v>
      </c>
      <c r="B65" s="8" t="n">
        <v>398</v>
      </c>
      <c r="C65" s="8" t="n">
        <v>2.26</v>
      </c>
      <c r="D65" s="8" t="n">
        <v>1.52</v>
      </c>
      <c r="E65" s="8" t="n">
        <v>89.120003</v>
      </c>
      <c r="F65" s="8" t="n">
        <v>36.21</v>
      </c>
      <c r="G65" s="8" t="n">
        <v>18.3</v>
      </c>
      <c r="H65" s="8" t="n">
        <v>97.75</v>
      </c>
      <c r="I65" s="8" t="n">
        <v>1120.569946</v>
      </c>
      <c r="J65" s="8" t="n">
        <v>51.083237</v>
      </c>
      <c r="L65" s="9">
        <f>LN(B65/B64)</f>
        <v/>
      </c>
      <c r="M65" s="9">
        <f>$M$1*(C65-C64)</f>
        <v/>
      </c>
      <c r="N65" s="9">
        <f>$N$1*(D65-D64)</f>
        <v/>
      </c>
      <c r="O65" s="9">
        <f>$O$1*LN(E65/E64)</f>
        <v/>
      </c>
      <c r="P65" s="9">
        <f>$P$1*LN(F65/F64)</f>
        <v/>
      </c>
      <c r="Q65" s="9">
        <f>$Q$1*(G65-G64)</f>
        <v/>
      </c>
      <c r="R65" s="9">
        <f>$R$1*(H65-H64)</f>
        <v/>
      </c>
      <c r="S65" s="9">
        <f>$S$1*LN(I65/I64)</f>
        <v/>
      </c>
      <c r="T65" s="9">
        <f>$T$1*LN(J65/J64)</f>
        <v/>
      </c>
      <c r="U65" s="9">
        <f>$W$12+$W$4*M65+$W$5*N65+$W$6*O65+$W$7*P65+$W$8*Q65+$W$9*R65+$W$10*S65+$W$11*T65</f>
        <v/>
      </c>
    </row>
    <row r="66">
      <c r="A66" s="7" t="n">
        <v>38065</v>
      </c>
      <c r="B66" s="8" t="n">
        <v>412</v>
      </c>
      <c r="C66" s="8" t="n">
        <v>2.36</v>
      </c>
      <c r="D66" s="8" t="n">
        <v>1.44</v>
      </c>
      <c r="E66" s="8" t="n">
        <v>88.160004</v>
      </c>
      <c r="F66" s="8" t="n">
        <v>38.09</v>
      </c>
      <c r="G66" s="8" t="n">
        <v>19.15</v>
      </c>
      <c r="H66" s="8" t="n">
        <v>97.599998</v>
      </c>
      <c r="I66" s="8" t="n">
        <v>1109.780029</v>
      </c>
      <c r="J66" s="8" t="n">
        <v>51.08815</v>
      </c>
      <c r="L66" s="9">
        <f>LN(B66/B65)</f>
        <v/>
      </c>
      <c r="M66" s="9">
        <f>$M$1*(C66-C65)</f>
        <v/>
      </c>
      <c r="N66" s="9">
        <f>$N$1*(D66-D65)</f>
        <v/>
      </c>
      <c r="O66" s="9">
        <f>$O$1*LN(E66/E65)</f>
        <v/>
      </c>
      <c r="P66" s="9">
        <f>$P$1*LN(F66/F65)</f>
        <v/>
      </c>
      <c r="Q66" s="9">
        <f>$Q$1*(G66-G65)</f>
        <v/>
      </c>
      <c r="R66" s="9">
        <f>$R$1*(H66-H65)</f>
        <v/>
      </c>
      <c r="S66" s="9">
        <f>$S$1*LN(I66/I65)</f>
        <v/>
      </c>
      <c r="T66" s="9">
        <f>$T$1*LN(J66/J65)</f>
        <v/>
      </c>
      <c r="U66" s="9">
        <f>$W$12+$W$4*M66+$W$5*N66+$W$6*O66+$W$7*P66+$W$8*Q66+$W$9*R66+$W$10*S66+$W$11*T66</f>
        <v/>
      </c>
    </row>
    <row r="67">
      <c r="A67" s="7" t="n">
        <v>38072</v>
      </c>
      <c r="B67" s="8" t="n">
        <v>421.5</v>
      </c>
      <c r="C67" s="8" t="n">
        <v>2.38</v>
      </c>
      <c r="D67" s="8" t="n">
        <v>1.47</v>
      </c>
      <c r="E67" s="8" t="n">
        <v>88.889999</v>
      </c>
      <c r="F67" s="8" t="n">
        <v>35.61</v>
      </c>
      <c r="G67" s="8" t="n">
        <v>17.33</v>
      </c>
      <c r="H67" s="8" t="n">
        <v>105.300003</v>
      </c>
      <c r="I67" s="8" t="n">
        <v>1108.060059</v>
      </c>
      <c r="J67" s="8" t="n">
        <v>51.048855</v>
      </c>
      <c r="L67" s="9">
        <f>LN(B67/B66)</f>
        <v/>
      </c>
      <c r="M67" s="9">
        <f>$M$1*(C67-C66)</f>
        <v/>
      </c>
      <c r="N67" s="9">
        <f>$N$1*(D67-D66)</f>
        <v/>
      </c>
      <c r="O67" s="9">
        <f>$O$1*LN(E67/E66)</f>
        <v/>
      </c>
      <c r="P67" s="9">
        <f>$P$1*LN(F67/F66)</f>
        <v/>
      </c>
      <c r="Q67" s="9">
        <f>$Q$1*(G67-G66)</f>
        <v/>
      </c>
      <c r="R67" s="9">
        <f>$R$1*(H67-H66)</f>
        <v/>
      </c>
      <c r="S67" s="9">
        <f>$S$1*LN(I67/I66)</f>
        <v/>
      </c>
      <c r="T67" s="9">
        <f>$T$1*LN(J67/J66)</f>
        <v/>
      </c>
      <c r="U67" s="9">
        <f>$W$12+$W$4*M67+$W$5*N67+$W$6*O67+$W$7*P67+$W$8*Q67+$W$9*R67+$W$10*S67+$W$11*T67</f>
        <v/>
      </c>
    </row>
    <row r="68">
      <c r="A68" s="7" t="n">
        <v>38079</v>
      </c>
      <c r="B68" s="8" t="n">
        <v>419</v>
      </c>
      <c r="C68" s="8" t="n">
        <v>2.46</v>
      </c>
      <c r="D68" s="8" t="n">
        <v>1.69</v>
      </c>
      <c r="E68" s="8" t="n">
        <v>88.510002</v>
      </c>
      <c r="F68" s="8" t="n">
        <v>34.39</v>
      </c>
      <c r="G68" s="8" t="n">
        <v>15.64</v>
      </c>
      <c r="H68" s="8" t="n">
        <v>112.160004</v>
      </c>
      <c r="I68" s="8" t="n">
        <v>1141.810059</v>
      </c>
      <c r="J68" s="8" t="n">
        <v>50.55714</v>
      </c>
      <c r="L68" s="9">
        <f>LN(B68/B67)</f>
        <v/>
      </c>
      <c r="M68" s="9">
        <f>$M$1*(C68-C67)</f>
        <v/>
      </c>
      <c r="N68" s="9">
        <f>$N$1*(D68-D67)</f>
        <v/>
      </c>
      <c r="O68" s="9">
        <f>$O$1*LN(E68/E67)</f>
        <v/>
      </c>
      <c r="P68" s="9">
        <f>$P$1*LN(F68/F67)</f>
        <v/>
      </c>
      <c r="Q68" s="9">
        <f>$Q$1*(G68-G67)</f>
        <v/>
      </c>
      <c r="R68" s="9">
        <f>$R$1*(H68-H67)</f>
        <v/>
      </c>
      <c r="S68" s="9">
        <f>$S$1*LN(I68/I67)</f>
        <v/>
      </c>
      <c r="T68" s="9">
        <f>$T$1*LN(J68/J67)</f>
        <v/>
      </c>
      <c r="U68" s="9">
        <f>$W$12+$W$4*M68+$W$5*N68+$W$6*O68+$W$7*P68+$W$8*Q68+$W$9*R68+$W$10*S68+$W$11*T68</f>
        <v/>
      </c>
    </row>
    <row r="69">
      <c r="A69" s="7" t="n">
        <v>38086</v>
      </c>
      <c r="B69" s="8" t="n">
        <v>419.5</v>
      </c>
      <c r="C69" s="8" t="n">
        <v>2.41</v>
      </c>
      <c r="D69" s="8" t="n">
        <v>1.8</v>
      </c>
      <c r="E69" s="8" t="n">
        <v>89.019997</v>
      </c>
      <c r="F69" s="8" t="n">
        <v>37.14</v>
      </c>
      <c r="G69" s="8" t="n">
        <v>16.26</v>
      </c>
      <c r="H69" s="8" t="n">
        <v>115.5</v>
      </c>
      <c r="I69" s="8" t="n">
        <v>1139.319946</v>
      </c>
      <c r="J69" s="8" t="n">
        <v>50.296459</v>
      </c>
      <c r="L69" s="9">
        <f>LN(B69/B68)</f>
        <v/>
      </c>
      <c r="M69" s="9">
        <f>$M$1*(C69-C68)</f>
        <v/>
      </c>
      <c r="N69" s="9">
        <f>$N$1*(D69-D68)</f>
        <v/>
      </c>
      <c r="O69" s="9">
        <f>$O$1*LN(E69/E68)</f>
        <v/>
      </c>
      <c r="P69" s="9">
        <f>$P$1*LN(F69/F68)</f>
        <v/>
      </c>
      <c r="Q69" s="9">
        <f>$Q$1*(G69-G68)</f>
        <v/>
      </c>
      <c r="R69" s="9">
        <f>$R$1*(H69-H68)</f>
        <v/>
      </c>
      <c r="S69" s="9">
        <f>$S$1*LN(I69/I68)</f>
        <v/>
      </c>
      <c r="T69" s="9">
        <f>$T$1*LN(J69/J68)</f>
        <v/>
      </c>
      <c r="U69" s="9">
        <f>$W$12+$W$4*M69+$W$5*N69+$W$6*O69+$W$7*P69+$W$8*Q69+$W$9*R69+$W$10*S69+$W$11*T69</f>
        <v/>
      </c>
    </row>
    <row r="70">
      <c r="A70" s="7" t="n">
        <v>38093</v>
      </c>
      <c r="B70" s="8" t="n">
        <v>400.85</v>
      </c>
      <c r="C70" s="8" t="n">
        <v>2.5</v>
      </c>
      <c r="D70" s="8" t="n">
        <v>1.87</v>
      </c>
      <c r="E70" s="8" t="n">
        <v>89.94000200000001</v>
      </c>
      <c r="F70" s="8" t="n">
        <v>37.7</v>
      </c>
      <c r="G70" s="8" t="n">
        <v>14.94</v>
      </c>
      <c r="H70" s="8" t="n">
        <v>117.459999</v>
      </c>
      <c r="I70" s="8" t="n">
        <v>1134.609985</v>
      </c>
      <c r="J70" s="8" t="n">
        <v>50.10957</v>
      </c>
      <c r="L70" s="9">
        <f>LN(B70/B69)</f>
        <v/>
      </c>
      <c r="M70" s="9">
        <f>$M$1*(C70-C69)</f>
        <v/>
      </c>
      <c r="N70" s="9">
        <f>$N$1*(D70-D69)</f>
        <v/>
      </c>
      <c r="O70" s="9">
        <f>$O$1*LN(E70/E69)</f>
        <v/>
      </c>
      <c r="P70" s="9">
        <f>$P$1*LN(F70/F69)</f>
        <v/>
      </c>
      <c r="Q70" s="9">
        <f>$Q$1*(G70-G69)</f>
        <v/>
      </c>
      <c r="R70" s="9">
        <f>$R$1*(H70-H69)</f>
        <v/>
      </c>
      <c r="S70" s="9">
        <f>$S$1*LN(I70/I69)</f>
        <v/>
      </c>
      <c r="T70" s="9">
        <f>$T$1*LN(J70/J69)</f>
        <v/>
      </c>
      <c r="U70" s="9">
        <f>$W$12+$W$4*M70+$W$5*N70+$W$6*O70+$W$7*P70+$W$8*Q70+$W$9*R70+$W$10*S70+$W$11*T70</f>
        <v/>
      </c>
    </row>
    <row r="71">
      <c r="A71" s="7" t="n">
        <v>38100</v>
      </c>
      <c r="B71" s="8" t="n">
        <v>394.5</v>
      </c>
      <c r="C71" s="8" t="n">
        <v>2.36</v>
      </c>
      <c r="D71" s="8" t="n">
        <v>2.12</v>
      </c>
      <c r="E71" s="8" t="n">
        <v>91.08000199999999</v>
      </c>
      <c r="F71" s="8" t="n">
        <v>37.22</v>
      </c>
      <c r="G71" s="8" t="n">
        <v>14.01</v>
      </c>
      <c r="H71" s="8" t="n">
        <v>114.68</v>
      </c>
      <c r="I71" s="8" t="n">
        <v>1140.599976</v>
      </c>
      <c r="J71" s="8" t="n">
        <v>49.848915</v>
      </c>
      <c r="L71" s="9">
        <f>LN(B71/B70)</f>
        <v/>
      </c>
      <c r="M71" s="9">
        <f>$M$1*(C71-C70)</f>
        <v/>
      </c>
      <c r="N71" s="9">
        <f>$N$1*(D71-D70)</f>
        <v/>
      </c>
      <c r="O71" s="9">
        <f>$O$1*LN(E71/E70)</f>
        <v/>
      </c>
      <c r="P71" s="9">
        <f>$P$1*LN(F71/F70)</f>
        <v/>
      </c>
      <c r="Q71" s="9">
        <f>$Q$1*(G71-G70)</f>
        <v/>
      </c>
      <c r="R71" s="9">
        <f>$R$1*(H71-H70)</f>
        <v/>
      </c>
      <c r="S71" s="9">
        <f>$S$1*LN(I71/I70)</f>
        <v/>
      </c>
      <c r="T71" s="9">
        <f>$T$1*LN(J71/J70)</f>
        <v/>
      </c>
      <c r="U71" s="9">
        <f>$W$12+$W$4*M71+$W$5*N71+$W$6*O71+$W$7*P71+$W$8*Q71+$W$9*R71+$W$10*S71+$W$11*T71</f>
        <v/>
      </c>
    </row>
    <row r="72">
      <c r="A72" s="7" t="n">
        <v>38107</v>
      </c>
      <c r="B72" s="8" t="n">
        <v>388.5</v>
      </c>
      <c r="C72" s="8" t="n">
        <v>2.42</v>
      </c>
      <c r="D72" s="8" t="n">
        <v>2.11</v>
      </c>
      <c r="E72" s="8" t="n">
        <v>90.480003</v>
      </c>
      <c r="F72" s="8" t="n">
        <v>37.31</v>
      </c>
      <c r="G72" s="8" t="n">
        <v>17.19</v>
      </c>
      <c r="H72" s="8" t="n">
        <v>122.93</v>
      </c>
      <c r="I72" s="8" t="n">
        <v>1107.300049</v>
      </c>
      <c r="J72" s="8" t="n">
        <v>49.568539</v>
      </c>
      <c r="L72" s="9">
        <f>LN(B72/B71)</f>
        <v/>
      </c>
      <c r="M72" s="9">
        <f>$M$1*(C72-C71)</f>
        <v/>
      </c>
      <c r="N72" s="9">
        <f>$N$1*(D72-D71)</f>
        <v/>
      </c>
      <c r="O72" s="9">
        <f>$O$1*LN(E72/E71)</f>
        <v/>
      </c>
      <c r="P72" s="9">
        <f>$P$1*LN(F72/F71)</f>
        <v/>
      </c>
      <c r="Q72" s="9">
        <f>$Q$1*(G72-G71)</f>
        <v/>
      </c>
      <c r="R72" s="9">
        <f>$R$1*(H72-H71)</f>
        <v/>
      </c>
      <c r="S72" s="9">
        <f>$S$1*LN(I72/I71)</f>
        <v/>
      </c>
      <c r="T72" s="9">
        <f>$T$1*LN(J72/J71)</f>
        <v/>
      </c>
      <c r="U72" s="9">
        <f>$W$12+$W$4*M72+$W$5*N72+$W$6*O72+$W$7*P72+$W$8*Q72+$W$9*R72+$W$10*S72+$W$11*T72</f>
        <v/>
      </c>
    </row>
    <row r="73">
      <c r="A73" s="7" t="n">
        <v>38114</v>
      </c>
      <c r="B73" s="8" t="n">
        <v>380.8</v>
      </c>
      <c r="C73" s="8" t="n">
        <v>2.55</v>
      </c>
      <c r="D73" s="8" t="n">
        <v>2.24</v>
      </c>
      <c r="E73" s="8" t="n">
        <v>91.129997</v>
      </c>
      <c r="F73" s="8" t="n">
        <v>39.98</v>
      </c>
      <c r="G73" s="8" t="n">
        <v>18.13</v>
      </c>
      <c r="H73" s="8" t="n">
        <v>122.889999</v>
      </c>
      <c r="I73" s="8" t="n">
        <v>1098.699951</v>
      </c>
      <c r="J73" s="8" t="n">
        <v>48.947132</v>
      </c>
      <c r="L73" s="9">
        <f>LN(B73/B72)</f>
        <v/>
      </c>
      <c r="M73" s="9">
        <f>$M$1*(C73-C72)</f>
        <v/>
      </c>
      <c r="N73" s="9">
        <f>$N$1*(D73-D72)</f>
        <v/>
      </c>
      <c r="O73" s="9">
        <f>$O$1*LN(E73/E72)</f>
        <v/>
      </c>
      <c r="P73" s="9">
        <f>$P$1*LN(F73/F72)</f>
        <v/>
      </c>
      <c r="Q73" s="9">
        <f>$Q$1*(G73-G72)</f>
        <v/>
      </c>
      <c r="R73" s="9">
        <f>$R$1*(H73-H72)</f>
        <v/>
      </c>
      <c r="S73" s="9">
        <f>$S$1*LN(I73/I72)</f>
        <v/>
      </c>
      <c r="T73" s="9">
        <f>$T$1*LN(J73/J72)</f>
        <v/>
      </c>
      <c r="U73" s="9">
        <f>$W$12+$W$4*M73+$W$5*N73+$W$6*O73+$W$7*P73+$W$8*Q73+$W$9*R73+$W$10*S73+$W$11*T73</f>
        <v/>
      </c>
    </row>
    <row r="74">
      <c r="A74" s="7" t="n">
        <v>38121</v>
      </c>
      <c r="B74" s="8" t="n">
        <v>376.5</v>
      </c>
      <c r="C74" s="8" t="n">
        <v>2.63</v>
      </c>
      <c r="D74" s="8" t="n">
        <v>2.16</v>
      </c>
      <c r="E74" s="8" t="n">
        <v>91.660004</v>
      </c>
      <c r="F74" s="8" t="n">
        <v>41.42</v>
      </c>
      <c r="G74" s="8" t="n">
        <v>18.47</v>
      </c>
      <c r="H74" s="8" t="n">
        <v>114.529999</v>
      </c>
      <c r="I74" s="8" t="n">
        <v>1095.699951</v>
      </c>
      <c r="J74" s="8" t="n">
        <v>48.927399</v>
      </c>
      <c r="L74" s="9">
        <f>LN(B74/B73)</f>
        <v/>
      </c>
      <c r="M74" s="9">
        <f>$M$1*(C74-C73)</f>
        <v/>
      </c>
      <c r="N74" s="9">
        <f>$N$1*(D74-D73)</f>
        <v/>
      </c>
      <c r="O74" s="9">
        <f>$O$1*LN(E74/E73)</f>
        <v/>
      </c>
      <c r="P74" s="9">
        <f>$P$1*LN(F74/F73)</f>
        <v/>
      </c>
      <c r="Q74" s="9">
        <f>$Q$1*(G74-G73)</f>
        <v/>
      </c>
      <c r="R74" s="9">
        <f>$R$1*(H74-H73)</f>
        <v/>
      </c>
      <c r="S74" s="9">
        <f>$S$1*LN(I74/I73)</f>
        <v/>
      </c>
      <c r="T74" s="9">
        <f>$T$1*LN(J74/J73)</f>
        <v/>
      </c>
      <c r="U74" s="9">
        <f>$W$12+$W$4*M74+$W$5*N74+$W$6*O74+$W$7*P74+$W$8*Q74+$W$9*R74+$W$10*S74+$W$11*T74</f>
        <v/>
      </c>
    </row>
    <row r="75">
      <c r="A75" s="7" t="n">
        <v>38128</v>
      </c>
      <c r="B75" s="8" t="n">
        <v>385.3</v>
      </c>
      <c r="C75" s="8" t="n">
        <v>2.72</v>
      </c>
      <c r="D75" s="8" t="n">
        <v>2.04</v>
      </c>
      <c r="E75" s="8" t="n">
        <v>90.489998</v>
      </c>
      <c r="F75" s="8" t="n">
        <v>39.83</v>
      </c>
      <c r="G75" s="8" t="n">
        <v>18.49</v>
      </c>
      <c r="H75" s="8" t="n">
        <v>107.769997</v>
      </c>
      <c r="I75" s="8" t="n">
        <v>1093.560059</v>
      </c>
      <c r="J75" s="8" t="n">
        <v>49.169067</v>
      </c>
      <c r="L75" s="9">
        <f>LN(B75/B74)</f>
        <v/>
      </c>
      <c r="M75" s="9">
        <f>$M$1*(C75-C74)</f>
        <v/>
      </c>
      <c r="N75" s="9">
        <f>$N$1*(D75-D74)</f>
        <v/>
      </c>
      <c r="O75" s="9">
        <f>$O$1*LN(E75/E74)</f>
        <v/>
      </c>
      <c r="P75" s="9">
        <f>$P$1*LN(F75/F74)</f>
        <v/>
      </c>
      <c r="Q75" s="9">
        <f>$Q$1*(G75-G74)</f>
        <v/>
      </c>
      <c r="R75" s="9">
        <f>$R$1*(H75-H74)</f>
        <v/>
      </c>
      <c r="S75" s="9">
        <f>$S$1*LN(I75/I74)</f>
        <v/>
      </c>
      <c r="T75" s="9">
        <f>$T$1*LN(J75/J74)</f>
        <v/>
      </c>
      <c r="U75" s="9">
        <f>$W$12+$W$4*M75+$W$5*N75+$W$6*O75+$W$7*P75+$W$8*Q75+$W$9*R75+$W$10*S75+$W$11*T75</f>
        <v/>
      </c>
    </row>
    <row r="76">
      <c r="A76" s="7" t="n">
        <v>38135</v>
      </c>
      <c r="B76" s="8" t="n">
        <v>393.25</v>
      </c>
      <c r="C76" s="8" t="n">
        <v>2.66</v>
      </c>
      <c r="D76" s="8" t="n">
        <v>2</v>
      </c>
      <c r="E76" s="8" t="n">
        <v>88.949997</v>
      </c>
      <c r="F76" s="8" t="n">
        <v>39.9</v>
      </c>
      <c r="G76" s="8" t="n">
        <v>15.5</v>
      </c>
      <c r="H76" s="8" t="n">
        <v>106.120003</v>
      </c>
      <c r="I76" s="8" t="n">
        <v>1120.680054</v>
      </c>
      <c r="J76" s="8" t="n">
        <v>49.381126</v>
      </c>
      <c r="L76" s="9">
        <f>LN(B76/B75)</f>
        <v/>
      </c>
      <c r="M76" s="9">
        <f>$M$1*(C76-C75)</f>
        <v/>
      </c>
      <c r="N76" s="9">
        <f>$N$1*(D76-D75)</f>
        <v/>
      </c>
      <c r="O76" s="9">
        <f>$O$1*LN(E76/E75)</f>
        <v/>
      </c>
      <c r="P76" s="9">
        <f>$P$1*LN(F76/F75)</f>
        <v/>
      </c>
      <c r="Q76" s="9">
        <f>$Q$1*(G76-G75)</f>
        <v/>
      </c>
      <c r="R76" s="9">
        <f>$R$1*(H76-H75)</f>
        <v/>
      </c>
      <c r="S76" s="9">
        <f>$S$1*LN(I76/I75)</f>
        <v/>
      </c>
      <c r="T76" s="9">
        <f>$T$1*LN(J76/J75)</f>
        <v/>
      </c>
      <c r="U76" s="9">
        <f>$W$12+$W$4*M76+$W$5*N76+$W$6*O76+$W$7*P76+$W$8*Q76+$W$9*R76+$W$10*S76+$W$11*T76</f>
        <v/>
      </c>
    </row>
    <row r="77">
      <c r="A77" s="7" t="n">
        <v>38142</v>
      </c>
      <c r="B77" s="8" t="n">
        <v>388.3</v>
      </c>
      <c r="C77" s="8" t="n">
        <v>2.67</v>
      </c>
      <c r="D77" s="8" t="n">
        <v>2.11</v>
      </c>
      <c r="E77" s="8" t="n">
        <v>88.540001</v>
      </c>
      <c r="F77" s="8" t="n">
        <v>38.44</v>
      </c>
      <c r="G77" s="8" t="n">
        <v>16.78</v>
      </c>
      <c r="H77" s="8" t="n">
        <v>102.330002</v>
      </c>
      <c r="I77" s="8" t="n">
        <v>1122.5</v>
      </c>
      <c r="J77" s="8" t="n">
        <v>49.221321</v>
      </c>
      <c r="L77" s="9">
        <f>LN(B77/B76)</f>
        <v/>
      </c>
      <c r="M77" s="9">
        <f>$M$1*(C77-C76)</f>
        <v/>
      </c>
      <c r="N77" s="9">
        <f>$N$1*(D77-D76)</f>
        <v/>
      </c>
      <c r="O77" s="9">
        <f>$O$1*LN(E77/E76)</f>
        <v/>
      </c>
      <c r="P77" s="9">
        <f>$P$1*LN(F77/F76)</f>
        <v/>
      </c>
      <c r="Q77" s="9">
        <f>$Q$1*(G77-G76)</f>
        <v/>
      </c>
      <c r="R77" s="9">
        <f>$R$1*(H77-H76)</f>
        <v/>
      </c>
      <c r="S77" s="9">
        <f>$S$1*LN(I77/I76)</f>
        <v/>
      </c>
      <c r="T77" s="9">
        <f>$T$1*LN(J77/J76)</f>
        <v/>
      </c>
      <c r="U77" s="9">
        <f>$W$12+$W$4*M77+$W$5*N77+$W$6*O77+$W$7*P77+$W$8*Q77+$W$9*R77+$W$10*S77+$W$11*T77</f>
        <v/>
      </c>
    </row>
    <row r="78">
      <c r="A78" s="7" t="n">
        <v>38149</v>
      </c>
      <c r="B78" s="8" t="n">
        <v>384.85</v>
      </c>
      <c r="C78" s="8" t="n">
        <v>2.63</v>
      </c>
      <c r="D78" s="8" t="n">
        <v>2.18</v>
      </c>
      <c r="E78" s="8" t="n">
        <v>90.010002</v>
      </c>
      <c r="F78" s="8" t="n">
        <v>38.45</v>
      </c>
      <c r="G78" s="8" t="n">
        <v>15.04</v>
      </c>
      <c r="H78" s="8" t="n">
        <v>98.709999</v>
      </c>
      <c r="I78" s="8" t="n">
        <v>1136.469971</v>
      </c>
      <c r="J78" s="8" t="n">
        <v>49.117466</v>
      </c>
      <c r="L78" s="9">
        <f>LN(B78/B77)</f>
        <v/>
      </c>
      <c r="M78" s="9">
        <f>$M$1*(C78-C77)</f>
        <v/>
      </c>
      <c r="N78" s="9">
        <f>$N$1*(D78-D77)</f>
        <v/>
      </c>
      <c r="O78" s="9">
        <f>$O$1*LN(E78/E77)</f>
        <v/>
      </c>
      <c r="P78" s="9">
        <f>$P$1*LN(F78/F77)</f>
        <v/>
      </c>
      <c r="Q78" s="9">
        <f>$Q$1*(G78-G77)</f>
        <v/>
      </c>
      <c r="R78" s="9">
        <f>$R$1*(H78-H77)</f>
        <v/>
      </c>
      <c r="S78" s="9">
        <f>$S$1*LN(I78/I77)</f>
        <v/>
      </c>
      <c r="T78" s="9">
        <f>$T$1*LN(J78/J77)</f>
        <v/>
      </c>
      <c r="U78" s="9">
        <f>$W$12+$W$4*M78+$W$5*N78+$W$6*O78+$W$7*P78+$W$8*Q78+$W$9*R78+$W$10*S78+$W$11*T78</f>
        <v/>
      </c>
    </row>
    <row r="79">
      <c r="A79" s="7" t="n">
        <v>38156</v>
      </c>
      <c r="B79" s="8" t="n">
        <v>395.1</v>
      </c>
      <c r="C79" s="8" t="n">
        <v>2.57</v>
      </c>
      <c r="D79" s="8" t="n">
        <v>2.15</v>
      </c>
      <c r="E79" s="8" t="n">
        <v>89.08000199999999</v>
      </c>
      <c r="F79" s="8" t="n">
        <v>38.68</v>
      </c>
      <c r="G79" s="8" t="n">
        <v>14.99</v>
      </c>
      <c r="H79" s="8" t="n">
        <v>99.120003</v>
      </c>
      <c r="I79" s="8" t="n">
        <v>1135.02002</v>
      </c>
      <c r="J79" s="8" t="n">
        <v>49.424152</v>
      </c>
      <c r="L79" s="9">
        <f>LN(B79/B78)</f>
        <v/>
      </c>
      <c r="M79" s="9">
        <f>$M$1*(C79-C78)</f>
        <v/>
      </c>
      <c r="N79" s="9">
        <f>$N$1*(D79-D78)</f>
        <v/>
      </c>
      <c r="O79" s="9">
        <f>$O$1*LN(E79/E78)</f>
        <v/>
      </c>
      <c r="P79" s="9">
        <f>$P$1*LN(F79/F78)</f>
        <v/>
      </c>
      <c r="Q79" s="9">
        <f>$Q$1*(G79-G78)</f>
        <v/>
      </c>
      <c r="R79" s="9">
        <f>$R$1*(H79-H78)</f>
        <v/>
      </c>
      <c r="S79" s="9">
        <f>$S$1*LN(I79/I78)</f>
        <v/>
      </c>
      <c r="T79" s="9">
        <f>$T$1*LN(J79/J78)</f>
        <v/>
      </c>
      <c r="U79" s="9">
        <f>$W$12+$W$4*M79+$W$5*N79+$W$6*O79+$W$7*P79+$W$8*Q79+$W$9*R79+$W$10*S79+$W$11*T79</f>
        <v/>
      </c>
    </row>
    <row r="80">
      <c r="A80" s="7" t="n">
        <v>38163</v>
      </c>
      <c r="B80" s="8" t="n">
        <v>401.5</v>
      </c>
      <c r="C80" s="8" t="n">
        <v>2.5</v>
      </c>
      <c r="D80" s="8" t="n">
        <v>2.16</v>
      </c>
      <c r="E80" s="8" t="n">
        <v>88.879997</v>
      </c>
      <c r="F80" s="8" t="n">
        <v>37.34</v>
      </c>
      <c r="G80" s="8" t="n">
        <v>15.19</v>
      </c>
      <c r="H80" s="8" t="n">
        <v>100.949997</v>
      </c>
      <c r="I80" s="8" t="n">
        <v>1134.430054</v>
      </c>
      <c r="J80" s="8" t="n">
        <v>49.602264</v>
      </c>
      <c r="L80" s="9">
        <f>LN(B80/B79)</f>
        <v/>
      </c>
      <c r="M80" s="9">
        <f>$M$1*(C80-C79)</f>
        <v/>
      </c>
      <c r="N80" s="9">
        <f>$N$1*(D80-D79)</f>
        <v/>
      </c>
      <c r="O80" s="9">
        <f>$O$1*LN(E80/E79)</f>
        <v/>
      </c>
      <c r="P80" s="9">
        <f>$P$1*LN(F80/F79)</f>
        <v/>
      </c>
      <c r="Q80" s="9">
        <f>$Q$1*(G80-G79)</f>
        <v/>
      </c>
      <c r="R80" s="9">
        <f>$R$1*(H80-H79)</f>
        <v/>
      </c>
      <c r="S80" s="9">
        <f>$S$1*LN(I80/I79)</f>
        <v/>
      </c>
      <c r="T80" s="9">
        <f>$T$1*LN(J80/J79)</f>
        <v/>
      </c>
      <c r="U80" s="9">
        <f>$W$12+$W$4*M80+$W$5*N80+$W$6*O80+$W$7*P80+$W$8*Q80+$W$9*R80+$W$10*S80+$W$11*T80</f>
        <v/>
      </c>
    </row>
    <row r="81">
      <c r="A81" s="7" t="n">
        <v>38170</v>
      </c>
      <c r="B81" s="8" t="n">
        <v>397.75</v>
      </c>
      <c r="C81" s="8" t="n">
        <v>2.52</v>
      </c>
      <c r="D81" s="8" t="n">
        <v>1.96</v>
      </c>
      <c r="E81" s="8" t="n">
        <v>87.970001</v>
      </c>
      <c r="F81" s="8" t="n">
        <v>38.37</v>
      </c>
      <c r="G81" s="8" t="n">
        <v>15.08</v>
      </c>
      <c r="H81" s="8" t="n">
        <v>94.709999</v>
      </c>
      <c r="I81" s="8" t="n">
        <v>1125.380005</v>
      </c>
      <c r="J81" s="8" t="n">
        <v>50.121483</v>
      </c>
      <c r="L81" s="9">
        <f>LN(B81/B80)</f>
        <v/>
      </c>
      <c r="M81" s="9">
        <f>$M$1*(C81-C80)</f>
        <v/>
      </c>
      <c r="N81" s="9">
        <f>$N$1*(D81-D80)</f>
        <v/>
      </c>
      <c r="O81" s="9">
        <f>$O$1*LN(E81/E80)</f>
        <v/>
      </c>
      <c r="P81" s="9">
        <f>$P$1*LN(F81/F80)</f>
        <v/>
      </c>
      <c r="Q81" s="9">
        <f>$Q$1*(G81-G80)</f>
        <v/>
      </c>
      <c r="R81" s="9">
        <f>$R$1*(H81-H80)</f>
        <v/>
      </c>
      <c r="S81" s="9">
        <f>$S$1*LN(I81/I80)</f>
        <v/>
      </c>
      <c r="T81" s="9">
        <f>$T$1*LN(J81/J80)</f>
        <v/>
      </c>
      <c r="U81" s="9">
        <f>$W$12+$W$4*M81+$W$5*N81+$W$6*O81+$W$7*P81+$W$8*Q81+$W$9*R81+$W$10*S81+$W$11*T81</f>
        <v/>
      </c>
    </row>
    <row r="82">
      <c r="A82" s="7" t="n">
        <v>38177</v>
      </c>
      <c r="B82" s="8" t="n">
        <v>406.5</v>
      </c>
      <c r="C82" s="8" t="n">
        <v>2.47</v>
      </c>
      <c r="D82" s="8" t="n">
        <v>2.02</v>
      </c>
      <c r="E82" s="8" t="n">
        <v>87.41999800000001</v>
      </c>
      <c r="F82" s="8" t="n">
        <v>39.9</v>
      </c>
      <c r="G82" s="8" t="n">
        <v>15.78</v>
      </c>
      <c r="H82" s="8" t="n">
        <v>97.06999999999999</v>
      </c>
      <c r="I82" s="8" t="n">
        <v>1112.810059</v>
      </c>
      <c r="J82" s="8" t="n">
        <v>49.962666</v>
      </c>
      <c r="L82" s="9">
        <f>LN(B82/B81)</f>
        <v/>
      </c>
      <c r="M82" s="9">
        <f>$M$1*(C82-C81)</f>
        <v/>
      </c>
      <c r="N82" s="9">
        <f>$N$1*(D82-D81)</f>
        <v/>
      </c>
      <c r="O82" s="9">
        <f>$O$1*LN(E82/E81)</f>
        <v/>
      </c>
      <c r="P82" s="9">
        <f>$P$1*LN(F82/F81)</f>
        <v/>
      </c>
      <c r="Q82" s="9">
        <f>$Q$1*(G82-G81)</f>
        <v/>
      </c>
      <c r="R82" s="9">
        <f>$R$1*(H82-H81)</f>
        <v/>
      </c>
      <c r="S82" s="9">
        <f>$S$1*LN(I82/I81)</f>
        <v/>
      </c>
      <c r="T82" s="9">
        <f>$T$1*LN(J82/J81)</f>
        <v/>
      </c>
      <c r="U82" s="9">
        <f>$W$12+$W$4*M82+$W$5*N82+$W$6*O82+$W$7*P82+$W$8*Q82+$W$9*R82+$W$10*S82+$W$11*T82</f>
        <v/>
      </c>
    </row>
    <row r="83">
      <c r="A83" s="7" t="n">
        <v>38184</v>
      </c>
      <c r="B83" s="8" t="n">
        <v>406.3</v>
      </c>
      <c r="C83" s="8" t="n">
        <v>2.44</v>
      </c>
      <c r="D83" s="8" t="n">
        <v>1.94</v>
      </c>
      <c r="E83" s="8" t="n">
        <v>87.139999</v>
      </c>
      <c r="F83" s="8" t="n">
        <v>41.1</v>
      </c>
      <c r="G83" s="8" t="n">
        <v>14.34</v>
      </c>
      <c r="H83" s="8" t="n">
        <v>99.709999</v>
      </c>
      <c r="I83" s="8" t="n">
        <v>1101.390015</v>
      </c>
      <c r="J83" s="8" t="n">
        <v>50.324978</v>
      </c>
      <c r="L83" s="9">
        <f>LN(B83/B82)</f>
        <v/>
      </c>
      <c r="M83" s="9">
        <f>$M$1*(C83-C82)</f>
        <v/>
      </c>
      <c r="N83" s="9">
        <f>$N$1*(D83-D82)</f>
        <v/>
      </c>
      <c r="O83" s="9">
        <f>$O$1*LN(E83/E82)</f>
        <v/>
      </c>
      <c r="P83" s="9">
        <f>$P$1*LN(F83/F82)</f>
        <v/>
      </c>
      <c r="Q83" s="9">
        <f>$Q$1*(G83-G82)</f>
        <v/>
      </c>
      <c r="R83" s="9">
        <f>$R$1*(H83-H82)</f>
        <v/>
      </c>
      <c r="S83" s="9">
        <f>$S$1*LN(I83/I82)</f>
        <v/>
      </c>
      <c r="T83" s="9">
        <f>$T$1*LN(J83/J82)</f>
        <v/>
      </c>
      <c r="U83" s="9">
        <f>$W$12+$W$4*M83+$W$5*N83+$W$6*O83+$W$7*P83+$W$8*Q83+$W$9*R83+$W$10*S83+$W$11*T83</f>
        <v/>
      </c>
    </row>
    <row r="84">
      <c r="A84" s="7" t="n">
        <v>38191</v>
      </c>
      <c r="B84" s="8" t="n">
        <v>391.5</v>
      </c>
      <c r="C84" s="8" t="n">
        <v>2.45</v>
      </c>
      <c r="D84" s="8" t="n">
        <v>2</v>
      </c>
      <c r="E84" s="8" t="n">
        <v>89.260002</v>
      </c>
      <c r="F84" s="8" t="n">
        <v>41.82</v>
      </c>
      <c r="G84" s="8" t="n">
        <v>16.5</v>
      </c>
      <c r="H84" s="8" t="n">
        <v>90.529999</v>
      </c>
      <c r="I84" s="8" t="n">
        <v>1086.199951</v>
      </c>
      <c r="J84" s="8" t="n">
        <v>50.220695</v>
      </c>
      <c r="L84" s="9">
        <f>LN(B84/B83)</f>
        <v/>
      </c>
      <c r="M84" s="9">
        <f>$M$1*(C84-C83)</f>
        <v/>
      </c>
      <c r="N84" s="9">
        <f>$N$1*(D84-D83)</f>
        <v/>
      </c>
      <c r="O84" s="9">
        <f>$O$1*LN(E84/E83)</f>
        <v/>
      </c>
      <c r="P84" s="9">
        <f>$P$1*LN(F84/F83)</f>
        <v/>
      </c>
      <c r="Q84" s="9">
        <f>$Q$1*(G84-G83)</f>
        <v/>
      </c>
      <c r="R84" s="9">
        <f>$R$1*(H84-H83)</f>
        <v/>
      </c>
      <c r="S84" s="9">
        <f>$S$1*LN(I84/I83)</f>
        <v/>
      </c>
      <c r="T84" s="9">
        <f>$T$1*LN(J84/J83)</f>
        <v/>
      </c>
      <c r="U84" s="9">
        <f>$W$12+$W$4*M84+$W$5*N84+$W$6*O84+$W$7*P84+$W$8*Q84+$W$9*R84+$W$10*S84+$W$11*T84</f>
        <v/>
      </c>
    </row>
    <row r="85">
      <c r="A85" s="7" t="n">
        <v>38198</v>
      </c>
      <c r="B85" s="8" t="n">
        <v>391.4</v>
      </c>
      <c r="C85" s="8" t="n">
        <v>2.49</v>
      </c>
      <c r="D85" s="8" t="n">
        <v>2.01</v>
      </c>
      <c r="E85" s="8" t="n">
        <v>89.959999</v>
      </c>
      <c r="F85" s="8" t="n">
        <v>43.72</v>
      </c>
      <c r="G85" s="8" t="n">
        <v>15.32</v>
      </c>
      <c r="H85" s="8" t="n">
        <v>97.209999</v>
      </c>
      <c r="I85" s="8" t="n">
        <v>1101.719971</v>
      </c>
      <c r="J85" s="8" t="n">
        <v>50.200871</v>
      </c>
      <c r="L85" s="9">
        <f>LN(B85/B84)</f>
        <v/>
      </c>
      <c r="M85" s="9">
        <f>$M$1*(C85-C84)</f>
        <v/>
      </c>
      <c r="N85" s="9">
        <f>$N$1*(D85-D84)</f>
        <v/>
      </c>
      <c r="O85" s="9">
        <f>$O$1*LN(E85/E84)</f>
        <v/>
      </c>
      <c r="P85" s="9">
        <f>$P$1*LN(F85/F84)</f>
        <v/>
      </c>
      <c r="Q85" s="9">
        <f>$Q$1*(G85-G84)</f>
        <v/>
      </c>
      <c r="R85" s="9">
        <f>$R$1*(H85-H84)</f>
        <v/>
      </c>
      <c r="S85" s="9">
        <f>$S$1*LN(I85/I84)</f>
        <v/>
      </c>
      <c r="T85" s="9">
        <f>$T$1*LN(J85/J84)</f>
        <v/>
      </c>
      <c r="U85" s="9">
        <f>$W$12+$W$4*M85+$W$5*N85+$W$6*O85+$W$7*P85+$W$8*Q85+$W$9*R85+$W$10*S85+$W$11*T85</f>
        <v/>
      </c>
    </row>
    <row r="86">
      <c r="A86" s="7" t="n">
        <v>38205</v>
      </c>
      <c r="B86" s="8" t="n">
        <v>399</v>
      </c>
      <c r="C86" s="8" t="n">
        <v>2.42</v>
      </c>
      <c r="D86" s="8" t="n">
        <v>1.82</v>
      </c>
      <c r="E86" s="8" t="n">
        <v>88.360001</v>
      </c>
      <c r="F86" s="8" t="n">
        <v>43.95</v>
      </c>
      <c r="G86" s="8" t="n">
        <v>19.34</v>
      </c>
      <c r="H86" s="8" t="n">
        <v>103.110001</v>
      </c>
      <c r="I86" s="8" t="n">
        <v>1063.969971</v>
      </c>
      <c r="J86" s="8" t="n">
        <v>50.724689</v>
      </c>
      <c r="L86" s="9">
        <f>LN(B86/B85)</f>
        <v/>
      </c>
      <c r="M86" s="9">
        <f>$M$1*(C86-C85)</f>
        <v/>
      </c>
      <c r="N86" s="9">
        <f>$N$1*(D86-D85)</f>
        <v/>
      </c>
      <c r="O86" s="9">
        <f>$O$1*LN(E86/E85)</f>
        <v/>
      </c>
      <c r="P86" s="9">
        <f>$P$1*LN(F86/F85)</f>
        <v/>
      </c>
      <c r="Q86" s="9">
        <f>$Q$1*(G86-G85)</f>
        <v/>
      </c>
      <c r="R86" s="9">
        <f>$R$1*(H86-H85)</f>
        <v/>
      </c>
      <c r="S86" s="9">
        <f>$S$1*LN(I86/I85)</f>
        <v/>
      </c>
      <c r="T86" s="9">
        <f>$T$1*LN(J86/J85)</f>
        <v/>
      </c>
      <c r="U86" s="9">
        <f>$W$12+$W$4*M86+$W$5*N86+$W$6*O86+$W$7*P86+$W$8*Q86+$W$9*R86+$W$10*S86+$W$11*T86</f>
        <v/>
      </c>
    </row>
    <row r="87">
      <c r="A87" s="7" t="n">
        <v>38212</v>
      </c>
      <c r="B87" s="8" t="n">
        <v>396.75</v>
      </c>
      <c r="C87" s="8" t="n">
        <v>2.45</v>
      </c>
      <c r="D87" s="8" t="n">
        <v>1.77</v>
      </c>
      <c r="E87" s="8" t="n">
        <v>87.900002</v>
      </c>
      <c r="F87" s="8" t="n">
        <v>46.61</v>
      </c>
      <c r="G87" s="8" t="n">
        <v>17.98</v>
      </c>
      <c r="H87" s="8" t="n">
        <v>96.129997</v>
      </c>
      <c r="I87" s="8" t="n">
        <v>1064.800049</v>
      </c>
      <c r="J87" s="8" t="n">
        <v>50.864067</v>
      </c>
      <c r="L87" s="9">
        <f>LN(B87/B86)</f>
        <v/>
      </c>
      <c r="M87" s="9">
        <f>$M$1*(C87-C86)</f>
        <v/>
      </c>
      <c r="N87" s="9">
        <f>$N$1*(D87-D86)</f>
        <v/>
      </c>
      <c r="O87" s="9">
        <f>$O$1*LN(E87/E86)</f>
        <v/>
      </c>
      <c r="P87" s="9">
        <f>$P$1*LN(F87/F86)</f>
        <v/>
      </c>
      <c r="Q87" s="9">
        <f>$Q$1*(G87-G86)</f>
        <v/>
      </c>
      <c r="R87" s="9">
        <f>$R$1*(H87-H86)</f>
        <v/>
      </c>
      <c r="S87" s="9">
        <f>$S$1*LN(I87/I86)</f>
        <v/>
      </c>
      <c r="T87" s="9">
        <f>$T$1*LN(J87/J86)</f>
        <v/>
      </c>
      <c r="U87" s="9">
        <f>$W$12+$W$4*M87+$W$5*N87+$W$6*O87+$W$7*P87+$W$8*Q87+$W$9*R87+$W$10*S87+$W$11*T87</f>
        <v/>
      </c>
    </row>
    <row r="88">
      <c r="A88" s="7" t="n">
        <v>38219</v>
      </c>
      <c r="B88" s="8" t="n">
        <v>410.55</v>
      </c>
      <c r="C88" s="8" t="n">
        <v>2.45</v>
      </c>
      <c r="D88" s="8" t="n">
        <v>1.79</v>
      </c>
      <c r="E88" s="8" t="n">
        <v>88.120003</v>
      </c>
      <c r="F88" s="8" t="n">
        <v>47.6</v>
      </c>
      <c r="G88" s="8" t="n">
        <v>16</v>
      </c>
      <c r="H88" s="8" t="n">
        <v>100.879997</v>
      </c>
      <c r="I88" s="8" t="n">
        <v>1098.349976</v>
      </c>
      <c r="J88" s="8" t="n">
        <v>50.809273</v>
      </c>
      <c r="L88" s="9">
        <f>LN(B88/B87)</f>
        <v/>
      </c>
      <c r="M88" s="9">
        <f>$M$1*(C88-C87)</f>
        <v/>
      </c>
      <c r="N88" s="9">
        <f>$N$1*(D88-D87)</f>
        <v/>
      </c>
      <c r="O88" s="9">
        <f>$O$1*LN(E88/E87)</f>
        <v/>
      </c>
      <c r="P88" s="9">
        <f>$P$1*LN(F88/F87)</f>
        <v/>
      </c>
      <c r="Q88" s="9">
        <f>$Q$1*(G88-G87)</f>
        <v/>
      </c>
      <c r="R88" s="9">
        <f>$R$1*(H88-H87)</f>
        <v/>
      </c>
      <c r="S88" s="9">
        <f>$S$1*LN(I88/I87)</f>
        <v/>
      </c>
      <c r="T88" s="9">
        <f>$T$1*LN(J88/J87)</f>
        <v/>
      </c>
      <c r="U88" s="9">
        <f>$W$12+$W$4*M88+$W$5*N88+$W$6*O88+$W$7*P88+$W$8*Q88+$W$9*R88+$W$10*S88+$W$11*T88</f>
        <v/>
      </c>
    </row>
    <row r="89">
      <c r="A89" s="7" t="n">
        <v>38226</v>
      </c>
      <c r="B89" s="8" t="n">
        <v>405.1</v>
      </c>
      <c r="C89" s="8" t="n">
        <v>2.37</v>
      </c>
      <c r="D89" s="8" t="n">
        <v>1.86</v>
      </c>
      <c r="E89" s="8" t="n">
        <v>89.769997</v>
      </c>
      <c r="F89" s="8" t="n">
        <v>43.11</v>
      </c>
      <c r="G89" s="8" t="n">
        <v>14.71</v>
      </c>
      <c r="H89" s="8" t="n">
        <v>102</v>
      </c>
      <c r="I89" s="8" t="n">
        <v>1107.77002</v>
      </c>
      <c r="J89" s="8" t="n">
        <v>50.963631</v>
      </c>
      <c r="L89" s="9">
        <f>LN(B89/B88)</f>
        <v/>
      </c>
      <c r="M89" s="9">
        <f>$M$1*(C89-C88)</f>
        <v/>
      </c>
      <c r="N89" s="9">
        <f>$N$1*(D89-D88)</f>
        <v/>
      </c>
      <c r="O89" s="9">
        <f>$O$1*LN(E89/E88)</f>
        <v/>
      </c>
      <c r="P89" s="9">
        <f>$P$1*LN(F89/F88)</f>
        <v/>
      </c>
      <c r="Q89" s="9">
        <f>$Q$1*(G89-G88)</f>
        <v/>
      </c>
      <c r="R89" s="9">
        <f>$R$1*(H89-H88)</f>
        <v/>
      </c>
      <c r="S89" s="9">
        <f>$S$1*LN(I89/I88)</f>
        <v/>
      </c>
      <c r="T89" s="9">
        <f>$T$1*LN(J89/J88)</f>
        <v/>
      </c>
      <c r="U89" s="9">
        <f>$W$12+$W$4*M89+$W$5*N89+$W$6*O89+$W$7*P89+$W$8*Q89+$W$9*R89+$W$10*S89+$W$11*T89</f>
        <v/>
      </c>
    </row>
    <row r="90">
      <c r="A90" s="7" t="n">
        <v>38233</v>
      </c>
      <c r="B90" s="8" t="n">
        <v>401.15</v>
      </c>
      <c r="C90" s="8" t="n">
        <v>2.42</v>
      </c>
      <c r="D90" s="8" t="n">
        <v>1.88</v>
      </c>
      <c r="E90" s="8" t="n">
        <v>89.629997</v>
      </c>
      <c r="F90" s="8" t="n">
        <v>43.94</v>
      </c>
      <c r="G90" s="8" t="n">
        <v>13.91</v>
      </c>
      <c r="H90" s="8" t="n">
        <v>89.290001</v>
      </c>
      <c r="I90" s="8" t="n">
        <v>1113.630005</v>
      </c>
      <c r="J90" s="8" t="n">
        <v>50.967453</v>
      </c>
      <c r="L90" s="9">
        <f>LN(B90/B89)</f>
        <v/>
      </c>
      <c r="M90" s="9">
        <f>$M$1*(C90-C89)</f>
        <v/>
      </c>
      <c r="N90" s="9">
        <f>$N$1*(D90-D89)</f>
        <v/>
      </c>
      <c r="O90" s="9">
        <f>$O$1*LN(E90/E89)</f>
        <v/>
      </c>
      <c r="P90" s="9">
        <f>$P$1*LN(F90/F89)</f>
        <v/>
      </c>
      <c r="Q90" s="9">
        <f>$Q$1*(G90-G89)</f>
        <v/>
      </c>
      <c r="R90" s="9">
        <f>$R$1*(H90-H89)</f>
        <v/>
      </c>
      <c r="S90" s="9">
        <f>$S$1*LN(I90/I89)</f>
        <v/>
      </c>
      <c r="T90" s="9">
        <f>$T$1*LN(J90/J89)</f>
        <v/>
      </c>
      <c r="U90" s="9">
        <f>$W$12+$W$4*M90+$W$5*N90+$W$6*O90+$W$7*P90+$W$8*Q90+$W$9*R90+$W$10*S90+$W$11*T90</f>
        <v/>
      </c>
    </row>
    <row r="91">
      <c r="A91" s="7" t="n">
        <v>38240</v>
      </c>
      <c r="B91" s="8" t="n">
        <v>401.35</v>
      </c>
      <c r="C91" s="8" t="n">
        <v>2.36</v>
      </c>
      <c r="D91" s="8" t="n">
        <v>1.83</v>
      </c>
      <c r="E91" s="8" t="n">
        <v>88.389999</v>
      </c>
      <c r="F91" s="8" t="n">
        <v>42.84</v>
      </c>
      <c r="G91" s="8" t="n">
        <v>13.76</v>
      </c>
      <c r="H91" s="8" t="n">
        <v>96.58000199999999</v>
      </c>
      <c r="I91" s="8" t="n">
        <v>1123.920044</v>
      </c>
      <c r="J91" s="8" t="n">
        <v>51.177189</v>
      </c>
      <c r="L91" s="9">
        <f>LN(B91/B90)</f>
        <v/>
      </c>
      <c r="M91" s="9">
        <f>$M$1*(C91-C90)</f>
        <v/>
      </c>
      <c r="N91" s="9">
        <f>$N$1*(D91-D90)</f>
        <v/>
      </c>
      <c r="O91" s="9">
        <f>$O$1*LN(E91/E90)</f>
        <v/>
      </c>
      <c r="P91" s="9">
        <f>$P$1*LN(F91/F90)</f>
        <v/>
      </c>
      <c r="Q91" s="9">
        <f>$Q$1*(G91-G90)</f>
        <v/>
      </c>
      <c r="R91" s="9">
        <f>$R$1*(H91-H90)</f>
        <v/>
      </c>
      <c r="S91" s="9">
        <f>$S$1*LN(I91/I90)</f>
        <v/>
      </c>
      <c r="T91" s="9">
        <f>$T$1*LN(J91/J90)</f>
        <v/>
      </c>
      <c r="U91" s="9">
        <f>$W$12+$W$4*M91+$W$5*N91+$W$6*O91+$W$7*P91+$W$8*Q91+$W$9*R91+$W$10*S91+$W$11*T91</f>
        <v/>
      </c>
    </row>
    <row r="92">
      <c r="A92" s="7" t="n">
        <v>38247</v>
      </c>
      <c r="B92" s="8" t="n">
        <v>405.7</v>
      </c>
      <c r="C92" s="8" t="n">
        <v>2.29</v>
      </c>
      <c r="D92" s="8" t="n">
        <v>1.85</v>
      </c>
      <c r="E92" s="8" t="n">
        <v>88.910004</v>
      </c>
      <c r="F92" s="8" t="n">
        <v>45.63</v>
      </c>
      <c r="G92" s="8" t="n">
        <v>14.03</v>
      </c>
      <c r="H92" s="8" t="n">
        <v>93.660004</v>
      </c>
      <c r="I92" s="8" t="n">
        <v>1128.550049</v>
      </c>
      <c r="J92" s="8" t="n">
        <v>51.19223</v>
      </c>
      <c r="L92" s="9">
        <f>LN(B92/B91)</f>
        <v/>
      </c>
      <c r="M92" s="9">
        <f>$M$1*(C92-C91)</f>
        <v/>
      </c>
      <c r="N92" s="9">
        <f>$N$1*(D92-D91)</f>
        <v/>
      </c>
      <c r="O92" s="9">
        <f>$O$1*LN(E92/E91)</f>
        <v/>
      </c>
      <c r="P92" s="9">
        <f>$P$1*LN(F92/F91)</f>
        <v/>
      </c>
      <c r="Q92" s="9">
        <f>$Q$1*(G92-G91)</f>
        <v/>
      </c>
      <c r="R92" s="9">
        <f>$R$1*(H92-H91)</f>
        <v/>
      </c>
      <c r="S92" s="9">
        <f>$S$1*LN(I92/I91)</f>
        <v/>
      </c>
      <c r="T92" s="9">
        <f>$T$1*LN(J92/J91)</f>
        <v/>
      </c>
      <c r="U92" s="9">
        <f>$W$12+$W$4*M92+$W$5*N92+$W$6*O92+$W$7*P92+$W$8*Q92+$W$9*R92+$W$10*S92+$W$11*T92</f>
        <v/>
      </c>
    </row>
    <row r="93">
      <c r="A93" s="7" t="n">
        <v>38254</v>
      </c>
      <c r="B93" s="8" t="n">
        <v>407.85</v>
      </c>
      <c r="C93" s="8" t="n">
        <v>2.26</v>
      </c>
      <c r="D93" s="8" t="n">
        <v>1.78</v>
      </c>
      <c r="E93" s="8" t="n">
        <v>88.400002</v>
      </c>
      <c r="F93" s="8" t="n">
        <v>48.86</v>
      </c>
      <c r="G93" s="8" t="n">
        <v>14.28</v>
      </c>
      <c r="H93" s="8" t="n">
        <v>95.629997</v>
      </c>
      <c r="I93" s="8" t="n">
        <v>1110.109985</v>
      </c>
      <c r="J93" s="8" t="n">
        <v>51.426975</v>
      </c>
      <c r="L93" s="9">
        <f>LN(B93/B92)</f>
        <v/>
      </c>
      <c r="M93" s="9">
        <f>$M$1*(C93-C92)</f>
        <v/>
      </c>
      <c r="N93" s="9">
        <f>$N$1*(D93-D92)</f>
        <v/>
      </c>
      <c r="O93" s="9">
        <f>$O$1*LN(E93/E92)</f>
        <v/>
      </c>
      <c r="P93" s="9">
        <f>$P$1*LN(F93/F92)</f>
        <v/>
      </c>
      <c r="Q93" s="9">
        <f>$Q$1*(G93-G92)</f>
        <v/>
      </c>
      <c r="R93" s="9">
        <f>$R$1*(H93-H92)</f>
        <v/>
      </c>
      <c r="S93" s="9">
        <f>$S$1*LN(I93/I92)</f>
        <v/>
      </c>
      <c r="T93" s="9">
        <f>$T$1*LN(J93/J92)</f>
        <v/>
      </c>
      <c r="U93" s="9">
        <f>$W$12+$W$4*M93+$W$5*N93+$W$6*O93+$W$7*P93+$W$8*Q93+$W$9*R93+$W$10*S93+$W$11*T93</f>
        <v/>
      </c>
    </row>
    <row r="94">
      <c r="A94" s="7" t="n">
        <v>38261</v>
      </c>
      <c r="B94" s="8" t="n">
        <v>418.1</v>
      </c>
      <c r="C94" s="8" t="n">
        <v>2.38</v>
      </c>
      <c r="D94" s="8" t="n">
        <v>1.83</v>
      </c>
      <c r="E94" s="8" t="n">
        <v>87.629997</v>
      </c>
      <c r="F94" s="8" t="n">
        <v>50.16</v>
      </c>
      <c r="G94" s="8" t="n">
        <v>12.75</v>
      </c>
      <c r="H94" s="8" t="n">
        <v>93.08000199999999</v>
      </c>
      <c r="I94" s="8" t="n">
        <v>1131.5</v>
      </c>
      <c r="J94" s="8" t="n">
        <v>51.185482</v>
      </c>
      <c r="L94" s="9">
        <f>LN(B94/B93)</f>
        <v/>
      </c>
      <c r="M94" s="9">
        <f>$M$1*(C94-C93)</f>
        <v/>
      </c>
      <c r="N94" s="9">
        <f>$N$1*(D94-D93)</f>
        <v/>
      </c>
      <c r="O94" s="9">
        <f>$O$1*LN(E94/E93)</f>
        <v/>
      </c>
      <c r="P94" s="9">
        <f>$P$1*LN(F94/F93)</f>
        <v/>
      </c>
      <c r="Q94" s="9">
        <f>$Q$1*(G94-G93)</f>
        <v/>
      </c>
      <c r="R94" s="9">
        <f>$R$1*(H94-H93)</f>
        <v/>
      </c>
      <c r="S94" s="9">
        <f>$S$1*LN(I94/I93)</f>
        <v/>
      </c>
      <c r="T94" s="9">
        <f>$T$1*LN(J94/J93)</f>
        <v/>
      </c>
      <c r="U94" s="9">
        <f>$W$12+$W$4*M94+$W$5*N94+$W$6*O94+$W$7*P94+$W$8*Q94+$W$9*R94+$W$10*S94+$W$11*T94</f>
        <v/>
      </c>
    </row>
    <row r="95">
      <c r="A95" s="7" t="n">
        <v>38268</v>
      </c>
      <c r="B95" s="8" t="n">
        <v>421.75</v>
      </c>
      <c r="C95" s="8" t="n">
        <v>2.37</v>
      </c>
      <c r="D95" s="8" t="n">
        <v>1.78</v>
      </c>
      <c r="E95" s="8" t="n">
        <v>87.449997</v>
      </c>
      <c r="F95" s="8" t="n">
        <v>53.4</v>
      </c>
      <c r="G95" s="8" t="n">
        <v>15.05</v>
      </c>
      <c r="H95" s="8" t="n">
        <v>91.379997</v>
      </c>
      <c r="I95" s="8" t="n">
        <v>1122.140015</v>
      </c>
      <c r="J95" s="8" t="n">
        <v>51.350788</v>
      </c>
      <c r="L95" s="9">
        <f>LN(B95/B94)</f>
        <v/>
      </c>
      <c r="M95" s="9">
        <f>$M$1*(C95-C94)</f>
        <v/>
      </c>
      <c r="N95" s="9">
        <f>$N$1*(D95-D94)</f>
        <v/>
      </c>
      <c r="O95" s="9">
        <f>$O$1*LN(E95/E94)</f>
        <v/>
      </c>
      <c r="P95" s="9">
        <f>$P$1*LN(F95/F94)</f>
        <v/>
      </c>
      <c r="Q95" s="9">
        <f>$Q$1*(G95-G94)</f>
        <v/>
      </c>
      <c r="R95" s="9">
        <f>$R$1*(H95-H94)</f>
        <v/>
      </c>
      <c r="S95" s="9">
        <f>$S$1*LN(I95/I94)</f>
        <v/>
      </c>
      <c r="T95" s="9">
        <f>$T$1*LN(J95/J94)</f>
        <v/>
      </c>
      <c r="U95" s="9">
        <f>$W$12+$W$4*M95+$W$5*N95+$W$6*O95+$W$7*P95+$W$8*Q95+$W$9*R95+$W$10*S95+$W$11*T95</f>
        <v/>
      </c>
    </row>
    <row r="96">
      <c r="A96" s="7" t="n">
        <v>38275</v>
      </c>
      <c r="B96" s="8" t="n">
        <v>420.4</v>
      </c>
      <c r="C96" s="8" t="n">
        <v>2.37</v>
      </c>
      <c r="D96" s="8" t="n">
        <v>1.7</v>
      </c>
      <c r="E96" s="8" t="n">
        <v>87.089996</v>
      </c>
      <c r="F96" s="8" t="n">
        <v>54.89</v>
      </c>
      <c r="G96" s="8" t="n">
        <v>15.04</v>
      </c>
      <c r="H96" s="8" t="n">
        <v>90.589996</v>
      </c>
      <c r="I96" s="8" t="n">
        <v>1108.199951</v>
      </c>
      <c r="J96" s="8" t="n">
        <v>51.576218</v>
      </c>
      <c r="L96" s="9">
        <f>LN(B96/B95)</f>
        <v/>
      </c>
      <c r="M96" s="9">
        <f>$M$1*(C96-C95)</f>
        <v/>
      </c>
      <c r="N96" s="9">
        <f>$N$1*(D96-D95)</f>
        <v/>
      </c>
      <c r="O96" s="9">
        <f>$O$1*LN(E96/E95)</f>
        <v/>
      </c>
      <c r="P96" s="9">
        <f>$P$1*LN(F96/F95)</f>
        <v/>
      </c>
      <c r="Q96" s="9">
        <f>$Q$1*(G96-G95)</f>
        <v/>
      </c>
      <c r="R96" s="9">
        <f>$R$1*(H96-H95)</f>
        <v/>
      </c>
      <c r="S96" s="9">
        <f>$S$1*LN(I96/I95)</f>
        <v/>
      </c>
      <c r="T96" s="9">
        <f>$T$1*LN(J96/J95)</f>
        <v/>
      </c>
      <c r="U96" s="9">
        <f>$W$12+$W$4*M96+$W$5*N96+$W$6*O96+$W$7*P96+$W$8*Q96+$W$9*R96+$W$10*S96+$W$11*T96</f>
        <v/>
      </c>
    </row>
    <row r="97">
      <c r="A97" s="7" t="n">
        <v>38282</v>
      </c>
      <c r="B97" s="8" t="n">
        <v>422.8</v>
      </c>
      <c r="C97" s="8" t="n">
        <v>2.36</v>
      </c>
      <c r="D97" s="8" t="n">
        <v>1.64</v>
      </c>
      <c r="E97" s="8" t="n">
        <v>85.870003</v>
      </c>
      <c r="F97" s="8" t="n">
        <v>55.83</v>
      </c>
      <c r="G97" s="8" t="n">
        <v>15.28</v>
      </c>
      <c r="H97" s="8" t="n">
        <v>85.839996</v>
      </c>
      <c r="I97" s="8" t="n">
        <v>1095.73999</v>
      </c>
      <c r="J97" s="8" t="n">
        <v>51.731491</v>
      </c>
      <c r="L97" s="9">
        <f>LN(B97/B96)</f>
        <v/>
      </c>
      <c r="M97" s="9">
        <f>$M$1*(C97-C96)</f>
        <v/>
      </c>
      <c r="N97" s="9">
        <f>$N$1*(D97-D96)</f>
        <v/>
      </c>
      <c r="O97" s="9">
        <f>$O$1*LN(E97/E96)</f>
        <v/>
      </c>
      <c r="P97" s="9">
        <f>$P$1*LN(F97/F96)</f>
        <v/>
      </c>
      <c r="Q97" s="9">
        <f>$Q$1*(G97-G96)</f>
        <v/>
      </c>
      <c r="R97" s="9">
        <f>$R$1*(H97-H96)</f>
        <v/>
      </c>
      <c r="S97" s="9">
        <f>$S$1*LN(I97/I96)</f>
        <v/>
      </c>
      <c r="T97" s="9">
        <f>$T$1*LN(J97/J96)</f>
        <v/>
      </c>
      <c r="U97" s="9">
        <f>$W$12+$W$4*M97+$W$5*N97+$W$6*O97+$W$7*P97+$W$8*Q97+$W$9*R97+$W$10*S97+$W$11*T97</f>
        <v/>
      </c>
    </row>
    <row r="98">
      <c r="A98" s="7" t="n">
        <v>38289</v>
      </c>
      <c r="B98" s="8" t="n">
        <v>425.55</v>
      </c>
      <c r="C98" s="8" t="n">
        <v>2.42</v>
      </c>
      <c r="D98" s="8" t="n">
        <v>1.63</v>
      </c>
      <c r="E98" s="8" t="n">
        <v>84.910004</v>
      </c>
      <c r="F98" s="8" t="n">
        <v>51.78</v>
      </c>
      <c r="G98" s="8" t="n">
        <v>16.27</v>
      </c>
      <c r="H98" s="8" t="n">
        <v>96.449997</v>
      </c>
      <c r="I98" s="8" t="n">
        <v>1130.199951</v>
      </c>
      <c r="J98" s="8" t="n">
        <v>51.721451</v>
      </c>
      <c r="L98" s="9">
        <f>LN(B98/B97)</f>
        <v/>
      </c>
      <c r="M98" s="9">
        <f>$M$1*(C98-C97)</f>
        <v/>
      </c>
      <c r="N98" s="9">
        <f>$N$1*(D98-D97)</f>
        <v/>
      </c>
      <c r="O98" s="9">
        <f>$O$1*LN(E98/E97)</f>
        <v/>
      </c>
      <c r="P98" s="9">
        <f>$P$1*LN(F98/F97)</f>
        <v/>
      </c>
      <c r="Q98" s="9">
        <f>$Q$1*(G98-G97)</f>
        <v/>
      </c>
      <c r="R98" s="9">
        <f>$R$1*(H98-H97)</f>
        <v/>
      </c>
      <c r="S98" s="9">
        <f>$S$1*LN(I98/I97)</f>
        <v/>
      </c>
      <c r="T98" s="9">
        <f>$T$1*LN(J98/J97)</f>
        <v/>
      </c>
      <c r="U98" s="9">
        <f>$W$12+$W$4*M98+$W$5*N98+$W$6*O98+$W$7*P98+$W$8*Q98+$W$9*R98+$W$10*S98+$W$11*T98</f>
        <v/>
      </c>
    </row>
    <row r="99">
      <c r="A99" s="7" t="n">
        <v>38296</v>
      </c>
      <c r="B99" s="8" t="n">
        <v>431</v>
      </c>
      <c r="C99" s="8" t="n">
        <v>2.5</v>
      </c>
      <c r="D99" s="8" t="n">
        <v>1.71</v>
      </c>
      <c r="E99" s="8" t="n">
        <v>84.010002</v>
      </c>
      <c r="F99" s="8" t="n">
        <v>49.65</v>
      </c>
      <c r="G99" s="8" t="n">
        <v>13.84</v>
      </c>
      <c r="H99" s="8" t="n">
        <v>92.68000000000001</v>
      </c>
      <c r="I99" s="8" t="n">
        <v>1166.170044</v>
      </c>
      <c r="J99" s="8" t="n">
        <v>51.499977</v>
      </c>
      <c r="L99" s="9">
        <f>LN(B99/B98)</f>
        <v/>
      </c>
      <c r="M99" s="9">
        <f>$M$1*(C99-C98)</f>
        <v/>
      </c>
      <c r="N99" s="9">
        <f>$N$1*(D99-D98)</f>
        <v/>
      </c>
      <c r="O99" s="9">
        <f>$O$1*LN(E99/E98)</f>
        <v/>
      </c>
      <c r="P99" s="9">
        <f>$P$1*LN(F99/F98)</f>
        <v/>
      </c>
      <c r="Q99" s="9">
        <f>$Q$1*(G99-G98)</f>
        <v/>
      </c>
      <c r="R99" s="9">
        <f>$R$1*(H99-H98)</f>
        <v/>
      </c>
      <c r="S99" s="9">
        <f>$S$1*LN(I99/I98)</f>
        <v/>
      </c>
      <c r="T99" s="9">
        <f>$T$1*LN(J99/J98)</f>
        <v/>
      </c>
      <c r="U99" s="9">
        <f>$W$12+$W$4*M99+$W$5*N99+$W$6*O99+$W$7*P99+$W$8*Q99+$W$9*R99+$W$10*S99+$W$11*T99</f>
        <v/>
      </c>
    </row>
    <row r="100">
      <c r="A100" s="7" t="n">
        <v>38303</v>
      </c>
      <c r="B100" s="8" t="n">
        <v>436.05</v>
      </c>
      <c r="C100" s="8" t="n">
        <v>2.49</v>
      </c>
      <c r="D100" s="8" t="n">
        <v>1.71</v>
      </c>
      <c r="E100" s="8" t="n">
        <v>83.69000200000001</v>
      </c>
      <c r="F100" s="8" t="n">
        <v>47.3</v>
      </c>
      <c r="G100" s="8" t="n">
        <v>13.33</v>
      </c>
      <c r="H100" s="8" t="n">
        <v>85.93000000000001</v>
      </c>
      <c r="I100" s="8" t="n">
        <v>1184.170044</v>
      </c>
      <c r="J100" s="8" t="n">
        <v>51.484909</v>
      </c>
      <c r="L100" s="9">
        <f>LN(B100/B99)</f>
        <v/>
      </c>
      <c r="M100" s="9">
        <f>$M$1*(C100-C99)</f>
        <v/>
      </c>
      <c r="N100" s="9">
        <f>$N$1*(D100-D99)</f>
        <v/>
      </c>
      <c r="O100" s="9">
        <f>$O$1*LN(E100/E99)</f>
        <v/>
      </c>
      <c r="P100" s="9">
        <f>$P$1*LN(F100/F99)</f>
        <v/>
      </c>
      <c r="Q100" s="9">
        <f>$Q$1*(G100-G99)</f>
        <v/>
      </c>
      <c r="R100" s="9">
        <f>$R$1*(H100-H99)</f>
        <v/>
      </c>
      <c r="S100" s="9">
        <f>$S$1*LN(I100/I99)</f>
        <v/>
      </c>
      <c r="T100" s="9">
        <f>$T$1*LN(J100/J99)</f>
        <v/>
      </c>
      <c r="U100" s="9">
        <f>$W$12+$W$4*M100+$W$5*N100+$W$6*O100+$W$7*P100+$W$8*Q100+$W$9*R100+$W$10*S100+$W$11*T100</f>
        <v/>
      </c>
    </row>
    <row r="101">
      <c r="A101" s="7" t="n">
        <v>38310</v>
      </c>
      <c r="B101" s="8" t="n">
        <v>445.6</v>
      </c>
      <c r="C101" s="8" t="n">
        <v>2.53</v>
      </c>
      <c r="D101" s="8" t="n">
        <v>1.67</v>
      </c>
      <c r="E101" s="8" t="n">
        <v>83.30999799999999</v>
      </c>
      <c r="F101" s="8" t="n">
        <v>48.9</v>
      </c>
      <c r="G101" s="8" t="n">
        <v>13.5</v>
      </c>
      <c r="H101" s="8" t="n">
        <v>87.599998</v>
      </c>
      <c r="I101" s="8" t="n">
        <v>1170.339966</v>
      </c>
      <c r="J101" s="8" t="n">
        <v>51.505005</v>
      </c>
      <c r="L101" s="9">
        <f>LN(B101/B100)</f>
        <v/>
      </c>
      <c r="M101" s="9">
        <f>$M$1*(C101-C100)</f>
        <v/>
      </c>
      <c r="N101" s="9">
        <f>$N$1*(D101-D100)</f>
        <v/>
      </c>
      <c r="O101" s="9">
        <f>$O$1*LN(E101/E100)</f>
        <v/>
      </c>
      <c r="P101" s="9">
        <f>$P$1*LN(F101/F100)</f>
        <v/>
      </c>
      <c r="Q101" s="9">
        <f>$Q$1*(G101-G100)</f>
        <v/>
      </c>
      <c r="R101" s="9">
        <f>$R$1*(H101-H100)</f>
        <v/>
      </c>
      <c r="S101" s="9">
        <f>$S$1*LN(I101/I100)</f>
        <v/>
      </c>
      <c r="T101" s="9">
        <f>$T$1*LN(J101/J100)</f>
        <v/>
      </c>
      <c r="U101" s="9">
        <f>$W$12+$W$4*M101+$W$5*N101+$W$6*O101+$W$7*P101+$W$8*Q101+$W$9*R101+$W$10*S101+$W$11*T101</f>
        <v/>
      </c>
    </row>
    <row r="102">
      <c r="A102" s="7" t="n">
        <v>38317</v>
      </c>
      <c r="B102" s="8" t="n">
        <v>451</v>
      </c>
      <c r="C102" s="8" t="n">
        <v>2.58</v>
      </c>
      <c r="D102" s="8" t="n">
        <v>1.66</v>
      </c>
      <c r="E102" s="8" t="n">
        <v>81.779999</v>
      </c>
      <c r="F102" s="8" t="n">
        <v>49.14</v>
      </c>
      <c r="G102" s="8" t="n">
        <v>12.79</v>
      </c>
      <c r="H102" s="8" t="n">
        <v>84.900002</v>
      </c>
      <c r="I102" s="8" t="n">
        <v>1182.650024</v>
      </c>
      <c r="J102" s="8" t="n">
        <v>51.45475</v>
      </c>
      <c r="L102" s="9">
        <f>LN(B102/B101)</f>
        <v/>
      </c>
      <c r="M102" s="9">
        <f>$M$1*(C102-C101)</f>
        <v/>
      </c>
      <c r="N102" s="9">
        <f>$N$1*(D102-D101)</f>
        <v/>
      </c>
      <c r="O102" s="9">
        <f>$O$1*LN(E102/E101)</f>
        <v/>
      </c>
      <c r="P102" s="9">
        <f>$P$1*LN(F102/F101)</f>
        <v/>
      </c>
      <c r="Q102" s="9">
        <f>$Q$1*(G102-G101)</f>
        <v/>
      </c>
      <c r="R102" s="9">
        <f>$R$1*(H102-H101)</f>
        <v/>
      </c>
      <c r="S102" s="9">
        <f>$S$1*LN(I102/I101)</f>
        <v/>
      </c>
      <c r="T102" s="9">
        <f>$T$1*LN(J102/J101)</f>
        <v/>
      </c>
      <c r="U102" s="9">
        <f>$W$12+$W$4*M102+$W$5*N102+$W$6*O102+$W$7*P102+$W$8*Q102+$W$9*R102+$W$10*S102+$W$11*T102</f>
        <v/>
      </c>
    </row>
    <row r="103">
      <c r="A103" s="7" t="n">
        <v>38324</v>
      </c>
      <c r="B103" s="8" t="n">
        <v>448.65</v>
      </c>
      <c r="C103" s="8" t="n">
        <v>2.54</v>
      </c>
      <c r="D103" s="8" t="n">
        <v>1.73</v>
      </c>
      <c r="E103" s="8" t="n">
        <v>80.980003</v>
      </c>
      <c r="F103" s="8" t="n">
        <v>42.56</v>
      </c>
      <c r="G103" s="8" t="n">
        <v>12.96</v>
      </c>
      <c r="H103" s="8" t="n">
        <v>78.120003</v>
      </c>
      <c r="I103" s="8" t="n">
        <v>1191.170044</v>
      </c>
      <c r="J103" s="8" t="n">
        <v>51.539749</v>
      </c>
      <c r="L103" s="9">
        <f>LN(B103/B102)</f>
        <v/>
      </c>
      <c r="M103" s="9">
        <f>$M$1*(C103-C102)</f>
        <v/>
      </c>
      <c r="N103" s="9">
        <f>$N$1*(D103-D102)</f>
        <v/>
      </c>
      <c r="O103" s="9">
        <f>$O$1*LN(E103/E102)</f>
        <v/>
      </c>
      <c r="P103" s="9">
        <f>$P$1*LN(F103/F102)</f>
        <v/>
      </c>
      <c r="Q103" s="9">
        <f>$Q$1*(G103-G102)</f>
        <v/>
      </c>
      <c r="R103" s="9">
        <f>$R$1*(H103-H102)</f>
        <v/>
      </c>
      <c r="S103" s="9">
        <f>$S$1*LN(I103/I102)</f>
        <v/>
      </c>
      <c r="T103" s="9">
        <f>$T$1*LN(J103/J102)</f>
        <v/>
      </c>
      <c r="U103" s="9">
        <f>$W$12+$W$4*M103+$W$5*N103+$W$6*O103+$W$7*P103+$W$8*Q103+$W$9*R103+$W$10*S103+$W$11*T103</f>
        <v/>
      </c>
    </row>
    <row r="104">
      <c r="A104" s="7" t="n">
        <v>38331</v>
      </c>
      <c r="B104" s="8" t="n">
        <v>434</v>
      </c>
      <c r="C104" s="8" t="n">
        <v>2.5</v>
      </c>
      <c r="D104" s="8" t="n">
        <v>1.66</v>
      </c>
      <c r="E104" s="8" t="n">
        <v>82.550003</v>
      </c>
      <c r="F104" s="8" t="n">
        <v>40.71</v>
      </c>
      <c r="G104" s="8" t="n">
        <v>12.76</v>
      </c>
      <c r="H104" s="8" t="n">
        <v>82.980003</v>
      </c>
      <c r="I104" s="8" t="n">
        <v>1188</v>
      </c>
      <c r="J104" s="8" t="n">
        <v>51.706062</v>
      </c>
      <c r="L104" s="9">
        <f>LN(B104/B103)</f>
        <v/>
      </c>
      <c r="M104" s="9">
        <f>$M$1*(C104-C103)</f>
        <v/>
      </c>
      <c r="N104" s="9">
        <f>$N$1*(D104-D103)</f>
        <v/>
      </c>
      <c r="O104" s="9">
        <f>$O$1*LN(E104/E103)</f>
        <v/>
      </c>
      <c r="P104" s="9">
        <f>$P$1*LN(F104/F103)</f>
        <v/>
      </c>
      <c r="Q104" s="9">
        <f>$Q$1*(G104-G103)</f>
        <v/>
      </c>
      <c r="R104" s="9">
        <f>$R$1*(H104-H103)</f>
        <v/>
      </c>
      <c r="S104" s="9">
        <f>$S$1*LN(I104/I103)</f>
        <v/>
      </c>
      <c r="T104" s="9">
        <f>$T$1*LN(J104/J103)</f>
        <v/>
      </c>
      <c r="U104" s="9">
        <f>$W$12+$W$4*M104+$W$5*N104+$W$6*O104+$W$7*P104+$W$8*Q104+$W$9*R104+$W$10*S104+$W$11*T104</f>
        <v/>
      </c>
    </row>
    <row r="105">
      <c r="A105" s="7" t="n">
        <v>38338</v>
      </c>
      <c r="B105" s="8" t="n">
        <v>438.9</v>
      </c>
      <c r="C105" s="8" t="n">
        <v>2.57</v>
      </c>
      <c r="D105" s="8" t="n">
        <v>1.64</v>
      </c>
      <c r="E105" s="8" t="n">
        <v>82.160004</v>
      </c>
      <c r="F105" s="8" t="n">
        <v>46.31</v>
      </c>
      <c r="G105" s="8" t="n">
        <v>11.95</v>
      </c>
      <c r="H105" s="8" t="n">
        <v>86.43000000000001</v>
      </c>
      <c r="I105" s="8" t="n">
        <v>1194.199951</v>
      </c>
      <c r="J105" s="8" t="n">
        <v>51.620377</v>
      </c>
      <c r="L105" s="9">
        <f>LN(B105/B104)</f>
        <v/>
      </c>
      <c r="M105" s="9">
        <f>$M$1*(C105-C104)</f>
        <v/>
      </c>
      <c r="N105" s="9">
        <f>$N$1*(D105-D104)</f>
        <v/>
      </c>
      <c r="O105" s="9">
        <f>$O$1*LN(E105/E104)</f>
        <v/>
      </c>
      <c r="P105" s="9">
        <f>$P$1*LN(F105/F104)</f>
        <v/>
      </c>
      <c r="Q105" s="9">
        <f>$Q$1*(G105-G104)</f>
        <v/>
      </c>
      <c r="R105" s="9">
        <f>$R$1*(H105-H104)</f>
        <v/>
      </c>
      <c r="S105" s="9">
        <f>$S$1*LN(I105/I104)</f>
        <v/>
      </c>
      <c r="T105" s="9">
        <f>$T$1*LN(J105/J104)</f>
        <v/>
      </c>
      <c r="U105" s="9">
        <f>$W$12+$W$4*M105+$W$5*N105+$W$6*O105+$W$7*P105+$W$8*Q105+$W$9*R105+$W$10*S105+$W$11*T105</f>
        <v/>
      </c>
    </row>
    <row r="106">
      <c r="A106" s="7" t="n">
        <v>38345</v>
      </c>
      <c r="B106" s="8" t="n">
        <v>441.1</v>
      </c>
      <c r="C106" s="8" t="n">
        <v>2.61</v>
      </c>
      <c r="D106" s="8" t="n">
        <v>1.62</v>
      </c>
      <c r="E106" s="8" t="n">
        <v>81.220001</v>
      </c>
      <c r="F106" s="8" t="n">
        <v>42.19</v>
      </c>
      <c r="G106" s="8" t="n">
        <v>11.23</v>
      </c>
      <c r="H106" s="8" t="n">
        <v>80.66999800000001</v>
      </c>
      <c r="I106" s="8" t="n">
        <v>1210.130005</v>
      </c>
      <c r="J106" s="8" t="n">
        <v>51.806778</v>
      </c>
      <c r="L106" s="9">
        <f>LN(B106/B105)</f>
        <v/>
      </c>
      <c r="M106" s="9">
        <f>$M$1*(C106-C105)</f>
        <v/>
      </c>
      <c r="N106" s="9">
        <f>$N$1*(D106-D105)</f>
        <v/>
      </c>
      <c r="O106" s="9">
        <f>$O$1*LN(E106/E105)</f>
        <v/>
      </c>
      <c r="P106" s="9">
        <f>$P$1*LN(F106/F105)</f>
        <v/>
      </c>
      <c r="Q106" s="9">
        <f>$Q$1*(G106-G105)</f>
        <v/>
      </c>
      <c r="R106" s="9">
        <f>$R$1*(H106-H105)</f>
        <v/>
      </c>
      <c r="S106" s="9">
        <f>$S$1*LN(I106/I105)</f>
        <v/>
      </c>
      <c r="T106" s="9">
        <f>$T$1*LN(J106/J105)</f>
        <v/>
      </c>
      <c r="U106" s="9">
        <f>$W$12+$W$4*M106+$W$5*N106+$W$6*O106+$W$7*P106+$W$8*Q106+$W$9*R106+$W$10*S106+$W$11*T106</f>
        <v/>
      </c>
    </row>
    <row r="107">
      <c r="A107" s="7" t="n">
        <v>38352</v>
      </c>
      <c r="B107" s="8" t="n">
        <v>435.6</v>
      </c>
      <c r="C107" s="8" t="n">
        <v>2.56</v>
      </c>
      <c r="D107" s="8" t="n">
        <v>1.68</v>
      </c>
      <c r="E107" s="8" t="n">
        <v>80.849998</v>
      </c>
      <c r="F107" s="8" t="n">
        <v>43.36</v>
      </c>
      <c r="G107" s="8" t="n">
        <v>13.29</v>
      </c>
      <c r="H107" s="8" t="n">
        <v>86.599998</v>
      </c>
      <c r="I107" s="8" t="n">
        <v>1211.920044</v>
      </c>
      <c r="J107" s="8" t="n">
        <v>51.748566</v>
      </c>
      <c r="L107" s="9">
        <f>LN(B107/B106)</f>
        <v/>
      </c>
      <c r="M107" s="9">
        <f>$M$1*(C107-C106)</f>
        <v/>
      </c>
      <c r="N107" s="9">
        <f>$N$1*(D107-D106)</f>
        <v/>
      </c>
      <c r="O107" s="9">
        <f>$O$1*LN(E107/E106)</f>
        <v/>
      </c>
      <c r="P107" s="9">
        <f>$P$1*LN(F107/F106)</f>
        <v/>
      </c>
      <c r="Q107" s="9">
        <f>$Q$1*(G107-G106)</f>
        <v/>
      </c>
      <c r="R107" s="9">
        <f>$R$1*(H107-H106)</f>
        <v/>
      </c>
      <c r="S107" s="9">
        <f>$S$1*LN(I107/I106)</f>
        <v/>
      </c>
      <c r="T107" s="9">
        <f>$T$1*LN(J107/J106)</f>
        <v/>
      </c>
      <c r="U107" s="9">
        <f>$W$12+$W$4*M107+$W$5*N107+$W$6*O107+$W$7*P107+$W$8*Q107+$W$9*R107+$W$10*S107+$W$11*T107</f>
        <v/>
      </c>
    </row>
    <row r="108">
      <c r="A108" s="7" t="n">
        <v>38359</v>
      </c>
      <c r="B108" s="8" t="n">
        <v>422.2</v>
      </c>
      <c r="C108" s="8" t="n">
        <v>2.49</v>
      </c>
      <c r="D108" s="8" t="n">
        <v>1.8</v>
      </c>
      <c r="E108" s="8" t="n">
        <v>83.610001</v>
      </c>
      <c r="F108" s="8" t="n">
        <v>45.32</v>
      </c>
      <c r="G108" s="8" t="n">
        <v>13.49</v>
      </c>
      <c r="H108" s="8" t="n">
        <v>92.379997</v>
      </c>
      <c r="I108" s="8" t="n">
        <v>1186.189941</v>
      </c>
      <c r="J108" s="8" t="n">
        <v>51.698013</v>
      </c>
      <c r="L108" s="9">
        <f>LN(B108/B107)</f>
        <v/>
      </c>
      <c r="M108" s="9">
        <f>$M$1*(C108-C107)</f>
        <v/>
      </c>
      <c r="N108" s="9">
        <f>$N$1*(D108-D107)</f>
        <v/>
      </c>
      <c r="O108" s="9">
        <f>$O$1*LN(E108/E107)</f>
        <v/>
      </c>
      <c r="P108" s="9">
        <f>$P$1*LN(F108/F107)</f>
        <v/>
      </c>
      <c r="Q108" s="9">
        <f>$Q$1*(G108-G107)</f>
        <v/>
      </c>
      <c r="R108" s="9">
        <f>$R$1*(H108-H107)</f>
        <v/>
      </c>
      <c r="S108" s="9">
        <f>$S$1*LN(I108/I107)</f>
        <v/>
      </c>
      <c r="T108" s="9">
        <f>$T$1*LN(J108/J107)</f>
        <v/>
      </c>
      <c r="U108" s="9">
        <f>$W$12+$W$4*M108+$W$5*N108+$W$6*O108+$W$7*P108+$W$8*Q108+$W$9*R108+$W$10*S108+$W$11*T108</f>
        <v/>
      </c>
    </row>
    <row r="109">
      <c r="A109" s="7" t="n">
        <v>38366</v>
      </c>
      <c r="B109" s="8" t="n">
        <v>422.5</v>
      </c>
      <c r="C109" s="8" t="n">
        <v>2.51</v>
      </c>
      <c r="D109" s="8" t="n">
        <v>1.72</v>
      </c>
      <c r="E109" s="8" t="n">
        <v>83.05999799999999</v>
      </c>
      <c r="F109" s="8" t="n">
        <v>48.41</v>
      </c>
      <c r="G109" s="8" t="n">
        <v>12.43</v>
      </c>
      <c r="H109" s="8" t="n">
        <v>76.610001</v>
      </c>
      <c r="I109" s="8" t="n">
        <v>1184.52002</v>
      </c>
      <c r="J109" s="8" t="n">
        <v>51.758648</v>
      </c>
      <c r="L109" s="9">
        <f>LN(B109/B108)</f>
        <v/>
      </c>
      <c r="M109" s="9">
        <f>$M$1*(C109-C108)</f>
        <v/>
      </c>
      <c r="N109" s="9">
        <f>$N$1*(D109-D108)</f>
        <v/>
      </c>
      <c r="O109" s="9">
        <f>$O$1*LN(E109/E108)</f>
        <v/>
      </c>
      <c r="P109" s="9">
        <f>$P$1*LN(F109/F108)</f>
        <v/>
      </c>
      <c r="Q109" s="9">
        <f>$Q$1*(G109-G108)</f>
        <v/>
      </c>
      <c r="R109" s="9">
        <f>$R$1*(H109-H108)</f>
        <v/>
      </c>
      <c r="S109" s="9">
        <f>$S$1*LN(I109/I108)</f>
        <v/>
      </c>
      <c r="T109" s="9">
        <f>$T$1*LN(J109/J108)</f>
        <v/>
      </c>
      <c r="U109" s="9">
        <f>$W$12+$W$4*M109+$W$5*N109+$W$6*O109+$W$7*P109+$W$8*Q109+$W$9*R109+$W$10*S109+$W$11*T109</f>
        <v/>
      </c>
    </row>
    <row r="110">
      <c r="A110" s="7" t="n">
        <v>38373</v>
      </c>
      <c r="B110" s="8" t="n">
        <v>423.3</v>
      </c>
      <c r="C110" s="8" t="n">
        <v>2.47</v>
      </c>
      <c r="D110" s="8" t="n">
        <v>1.69</v>
      </c>
      <c r="E110" s="8" t="n">
        <v>83.260002</v>
      </c>
      <c r="F110" s="8" t="n">
        <v>48.31</v>
      </c>
      <c r="G110" s="8" t="n">
        <v>14.36</v>
      </c>
      <c r="H110" s="8" t="n">
        <v>76.300003</v>
      </c>
      <c r="I110" s="8" t="n">
        <v>1167.869995</v>
      </c>
      <c r="J110" s="8" t="n">
        <v>52.066936</v>
      </c>
      <c r="L110" s="9">
        <f>LN(B110/B109)</f>
        <v/>
      </c>
      <c r="M110" s="9">
        <f>$M$1*(C110-C109)</f>
        <v/>
      </c>
      <c r="N110" s="9">
        <f>$N$1*(D110-D109)</f>
        <v/>
      </c>
      <c r="O110" s="9">
        <f>$O$1*LN(E110/E109)</f>
        <v/>
      </c>
      <c r="P110" s="9">
        <f>$P$1*LN(F110/F109)</f>
        <v/>
      </c>
      <c r="Q110" s="9">
        <f>$Q$1*(G110-G109)</f>
        <v/>
      </c>
      <c r="R110" s="9">
        <f>$R$1*(H110-H109)</f>
        <v/>
      </c>
      <c r="S110" s="9">
        <f>$S$1*LN(I110/I109)</f>
        <v/>
      </c>
      <c r="T110" s="9">
        <f>$T$1*LN(J110/J109)</f>
        <v/>
      </c>
      <c r="U110" s="9">
        <f>$W$12+$W$4*M110+$W$5*N110+$W$6*O110+$W$7*P110+$W$8*Q110+$W$9*R110+$W$10*S110+$W$11*T110</f>
        <v/>
      </c>
    </row>
    <row r="111">
      <c r="A111" s="7" t="n">
        <v>38380</v>
      </c>
      <c r="B111" s="8" t="n">
        <v>426.8</v>
      </c>
      <c r="C111" s="8" t="n">
        <v>2.51</v>
      </c>
      <c r="D111" s="8" t="n">
        <v>1.65</v>
      </c>
      <c r="E111" s="8" t="n">
        <v>83.480003</v>
      </c>
      <c r="F111" s="8" t="n">
        <v>47.15</v>
      </c>
      <c r="G111" s="8" t="n">
        <v>13.24</v>
      </c>
      <c r="H111" s="8" t="n">
        <v>78.620003</v>
      </c>
      <c r="I111" s="8" t="n">
        <v>1171.359985</v>
      </c>
      <c r="J111" s="8" t="n">
        <v>52.066936</v>
      </c>
      <c r="L111" s="9">
        <f>LN(B111/B110)</f>
        <v/>
      </c>
      <c r="M111" s="9">
        <f>$M$1*(C111-C110)</f>
        <v/>
      </c>
      <c r="N111" s="9">
        <f>$N$1*(D111-D110)</f>
        <v/>
      </c>
      <c r="O111" s="9">
        <f>$O$1*LN(E111/E110)</f>
        <v/>
      </c>
      <c r="P111" s="9">
        <f>$P$1*LN(F111/F110)</f>
        <v/>
      </c>
      <c r="Q111" s="9">
        <f>$Q$1*(G111-G110)</f>
        <v/>
      </c>
      <c r="R111" s="9">
        <f>$R$1*(H111-H110)</f>
        <v/>
      </c>
      <c r="S111" s="9">
        <f>$S$1*LN(I111/I110)</f>
        <v/>
      </c>
      <c r="T111" s="9">
        <f>$T$1*LN(J111/J110)</f>
        <v/>
      </c>
      <c r="U111" s="9">
        <f>$W$12+$W$4*M111+$W$5*N111+$W$6*O111+$W$7*P111+$W$8*Q111+$W$9*R111+$W$10*S111+$W$11*T111</f>
        <v/>
      </c>
    </row>
    <row r="112">
      <c r="A112" s="7" t="n">
        <v>38387</v>
      </c>
      <c r="B112" s="8" t="n">
        <v>415.9</v>
      </c>
      <c r="C112" s="8" t="n">
        <v>2.44</v>
      </c>
      <c r="D112" s="8" t="n">
        <v>1.65</v>
      </c>
      <c r="E112" s="8" t="n">
        <v>84.389999</v>
      </c>
      <c r="F112" s="8" t="n">
        <v>46.45</v>
      </c>
      <c r="G112" s="8" t="n">
        <v>11.21</v>
      </c>
      <c r="H112" s="8" t="n">
        <v>75.510002</v>
      </c>
      <c r="I112" s="8" t="n">
        <v>1203.030029</v>
      </c>
      <c r="J112" s="8" t="n">
        <v>52.249062</v>
      </c>
      <c r="L112" s="9">
        <f>LN(B112/B111)</f>
        <v/>
      </c>
      <c r="M112" s="9">
        <f>$M$1*(C112-C111)</f>
        <v/>
      </c>
      <c r="N112" s="9">
        <f>$N$1*(D112-D111)</f>
        <v/>
      </c>
      <c r="O112" s="9">
        <f>$O$1*LN(E112/E111)</f>
        <v/>
      </c>
      <c r="P112" s="9">
        <f>$P$1*LN(F112/F111)</f>
        <v/>
      </c>
      <c r="Q112" s="9">
        <f>$Q$1*(G112-G111)</f>
        <v/>
      </c>
      <c r="R112" s="9">
        <f>$R$1*(H112-H111)</f>
        <v/>
      </c>
      <c r="S112" s="9">
        <f>$S$1*LN(I112/I111)</f>
        <v/>
      </c>
      <c r="T112" s="9">
        <f>$T$1*LN(J112/J111)</f>
        <v/>
      </c>
      <c r="U112" s="9">
        <f>$W$12+$W$4*M112+$W$5*N112+$W$6*O112+$W$7*P112+$W$8*Q112+$W$9*R112+$W$10*S112+$W$11*T112</f>
        <v/>
      </c>
    </row>
    <row r="113">
      <c r="A113" s="7" t="n">
        <v>38394</v>
      </c>
      <c r="B113" s="8" t="n">
        <v>418.85</v>
      </c>
      <c r="C113" s="8" t="n">
        <v>2.53</v>
      </c>
      <c r="D113" s="8" t="n">
        <v>1.57</v>
      </c>
      <c r="E113" s="8" t="n">
        <v>84.56999999999999</v>
      </c>
      <c r="F113" s="8" t="n">
        <v>47.15</v>
      </c>
      <c r="G113" s="8" t="n">
        <v>11.43</v>
      </c>
      <c r="H113" s="8" t="n">
        <v>81.949997</v>
      </c>
      <c r="I113" s="8" t="n">
        <v>1205.300049</v>
      </c>
      <c r="J113" s="8" t="n">
        <v>52.233879</v>
      </c>
      <c r="L113" s="9">
        <f>LN(B113/B112)</f>
        <v/>
      </c>
      <c r="M113" s="9">
        <f>$M$1*(C113-C112)</f>
        <v/>
      </c>
      <c r="N113" s="9">
        <f>$N$1*(D113-D112)</f>
        <v/>
      </c>
      <c r="O113" s="9">
        <f>$O$1*LN(E113/E112)</f>
        <v/>
      </c>
      <c r="P113" s="9">
        <f>$P$1*LN(F113/F112)</f>
        <v/>
      </c>
      <c r="Q113" s="9">
        <f>$Q$1*(G113-G112)</f>
        <v/>
      </c>
      <c r="R113" s="9">
        <f>$R$1*(H113-H112)</f>
        <v/>
      </c>
      <c r="S113" s="9">
        <f>$S$1*LN(I113/I112)</f>
        <v/>
      </c>
      <c r="T113" s="9">
        <f>$T$1*LN(J113/J112)</f>
        <v/>
      </c>
      <c r="U113" s="9">
        <f>$W$12+$W$4*M113+$W$5*N113+$W$6*O113+$W$7*P113+$W$8*Q113+$W$9*R113+$W$10*S113+$W$11*T113</f>
        <v/>
      </c>
    </row>
    <row r="114">
      <c r="A114" s="7" t="n">
        <v>38401</v>
      </c>
      <c r="B114" s="8" t="n">
        <v>427.1</v>
      </c>
      <c r="C114" s="8" t="n">
        <v>2.6</v>
      </c>
      <c r="D114" s="8" t="n">
        <v>1.67</v>
      </c>
      <c r="E114" s="8" t="n">
        <v>83.489998</v>
      </c>
      <c r="F114" s="8" t="n">
        <v>48.45</v>
      </c>
      <c r="G114" s="8" t="n">
        <v>11.18</v>
      </c>
      <c r="H114" s="8" t="n">
        <v>78.459999</v>
      </c>
      <c r="I114" s="8" t="n">
        <v>1201.589966</v>
      </c>
      <c r="J114" s="8" t="n">
        <v>52.071651</v>
      </c>
      <c r="L114" s="9">
        <f>LN(B114/B113)</f>
        <v/>
      </c>
      <c r="M114" s="9">
        <f>$M$1*(C114-C113)</f>
        <v/>
      </c>
      <c r="N114" s="9">
        <f>$N$1*(D114-D113)</f>
        <v/>
      </c>
      <c r="O114" s="9">
        <f>$O$1*LN(E114/E113)</f>
        <v/>
      </c>
      <c r="P114" s="9">
        <f>$P$1*LN(F114/F113)</f>
        <v/>
      </c>
      <c r="Q114" s="9">
        <f>$Q$1*(G114-G113)</f>
        <v/>
      </c>
      <c r="R114" s="9">
        <f>$R$1*(H114-H113)</f>
        <v/>
      </c>
      <c r="S114" s="9">
        <f>$S$1*LN(I114/I113)</f>
        <v/>
      </c>
      <c r="T114" s="9">
        <f>$T$1*LN(J114/J113)</f>
        <v/>
      </c>
      <c r="U114" s="9">
        <f>$W$12+$W$4*M114+$W$5*N114+$W$6*O114+$W$7*P114+$W$8*Q114+$W$9*R114+$W$10*S114+$W$11*T114</f>
        <v/>
      </c>
    </row>
    <row r="115">
      <c r="A115" s="7" t="n">
        <v>38408</v>
      </c>
      <c r="B115" s="8" t="n">
        <v>434.25</v>
      </c>
      <c r="C115" s="8" t="n">
        <v>2.63</v>
      </c>
      <c r="D115" s="8" t="n">
        <v>1.64</v>
      </c>
      <c r="E115" s="8" t="n">
        <v>82.660004</v>
      </c>
      <c r="F115" s="8" t="n">
        <v>52.2</v>
      </c>
      <c r="G115" s="8" t="n">
        <v>11.49</v>
      </c>
      <c r="H115" s="8" t="n">
        <v>80.699997</v>
      </c>
      <c r="I115" s="8" t="n">
        <v>1211.369995</v>
      </c>
      <c r="J115" s="8" t="n">
        <v>51.944992</v>
      </c>
      <c r="L115" s="9">
        <f>LN(B115/B114)</f>
        <v/>
      </c>
      <c r="M115" s="9">
        <f>$M$1*(C115-C114)</f>
        <v/>
      </c>
      <c r="N115" s="9">
        <f>$N$1*(D115-D114)</f>
        <v/>
      </c>
      <c r="O115" s="9">
        <f>$O$1*LN(E115/E114)</f>
        <v/>
      </c>
      <c r="P115" s="9">
        <f>$P$1*LN(F115/F114)</f>
        <v/>
      </c>
      <c r="Q115" s="9">
        <f>$Q$1*(G115-G114)</f>
        <v/>
      </c>
      <c r="R115" s="9">
        <f>$R$1*(H115-H114)</f>
        <v/>
      </c>
      <c r="S115" s="9">
        <f>$S$1*LN(I115/I114)</f>
        <v/>
      </c>
      <c r="T115" s="9">
        <f>$T$1*LN(J115/J114)</f>
        <v/>
      </c>
      <c r="U115" s="9">
        <f>$W$12+$W$4*M115+$W$5*N115+$W$6*O115+$W$7*P115+$W$8*Q115+$W$9*R115+$W$10*S115+$W$11*T115</f>
        <v/>
      </c>
    </row>
    <row r="116">
      <c r="A116" s="7" t="n">
        <v>38415</v>
      </c>
      <c r="B116" s="8" t="n">
        <v>433.45</v>
      </c>
      <c r="C116" s="8" t="n">
        <v>2.67</v>
      </c>
      <c r="D116" s="8" t="n">
        <v>1.65</v>
      </c>
      <c r="E116" s="8" t="n">
        <v>82.540001</v>
      </c>
      <c r="F116" s="8" t="n">
        <v>53.7</v>
      </c>
      <c r="G116" s="8" t="n">
        <v>11.94</v>
      </c>
      <c r="H116" s="8" t="n">
        <v>83</v>
      </c>
      <c r="I116" s="8" t="n">
        <v>1222.119995</v>
      </c>
      <c r="J116" s="8" t="n">
        <v>51.89299</v>
      </c>
      <c r="L116" s="9">
        <f>LN(B116/B115)</f>
        <v/>
      </c>
      <c r="M116" s="9">
        <f>$M$1*(C116-C115)</f>
        <v/>
      </c>
      <c r="N116" s="9">
        <f>$N$1*(D116-D115)</f>
        <v/>
      </c>
      <c r="O116" s="9">
        <f>$O$1*LN(E116/E115)</f>
        <v/>
      </c>
      <c r="P116" s="9">
        <f>$P$1*LN(F116/F115)</f>
        <v/>
      </c>
      <c r="Q116" s="9">
        <f>$Q$1*(G116-G115)</f>
        <v/>
      </c>
      <c r="R116" s="9">
        <f>$R$1*(H116-H115)</f>
        <v/>
      </c>
      <c r="S116" s="9">
        <f>$S$1*LN(I116/I115)</f>
        <v/>
      </c>
      <c r="T116" s="9">
        <f>$T$1*LN(J116/J115)</f>
        <v/>
      </c>
      <c r="U116" s="9">
        <f>$W$12+$W$4*M116+$W$5*N116+$W$6*O116+$W$7*P116+$W$8*Q116+$W$9*R116+$W$10*S116+$W$11*T116</f>
        <v/>
      </c>
    </row>
    <row r="117">
      <c r="A117" s="7" t="n">
        <v>38422</v>
      </c>
      <c r="B117" s="8" t="n">
        <v>443.7</v>
      </c>
      <c r="C117" s="8" t="n">
        <v>2.74</v>
      </c>
      <c r="D117" s="8" t="n">
        <v>1.82</v>
      </c>
      <c r="E117" s="8" t="n">
        <v>81.41999800000001</v>
      </c>
      <c r="F117" s="8" t="n">
        <v>54.4</v>
      </c>
      <c r="G117" s="8" t="n">
        <v>12.8</v>
      </c>
      <c r="H117" s="8" t="n">
        <v>93.699997</v>
      </c>
      <c r="I117" s="8" t="n">
        <v>1200.079956</v>
      </c>
      <c r="J117" s="8" t="n">
        <v>51.461006</v>
      </c>
      <c r="L117" s="9">
        <f>LN(B117/B116)</f>
        <v/>
      </c>
      <c r="M117" s="9">
        <f>$M$1*(C117-C116)</f>
        <v/>
      </c>
      <c r="N117" s="9">
        <f>$N$1*(D117-D116)</f>
        <v/>
      </c>
      <c r="O117" s="9">
        <f>$O$1*LN(E117/E116)</f>
        <v/>
      </c>
      <c r="P117" s="9">
        <f>$P$1*LN(F117/F116)</f>
        <v/>
      </c>
      <c r="Q117" s="9">
        <f>$Q$1*(G117-G116)</f>
        <v/>
      </c>
      <c r="R117" s="9">
        <f>$R$1*(H117-H116)</f>
        <v/>
      </c>
      <c r="S117" s="9">
        <f>$S$1*LN(I117/I116)</f>
        <v/>
      </c>
      <c r="T117" s="9">
        <f>$T$1*LN(J117/J116)</f>
        <v/>
      </c>
      <c r="U117" s="9">
        <f>$W$12+$W$4*M117+$W$5*N117+$W$6*O117+$W$7*P117+$W$8*Q117+$W$9*R117+$W$10*S117+$W$11*T117</f>
        <v/>
      </c>
    </row>
    <row r="118">
      <c r="A118" s="7" t="n">
        <v>38429</v>
      </c>
      <c r="B118" s="8" t="n">
        <v>437.15</v>
      </c>
      <c r="C118" s="8" t="n">
        <v>2.74</v>
      </c>
      <c r="D118" s="8" t="n">
        <v>1.77</v>
      </c>
      <c r="E118" s="8" t="n">
        <v>82.129997</v>
      </c>
      <c r="F118" s="8" t="n">
        <v>56.8</v>
      </c>
      <c r="G118" s="8" t="n">
        <v>13.14</v>
      </c>
      <c r="H118" s="8" t="n">
        <v>90.099998</v>
      </c>
      <c r="I118" s="8" t="n">
        <v>1189.650024</v>
      </c>
      <c r="J118" s="8" t="n">
        <v>51.440628</v>
      </c>
      <c r="L118" s="9">
        <f>LN(B118/B117)</f>
        <v/>
      </c>
      <c r="M118" s="9">
        <f>$M$1*(C118-C117)</f>
        <v/>
      </c>
      <c r="N118" s="9">
        <f>$N$1*(D118-D117)</f>
        <v/>
      </c>
      <c r="O118" s="9">
        <f>$O$1*LN(E118/E117)</f>
        <v/>
      </c>
      <c r="P118" s="9">
        <f>$P$1*LN(F118/F117)</f>
        <v/>
      </c>
      <c r="Q118" s="9">
        <f>$Q$1*(G118-G117)</f>
        <v/>
      </c>
      <c r="R118" s="9">
        <f>$R$1*(H118-H117)</f>
        <v/>
      </c>
      <c r="S118" s="9">
        <f>$S$1*LN(I118/I117)</f>
        <v/>
      </c>
      <c r="T118" s="9">
        <f>$T$1*LN(J118/J117)</f>
        <v/>
      </c>
      <c r="U118" s="9">
        <f>$W$12+$W$4*M118+$W$5*N118+$W$6*O118+$W$7*P118+$W$8*Q118+$W$9*R118+$W$10*S118+$W$11*T118</f>
        <v/>
      </c>
    </row>
    <row r="119">
      <c r="A119" s="7" t="n">
        <v>38436</v>
      </c>
      <c r="B119" s="8" t="n">
        <v>425.15</v>
      </c>
      <c r="C119" s="8" t="n">
        <v>2.7</v>
      </c>
      <c r="D119" s="8" t="n">
        <v>1.9</v>
      </c>
      <c r="E119" s="8" t="n">
        <v>84.129997</v>
      </c>
      <c r="F119" s="8" t="n">
        <v>49.7</v>
      </c>
      <c r="G119" s="8" t="n">
        <v>13.42</v>
      </c>
      <c r="H119" s="8" t="n">
        <v>88.370003</v>
      </c>
      <c r="I119" s="8" t="n">
        <v>1171.420044</v>
      </c>
      <c r="J119" s="8" t="n">
        <v>51.257599</v>
      </c>
      <c r="L119" s="9">
        <f>LN(B119/B118)</f>
        <v/>
      </c>
      <c r="M119" s="9">
        <f>$M$1*(C119-C118)</f>
        <v/>
      </c>
      <c r="N119" s="9">
        <f>$N$1*(D119-D118)</f>
        <v/>
      </c>
      <c r="O119" s="9">
        <f>$O$1*LN(E119/E118)</f>
        <v/>
      </c>
      <c r="P119" s="9">
        <f>$P$1*LN(F119/F118)</f>
        <v/>
      </c>
      <c r="Q119" s="9">
        <f>$Q$1*(G119-G118)</f>
        <v/>
      </c>
      <c r="R119" s="9">
        <f>$R$1*(H119-H118)</f>
        <v/>
      </c>
      <c r="S119" s="9">
        <f>$S$1*LN(I119/I118)</f>
        <v/>
      </c>
      <c r="T119" s="9">
        <f>$T$1*LN(J119/J118)</f>
        <v/>
      </c>
      <c r="U119" s="9">
        <f>$W$12+$W$4*M119+$W$5*N119+$W$6*O119+$W$7*P119+$W$8*Q119+$W$9*R119+$W$10*S119+$W$11*T119</f>
        <v/>
      </c>
    </row>
    <row r="120">
      <c r="A120" s="7" t="n">
        <v>38443</v>
      </c>
      <c r="B120" s="8" t="n">
        <v>427.15</v>
      </c>
      <c r="C120" s="8" t="n">
        <v>2.69</v>
      </c>
      <c r="D120" s="8" t="n">
        <v>1.77</v>
      </c>
      <c r="E120" s="8" t="n">
        <v>84.43000000000001</v>
      </c>
      <c r="F120" s="8" t="n">
        <v>57.26</v>
      </c>
      <c r="G120" s="8" t="n">
        <v>14.09</v>
      </c>
      <c r="H120" s="8" t="n">
        <v>75.160004</v>
      </c>
      <c r="I120" s="8" t="n">
        <v>1172.920044</v>
      </c>
      <c r="J120" s="8" t="n">
        <v>51.605816</v>
      </c>
      <c r="L120" s="9">
        <f>LN(B120/B119)</f>
        <v/>
      </c>
      <c r="M120" s="9">
        <f>$M$1*(C120-C119)</f>
        <v/>
      </c>
      <c r="N120" s="9">
        <f>$N$1*(D120-D119)</f>
        <v/>
      </c>
      <c r="O120" s="9">
        <f>$O$1*LN(E120/E119)</f>
        <v/>
      </c>
      <c r="P120" s="9">
        <f>$P$1*LN(F120/F119)</f>
        <v/>
      </c>
      <c r="Q120" s="9">
        <f>$Q$1*(G120-G119)</f>
        <v/>
      </c>
      <c r="R120" s="9">
        <f>$R$1*(H120-H119)</f>
        <v/>
      </c>
      <c r="S120" s="9">
        <f>$S$1*LN(I120/I119)</f>
        <v/>
      </c>
      <c r="T120" s="9">
        <f>$T$1*LN(J120/J119)</f>
        <v/>
      </c>
      <c r="U120" s="9">
        <f>$W$12+$W$4*M120+$W$5*N120+$W$6*O120+$W$7*P120+$W$8*Q120+$W$9*R120+$W$10*S120+$W$11*T120</f>
        <v/>
      </c>
    </row>
    <row r="121">
      <c r="A121" s="7" t="n">
        <v>38450</v>
      </c>
      <c r="B121" s="8" t="n">
        <v>425.2</v>
      </c>
      <c r="C121" s="8" t="n">
        <v>2.66</v>
      </c>
      <c r="D121" s="8" t="n">
        <v>1.84</v>
      </c>
      <c r="E121" s="8" t="n">
        <v>84.470001</v>
      </c>
      <c r="F121" s="8" t="n">
        <v>53.46</v>
      </c>
      <c r="G121" s="8" t="n">
        <v>12.62</v>
      </c>
      <c r="H121" s="8" t="n">
        <v>81.400002</v>
      </c>
      <c r="I121" s="8" t="n">
        <v>1181.199951</v>
      </c>
      <c r="J121" s="8" t="n">
        <v>51.514034</v>
      </c>
      <c r="L121" s="9">
        <f>LN(B121/B120)</f>
        <v/>
      </c>
      <c r="M121" s="9">
        <f>$M$1*(C121-C120)</f>
        <v/>
      </c>
      <c r="N121" s="9">
        <f>$N$1*(D121-D120)</f>
        <v/>
      </c>
      <c r="O121" s="9">
        <f>$O$1*LN(E121/E120)</f>
        <v/>
      </c>
      <c r="P121" s="9">
        <f>$P$1*LN(F121/F120)</f>
        <v/>
      </c>
      <c r="Q121" s="9">
        <f>$Q$1*(G121-G120)</f>
        <v/>
      </c>
      <c r="R121" s="9">
        <f>$R$1*(H121-H120)</f>
        <v/>
      </c>
      <c r="S121" s="9">
        <f>$S$1*LN(I121/I120)</f>
        <v/>
      </c>
      <c r="T121" s="9">
        <f>$T$1*LN(J121/J120)</f>
        <v/>
      </c>
      <c r="U121" s="9">
        <f>$W$12+$W$4*M121+$W$5*N121+$W$6*O121+$W$7*P121+$W$8*Q121+$W$9*R121+$W$10*S121+$W$11*T121</f>
        <v/>
      </c>
    </row>
    <row r="122">
      <c r="A122" s="7" t="n">
        <v>38457</v>
      </c>
      <c r="B122" s="8" t="n">
        <v>424.6</v>
      </c>
      <c r="C122" s="8" t="n">
        <v>2.6</v>
      </c>
      <c r="D122" s="8" t="n">
        <v>1.67</v>
      </c>
      <c r="E122" s="8" t="n">
        <v>84.55999799999999</v>
      </c>
      <c r="F122" s="8" t="n">
        <v>50.61</v>
      </c>
      <c r="G122" s="8" t="n">
        <v>17.74</v>
      </c>
      <c r="H122" s="8" t="n">
        <v>83.839996</v>
      </c>
      <c r="I122" s="8" t="n">
        <v>1142.619995</v>
      </c>
      <c r="J122" s="8" t="n">
        <v>52.054638</v>
      </c>
      <c r="L122" s="9">
        <f>LN(B122/B121)</f>
        <v/>
      </c>
      <c r="M122" s="9">
        <f>$M$1*(C122-C121)</f>
        <v/>
      </c>
      <c r="N122" s="9">
        <f>$N$1*(D122-D121)</f>
        <v/>
      </c>
      <c r="O122" s="9">
        <f>$O$1*LN(E122/E121)</f>
        <v/>
      </c>
      <c r="P122" s="9">
        <f>$P$1*LN(F122/F121)</f>
        <v/>
      </c>
      <c r="Q122" s="9">
        <f>$Q$1*(G122-G121)</f>
        <v/>
      </c>
      <c r="R122" s="9">
        <f>$R$1*(H122-H121)</f>
        <v/>
      </c>
      <c r="S122" s="9">
        <f>$S$1*LN(I122/I121)</f>
        <v/>
      </c>
      <c r="T122" s="9">
        <f>$T$1*LN(J122/J121)</f>
        <v/>
      </c>
      <c r="U122" s="9">
        <f>$W$12+$W$4*M122+$W$5*N122+$W$6*O122+$W$7*P122+$W$8*Q122+$W$9*R122+$W$10*S122+$W$11*T122</f>
        <v/>
      </c>
    </row>
    <row r="123">
      <c r="A123" s="7" t="n">
        <v>38464</v>
      </c>
      <c r="B123" s="8" t="n">
        <v>434.6</v>
      </c>
      <c r="C123" s="8" t="n">
        <v>2.65</v>
      </c>
      <c r="D123" s="8" t="n">
        <v>1.61</v>
      </c>
      <c r="E123" s="8" t="n">
        <v>83.5</v>
      </c>
      <c r="F123" s="8" t="n">
        <v>54.16</v>
      </c>
      <c r="G123" s="8" t="n">
        <v>15.38</v>
      </c>
      <c r="H123" s="8" t="n">
        <v>84.18000000000001</v>
      </c>
      <c r="I123" s="8" t="n">
        <v>1152.119995</v>
      </c>
      <c r="J123" s="8" t="n">
        <v>52.07505</v>
      </c>
      <c r="L123" s="9">
        <f>LN(B123/B122)</f>
        <v/>
      </c>
      <c r="M123" s="9">
        <f>$M$1*(C123-C122)</f>
        <v/>
      </c>
      <c r="N123" s="9">
        <f>$N$1*(D123-D122)</f>
        <v/>
      </c>
      <c r="O123" s="9">
        <f>$O$1*LN(E123/E122)</f>
        <v/>
      </c>
      <c r="P123" s="9">
        <f>$P$1*LN(F123/F122)</f>
        <v/>
      </c>
      <c r="Q123" s="9">
        <f>$Q$1*(G123-G122)</f>
        <v/>
      </c>
      <c r="R123" s="9">
        <f>$R$1*(H123-H122)</f>
        <v/>
      </c>
      <c r="S123" s="9">
        <f>$S$1*LN(I123/I122)</f>
        <v/>
      </c>
      <c r="T123" s="9">
        <f>$T$1*LN(J123/J122)</f>
        <v/>
      </c>
      <c r="U123" s="9">
        <f>$W$12+$W$4*M123+$W$5*N123+$W$6*O123+$W$7*P123+$W$8*Q123+$W$9*R123+$W$10*S123+$W$11*T123</f>
        <v/>
      </c>
    </row>
    <row r="124">
      <c r="A124" s="7" t="n">
        <v>38471</v>
      </c>
      <c r="B124" s="8" t="n">
        <v>435.7</v>
      </c>
      <c r="C124" s="8" t="n">
        <v>2.6</v>
      </c>
      <c r="D124" s="8" t="n">
        <v>1.61</v>
      </c>
      <c r="E124" s="8" t="n">
        <v>84.43000000000001</v>
      </c>
      <c r="F124" s="8" t="n">
        <v>49.2</v>
      </c>
      <c r="G124" s="8" t="n">
        <v>15.31</v>
      </c>
      <c r="H124" s="8" t="n">
        <v>82.529999</v>
      </c>
      <c r="I124" s="8" t="n">
        <v>1156.849976</v>
      </c>
      <c r="J124" s="8" t="n">
        <v>52.187256</v>
      </c>
      <c r="L124" s="9">
        <f>LN(B124/B123)</f>
        <v/>
      </c>
      <c r="M124" s="9">
        <f>$M$1*(C124-C123)</f>
        <v/>
      </c>
      <c r="N124" s="9">
        <f>$N$1*(D124-D123)</f>
        <v/>
      </c>
      <c r="O124" s="9">
        <f>$O$1*LN(E124/E123)</f>
        <v/>
      </c>
      <c r="P124" s="9">
        <f>$P$1*LN(F124/F123)</f>
        <v/>
      </c>
      <c r="Q124" s="9">
        <f>$Q$1*(G124-G123)</f>
        <v/>
      </c>
      <c r="R124" s="9">
        <f>$R$1*(H124-H123)</f>
        <v/>
      </c>
      <c r="S124" s="9">
        <f>$S$1*LN(I124/I123)</f>
        <v/>
      </c>
      <c r="T124" s="9">
        <f>$T$1*LN(J124/J123)</f>
        <v/>
      </c>
      <c r="U124" s="9">
        <f>$W$12+$W$4*M124+$W$5*N124+$W$6*O124+$W$7*P124+$W$8*Q124+$W$9*R124+$W$10*S124+$W$11*T124</f>
        <v/>
      </c>
    </row>
    <row r="125">
      <c r="A125" s="7" t="n">
        <v>38478</v>
      </c>
      <c r="B125" s="8" t="n">
        <v>425.15</v>
      </c>
      <c r="C125" s="8" t="n">
        <v>2.59</v>
      </c>
      <c r="D125" s="8" t="n">
        <v>1.69</v>
      </c>
      <c r="E125" s="8" t="n">
        <v>84.610001</v>
      </c>
      <c r="F125" s="8" t="n">
        <v>51.3</v>
      </c>
      <c r="G125" s="8" t="n">
        <v>14.05</v>
      </c>
      <c r="H125" s="8" t="n">
        <v>78.400002</v>
      </c>
      <c r="I125" s="8" t="n">
        <v>1171.349976</v>
      </c>
      <c r="J125" s="8" t="n">
        <v>52.05114</v>
      </c>
      <c r="L125" s="9">
        <f>LN(B125/B124)</f>
        <v/>
      </c>
      <c r="M125" s="9">
        <f>$M$1*(C125-C124)</f>
        <v/>
      </c>
      <c r="N125" s="9">
        <f>$N$1*(D125-D124)</f>
        <v/>
      </c>
      <c r="O125" s="9">
        <f>$O$1*LN(E125/E124)</f>
        <v/>
      </c>
      <c r="P125" s="9">
        <f>$P$1*LN(F125/F124)</f>
        <v/>
      </c>
      <c r="Q125" s="9">
        <f>$Q$1*(G125-G124)</f>
        <v/>
      </c>
      <c r="R125" s="9">
        <f>$R$1*(H125-H124)</f>
        <v/>
      </c>
      <c r="S125" s="9">
        <f>$S$1*LN(I125/I124)</f>
        <v/>
      </c>
      <c r="T125" s="9">
        <f>$T$1*LN(J125/J124)</f>
        <v/>
      </c>
      <c r="U125" s="9">
        <f>$W$12+$W$4*M125+$W$5*N125+$W$6*O125+$W$7*P125+$W$8*Q125+$W$9*R125+$W$10*S125+$W$11*T125</f>
        <v/>
      </c>
    </row>
    <row r="126">
      <c r="A126" s="7" t="n">
        <v>38485</v>
      </c>
      <c r="B126" s="8" t="n">
        <v>420</v>
      </c>
      <c r="C126" s="8" t="n">
        <v>2.46</v>
      </c>
      <c r="D126" s="8" t="n">
        <v>1.66</v>
      </c>
      <c r="E126" s="8" t="n">
        <v>86.099998</v>
      </c>
      <c r="F126" s="8" t="n">
        <v>48.65</v>
      </c>
      <c r="G126" s="8" t="n">
        <v>16.32</v>
      </c>
      <c r="H126" s="8" t="n">
        <v>87.099998</v>
      </c>
      <c r="I126" s="8" t="n">
        <v>1154.050049</v>
      </c>
      <c r="J126" s="8" t="n">
        <v>52.327477</v>
      </c>
      <c r="L126" s="9">
        <f>LN(B126/B125)</f>
        <v/>
      </c>
      <c r="M126" s="9">
        <f>$M$1*(C126-C125)</f>
        <v/>
      </c>
      <c r="N126" s="9">
        <f>$N$1*(D126-D125)</f>
        <v/>
      </c>
      <c r="O126" s="9">
        <f>$O$1*LN(E126/E125)</f>
        <v/>
      </c>
      <c r="P126" s="9">
        <f>$P$1*LN(F126/F125)</f>
        <v/>
      </c>
      <c r="Q126" s="9">
        <f>$Q$1*(G126-G125)</f>
        <v/>
      </c>
      <c r="R126" s="9">
        <f>$R$1*(H126-H125)</f>
        <v/>
      </c>
      <c r="S126" s="9">
        <f>$S$1*LN(I126/I125)</f>
        <v/>
      </c>
      <c r="T126" s="9">
        <f>$T$1*LN(J126/J125)</f>
        <v/>
      </c>
      <c r="U126" s="9">
        <f>$W$12+$W$4*M126+$W$5*N126+$W$6*O126+$W$7*P126+$W$8*Q126+$W$9*R126+$W$10*S126+$W$11*T126</f>
        <v/>
      </c>
    </row>
    <row r="127">
      <c r="A127" s="7" t="n">
        <v>38492</v>
      </c>
      <c r="B127" s="8" t="n">
        <v>418</v>
      </c>
      <c r="C127" s="8" t="n">
        <v>2.46</v>
      </c>
      <c r="D127" s="8" t="n">
        <v>1.67</v>
      </c>
      <c r="E127" s="8" t="n">
        <v>86.629997</v>
      </c>
      <c r="F127" s="8" t="n">
        <v>47.25</v>
      </c>
      <c r="G127" s="8" t="n">
        <v>13.14</v>
      </c>
      <c r="H127" s="8" t="n">
        <v>76.599998</v>
      </c>
      <c r="I127" s="8" t="n">
        <v>1189.280029</v>
      </c>
      <c r="J127" s="8" t="n">
        <v>52.260956</v>
      </c>
      <c r="L127" s="9">
        <f>LN(B127/B126)</f>
        <v/>
      </c>
      <c r="M127" s="9">
        <f>$M$1*(C127-C126)</f>
        <v/>
      </c>
      <c r="N127" s="9">
        <f>$N$1*(D127-D126)</f>
        <v/>
      </c>
      <c r="O127" s="9">
        <f>$O$1*LN(E127/E126)</f>
        <v/>
      </c>
      <c r="P127" s="9">
        <f>$P$1*LN(F127/F126)</f>
        <v/>
      </c>
      <c r="Q127" s="9">
        <f>$Q$1*(G127-G126)</f>
        <v/>
      </c>
      <c r="R127" s="9">
        <f>$R$1*(H127-H126)</f>
        <v/>
      </c>
      <c r="S127" s="9">
        <f>$S$1*LN(I127/I126)</f>
        <v/>
      </c>
      <c r="T127" s="9">
        <f>$T$1*LN(J127/J126)</f>
        <v/>
      </c>
      <c r="U127" s="9">
        <f>$W$12+$W$4*M127+$W$5*N127+$W$6*O127+$W$7*P127+$W$8*Q127+$W$9*R127+$W$10*S127+$W$11*T127</f>
        <v/>
      </c>
    </row>
    <row r="128">
      <c r="A128" s="7" t="n">
        <v>38499</v>
      </c>
      <c r="B128" s="8" t="n">
        <v>418.25</v>
      </c>
      <c r="C128" s="8" t="n">
        <v>2.41</v>
      </c>
      <c r="D128" s="8" t="n">
        <v>1.67</v>
      </c>
      <c r="E128" s="8" t="n">
        <v>86.41999800000001</v>
      </c>
      <c r="F128" s="8" t="n">
        <v>51.65</v>
      </c>
      <c r="G128" s="8" t="n">
        <v>12.15</v>
      </c>
      <c r="H128" s="8" t="n">
        <v>73.75</v>
      </c>
      <c r="I128" s="8" t="n">
        <v>1198.780029</v>
      </c>
      <c r="J128" s="8" t="n">
        <v>52.475899</v>
      </c>
      <c r="L128" s="9">
        <f>LN(B128/B127)</f>
        <v/>
      </c>
      <c r="M128" s="9">
        <f>$M$1*(C128-C127)</f>
        <v/>
      </c>
      <c r="N128" s="9">
        <f>$N$1*(D128-D127)</f>
        <v/>
      </c>
      <c r="O128" s="9">
        <f>$O$1*LN(E128/E127)</f>
        <v/>
      </c>
      <c r="P128" s="9">
        <f>$P$1*LN(F128/F127)</f>
        <v/>
      </c>
      <c r="Q128" s="9">
        <f>$Q$1*(G128-G127)</f>
        <v/>
      </c>
      <c r="R128" s="9">
        <f>$R$1*(H128-H127)</f>
        <v/>
      </c>
      <c r="S128" s="9">
        <f>$S$1*LN(I128/I127)</f>
        <v/>
      </c>
      <c r="T128" s="9">
        <f>$T$1*LN(J128/J127)</f>
        <v/>
      </c>
      <c r="U128" s="9">
        <f>$W$12+$W$4*M128+$W$5*N128+$W$6*O128+$W$7*P128+$W$8*Q128+$W$9*R128+$W$10*S128+$W$11*T128</f>
        <v/>
      </c>
    </row>
    <row r="129">
      <c r="A129" s="7" t="n">
        <v>38506</v>
      </c>
      <c r="B129" s="8" t="n">
        <v>423.55</v>
      </c>
      <c r="C129" s="8" t="n">
        <v>2.37</v>
      </c>
      <c r="D129" s="8" t="n">
        <v>1.61</v>
      </c>
      <c r="E129" s="8" t="n">
        <v>88.040001</v>
      </c>
      <c r="F129" s="8" t="n">
        <v>55.08</v>
      </c>
      <c r="G129" s="8" t="n">
        <v>12.15</v>
      </c>
      <c r="H129" s="8" t="n">
        <v>78.900002</v>
      </c>
      <c r="I129" s="8" t="n">
        <v>1196.02002</v>
      </c>
      <c r="J129" s="8" t="n">
        <v>52.838924</v>
      </c>
      <c r="L129" s="9">
        <f>LN(B129/B128)</f>
        <v/>
      </c>
      <c r="M129" s="9">
        <f>$M$1*(C129-C128)</f>
        <v/>
      </c>
      <c r="N129" s="9">
        <f>$N$1*(D129-D128)</f>
        <v/>
      </c>
      <c r="O129" s="9">
        <f>$O$1*LN(E129/E128)</f>
        <v/>
      </c>
      <c r="P129" s="9">
        <f>$P$1*LN(F129/F128)</f>
        <v/>
      </c>
      <c r="Q129" s="9">
        <f>$Q$1*(G129-G128)</f>
        <v/>
      </c>
      <c r="R129" s="9">
        <f>$R$1*(H129-H128)</f>
        <v/>
      </c>
      <c r="S129" s="9">
        <f>$S$1*LN(I129/I128)</f>
        <v/>
      </c>
      <c r="T129" s="9">
        <f>$T$1*LN(J129/J128)</f>
        <v/>
      </c>
      <c r="U129" s="9">
        <f>$W$12+$W$4*M129+$W$5*N129+$W$6*O129+$W$7*P129+$W$8*Q129+$W$9*R129+$W$10*S129+$W$11*T129</f>
        <v/>
      </c>
    </row>
    <row r="130">
      <c r="A130" s="7" t="n">
        <v>38513</v>
      </c>
      <c r="B130" s="8" t="n">
        <v>422.55</v>
      </c>
      <c r="C130" s="8" t="n">
        <v>2.31</v>
      </c>
      <c r="D130" s="8" t="n">
        <v>1.74</v>
      </c>
      <c r="E130" s="8" t="n">
        <v>88.69000200000001</v>
      </c>
      <c r="F130" s="8" t="n">
        <v>53.55</v>
      </c>
      <c r="G130" s="8" t="n">
        <v>11.96</v>
      </c>
      <c r="H130" s="8" t="n">
        <v>82.529999</v>
      </c>
      <c r="I130" s="8" t="n">
        <v>1198.109985</v>
      </c>
      <c r="J130" s="8" t="n">
        <v>52.679764</v>
      </c>
      <c r="L130" s="9">
        <f>LN(B130/B129)</f>
        <v/>
      </c>
      <c r="M130" s="9">
        <f>$M$1*(C130-C129)</f>
        <v/>
      </c>
      <c r="N130" s="9">
        <f>$N$1*(D130-D129)</f>
        <v/>
      </c>
      <c r="O130" s="9">
        <f>$O$1*LN(E130/E129)</f>
        <v/>
      </c>
      <c r="P130" s="9">
        <f>$P$1*LN(F130/F129)</f>
        <v/>
      </c>
      <c r="Q130" s="9">
        <f>$Q$1*(G130-G129)</f>
        <v/>
      </c>
      <c r="R130" s="9">
        <f>$R$1*(H130-H129)</f>
        <v/>
      </c>
      <c r="S130" s="9">
        <f>$S$1*LN(I130/I129)</f>
        <v/>
      </c>
      <c r="T130" s="9">
        <f>$T$1*LN(J130/J129)</f>
        <v/>
      </c>
      <c r="U130" s="9">
        <f>$W$12+$W$4*M130+$W$5*N130+$W$6*O130+$W$7*P130+$W$8*Q130+$W$9*R130+$W$10*S130+$W$11*T130</f>
        <v/>
      </c>
    </row>
    <row r="131">
      <c r="A131" s="7" t="n">
        <v>38520</v>
      </c>
      <c r="B131" s="8" t="n">
        <v>437.5</v>
      </c>
      <c r="C131" s="8" t="n">
        <v>2.37</v>
      </c>
      <c r="D131" s="8" t="n">
        <v>1.72</v>
      </c>
      <c r="E131" s="8" t="n">
        <v>87.730003</v>
      </c>
      <c r="F131" s="8" t="n">
        <v>58.4</v>
      </c>
      <c r="G131" s="8" t="n">
        <v>11.48</v>
      </c>
      <c r="H131" s="8" t="n">
        <v>72.400002</v>
      </c>
      <c r="I131" s="8" t="n">
        <v>1216.959961</v>
      </c>
      <c r="J131" s="8" t="n">
        <v>52.695152</v>
      </c>
      <c r="L131" s="9">
        <f>LN(B131/B130)</f>
        <v/>
      </c>
      <c r="M131" s="9">
        <f>$M$1*(C131-C130)</f>
        <v/>
      </c>
      <c r="N131" s="9">
        <f>$N$1*(D131-D130)</f>
        <v/>
      </c>
      <c r="O131" s="9">
        <f>$O$1*LN(E131/E130)</f>
        <v/>
      </c>
      <c r="P131" s="9">
        <f>$P$1*LN(F131/F130)</f>
        <v/>
      </c>
      <c r="Q131" s="9">
        <f>$Q$1*(G131-G130)</f>
        <v/>
      </c>
      <c r="R131" s="9">
        <f>$R$1*(H131-H130)</f>
        <v/>
      </c>
      <c r="S131" s="9">
        <f>$S$1*LN(I131/I130)</f>
        <v/>
      </c>
      <c r="T131" s="9">
        <f>$T$1*LN(J131/J130)</f>
        <v/>
      </c>
      <c r="U131" s="9">
        <f>$W$12+$W$4*M131+$W$5*N131+$W$6*O131+$W$7*P131+$W$8*Q131+$W$9*R131+$W$10*S131+$W$11*T131</f>
        <v/>
      </c>
    </row>
    <row r="132">
      <c r="A132" s="7" t="n">
        <v>38527</v>
      </c>
      <c r="B132" s="8" t="n">
        <v>440.55</v>
      </c>
      <c r="C132" s="8" t="n">
        <v>2.27</v>
      </c>
      <c r="D132" s="8" t="n">
        <v>1.65</v>
      </c>
      <c r="E132" s="8" t="n">
        <v>88.779999</v>
      </c>
      <c r="F132" s="8" t="n">
        <v>59.63</v>
      </c>
      <c r="G132" s="8" t="n">
        <v>12.18</v>
      </c>
      <c r="H132" s="8" t="n">
        <v>76</v>
      </c>
      <c r="I132" s="8" t="n">
        <v>1191.569946</v>
      </c>
      <c r="J132" s="8" t="n">
        <v>53.049393</v>
      </c>
      <c r="L132" s="9">
        <f>LN(B132/B131)</f>
        <v/>
      </c>
      <c r="M132" s="9">
        <f>$M$1*(C132-C131)</f>
        <v/>
      </c>
      <c r="N132" s="9">
        <f>$N$1*(D132-D131)</f>
        <v/>
      </c>
      <c r="O132" s="9">
        <f>$O$1*LN(E132/E131)</f>
        <v/>
      </c>
      <c r="P132" s="9">
        <f>$P$1*LN(F132/F131)</f>
        <v/>
      </c>
      <c r="Q132" s="9">
        <f>$Q$1*(G132-G131)</f>
        <v/>
      </c>
      <c r="R132" s="9">
        <f>$R$1*(H132-H131)</f>
        <v/>
      </c>
      <c r="S132" s="9">
        <f>$S$1*LN(I132/I131)</f>
        <v/>
      </c>
      <c r="T132" s="9">
        <f>$T$1*LN(J132/J131)</f>
        <v/>
      </c>
      <c r="U132" s="9">
        <f>$W$12+$W$4*M132+$W$5*N132+$W$6*O132+$W$7*P132+$W$8*Q132+$W$9*R132+$W$10*S132+$W$11*T132</f>
        <v/>
      </c>
    </row>
    <row r="133">
      <c r="A133" s="7" t="n">
        <v>38534</v>
      </c>
      <c r="B133" s="8" t="n">
        <v>432.6</v>
      </c>
      <c r="C133" s="8" t="n">
        <v>2.31</v>
      </c>
      <c r="D133" s="8" t="n">
        <v>1.75</v>
      </c>
      <c r="E133" s="8" t="n">
        <v>90.129997</v>
      </c>
      <c r="F133" s="8" t="n">
        <v>59.11</v>
      </c>
      <c r="G133" s="8" t="n">
        <v>11.4</v>
      </c>
      <c r="H133" s="8" t="n">
        <v>78.849998</v>
      </c>
      <c r="I133" s="8" t="n">
        <v>1194.439941</v>
      </c>
      <c r="J133" s="8" t="n">
        <v>52.891193</v>
      </c>
      <c r="L133" s="9">
        <f>LN(B133/B132)</f>
        <v/>
      </c>
      <c r="M133" s="9">
        <f>$M$1*(C133-C132)</f>
        <v/>
      </c>
      <c r="N133" s="9">
        <f>$N$1*(D133-D132)</f>
        <v/>
      </c>
      <c r="O133" s="9">
        <f>$O$1*LN(E133/E132)</f>
        <v/>
      </c>
      <c r="P133" s="9">
        <f>$P$1*LN(F133/F132)</f>
        <v/>
      </c>
      <c r="Q133" s="9">
        <f>$Q$1*(G133-G132)</f>
        <v/>
      </c>
      <c r="R133" s="9">
        <f>$R$1*(H133-H132)</f>
        <v/>
      </c>
      <c r="S133" s="9">
        <f>$S$1*LN(I133/I132)</f>
        <v/>
      </c>
      <c r="T133" s="9">
        <f>$T$1*LN(J133/J132)</f>
        <v/>
      </c>
      <c r="U133" s="9">
        <f>$W$12+$W$4*M133+$W$5*N133+$W$6*O133+$W$7*P133+$W$8*Q133+$W$9*R133+$W$10*S133+$W$11*T133</f>
        <v/>
      </c>
    </row>
    <row r="134">
      <c r="A134" s="7" t="n">
        <v>38541</v>
      </c>
      <c r="B134" s="8" t="n">
        <v>424.4</v>
      </c>
      <c r="C134" s="8" t="n">
        <v>2.28</v>
      </c>
      <c r="D134" s="8" t="n">
        <v>1.83</v>
      </c>
      <c r="E134" s="8" t="n">
        <v>90.25</v>
      </c>
      <c r="F134" s="8" t="n">
        <v>59.71</v>
      </c>
      <c r="G134" s="8" t="n">
        <v>11.45</v>
      </c>
      <c r="H134" s="8" t="n">
        <v>80.120003</v>
      </c>
      <c r="I134" s="8" t="n">
        <v>1211.859985</v>
      </c>
      <c r="J134" s="8" t="n">
        <v>52.757252</v>
      </c>
      <c r="L134" s="9">
        <f>LN(B134/B133)</f>
        <v/>
      </c>
      <c r="M134" s="9">
        <f>$M$1*(C134-C133)</f>
        <v/>
      </c>
      <c r="N134" s="9">
        <f>$N$1*(D134-D133)</f>
        <v/>
      </c>
      <c r="O134" s="9">
        <f>$O$1*LN(E134/E133)</f>
        <v/>
      </c>
      <c r="P134" s="9">
        <f>$P$1*LN(F134/F133)</f>
        <v/>
      </c>
      <c r="Q134" s="9">
        <f>$Q$1*(G134-G133)</f>
        <v/>
      </c>
      <c r="R134" s="9">
        <f>$R$1*(H134-H133)</f>
        <v/>
      </c>
      <c r="S134" s="9">
        <f>$S$1*LN(I134/I133)</f>
        <v/>
      </c>
      <c r="T134" s="9">
        <f>$T$1*LN(J134/J133)</f>
        <v/>
      </c>
      <c r="U134" s="9">
        <f>$W$12+$W$4*M134+$W$5*N134+$W$6*O134+$W$7*P134+$W$8*Q134+$W$9*R134+$W$10*S134+$W$11*T134</f>
        <v/>
      </c>
    </row>
    <row r="135">
      <c r="A135" s="7" t="n">
        <v>38548</v>
      </c>
      <c r="B135" s="8" t="n">
        <v>418.35</v>
      </c>
      <c r="C135" s="8" t="n">
        <v>2.23</v>
      </c>
      <c r="D135" s="8" t="n">
        <v>1.95</v>
      </c>
      <c r="E135" s="8" t="n">
        <v>89.720001</v>
      </c>
      <c r="F135" s="8" t="n">
        <v>58.36</v>
      </c>
      <c r="G135" s="8" t="n">
        <v>10.33</v>
      </c>
      <c r="H135" s="8" t="n">
        <v>77.5</v>
      </c>
      <c r="I135" s="8" t="n">
        <v>1227.920044</v>
      </c>
      <c r="J135" s="8" t="n">
        <v>52.690281</v>
      </c>
      <c r="L135" s="9">
        <f>LN(B135/B134)</f>
        <v/>
      </c>
      <c r="M135" s="9">
        <f>$M$1*(C135-C134)</f>
        <v/>
      </c>
      <c r="N135" s="9">
        <f>$N$1*(D135-D134)</f>
        <v/>
      </c>
      <c r="O135" s="9">
        <f>$O$1*LN(E135/E134)</f>
        <v/>
      </c>
      <c r="P135" s="9">
        <f>$P$1*LN(F135/F134)</f>
        <v/>
      </c>
      <c r="Q135" s="9">
        <f>$Q$1*(G135-G134)</f>
        <v/>
      </c>
      <c r="R135" s="9">
        <f>$R$1*(H135-H134)</f>
        <v/>
      </c>
      <c r="S135" s="9">
        <f>$S$1*LN(I135/I134)</f>
        <v/>
      </c>
      <c r="T135" s="9">
        <f>$T$1*LN(J135/J134)</f>
        <v/>
      </c>
      <c r="U135" s="9">
        <f>$W$12+$W$4*M135+$W$5*N135+$W$6*O135+$W$7*P135+$W$8*Q135+$W$9*R135+$W$10*S135+$W$11*T135</f>
        <v/>
      </c>
    </row>
    <row r="136">
      <c r="A136" s="7" t="n">
        <v>38555</v>
      </c>
      <c r="B136" s="8" t="n">
        <v>425</v>
      </c>
      <c r="C136" s="8" t="n">
        <v>2.34</v>
      </c>
      <c r="D136" s="8" t="n">
        <v>1.89</v>
      </c>
      <c r="E136" s="8" t="n">
        <v>89.639999</v>
      </c>
      <c r="F136" s="8" t="n">
        <v>57.75</v>
      </c>
      <c r="G136" s="8" t="n">
        <v>10.52</v>
      </c>
      <c r="H136" s="8" t="n">
        <v>75.540001</v>
      </c>
      <c r="I136" s="8" t="n">
        <v>1233.680054</v>
      </c>
      <c r="J136" s="8" t="n">
        <v>52.515148</v>
      </c>
      <c r="L136" s="9">
        <f>LN(B136/B135)</f>
        <v/>
      </c>
      <c r="M136" s="9">
        <f>$M$1*(C136-C135)</f>
        <v/>
      </c>
      <c r="N136" s="9">
        <f>$N$1*(D136-D135)</f>
        <v/>
      </c>
      <c r="O136" s="9">
        <f>$O$1*LN(E136/E135)</f>
        <v/>
      </c>
      <c r="P136" s="9">
        <f>$P$1*LN(F136/F135)</f>
        <v/>
      </c>
      <c r="Q136" s="9">
        <f>$Q$1*(G136-G135)</f>
        <v/>
      </c>
      <c r="R136" s="9">
        <f>$R$1*(H136-H135)</f>
        <v/>
      </c>
      <c r="S136" s="9">
        <f>$S$1*LN(I136/I135)</f>
        <v/>
      </c>
      <c r="T136" s="9">
        <f>$T$1*LN(J136/J135)</f>
        <v/>
      </c>
      <c r="U136" s="9">
        <f>$W$12+$W$4*M136+$W$5*N136+$W$6*O136+$W$7*P136+$W$8*Q136+$W$9*R136+$W$10*S136+$W$11*T136</f>
        <v/>
      </c>
    </row>
    <row r="137">
      <c r="A137" s="7" t="n">
        <v>38562</v>
      </c>
      <c r="B137" s="8" t="n">
        <v>429</v>
      </c>
      <c r="C137" s="8" t="n">
        <v>2.36</v>
      </c>
      <c r="D137" s="8" t="n">
        <v>1.92</v>
      </c>
      <c r="E137" s="8" t="n">
        <v>89.349998</v>
      </c>
      <c r="F137" s="8" t="n">
        <v>60.71</v>
      </c>
      <c r="G137" s="8" t="n">
        <v>11.57</v>
      </c>
      <c r="H137" s="8" t="n">
        <v>74.800003</v>
      </c>
      <c r="I137" s="8" t="n">
        <v>1234.180054</v>
      </c>
      <c r="J137" s="8" t="n">
        <v>52.530582</v>
      </c>
      <c r="L137" s="9">
        <f>LN(B137/B136)</f>
        <v/>
      </c>
      <c r="M137" s="9">
        <f>$M$1*(C137-C136)</f>
        <v/>
      </c>
      <c r="N137" s="9">
        <f>$N$1*(D137-D136)</f>
        <v/>
      </c>
      <c r="O137" s="9">
        <f>$O$1*LN(E137/E136)</f>
        <v/>
      </c>
      <c r="P137" s="9">
        <f>$P$1*LN(F137/F136)</f>
        <v/>
      </c>
      <c r="Q137" s="9">
        <f>$Q$1*(G137-G136)</f>
        <v/>
      </c>
      <c r="R137" s="9">
        <f>$R$1*(H137-H136)</f>
        <v/>
      </c>
      <c r="S137" s="9">
        <f>$S$1*LN(I137/I136)</f>
        <v/>
      </c>
      <c r="T137" s="9">
        <f>$T$1*LN(J137/J136)</f>
        <v/>
      </c>
      <c r="U137" s="9">
        <f>$W$12+$W$4*M137+$W$5*N137+$W$6*O137+$W$7*P137+$W$8*Q137+$W$9*R137+$W$10*S137+$W$11*T137</f>
        <v/>
      </c>
    </row>
    <row r="138">
      <c r="A138" s="7" t="n">
        <v>38569</v>
      </c>
      <c r="B138" s="8" t="n">
        <v>438.25</v>
      </c>
      <c r="C138" s="8" t="n">
        <v>2.4</v>
      </c>
      <c r="D138" s="8" t="n">
        <v>2</v>
      </c>
      <c r="E138" s="8" t="n">
        <v>88.05999799999999</v>
      </c>
      <c r="F138" s="8" t="n">
        <v>62.44</v>
      </c>
      <c r="G138" s="8" t="n">
        <v>12.48</v>
      </c>
      <c r="H138" s="8" t="n">
        <v>75.970001</v>
      </c>
      <c r="I138" s="8" t="n">
        <v>1226.420044</v>
      </c>
      <c r="J138" s="8" t="n">
        <v>52.246895</v>
      </c>
      <c r="L138" s="9">
        <f>LN(B138/B137)</f>
        <v/>
      </c>
      <c r="M138" s="9">
        <f>$M$1*(C138-C137)</f>
        <v/>
      </c>
      <c r="N138" s="9">
        <f>$N$1*(D138-D137)</f>
        <v/>
      </c>
      <c r="O138" s="9">
        <f>$O$1*LN(E138/E137)</f>
        <v/>
      </c>
      <c r="P138" s="9">
        <f>$P$1*LN(F138/F137)</f>
        <v/>
      </c>
      <c r="Q138" s="9">
        <f>$Q$1*(G138-G137)</f>
        <v/>
      </c>
      <c r="R138" s="9">
        <f>$R$1*(H138-H137)</f>
        <v/>
      </c>
      <c r="S138" s="9">
        <f>$S$1*LN(I138/I137)</f>
        <v/>
      </c>
      <c r="T138" s="9">
        <f>$T$1*LN(J138/J137)</f>
        <v/>
      </c>
      <c r="U138" s="9">
        <f>$W$12+$W$4*M138+$W$5*N138+$W$6*O138+$W$7*P138+$W$8*Q138+$W$9*R138+$W$10*S138+$W$11*T138</f>
        <v/>
      </c>
    </row>
    <row r="139">
      <c r="A139" s="7" t="n">
        <v>38576</v>
      </c>
      <c r="B139" s="8" t="n">
        <v>447.25</v>
      </c>
      <c r="C139" s="8" t="n">
        <v>2.33</v>
      </c>
      <c r="D139" s="8" t="n">
        <v>1.91</v>
      </c>
      <c r="E139" s="8" t="n">
        <v>86.980003</v>
      </c>
      <c r="F139" s="8" t="n">
        <v>66.70999999999999</v>
      </c>
      <c r="G139" s="8" t="n">
        <v>12.74</v>
      </c>
      <c r="H139" s="8" t="n">
        <v>74.010002</v>
      </c>
      <c r="I139" s="8" t="n">
        <v>1230.390015</v>
      </c>
      <c r="J139" s="8" t="n">
        <v>52.624168</v>
      </c>
      <c r="L139" s="9">
        <f>LN(B139/B138)</f>
        <v/>
      </c>
      <c r="M139" s="9">
        <f>$M$1*(C139-C138)</f>
        <v/>
      </c>
      <c r="N139" s="9">
        <f>$N$1*(D139-D138)</f>
        <v/>
      </c>
      <c r="O139" s="9">
        <f>$O$1*LN(E139/E138)</f>
        <v/>
      </c>
      <c r="P139" s="9">
        <f>$P$1*LN(F139/F138)</f>
        <v/>
      </c>
      <c r="Q139" s="9">
        <f>$Q$1*(G139-G138)</f>
        <v/>
      </c>
      <c r="R139" s="9">
        <f>$R$1*(H139-H138)</f>
        <v/>
      </c>
      <c r="S139" s="9">
        <f>$S$1*LN(I139/I138)</f>
        <v/>
      </c>
      <c r="T139" s="9">
        <f>$T$1*LN(J139/J138)</f>
        <v/>
      </c>
      <c r="U139" s="9">
        <f>$W$12+$W$4*M139+$W$5*N139+$W$6*O139+$W$7*P139+$W$8*Q139+$W$9*R139+$W$10*S139+$W$11*T139</f>
        <v/>
      </c>
    </row>
    <row r="140">
      <c r="A140" s="7" t="n">
        <v>38583</v>
      </c>
      <c r="B140" s="8" t="n">
        <v>439.65</v>
      </c>
      <c r="C140" s="8" t="n">
        <v>2.36</v>
      </c>
      <c r="D140" s="8" t="n">
        <v>1.85</v>
      </c>
      <c r="E140" s="8" t="n">
        <v>88.58000199999999</v>
      </c>
      <c r="F140" s="8" t="n">
        <v>65.51000000000001</v>
      </c>
      <c r="G140" s="8" t="n">
        <v>13.42</v>
      </c>
      <c r="H140" s="8" t="n">
        <v>73.300003</v>
      </c>
      <c r="I140" s="8" t="n">
        <v>1219.709961</v>
      </c>
      <c r="J140" s="8" t="n">
        <v>52.686153</v>
      </c>
      <c r="L140" s="9">
        <f>LN(B140/B139)</f>
        <v/>
      </c>
      <c r="M140" s="9">
        <f>$M$1*(C140-C139)</f>
        <v/>
      </c>
      <c r="N140" s="9">
        <f>$N$1*(D140-D139)</f>
        <v/>
      </c>
      <c r="O140" s="9">
        <f>$O$1*LN(E140/E139)</f>
        <v/>
      </c>
      <c r="P140" s="9">
        <f>$P$1*LN(F140/F139)</f>
        <v/>
      </c>
      <c r="Q140" s="9">
        <f>$Q$1*(G140-G139)</f>
        <v/>
      </c>
      <c r="R140" s="9">
        <f>$R$1*(H140-H139)</f>
        <v/>
      </c>
      <c r="S140" s="9">
        <f>$S$1*LN(I140/I139)</f>
        <v/>
      </c>
      <c r="T140" s="9">
        <f>$T$1*LN(J140/J139)</f>
        <v/>
      </c>
      <c r="U140" s="9">
        <f>$W$12+$W$4*M140+$W$5*N140+$W$6*O140+$W$7*P140+$W$8*Q140+$W$9*R140+$W$10*S140+$W$11*T140</f>
        <v/>
      </c>
    </row>
    <row r="141">
      <c r="A141" s="7" t="n">
        <v>38590</v>
      </c>
      <c r="B141" s="8" t="n">
        <v>436.75</v>
      </c>
      <c r="C141" s="8" t="n">
        <v>2.39</v>
      </c>
      <c r="D141" s="8" t="n">
        <v>1.81</v>
      </c>
      <c r="E141" s="8" t="n">
        <v>87.860001</v>
      </c>
      <c r="F141" s="8" t="n">
        <v>66.05</v>
      </c>
      <c r="G141" s="8" t="n">
        <v>13.72</v>
      </c>
      <c r="H141" s="8" t="n">
        <v>73.629997</v>
      </c>
      <c r="I141" s="8" t="n">
        <v>1205.099976</v>
      </c>
      <c r="J141" s="8" t="n">
        <v>52.794685</v>
      </c>
      <c r="L141" s="9">
        <f>LN(B141/B140)</f>
        <v/>
      </c>
      <c r="M141" s="9">
        <f>$M$1*(C141-C140)</f>
        <v/>
      </c>
      <c r="N141" s="9">
        <f>$N$1*(D141-D140)</f>
        <v/>
      </c>
      <c r="O141" s="9">
        <f>$O$1*LN(E141/E140)</f>
        <v/>
      </c>
      <c r="P141" s="9">
        <f>$P$1*LN(F141/F140)</f>
        <v/>
      </c>
      <c r="Q141" s="9">
        <f>$Q$1*(G141-G140)</f>
        <v/>
      </c>
      <c r="R141" s="9">
        <f>$R$1*(H141-H140)</f>
        <v/>
      </c>
      <c r="S141" s="9">
        <f>$S$1*LN(I141/I140)</f>
        <v/>
      </c>
      <c r="T141" s="9">
        <f>$T$1*LN(J141/J140)</f>
        <v/>
      </c>
      <c r="U141" s="9">
        <f>$W$12+$W$4*M141+$W$5*N141+$W$6*O141+$W$7*P141+$W$8*Q141+$W$9*R141+$W$10*S141+$W$11*T141</f>
        <v/>
      </c>
    </row>
    <row r="142">
      <c r="A142" s="7" t="n">
        <v>38597</v>
      </c>
      <c r="B142" s="8" t="n">
        <v>443.6</v>
      </c>
      <c r="C142" s="8" t="n">
        <v>2.44</v>
      </c>
      <c r="D142" s="8" t="n">
        <v>1.59</v>
      </c>
      <c r="E142" s="8" t="n">
        <v>86.300003</v>
      </c>
      <c r="F142" s="8" t="n">
        <v>66.91</v>
      </c>
      <c r="G142" s="8" t="n">
        <v>13.57</v>
      </c>
      <c r="H142" s="8" t="n">
        <v>80.660004</v>
      </c>
      <c r="I142" s="8" t="n">
        <v>1218.02002</v>
      </c>
      <c r="J142" s="8" t="n">
        <v>53.197983</v>
      </c>
      <c r="L142" s="9">
        <f>LN(B142/B141)</f>
        <v/>
      </c>
      <c r="M142" s="9">
        <f>$M$1*(C142-C141)</f>
        <v/>
      </c>
      <c r="N142" s="9">
        <f>$N$1*(D142-D141)</f>
        <v/>
      </c>
      <c r="O142" s="9">
        <f>$O$1*LN(E142/E141)</f>
        <v/>
      </c>
      <c r="P142" s="9">
        <f>$P$1*LN(F142/F141)</f>
        <v/>
      </c>
      <c r="Q142" s="9">
        <f>$Q$1*(G142-G141)</f>
        <v/>
      </c>
      <c r="R142" s="9">
        <f>$R$1*(H142-H141)</f>
        <v/>
      </c>
      <c r="S142" s="9">
        <f>$S$1*LN(I142/I141)</f>
        <v/>
      </c>
      <c r="T142" s="9">
        <f>$T$1*LN(J142/J141)</f>
        <v/>
      </c>
      <c r="U142" s="9">
        <f>$W$12+$W$4*M142+$W$5*N142+$W$6*O142+$W$7*P142+$W$8*Q142+$W$9*R142+$W$10*S142+$W$11*T142</f>
        <v/>
      </c>
    </row>
    <row r="143">
      <c r="A143" s="7" t="n">
        <v>38604</v>
      </c>
      <c r="B143" s="8" t="n">
        <v>448.25</v>
      </c>
      <c r="C143" s="8" t="n">
        <v>2.5</v>
      </c>
      <c r="D143" s="8" t="n">
        <v>1.64</v>
      </c>
      <c r="E143" s="8" t="n">
        <v>86.889999</v>
      </c>
      <c r="F143" s="8" t="n">
        <v>64.20999999999999</v>
      </c>
      <c r="G143" s="8" t="n">
        <v>11.98</v>
      </c>
      <c r="H143" s="8" t="n">
        <v>79.910004</v>
      </c>
      <c r="I143" s="8" t="n">
        <v>1241.47998</v>
      </c>
      <c r="J143" s="8" t="n">
        <v>52.98531</v>
      </c>
      <c r="L143" s="9">
        <f>LN(B143/B142)</f>
        <v/>
      </c>
      <c r="M143" s="9">
        <f>$M$1*(C143-C142)</f>
        <v/>
      </c>
      <c r="N143" s="9">
        <f>$N$1*(D143-D142)</f>
        <v/>
      </c>
      <c r="O143" s="9">
        <f>$O$1*LN(E143/E142)</f>
        <v/>
      </c>
      <c r="P143" s="9">
        <f>$P$1*LN(F143/F142)</f>
        <v/>
      </c>
      <c r="Q143" s="9">
        <f>$Q$1*(G143-G142)</f>
        <v/>
      </c>
      <c r="R143" s="9">
        <f>$R$1*(H143-H142)</f>
        <v/>
      </c>
      <c r="S143" s="9">
        <f>$S$1*LN(I143/I142)</f>
        <v/>
      </c>
      <c r="T143" s="9">
        <f>$T$1*LN(J143/J142)</f>
        <v/>
      </c>
      <c r="U143" s="9">
        <f>$W$12+$W$4*M143+$W$5*N143+$W$6*O143+$W$7*P143+$W$8*Q143+$W$9*R143+$W$10*S143+$W$11*T143</f>
        <v/>
      </c>
    </row>
    <row r="144">
      <c r="A144" s="7" t="n">
        <v>38611</v>
      </c>
      <c r="B144" s="8" t="n">
        <v>457.2</v>
      </c>
      <c r="C144" s="8" t="n">
        <v>2.53</v>
      </c>
      <c r="D144" s="8" t="n">
        <v>1.73</v>
      </c>
      <c r="E144" s="8" t="n">
        <v>88.050003</v>
      </c>
      <c r="F144" s="8" t="n">
        <v>62.91</v>
      </c>
      <c r="G144" s="8" t="n">
        <v>11.22</v>
      </c>
      <c r="H144" s="8" t="n">
        <v>82.5</v>
      </c>
      <c r="I144" s="8" t="n">
        <v>1237.910034</v>
      </c>
      <c r="J144" s="8" t="n">
        <v>52.736492</v>
      </c>
      <c r="L144" s="9">
        <f>LN(B144/B143)</f>
        <v/>
      </c>
      <c r="M144" s="9">
        <f>$M$1*(C144-C143)</f>
        <v/>
      </c>
      <c r="N144" s="9">
        <f>$N$1*(D144-D143)</f>
        <v/>
      </c>
      <c r="O144" s="9">
        <f>$O$1*LN(E144/E143)</f>
        <v/>
      </c>
      <c r="P144" s="9">
        <f>$P$1*LN(F144/F143)</f>
        <v/>
      </c>
      <c r="Q144" s="9">
        <f>$Q$1*(G144-G143)</f>
        <v/>
      </c>
      <c r="R144" s="9">
        <f>$R$1*(H144-H143)</f>
        <v/>
      </c>
      <c r="S144" s="9">
        <f>$S$1*LN(I144/I143)</f>
        <v/>
      </c>
      <c r="T144" s="9">
        <f>$T$1*LN(J144/J143)</f>
        <v/>
      </c>
      <c r="U144" s="9">
        <f>$W$12+$W$4*M144+$W$5*N144+$W$6*O144+$W$7*P144+$W$8*Q144+$W$9*R144+$W$10*S144+$W$11*T144</f>
        <v/>
      </c>
    </row>
    <row r="145">
      <c r="A145" s="7" t="n">
        <v>38618</v>
      </c>
      <c r="B145" s="8" t="n">
        <v>462.65</v>
      </c>
      <c r="C145" s="8" t="n">
        <v>2.51</v>
      </c>
      <c r="D145" s="8" t="n">
        <v>1.74</v>
      </c>
      <c r="E145" s="8" t="n">
        <v>89.209999</v>
      </c>
      <c r="F145" s="8" t="n">
        <v>64.67</v>
      </c>
      <c r="G145" s="8" t="n">
        <v>12.96</v>
      </c>
      <c r="H145" s="8" t="n">
        <v>78.16999800000001</v>
      </c>
      <c r="I145" s="8" t="n">
        <v>1215.290039</v>
      </c>
      <c r="J145" s="8" t="n">
        <v>52.819447</v>
      </c>
      <c r="L145" s="9">
        <f>LN(B145/B144)</f>
        <v/>
      </c>
      <c r="M145" s="9">
        <f>$M$1*(C145-C144)</f>
        <v/>
      </c>
      <c r="N145" s="9">
        <f>$N$1*(D145-D144)</f>
        <v/>
      </c>
      <c r="O145" s="9">
        <f>$O$1*LN(E145/E144)</f>
        <v/>
      </c>
      <c r="P145" s="9">
        <f>$P$1*LN(F145/F144)</f>
        <v/>
      </c>
      <c r="Q145" s="9">
        <f>$Q$1*(G145-G144)</f>
        <v/>
      </c>
      <c r="R145" s="9">
        <f>$R$1*(H145-H144)</f>
        <v/>
      </c>
      <c r="S145" s="9">
        <f>$S$1*LN(I145/I144)</f>
        <v/>
      </c>
      <c r="T145" s="9">
        <f>$T$1*LN(J145/J144)</f>
        <v/>
      </c>
      <c r="U145" s="9">
        <f>$W$12+$W$4*M145+$W$5*N145+$W$6*O145+$W$7*P145+$W$8*Q145+$W$9*R145+$W$10*S145+$W$11*T145</f>
        <v/>
      </c>
    </row>
    <row r="146">
      <c r="A146" s="7" t="n">
        <v>38625</v>
      </c>
      <c r="B146" s="8" t="n">
        <v>473.25</v>
      </c>
      <c r="C146" s="8" t="n">
        <v>2.56</v>
      </c>
      <c r="D146" s="8" t="n">
        <v>1.78</v>
      </c>
      <c r="E146" s="8" t="n">
        <v>89.519997</v>
      </c>
      <c r="F146" s="8" t="n">
        <v>66.20999999999999</v>
      </c>
      <c r="G146" s="8" t="n">
        <v>11.92</v>
      </c>
      <c r="H146" s="8" t="n">
        <v>76.709999</v>
      </c>
      <c r="I146" s="8" t="n">
        <v>1228.810059</v>
      </c>
      <c r="J146" s="8" t="n">
        <v>52.653507</v>
      </c>
      <c r="L146" s="9">
        <f>LN(B146/B145)</f>
        <v/>
      </c>
      <c r="M146" s="9">
        <f>$M$1*(C146-C145)</f>
        <v/>
      </c>
      <c r="N146" s="9">
        <f>$N$1*(D146-D145)</f>
        <v/>
      </c>
      <c r="O146" s="9">
        <f>$O$1*LN(E146/E145)</f>
        <v/>
      </c>
      <c r="P146" s="9">
        <f>$P$1*LN(F146/F145)</f>
        <v/>
      </c>
      <c r="Q146" s="9">
        <f>$Q$1*(G146-G145)</f>
        <v/>
      </c>
      <c r="R146" s="9">
        <f>$R$1*(H146-H145)</f>
        <v/>
      </c>
      <c r="S146" s="9">
        <f>$S$1*LN(I146/I145)</f>
        <v/>
      </c>
      <c r="T146" s="9">
        <f>$T$1*LN(J146/J145)</f>
        <v/>
      </c>
      <c r="U146" s="9">
        <f>$W$12+$W$4*M146+$W$5*N146+$W$6*O146+$W$7*P146+$W$8*Q146+$W$9*R146+$W$10*S146+$W$11*T146</f>
        <v/>
      </c>
    </row>
    <row r="147">
      <c r="A147" s="7" t="n">
        <v>38632</v>
      </c>
      <c r="B147" s="8" t="n">
        <v>472.7</v>
      </c>
      <c r="C147" s="8" t="n">
        <v>2.45</v>
      </c>
      <c r="D147" s="8" t="n">
        <v>1.9</v>
      </c>
      <c r="E147" s="8" t="n">
        <v>89.16999800000001</v>
      </c>
      <c r="F147" s="8" t="n">
        <v>61.81</v>
      </c>
      <c r="G147" s="8" t="n">
        <v>14.59</v>
      </c>
      <c r="H147" s="8" t="n">
        <v>77.480003</v>
      </c>
      <c r="I147" s="8" t="n">
        <v>1195.900024</v>
      </c>
      <c r="J147" s="8" t="n">
        <v>52.542656</v>
      </c>
      <c r="L147" s="9">
        <f>LN(B147/B146)</f>
        <v/>
      </c>
      <c r="M147" s="9">
        <f>$M$1*(C147-C146)</f>
        <v/>
      </c>
      <c r="N147" s="9">
        <f>$N$1*(D147-D146)</f>
        <v/>
      </c>
      <c r="O147" s="9">
        <f>$O$1*LN(E147/E146)</f>
        <v/>
      </c>
      <c r="P147" s="9">
        <f>$P$1*LN(F147/F146)</f>
        <v/>
      </c>
      <c r="Q147" s="9">
        <f>$Q$1*(G147-G146)</f>
        <v/>
      </c>
      <c r="R147" s="9">
        <f>$R$1*(H147-H146)</f>
        <v/>
      </c>
      <c r="S147" s="9">
        <f>$S$1*LN(I147/I146)</f>
        <v/>
      </c>
      <c r="T147" s="9">
        <f>$T$1*LN(J147/J146)</f>
        <v/>
      </c>
      <c r="U147" s="9">
        <f>$W$12+$W$4*M147+$W$5*N147+$W$6*O147+$W$7*P147+$W$8*Q147+$W$9*R147+$W$10*S147+$W$11*T147</f>
        <v/>
      </c>
    </row>
    <row r="148">
      <c r="A148" s="7" t="n">
        <v>38639</v>
      </c>
      <c r="B148" s="8" t="n">
        <v>466</v>
      </c>
      <c r="C148" s="8" t="n">
        <v>2.5</v>
      </c>
      <c r="D148" s="8" t="n">
        <v>1.98</v>
      </c>
      <c r="E148" s="8" t="n">
        <v>89.349998</v>
      </c>
      <c r="F148" s="8" t="n">
        <v>62.61</v>
      </c>
      <c r="G148" s="8" t="n">
        <v>14.87</v>
      </c>
      <c r="H148" s="8" t="n">
        <v>80.699997</v>
      </c>
      <c r="I148" s="8" t="n">
        <v>1186.569946</v>
      </c>
      <c r="J148" s="8" t="n">
        <v>52.282566</v>
      </c>
      <c r="L148" s="9">
        <f>LN(B148/B147)</f>
        <v/>
      </c>
      <c r="M148" s="9">
        <f>$M$1*(C148-C147)</f>
        <v/>
      </c>
      <c r="N148" s="9">
        <f>$N$1*(D148-D147)</f>
        <v/>
      </c>
      <c r="O148" s="9">
        <f>$O$1*LN(E148/E147)</f>
        <v/>
      </c>
      <c r="P148" s="9">
        <f>$P$1*LN(F148/F147)</f>
        <v/>
      </c>
      <c r="Q148" s="9">
        <f>$Q$1*(G148-G147)</f>
        <v/>
      </c>
      <c r="R148" s="9">
        <f>$R$1*(H148-H147)</f>
        <v/>
      </c>
      <c r="S148" s="9">
        <f>$S$1*LN(I148/I147)</f>
        <v/>
      </c>
      <c r="T148" s="9">
        <f>$T$1*LN(J148/J147)</f>
        <v/>
      </c>
      <c r="U148" s="9">
        <f>$W$12+$W$4*M148+$W$5*N148+$W$6*O148+$W$7*P148+$W$8*Q148+$W$9*R148+$W$10*S148+$W$11*T148</f>
        <v/>
      </c>
    </row>
    <row r="149">
      <c r="A149" s="7" t="n">
        <v>38646</v>
      </c>
      <c r="B149" s="8" t="n">
        <v>462.85</v>
      </c>
      <c r="C149" s="8" t="n">
        <v>2.5</v>
      </c>
      <c r="D149" s="8" t="n">
        <v>1.89</v>
      </c>
      <c r="E149" s="8" t="n">
        <v>90.30999799999999</v>
      </c>
      <c r="F149" s="8" t="n">
        <v>61.05</v>
      </c>
      <c r="G149" s="8" t="n">
        <v>16.13</v>
      </c>
      <c r="H149" s="8" t="n">
        <v>78.400002</v>
      </c>
      <c r="I149" s="8" t="n">
        <v>1179.589966</v>
      </c>
      <c r="J149" s="8" t="n">
        <v>52.573929</v>
      </c>
      <c r="L149" s="9">
        <f>LN(B149/B148)</f>
        <v/>
      </c>
      <c r="M149" s="9">
        <f>$M$1*(C149-C148)</f>
        <v/>
      </c>
      <c r="N149" s="9">
        <f>$N$1*(D149-D148)</f>
        <v/>
      </c>
      <c r="O149" s="9">
        <f>$O$1*LN(E149/E148)</f>
        <v/>
      </c>
      <c r="P149" s="9">
        <f>$P$1*LN(F149/F148)</f>
        <v/>
      </c>
      <c r="Q149" s="9">
        <f>$Q$1*(G149-G148)</f>
        <v/>
      </c>
      <c r="R149" s="9">
        <f>$R$1*(H149-H148)</f>
        <v/>
      </c>
      <c r="S149" s="9">
        <f>$S$1*LN(I149/I148)</f>
        <v/>
      </c>
      <c r="T149" s="9">
        <f>$T$1*LN(J149/J148)</f>
        <v/>
      </c>
      <c r="U149" s="9">
        <f>$W$12+$W$4*M149+$W$5*N149+$W$6*O149+$W$7*P149+$W$8*Q149+$W$9*R149+$W$10*S149+$W$11*T149</f>
        <v/>
      </c>
    </row>
    <row r="150">
      <c r="A150" s="7" t="n">
        <v>38653</v>
      </c>
      <c r="B150" s="8" t="n">
        <v>470.75</v>
      </c>
      <c r="C150" s="8" t="n">
        <v>2.57</v>
      </c>
      <c r="D150" s="8" t="n">
        <v>2.01</v>
      </c>
      <c r="E150" s="8" t="n">
        <v>89.589996</v>
      </c>
      <c r="F150" s="8" t="n">
        <v>61.3</v>
      </c>
      <c r="G150" s="8" t="n">
        <v>14.25</v>
      </c>
      <c r="H150" s="8" t="n">
        <v>80.199997</v>
      </c>
      <c r="I150" s="8" t="n">
        <v>1198.410034</v>
      </c>
      <c r="J150" s="8" t="n">
        <v>52.136932</v>
      </c>
      <c r="L150" s="9">
        <f>LN(B150/B149)</f>
        <v/>
      </c>
      <c r="M150" s="9">
        <f>$M$1*(C150-C149)</f>
        <v/>
      </c>
      <c r="N150" s="9">
        <f>$N$1*(D150-D149)</f>
        <v/>
      </c>
      <c r="O150" s="9">
        <f>$O$1*LN(E150/E149)</f>
        <v/>
      </c>
      <c r="P150" s="9">
        <f>$P$1*LN(F150/F149)</f>
        <v/>
      </c>
      <c r="Q150" s="9">
        <f>$Q$1*(G150-G149)</f>
        <v/>
      </c>
      <c r="R150" s="9">
        <f>$R$1*(H150-H149)</f>
        <v/>
      </c>
      <c r="S150" s="9">
        <f>$S$1*LN(I150/I149)</f>
        <v/>
      </c>
      <c r="T150" s="9">
        <f>$T$1*LN(J150/J149)</f>
        <v/>
      </c>
      <c r="U150" s="9">
        <f>$W$12+$W$4*M150+$W$5*N150+$W$6*O150+$W$7*P150+$W$8*Q150+$W$9*R150+$W$10*S150+$W$11*T150</f>
        <v/>
      </c>
    </row>
    <row r="151">
      <c r="A151" s="7" t="n">
        <v>38660</v>
      </c>
      <c r="B151" s="8" t="n">
        <v>460.5</v>
      </c>
      <c r="C151" s="8" t="n">
        <v>2.6</v>
      </c>
      <c r="D151" s="8" t="n">
        <v>2.06</v>
      </c>
      <c r="E151" s="8" t="n">
        <v>91.260002</v>
      </c>
      <c r="F151" s="8" t="n">
        <v>60.6</v>
      </c>
      <c r="G151" s="8" t="n">
        <v>13.17</v>
      </c>
      <c r="H151" s="8" t="n">
        <v>76.5</v>
      </c>
      <c r="I151" s="8" t="n">
        <v>1220.140015</v>
      </c>
      <c r="J151" s="8" t="n">
        <v>51.97718</v>
      </c>
      <c r="L151" s="9">
        <f>LN(B151/B150)</f>
        <v/>
      </c>
      <c r="M151" s="9">
        <f>$M$1*(C151-C150)</f>
        <v/>
      </c>
      <c r="N151" s="9">
        <f>$N$1*(D151-D150)</f>
        <v/>
      </c>
      <c r="O151" s="9">
        <f>$O$1*LN(E151/E150)</f>
        <v/>
      </c>
      <c r="P151" s="9">
        <f>$P$1*LN(F151/F150)</f>
        <v/>
      </c>
      <c r="Q151" s="9">
        <f>$Q$1*(G151-G150)</f>
        <v/>
      </c>
      <c r="R151" s="9">
        <f>$R$1*(H151-H150)</f>
        <v/>
      </c>
      <c r="S151" s="9">
        <f>$S$1*LN(I151/I150)</f>
        <v/>
      </c>
      <c r="T151" s="9">
        <f>$T$1*LN(J151/J150)</f>
        <v/>
      </c>
      <c r="U151" s="9">
        <f>$W$12+$W$4*M151+$W$5*N151+$W$6*O151+$W$7*P151+$W$8*Q151+$W$9*R151+$W$10*S151+$W$11*T151</f>
        <v/>
      </c>
    </row>
    <row r="152">
      <c r="A152" s="7" t="n">
        <v>38667</v>
      </c>
      <c r="B152" s="8" t="n">
        <v>466.75</v>
      </c>
      <c r="C152" s="8" t="n">
        <v>2.48</v>
      </c>
      <c r="D152" s="8" t="n">
        <v>2.07</v>
      </c>
      <c r="E152" s="8" t="n">
        <v>91.980003</v>
      </c>
      <c r="F152" s="8" t="n">
        <v>57.45</v>
      </c>
      <c r="G152" s="8" t="n">
        <v>11.63</v>
      </c>
      <c r="H152" s="8" t="n">
        <v>79.879997</v>
      </c>
      <c r="I152" s="8" t="n">
        <v>1234.719971</v>
      </c>
      <c r="J152" s="8" t="n">
        <v>52.259102</v>
      </c>
      <c r="L152" s="9">
        <f>LN(B152/B151)</f>
        <v/>
      </c>
      <c r="M152" s="9">
        <f>$M$1*(C152-C151)</f>
        <v/>
      </c>
      <c r="N152" s="9">
        <f>$N$1*(D152-D151)</f>
        <v/>
      </c>
      <c r="O152" s="9">
        <f>$O$1*LN(E152/E151)</f>
        <v/>
      </c>
      <c r="P152" s="9">
        <f>$P$1*LN(F152/F151)</f>
        <v/>
      </c>
      <c r="Q152" s="9">
        <f>$Q$1*(G152-G151)</f>
        <v/>
      </c>
      <c r="R152" s="9">
        <f>$R$1*(H152-H151)</f>
        <v/>
      </c>
      <c r="S152" s="9">
        <f>$S$1*LN(I152/I151)</f>
        <v/>
      </c>
      <c r="T152" s="9">
        <f>$T$1*LN(J152/J151)</f>
        <v/>
      </c>
      <c r="U152" s="9">
        <f>$W$12+$W$4*M152+$W$5*N152+$W$6*O152+$W$7*P152+$W$8*Q152+$W$9*R152+$W$10*S152+$W$11*T152</f>
        <v/>
      </c>
    </row>
    <row r="153">
      <c r="A153" s="7" t="n">
        <v>38674</v>
      </c>
      <c r="B153" s="8" t="n">
        <v>485.85</v>
      </c>
      <c r="C153" s="8" t="n">
        <v>2.41</v>
      </c>
      <c r="D153" s="8" t="n">
        <v>2.09</v>
      </c>
      <c r="E153" s="8" t="n">
        <v>91.93000000000001</v>
      </c>
      <c r="F153" s="8" t="n">
        <v>56.3</v>
      </c>
      <c r="G153" s="8" t="n">
        <v>11.12</v>
      </c>
      <c r="H153" s="8" t="n">
        <v>76.510002</v>
      </c>
      <c r="I153" s="8" t="n">
        <v>1248.27002</v>
      </c>
      <c r="J153" s="8" t="n">
        <v>52.269539</v>
      </c>
      <c r="L153" s="9">
        <f>LN(B153/B152)</f>
        <v/>
      </c>
      <c r="M153" s="9">
        <f>$M$1*(C153-C152)</f>
        <v/>
      </c>
      <c r="N153" s="9">
        <f>$N$1*(D153-D152)</f>
        <v/>
      </c>
      <c r="O153" s="9">
        <f>$O$1*LN(E153/E152)</f>
        <v/>
      </c>
      <c r="P153" s="9">
        <f>$P$1*LN(F153/F152)</f>
        <v/>
      </c>
      <c r="Q153" s="9">
        <f>$Q$1*(G153-G152)</f>
        <v/>
      </c>
      <c r="R153" s="9">
        <f>$R$1*(H153-H152)</f>
        <v/>
      </c>
      <c r="S153" s="9">
        <f>$S$1*LN(I153/I152)</f>
        <v/>
      </c>
      <c r="T153" s="9">
        <f>$T$1*LN(J153/J152)</f>
        <v/>
      </c>
      <c r="U153" s="9">
        <f>$W$12+$W$4*M153+$W$5*N153+$W$6*O153+$W$7*P153+$W$8*Q153+$W$9*R153+$W$10*S153+$W$11*T153</f>
        <v/>
      </c>
    </row>
    <row r="154">
      <c r="A154" s="7" t="n">
        <v>38681</v>
      </c>
      <c r="B154" s="8" t="n">
        <v>495.9</v>
      </c>
      <c r="C154" s="8" t="n">
        <v>2.38</v>
      </c>
      <c r="D154" s="8" t="n">
        <v>2.05</v>
      </c>
      <c r="E154" s="8" t="n">
        <v>92.040001</v>
      </c>
      <c r="F154" s="8" t="n">
        <v>58.35</v>
      </c>
      <c r="G154" s="8" t="n">
        <v>10.88</v>
      </c>
      <c r="H154" s="8" t="n">
        <v>72.05999799999999</v>
      </c>
      <c r="I154" s="8" t="n">
        <v>1268.25</v>
      </c>
      <c r="J154" s="8" t="n">
        <v>52.582832</v>
      </c>
      <c r="L154" s="9">
        <f>LN(B154/B153)</f>
        <v/>
      </c>
      <c r="M154" s="9">
        <f>$M$1*(C154-C153)</f>
        <v/>
      </c>
      <c r="N154" s="9">
        <f>$N$1*(D154-D153)</f>
        <v/>
      </c>
      <c r="O154" s="9">
        <f>$O$1*LN(E154/E153)</f>
        <v/>
      </c>
      <c r="P154" s="9">
        <f>$P$1*LN(F154/F153)</f>
        <v/>
      </c>
      <c r="Q154" s="9">
        <f>$Q$1*(G154-G153)</f>
        <v/>
      </c>
      <c r="R154" s="9">
        <f>$R$1*(H154-H153)</f>
        <v/>
      </c>
      <c r="S154" s="9">
        <f>$S$1*LN(I154/I153)</f>
        <v/>
      </c>
      <c r="T154" s="9">
        <f>$T$1*LN(J154/J153)</f>
        <v/>
      </c>
      <c r="U154" s="9">
        <f>$W$12+$W$4*M154+$W$5*N154+$W$6*O154+$W$7*P154+$W$8*Q154+$W$9*R154+$W$10*S154+$W$11*T154</f>
        <v/>
      </c>
    </row>
    <row r="155">
      <c r="A155" s="7" t="n">
        <v>38688</v>
      </c>
      <c r="B155" s="8" t="n">
        <v>502.5</v>
      </c>
      <c r="C155" s="8" t="n">
        <v>2.36</v>
      </c>
      <c r="D155" s="8" t="n">
        <v>2.16</v>
      </c>
      <c r="E155" s="8" t="n">
        <v>91.949997</v>
      </c>
      <c r="F155" s="8" t="n">
        <v>59.31</v>
      </c>
      <c r="G155" s="8" t="n">
        <v>11.01</v>
      </c>
      <c r="H155" s="8" t="n">
        <v>69.389999</v>
      </c>
      <c r="I155" s="8" t="n">
        <v>1265.079956</v>
      </c>
      <c r="J155" s="8" t="n">
        <v>52.253098</v>
      </c>
      <c r="L155" s="9">
        <f>LN(B155/B154)</f>
        <v/>
      </c>
      <c r="M155" s="9">
        <f>$M$1*(C155-C154)</f>
        <v/>
      </c>
      <c r="N155" s="9">
        <f>$N$1*(D155-D154)</f>
        <v/>
      </c>
      <c r="O155" s="9">
        <f>$O$1*LN(E155/E154)</f>
        <v/>
      </c>
      <c r="P155" s="9">
        <f>$P$1*LN(F155/F154)</f>
        <v/>
      </c>
      <c r="Q155" s="9">
        <f>$Q$1*(G155-G154)</f>
        <v/>
      </c>
      <c r="R155" s="9">
        <f>$R$1*(H155-H154)</f>
        <v/>
      </c>
      <c r="S155" s="9">
        <f>$S$1*LN(I155/I154)</f>
        <v/>
      </c>
      <c r="T155" s="9">
        <f>$T$1*LN(J155/J154)</f>
        <v/>
      </c>
      <c r="U155" s="9">
        <f>$W$12+$W$4*M155+$W$5*N155+$W$6*O155+$W$7*P155+$W$8*Q155+$W$9*R155+$W$10*S155+$W$11*T155</f>
        <v/>
      </c>
    </row>
    <row r="156">
      <c r="A156" s="7" t="n">
        <v>38695</v>
      </c>
      <c r="B156" s="8" t="n">
        <v>525.5</v>
      </c>
      <c r="C156" s="8" t="n">
        <v>2.36</v>
      </c>
      <c r="D156" s="8" t="n">
        <v>2.18</v>
      </c>
      <c r="E156" s="8" t="n">
        <v>91.25</v>
      </c>
      <c r="F156" s="8" t="n">
        <v>59.41</v>
      </c>
      <c r="G156" s="8" t="n">
        <v>11.69</v>
      </c>
      <c r="H156" s="8" t="n">
        <v>71.889999</v>
      </c>
      <c r="I156" s="8" t="n">
        <v>1259.369995</v>
      </c>
      <c r="J156" s="8" t="n">
        <v>52.389347</v>
      </c>
      <c r="L156" s="9">
        <f>LN(B156/B155)</f>
        <v/>
      </c>
      <c r="M156" s="9">
        <f>$M$1*(C156-C155)</f>
        <v/>
      </c>
      <c r="N156" s="9">
        <f>$N$1*(D156-D155)</f>
        <v/>
      </c>
      <c r="O156" s="9">
        <f>$O$1*LN(E156/E155)</f>
        <v/>
      </c>
      <c r="P156" s="9">
        <f>$P$1*LN(F156/F155)</f>
        <v/>
      </c>
      <c r="Q156" s="9">
        <f>$Q$1*(G156-G155)</f>
        <v/>
      </c>
      <c r="R156" s="9">
        <f>$R$1*(H156-H155)</f>
        <v/>
      </c>
      <c r="S156" s="9">
        <f>$S$1*LN(I156/I155)</f>
        <v/>
      </c>
      <c r="T156" s="9">
        <f>$T$1*LN(J156/J155)</f>
        <v/>
      </c>
      <c r="U156" s="9">
        <f>$W$12+$W$4*M156+$W$5*N156+$W$6*O156+$W$7*P156+$W$8*Q156+$W$9*R156+$W$10*S156+$W$11*T156</f>
        <v/>
      </c>
    </row>
    <row r="157">
      <c r="A157" s="7" t="n">
        <v>38702</v>
      </c>
      <c r="B157" s="8" t="n">
        <v>507</v>
      </c>
      <c r="C157" s="8" t="n">
        <v>2.34</v>
      </c>
      <c r="D157" s="8" t="n">
        <v>2.11</v>
      </c>
      <c r="E157" s="8" t="n">
        <v>89.699997</v>
      </c>
      <c r="F157" s="8" t="n">
        <v>58.01</v>
      </c>
      <c r="G157" s="8" t="n">
        <v>10.68</v>
      </c>
      <c r="H157" s="8" t="n">
        <v>70.269997</v>
      </c>
      <c r="I157" s="8" t="n">
        <v>1267.319946</v>
      </c>
      <c r="J157" s="8" t="n">
        <v>52.562344</v>
      </c>
      <c r="L157" s="9">
        <f>LN(B157/B156)</f>
        <v/>
      </c>
      <c r="M157" s="9">
        <f>$M$1*(C157-C156)</f>
        <v/>
      </c>
      <c r="N157" s="9">
        <f>$N$1*(D157-D156)</f>
        <v/>
      </c>
      <c r="O157" s="9">
        <f>$O$1*LN(E157/E156)</f>
        <v/>
      </c>
      <c r="P157" s="9">
        <f>$P$1*LN(F157/F156)</f>
        <v/>
      </c>
      <c r="Q157" s="9">
        <f>$Q$1*(G157-G156)</f>
        <v/>
      </c>
      <c r="R157" s="9">
        <f>$R$1*(H157-H156)</f>
        <v/>
      </c>
      <c r="S157" s="9">
        <f>$S$1*LN(I157/I156)</f>
        <v/>
      </c>
      <c r="T157" s="9">
        <f>$T$1*LN(J157/J156)</f>
        <v/>
      </c>
      <c r="U157" s="9">
        <f>$W$12+$W$4*M157+$W$5*N157+$W$6*O157+$W$7*P157+$W$8*Q157+$W$9*R157+$W$10*S157+$W$11*T157</f>
        <v/>
      </c>
    </row>
    <row r="158">
      <c r="A158" s="7" t="n">
        <v>38709</v>
      </c>
      <c r="B158" s="8" t="n">
        <v>500</v>
      </c>
      <c r="C158" s="8" t="n">
        <v>2.31</v>
      </c>
      <c r="D158" s="8" t="n">
        <v>2.07</v>
      </c>
      <c r="E158" s="8" t="n">
        <v>90.839996</v>
      </c>
      <c r="F158" s="8" t="n">
        <v>58.08</v>
      </c>
      <c r="G158" s="8" t="n">
        <v>10.27</v>
      </c>
      <c r="H158" s="8" t="n">
        <v>67.889999</v>
      </c>
      <c r="I158" s="8" t="n">
        <v>1268.660034</v>
      </c>
      <c r="J158" s="8" t="n">
        <v>52.871521</v>
      </c>
      <c r="L158" s="9">
        <f>LN(B158/B157)</f>
        <v/>
      </c>
      <c r="M158" s="9">
        <f>$M$1*(C158-C157)</f>
        <v/>
      </c>
      <c r="N158" s="9">
        <f>$N$1*(D158-D157)</f>
        <v/>
      </c>
      <c r="O158" s="9">
        <f>$O$1*LN(E158/E157)</f>
        <v/>
      </c>
      <c r="P158" s="9">
        <f>$P$1*LN(F158/F157)</f>
        <v/>
      </c>
      <c r="Q158" s="9">
        <f>$Q$1*(G158-G157)</f>
        <v/>
      </c>
      <c r="R158" s="9">
        <f>$R$1*(H158-H157)</f>
        <v/>
      </c>
      <c r="S158" s="9">
        <f>$S$1*LN(I158/I157)</f>
        <v/>
      </c>
      <c r="T158" s="9">
        <f>$T$1*LN(J158/J157)</f>
        <v/>
      </c>
      <c r="U158" s="9">
        <f>$W$12+$W$4*M158+$W$5*N158+$W$6*O158+$W$7*P158+$W$8*Q158+$W$9*R158+$W$10*S158+$W$11*T158</f>
        <v/>
      </c>
    </row>
    <row r="159">
      <c r="A159" s="7" t="n">
        <v>38716</v>
      </c>
      <c r="B159" s="8" t="n">
        <v>513</v>
      </c>
      <c r="C159" s="8" t="n">
        <v>2.33</v>
      </c>
      <c r="D159" s="8" t="n">
        <v>2.06</v>
      </c>
      <c r="E159" s="8" t="n">
        <v>91.16999800000001</v>
      </c>
      <c r="F159" s="8" t="n">
        <v>61.06</v>
      </c>
      <c r="G159" s="8" t="n">
        <v>12.07</v>
      </c>
      <c r="H159" s="8" t="n">
        <v>72.089996</v>
      </c>
      <c r="I159" s="8" t="n">
        <v>1248.290039</v>
      </c>
      <c r="J159" s="8" t="n">
        <v>52.92046</v>
      </c>
      <c r="L159" s="9">
        <f>LN(B159/B158)</f>
        <v/>
      </c>
      <c r="M159" s="9">
        <f>$M$1*(C159-C158)</f>
        <v/>
      </c>
      <c r="N159" s="9">
        <f>$N$1*(D159-D158)</f>
        <v/>
      </c>
      <c r="O159" s="9">
        <f>$O$1*LN(E159/E158)</f>
        <v/>
      </c>
      <c r="P159" s="9">
        <f>$P$1*LN(F159/F158)</f>
        <v/>
      </c>
      <c r="Q159" s="9">
        <f>$Q$1*(G159-G158)</f>
        <v/>
      </c>
      <c r="R159" s="9">
        <f>$R$1*(H159-H158)</f>
        <v/>
      </c>
      <c r="S159" s="9">
        <f>$S$1*LN(I159/I158)</f>
        <v/>
      </c>
      <c r="T159" s="9">
        <f>$T$1*LN(J159/J158)</f>
        <v/>
      </c>
      <c r="U159" s="9">
        <f>$W$12+$W$4*M159+$W$5*N159+$W$6*O159+$W$7*P159+$W$8*Q159+$W$9*R159+$W$10*S159+$W$11*T159</f>
        <v/>
      </c>
    </row>
    <row r="160">
      <c r="A160" s="7" t="n">
        <v>38723</v>
      </c>
      <c r="B160" s="8" t="n">
        <v>535.25</v>
      </c>
      <c r="C160" s="8" t="n">
        <v>2.33</v>
      </c>
      <c r="D160" s="8" t="n">
        <v>2.05</v>
      </c>
      <c r="E160" s="8" t="n">
        <v>88.849998</v>
      </c>
      <c r="F160" s="8" t="n">
        <v>64.20999999999999</v>
      </c>
      <c r="G160" s="8" t="n">
        <v>11</v>
      </c>
      <c r="H160" s="8" t="n">
        <v>69.120003</v>
      </c>
      <c r="I160" s="8" t="n">
        <v>1285.449951</v>
      </c>
      <c r="J160" s="8" t="n">
        <v>52.952015</v>
      </c>
      <c r="L160" s="9">
        <f>LN(B160/B159)</f>
        <v/>
      </c>
      <c r="M160" s="9">
        <f>$M$1*(C160-C159)</f>
        <v/>
      </c>
      <c r="N160" s="9">
        <f>$N$1*(D160-D159)</f>
        <v/>
      </c>
      <c r="O160" s="9">
        <f>$O$1*LN(E160/E159)</f>
        <v/>
      </c>
      <c r="P160" s="9">
        <f>$P$1*LN(F160/F159)</f>
        <v/>
      </c>
      <c r="Q160" s="9">
        <f>$Q$1*(G160-G159)</f>
        <v/>
      </c>
      <c r="R160" s="9">
        <f>$R$1*(H160-H159)</f>
        <v/>
      </c>
      <c r="S160" s="9">
        <f>$S$1*LN(I160/I159)</f>
        <v/>
      </c>
      <c r="T160" s="9">
        <f>$T$1*LN(J160/J159)</f>
        <v/>
      </c>
      <c r="U160" s="9">
        <f>$W$12+$W$4*M160+$W$5*N160+$W$6*O160+$W$7*P160+$W$8*Q160+$W$9*R160+$W$10*S160+$W$11*T160</f>
        <v/>
      </c>
    </row>
    <row r="161">
      <c r="A161" s="7" t="n">
        <v>38730</v>
      </c>
      <c r="B161" s="8" t="n">
        <v>548.25</v>
      </c>
      <c r="C161" s="8" t="n">
        <v>2.39</v>
      </c>
      <c r="D161" s="8" t="n">
        <v>1.97</v>
      </c>
      <c r="E161" s="8" t="n">
        <v>88.889999</v>
      </c>
      <c r="F161" s="8" t="n">
        <v>63.86</v>
      </c>
      <c r="G161" s="8" t="n">
        <v>11.23</v>
      </c>
      <c r="H161" s="8" t="n">
        <v>64.900002</v>
      </c>
      <c r="I161" s="8" t="n">
        <v>1287.609985</v>
      </c>
      <c r="J161" s="8" t="n">
        <v>53.151951</v>
      </c>
      <c r="L161" s="9">
        <f>LN(B161/B160)</f>
        <v/>
      </c>
      <c r="M161" s="9">
        <f>$M$1*(C161-C160)</f>
        <v/>
      </c>
      <c r="N161" s="9">
        <f>$N$1*(D161-D160)</f>
        <v/>
      </c>
      <c r="O161" s="9">
        <f>$O$1*LN(E161/E160)</f>
        <v/>
      </c>
      <c r="P161" s="9">
        <f>$P$1*LN(F161/F160)</f>
        <v/>
      </c>
      <c r="Q161" s="9">
        <f>$Q$1*(G161-G160)</f>
        <v/>
      </c>
      <c r="R161" s="9">
        <f>$R$1*(H161-H160)</f>
        <v/>
      </c>
      <c r="S161" s="9">
        <f>$S$1*LN(I161/I160)</f>
        <v/>
      </c>
      <c r="T161" s="9">
        <f>$T$1*LN(J161/J160)</f>
        <v/>
      </c>
      <c r="U161" s="9">
        <f>$W$12+$W$4*M161+$W$5*N161+$W$6*O161+$W$7*P161+$W$8*Q161+$W$9*R161+$W$10*S161+$W$11*T161</f>
        <v/>
      </c>
    </row>
    <row r="162">
      <c r="A162" s="7" t="n">
        <v>38737</v>
      </c>
      <c r="B162" s="8" t="n">
        <v>567.25</v>
      </c>
      <c r="C162" s="8" t="n">
        <v>2.43</v>
      </c>
      <c r="D162" s="8" t="n">
        <v>1.94</v>
      </c>
      <c r="E162" s="8" t="n">
        <v>88.949997</v>
      </c>
      <c r="F162" s="8" t="n">
        <v>68.16</v>
      </c>
      <c r="G162" s="8" t="n">
        <v>14.56</v>
      </c>
      <c r="H162" s="8" t="n">
        <v>66.199997</v>
      </c>
      <c r="I162" s="8" t="n">
        <v>1261.48999</v>
      </c>
      <c r="J162" s="8" t="n">
        <v>53.188786</v>
      </c>
      <c r="L162" s="9">
        <f>LN(B162/B161)</f>
        <v/>
      </c>
      <c r="M162" s="9">
        <f>$M$1*(C162-C161)</f>
        <v/>
      </c>
      <c r="N162" s="9">
        <f>$N$1*(D162-D161)</f>
        <v/>
      </c>
      <c r="O162" s="9">
        <f>$O$1*LN(E162/E161)</f>
        <v/>
      </c>
      <c r="P162" s="9">
        <f>$P$1*LN(F162/F161)</f>
        <v/>
      </c>
      <c r="Q162" s="9">
        <f>$Q$1*(G162-G161)</f>
        <v/>
      </c>
      <c r="R162" s="9">
        <f>$R$1*(H162-H161)</f>
        <v/>
      </c>
      <c r="S162" s="9">
        <f>$S$1*LN(I162/I161)</f>
        <v/>
      </c>
      <c r="T162" s="9">
        <f>$T$1*LN(J162/J161)</f>
        <v/>
      </c>
      <c r="U162" s="9">
        <f>$W$12+$W$4*M162+$W$5*N162+$W$6*O162+$W$7*P162+$W$8*Q162+$W$9*R162+$W$10*S162+$W$11*T162</f>
        <v/>
      </c>
    </row>
    <row r="163">
      <c r="A163" s="7" t="n">
        <v>38744</v>
      </c>
      <c r="B163" s="8" t="n">
        <v>561.75</v>
      </c>
      <c r="C163" s="8" t="n">
        <v>2.5</v>
      </c>
      <c r="D163" s="8" t="n">
        <v>2.02</v>
      </c>
      <c r="E163" s="8" t="n">
        <v>89.31999999999999</v>
      </c>
      <c r="F163" s="8" t="n">
        <v>67.81</v>
      </c>
      <c r="G163" s="8" t="n">
        <v>11.97</v>
      </c>
      <c r="H163" s="8" t="n">
        <v>73.699997</v>
      </c>
      <c r="I163" s="8" t="n">
        <v>1283.719971</v>
      </c>
      <c r="J163" s="8" t="n">
        <v>52.873119</v>
      </c>
      <c r="L163" s="9">
        <f>LN(B163/B162)</f>
        <v/>
      </c>
      <c r="M163" s="9">
        <f>$M$1*(C163-C162)</f>
        <v/>
      </c>
      <c r="N163" s="9">
        <f>$N$1*(D163-D162)</f>
        <v/>
      </c>
      <c r="O163" s="9">
        <f>$O$1*LN(E163/E162)</f>
        <v/>
      </c>
      <c r="P163" s="9">
        <f>$P$1*LN(F163/F162)</f>
        <v/>
      </c>
      <c r="Q163" s="9">
        <f>$Q$1*(G163-G162)</f>
        <v/>
      </c>
      <c r="R163" s="9">
        <f>$R$1*(H163-H162)</f>
        <v/>
      </c>
      <c r="S163" s="9">
        <f>$S$1*LN(I163/I162)</f>
        <v/>
      </c>
      <c r="T163" s="9">
        <f>$T$1*LN(J163/J162)</f>
        <v/>
      </c>
      <c r="U163" s="9">
        <f>$W$12+$W$4*M163+$W$5*N163+$W$6*O163+$W$7*P163+$W$8*Q163+$W$9*R163+$W$10*S163+$W$11*T163</f>
        <v/>
      </c>
    </row>
    <row r="164">
      <c r="A164" s="7" t="n">
        <v>38751</v>
      </c>
      <c r="B164" s="8" t="n">
        <v>569</v>
      </c>
      <c r="C164" s="8" t="n">
        <v>2.54</v>
      </c>
      <c r="D164" s="8" t="n">
        <v>2</v>
      </c>
      <c r="E164" s="8" t="n">
        <v>89.889999</v>
      </c>
      <c r="F164" s="8" t="n">
        <v>65.41</v>
      </c>
      <c r="G164" s="8" t="n">
        <v>12.96</v>
      </c>
      <c r="H164" s="8" t="n">
        <v>68.739998</v>
      </c>
      <c r="I164" s="8" t="n">
        <v>1264.030029</v>
      </c>
      <c r="J164" s="8" t="n">
        <v>52.92643</v>
      </c>
      <c r="L164" s="9">
        <f>LN(B164/B163)</f>
        <v/>
      </c>
      <c r="M164" s="9">
        <f>$M$1*(C164-C163)</f>
        <v/>
      </c>
      <c r="N164" s="9">
        <f>$N$1*(D164-D163)</f>
        <v/>
      </c>
      <c r="O164" s="9">
        <f>$O$1*LN(E164/E163)</f>
        <v/>
      </c>
      <c r="P164" s="9">
        <f>$P$1*LN(F164/F163)</f>
        <v/>
      </c>
      <c r="Q164" s="9">
        <f>$Q$1*(G164-G163)</f>
        <v/>
      </c>
      <c r="R164" s="9">
        <f>$R$1*(H164-H163)</f>
        <v/>
      </c>
      <c r="S164" s="9">
        <f>$S$1*LN(I164/I163)</f>
        <v/>
      </c>
      <c r="T164" s="9">
        <f>$T$1*LN(J164/J163)</f>
        <v/>
      </c>
      <c r="U164" s="9">
        <f>$W$12+$W$4*M164+$W$5*N164+$W$6*O164+$W$7*P164+$W$8*Q164+$W$9*R164+$W$10*S164+$W$11*T164</f>
        <v/>
      </c>
    </row>
    <row r="165">
      <c r="A165" s="7" t="n">
        <v>38758</v>
      </c>
      <c r="B165" s="8" t="n">
        <v>557</v>
      </c>
      <c r="C165" s="8" t="n">
        <v>2.5</v>
      </c>
      <c r="D165" s="8" t="n">
        <v>2.09</v>
      </c>
      <c r="E165" s="8" t="n">
        <v>90.550003</v>
      </c>
      <c r="F165" s="8" t="n">
        <v>62.01</v>
      </c>
      <c r="G165" s="8" t="n">
        <v>12.87</v>
      </c>
      <c r="H165" s="8" t="n">
        <v>72.400002</v>
      </c>
      <c r="I165" s="8" t="n">
        <v>1266.98999</v>
      </c>
      <c r="J165" s="8" t="n">
        <v>52.773285</v>
      </c>
      <c r="L165" s="9">
        <f>LN(B165/B164)</f>
        <v/>
      </c>
      <c r="M165" s="9">
        <f>$M$1*(C165-C164)</f>
        <v/>
      </c>
      <c r="N165" s="9">
        <f>$N$1*(D165-D164)</f>
        <v/>
      </c>
      <c r="O165" s="9">
        <f>$O$1*LN(E165/E164)</f>
        <v/>
      </c>
      <c r="P165" s="9">
        <f>$P$1*LN(F165/F164)</f>
        <v/>
      </c>
      <c r="Q165" s="9">
        <f>$Q$1*(G165-G164)</f>
        <v/>
      </c>
      <c r="R165" s="9">
        <f>$R$1*(H165-H164)</f>
        <v/>
      </c>
      <c r="S165" s="9">
        <f>$S$1*LN(I165/I164)</f>
        <v/>
      </c>
      <c r="T165" s="9">
        <f>$T$1*LN(J165/J164)</f>
        <v/>
      </c>
      <c r="U165" s="9">
        <f>$W$12+$W$4*M165+$W$5*N165+$W$6*O165+$W$7*P165+$W$8*Q165+$W$9*R165+$W$10*S165+$W$11*T165</f>
        <v/>
      </c>
    </row>
    <row r="166">
      <c r="A166" s="7" t="n">
        <v>38765</v>
      </c>
      <c r="B166" s="8" t="n">
        <v>551.7</v>
      </c>
      <c r="C166" s="8" t="n">
        <v>2.51</v>
      </c>
      <c r="D166" s="8" t="n">
        <v>2.03</v>
      </c>
      <c r="E166" s="8" t="n">
        <v>90.639999</v>
      </c>
      <c r="F166" s="8" t="n">
        <v>59.76</v>
      </c>
      <c r="G166" s="8" t="n">
        <v>12.01</v>
      </c>
      <c r="H166" s="8" t="n">
        <v>62.529999</v>
      </c>
      <c r="I166" s="8" t="n">
        <v>1287.23999</v>
      </c>
      <c r="J166" s="8" t="n">
        <v>52.947514</v>
      </c>
      <c r="L166" s="9">
        <f>LN(B166/B165)</f>
        <v/>
      </c>
      <c r="M166" s="9">
        <f>$M$1*(C166-C165)</f>
        <v/>
      </c>
      <c r="N166" s="9">
        <f>$N$1*(D166-D165)</f>
        <v/>
      </c>
      <c r="O166" s="9">
        <f>$O$1*LN(E166/E165)</f>
        <v/>
      </c>
      <c r="P166" s="9">
        <f>$P$1*LN(F166/F165)</f>
        <v/>
      </c>
      <c r="Q166" s="9">
        <f>$Q$1*(G166-G165)</f>
        <v/>
      </c>
      <c r="R166" s="9">
        <f>$R$1*(H166-H165)</f>
        <v/>
      </c>
      <c r="S166" s="9">
        <f>$S$1*LN(I166/I165)</f>
        <v/>
      </c>
      <c r="T166" s="9">
        <f>$T$1*LN(J166/J165)</f>
        <v/>
      </c>
      <c r="U166" s="9">
        <f>$W$12+$W$4*M166+$W$5*N166+$W$6*O166+$W$7*P166+$W$8*Q166+$W$9*R166+$W$10*S166+$W$11*T166</f>
        <v/>
      </c>
    </row>
    <row r="167">
      <c r="A167" s="7" t="n">
        <v>38772</v>
      </c>
      <c r="B167" s="8" t="n">
        <v>554.15</v>
      </c>
      <c r="C167" s="8" t="n">
        <v>2.56</v>
      </c>
      <c r="D167" s="8" t="n">
        <v>2.02</v>
      </c>
      <c r="E167" s="8" t="n">
        <v>90.610001</v>
      </c>
      <c r="F167" s="8" t="n">
        <v>61.46</v>
      </c>
      <c r="G167" s="8" t="n">
        <v>11.46</v>
      </c>
      <c r="H167" s="8" t="n">
        <v>55.240002</v>
      </c>
      <c r="I167" s="8" t="n">
        <v>1289.430054</v>
      </c>
      <c r="J167" s="8" t="n">
        <v>52.973904</v>
      </c>
      <c r="L167" s="9">
        <f>LN(B167/B166)</f>
        <v/>
      </c>
      <c r="M167" s="9">
        <f>$M$1*(C167-C166)</f>
        <v/>
      </c>
      <c r="N167" s="9">
        <f>$N$1*(D167-D166)</f>
        <v/>
      </c>
      <c r="O167" s="9">
        <f>$O$1*LN(E167/E166)</f>
        <v/>
      </c>
      <c r="P167" s="9">
        <f>$P$1*LN(F167/F166)</f>
        <v/>
      </c>
      <c r="Q167" s="9">
        <f>$Q$1*(G167-G166)</f>
        <v/>
      </c>
      <c r="R167" s="9">
        <f>$R$1*(H167-H166)</f>
        <v/>
      </c>
      <c r="S167" s="9">
        <f>$S$1*LN(I167/I166)</f>
        <v/>
      </c>
      <c r="T167" s="9">
        <f>$T$1*LN(J167/J166)</f>
        <v/>
      </c>
      <c r="U167" s="9">
        <f>$W$12+$W$4*M167+$W$5*N167+$W$6*O167+$W$7*P167+$W$8*Q167+$W$9*R167+$W$10*S167+$W$11*T167</f>
        <v/>
      </c>
    </row>
    <row r="168">
      <c r="A168" s="7" t="n">
        <v>38779</v>
      </c>
      <c r="B168" s="8" t="n">
        <v>565</v>
      </c>
      <c r="C168" s="8" t="n">
        <v>2.61</v>
      </c>
      <c r="D168" s="8" t="n">
        <v>2.07</v>
      </c>
      <c r="E168" s="8" t="n">
        <v>89.660004</v>
      </c>
      <c r="F168" s="8" t="n">
        <v>63.61</v>
      </c>
      <c r="G168" s="8" t="n">
        <v>11.96</v>
      </c>
      <c r="H168" s="8" t="n">
        <v>63.110001</v>
      </c>
      <c r="I168" s="8" t="n">
        <v>1287.22998</v>
      </c>
      <c r="J168" s="8" t="n">
        <v>52.737038</v>
      </c>
      <c r="L168" s="9">
        <f>LN(B168/B167)</f>
        <v/>
      </c>
      <c r="M168" s="9">
        <f>$M$1*(C168-C167)</f>
        <v/>
      </c>
      <c r="N168" s="9">
        <f>$N$1*(D168-D167)</f>
        <v/>
      </c>
      <c r="O168" s="9">
        <f>$O$1*LN(E168/E167)</f>
        <v/>
      </c>
      <c r="P168" s="9">
        <f>$P$1*LN(F168/F167)</f>
        <v/>
      </c>
      <c r="Q168" s="9">
        <f>$Q$1*(G168-G167)</f>
        <v/>
      </c>
      <c r="R168" s="9">
        <f>$R$1*(H168-H167)</f>
        <v/>
      </c>
      <c r="S168" s="9">
        <f>$S$1*LN(I168/I167)</f>
        <v/>
      </c>
      <c r="T168" s="9">
        <f>$T$1*LN(J168/J167)</f>
        <v/>
      </c>
      <c r="U168" s="9">
        <f>$W$12+$W$4*M168+$W$5*N168+$W$6*O168+$W$7*P168+$W$8*Q168+$W$9*R168+$W$10*S168+$W$11*T168</f>
        <v/>
      </c>
    </row>
    <row r="169">
      <c r="A169" s="7" t="n">
        <v>38786</v>
      </c>
      <c r="B169" s="8" t="n">
        <v>535</v>
      </c>
      <c r="C169" s="8" t="n">
        <v>2.53</v>
      </c>
      <c r="D169" s="8" t="n">
        <v>2.23</v>
      </c>
      <c r="E169" s="8" t="n">
        <v>90.849998</v>
      </c>
      <c r="F169" s="8" t="n">
        <v>59.91</v>
      </c>
      <c r="G169" s="8" t="n">
        <v>11.85</v>
      </c>
      <c r="H169" s="8" t="n">
        <v>62.5</v>
      </c>
      <c r="I169" s="8" t="n">
        <v>1281.420044</v>
      </c>
      <c r="J169" s="8" t="n">
        <v>52.556793</v>
      </c>
      <c r="L169" s="9">
        <f>LN(B169/B168)</f>
        <v/>
      </c>
      <c r="M169" s="9">
        <f>$M$1*(C169-C168)</f>
        <v/>
      </c>
      <c r="N169" s="9">
        <f>$N$1*(D169-D168)</f>
        <v/>
      </c>
      <c r="O169" s="9">
        <f>$O$1*LN(E169/E168)</f>
        <v/>
      </c>
      <c r="P169" s="9">
        <f>$P$1*LN(F169/F168)</f>
        <v/>
      </c>
      <c r="Q169" s="9">
        <f>$Q$1*(G169-G168)</f>
        <v/>
      </c>
      <c r="R169" s="9">
        <f>$R$1*(H169-H168)</f>
        <v/>
      </c>
      <c r="S169" s="9">
        <f>$S$1*LN(I169/I168)</f>
        <v/>
      </c>
      <c r="T169" s="9">
        <f>$T$1*LN(J169/J168)</f>
        <v/>
      </c>
      <c r="U169" s="9">
        <f>$W$12+$W$4*M169+$W$5*N169+$W$6*O169+$W$7*P169+$W$8*Q169+$W$9*R169+$W$10*S169+$W$11*T169</f>
        <v/>
      </c>
    </row>
    <row r="170">
      <c r="A170" s="7" t="n">
        <v>38793</v>
      </c>
      <c r="B170" s="8" t="n">
        <v>552.75</v>
      </c>
      <c r="C170" s="8" t="n">
        <v>2.52</v>
      </c>
      <c r="D170" s="8" t="n">
        <v>2.16</v>
      </c>
      <c r="E170" s="8" t="n">
        <v>88.91999800000001</v>
      </c>
      <c r="F170" s="8" t="n">
        <v>62.81</v>
      </c>
      <c r="G170" s="8" t="n">
        <v>12.12</v>
      </c>
      <c r="H170" s="8" t="n">
        <v>64.510002</v>
      </c>
      <c r="I170" s="8" t="n">
        <v>1307.25</v>
      </c>
      <c r="J170" s="8" t="n">
        <v>52.789993</v>
      </c>
      <c r="L170" s="9">
        <f>LN(B170/B169)</f>
        <v/>
      </c>
      <c r="M170" s="9">
        <f>$M$1*(C170-C169)</f>
        <v/>
      </c>
      <c r="N170" s="9">
        <f>$N$1*(D170-D169)</f>
        <v/>
      </c>
      <c r="O170" s="9">
        <f>$O$1*LN(E170/E169)</f>
        <v/>
      </c>
      <c r="P170" s="9">
        <f>$P$1*LN(F170/F169)</f>
        <v/>
      </c>
      <c r="Q170" s="9">
        <f>$Q$1*(G170-G169)</f>
        <v/>
      </c>
      <c r="R170" s="9">
        <f>$R$1*(H170-H169)</f>
        <v/>
      </c>
      <c r="S170" s="9">
        <f>$S$1*LN(I170/I169)</f>
        <v/>
      </c>
      <c r="T170" s="9">
        <f>$T$1*LN(J170/J169)</f>
        <v/>
      </c>
      <c r="U170" s="9">
        <f>$W$12+$W$4*M170+$W$5*N170+$W$6*O170+$W$7*P170+$W$8*Q170+$W$9*R170+$W$10*S170+$W$11*T170</f>
        <v/>
      </c>
    </row>
    <row r="171">
      <c r="A171" s="7" t="n">
        <v>38800</v>
      </c>
      <c r="B171" s="8" t="n">
        <v>556.75</v>
      </c>
      <c r="C171" s="8" t="n">
        <v>2.47</v>
      </c>
      <c r="D171" s="8" t="n">
        <v>2.2</v>
      </c>
      <c r="E171" s="8" t="n">
        <v>90.06999999999999</v>
      </c>
      <c r="F171" s="8" t="n">
        <v>63.9</v>
      </c>
      <c r="G171" s="8" t="n">
        <v>11.19</v>
      </c>
      <c r="H171" s="8" t="n">
        <v>65.699997</v>
      </c>
      <c r="I171" s="8" t="n">
        <v>1302.949951</v>
      </c>
      <c r="J171" s="8" t="n">
        <v>52.774082</v>
      </c>
      <c r="L171" s="9">
        <f>LN(B171/B170)</f>
        <v/>
      </c>
      <c r="M171" s="9">
        <f>$M$1*(C171-C170)</f>
        <v/>
      </c>
      <c r="N171" s="9">
        <f>$N$1*(D171-D170)</f>
        <v/>
      </c>
      <c r="O171" s="9">
        <f>$O$1*LN(E171/E170)</f>
        <v/>
      </c>
      <c r="P171" s="9">
        <f>$P$1*LN(F171/F170)</f>
        <v/>
      </c>
      <c r="Q171" s="9">
        <f>$Q$1*(G171-G170)</f>
        <v/>
      </c>
      <c r="R171" s="9">
        <f>$R$1*(H171-H170)</f>
        <v/>
      </c>
      <c r="S171" s="9">
        <f>$S$1*LN(I171/I170)</f>
        <v/>
      </c>
      <c r="T171" s="9">
        <f>$T$1*LN(J171/J170)</f>
        <v/>
      </c>
      <c r="U171" s="9">
        <f>$W$12+$W$4*M171+$W$5*N171+$W$6*O171+$W$7*P171+$W$8*Q171+$W$9*R171+$W$10*S171+$W$11*T171</f>
        <v/>
      </c>
    </row>
    <row r="172">
      <c r="A172" s="7" t="n">
        <v>38807</v>
      </c>
      <c r="B172" s="8" t="n">
        <v>582</v>
      </c>
      <c r="C172" s="8" t="n">
        <v>2.51</v>
      </c>
      <c r="D172" s="8" t="n">
        <v>2.35</v>
      </c>
      <c r="E172" s="8" t="n">
        <v>89.730003</v>
      </c>
      <c r="F172" s="8" t="n">
        <v>66.25</v>
      </c>
      <c r="G172" s="8" t="n">
        <v>11.39</v>
      </c>
      <c r="H172" s="8" t="n">
        <v>68.599998</v>
      </c>
      <c r="I172" s="8" t="n">
        <v>1294.869995</v>
      </c>
      <c r="J172" s="8" t="n">
        <v>52.514412</v>
      </c>
      <c r="L172" s="9">
        <f>LN(B172/B171)</f>
        <v/>
      </c>
      <c r="M172" s="9">
        <f>$M$1*(C172-C171)</f>
        <v/>
      </c>
      <c r="N172" s="9">
        <f>$N$1*(D172-D171)</f>
        <v/>
      </c>
      <c r="O172" s="9">
        <f>$O$1*LN(E172/E171)</f>
        <v/>
      </c>
      <c r="P172" s="9">
        <f>$P$1*LN(F172/F171)</f>
        <v/>
      </c>
      <c r="Q172" s="9">
        <f>$Q$1*(G172-G171)</f>
        <v/>
      </c>
      <c r="R172" s="9">
        <f>$R$1*(H172-H171)</f>
        <v/>
      </c>
      <c r="S172" s="9">
        <f>$S$1*LN(I172/I171)</f>
        <v/>
      </c>
      <c r="T172" s="9">
        <f>$T$1*LN(J172/J171)</f>
        <v/>
      </c>
      <c r="U172" s="9">
        <f>$W$12+$W$4*M172+$W$5*N172+$W$6*O172+$W$7*P172+$W$8*Q172+$W$9*R172+$W$10*S172+$W$11*T172</f>
        <v/>
      </c>
    </row>
    <row r="173">
      <c r="A173" s="7" t="n">
        <v>38814</v>
      </c>
      <c r="B173" s="8" t="n">
        <v>589.75</v>
      </c>
      <c r="C173" s="8" t="n">
        <v>2.54</v>
      </c>
      <c r="D173" s="8" t="n">
        <v>2.43</v>
      </c>
      <c r="E173" s="8" t="n">
        <v>89.629997</v>
      </c>
      <c r="F173" s="8" t="n">
        <v>67.02</v>
      </c>
      <c r="G173" s="8" t="n">
        <v>12.26</v>
      </c>
      <c r="H173" s="8" t="n">
        <v>70.800003</v>
      </c>
      <c r="I173" s="8" t="n">
        <v>1295.5</v>
      </c>
      <c r="J173" s="8" t="n">
        <v>52.351082</v>
      </c>
      <c r="L173" s="9">
        <f>LN(B173/B172)</f>
        <v/>
      </c>
      <c r="M173" s="9">
        <f>$M$1*(C173-C172)</f>
        <v/>
      </c>
      <c r="N173" s="9">
        <f>$N$1*(D173-D172)</f>
        <v/>
      </c>
      <c r="O173" s="9">
        <f>$O$1*LN(E173/E172)</f>
        <v/>
      </c>
      <c r="P173" s="9">
        <f>$P$1*LN(F173/F172)</f>
        <v/>
      </c>
      <c r="Q173" s="9">
        <f>$Q$1*(G173-G172)</f>
        <v/>
      </c>
      <c r="R173" s="9">
        <f>$R$1*(H173-H172)</f>
        <v/>
      </c>
      <c r="S173" s="9">
        <f>$S$1*LN(I173/I172)</f>
        <v/>
      </c>
      <c r="T173" s="9">
        <f>$T$1*LN(J173/J172)</f>
        <v/>
      </c>
      <c r="U173" s="9">
        <f>$W$12+$W$4*M173+$W$5*N173+$W$6*O173+$W$7*P173+$W$8*Q173+$W$9*R173+$W$10*S173+$W$11*T173</f>
        <v/>
      </c>
    </row>
    <row r="174">
      <c r="A174" s="7" t="n">
        <v>38821</v>
      </c>
      <c r="B174" s="8" t="n">
        <v>593</v>
      </c>
      <c r="C174" s="8" t="n">
        <v>2.57</v>
      </c>
      <c r="D174" s="8" t="n">
        <v>2.48</v>
      </c>
      <c r="E174" s="8" t="n">
        <v>89.620003</v>
      </c>
      <c r="F174" s="8" t="n">
        <v>69.53</v>
      </c>
      <c r="G174" s="8" t="n">
        <v>12.38</v>
      </c>
      <c r="H174" s="8" t="n">
        <v>71.699997</v>
      </c>
      <c r="I174" s="8" t="n">
        <v>1289.119995</v>
      </c>
      <c r="J174" s="8" t="n">
        <v>52.25526</v>
      </c>
      <c r="L174" s="9">
        <f>LN(B174/B173)</f>
        <v/>
      </c>
      <c r="M174" s="9">
        <f>$M$1*(C174-C173)</f>
        <v/>
      </c>
      <c r="N174" s="9">
        <f>$N$1*(D174-D173)</f>
        <v/>
      </c>
      <c r="O174" s="9">
        <f>$O$1*LN(E174/E173)</f>
        <v/>
      </c>
      <c r="P174" s="9">
        <f>$P$1*LN(F174/F173)</f>
        <v/>
      </c>
      <c r="Q174" s="9">
        <f>$Q$1*(G174-G173)</f>
        <v/>
      </c>
      <c r="R174" s="9">
        <f>$R$1*(H174-H173)</f>
        <v/>
      </c>
      <c r="S174" s="9">
        <f>$S$1*LN(I174/I173)</f>
        <v/>
      </c>
      <c r="T174" s="9">
        <f>$T$1*LN(J174/J173)</f>
        <v/>
      </c>
      <c r="U174" s="9">
        <f>$W$12+$W$4*M174+$W$5*N174+$W$6*O174+$W$7*P174+$W$8*Q174+$W$9*R174+$W$10*S174+$W$11*T174</f>
        <v/>
      </c>
    </row>
    <row r="175">
      <c r="A175" s="7" t="n">
        <v>38828</v>
      </c>
      <c r="B175" s="8" t="n">
        <v>623.5</v>
      </c>
      <c r="C175" s="8" t="n">
        <v>2.62</v>
      </c>
      <c r="D175" s="8" t="n">
        <v>2.39</v>
      </c>
      <c r="E175" s="8" t="n">
        <v>88.050003</v>
      </c>
      <c r="F175" s="8" t="n">
        <v>73.73</v>
      </c>
      <c r="G175" s="8" t="n">
        <v>11.59</v>
      </c>
      <c r="H175" s="8" t="n">
        <v>66</v>
      </c>
      <c r="I175" s="8" t="n">
        <v>1311.280029</v>
      </c>
      <c r="J175" s="8" t="n">
        <v>52.265907</v>
      </c>
      <c r="L175" s="9">
        <f>LN(B175/B174)</f>
        <v/>
      </c>
      <c r="M175" s="9">
        <f>$M$1*(C175-C174)</f>
        <v/>
      </c>
      <c r="N175" s="9">
        <f>$N$1*(D175-D174)</f>
        <v/>
      </c>
      <c r="O175" s="9">
        <f>$O$1*LN(E175/E174)</f>
        <v/>
      </c>
      <c r="P175" s="9">
        <f>$P$1*LN(F175/F174)</f>
        <v/>
      </c>
      <c r="Q175" s="9">
        <f>$Q$1*(G175-G174)</f>
        <v/>
      </c>
      <c r="R175" s="9">
        <f>$R$1*(H175-H174)</f>
        <v/>
      </c>
      <c r="S175" s="9">
        <f>$S$1*LN(I175/I174)</f>
        <v/>
      </c>
      <c r="T175" s="9">
        <f>$T$1*LN(J175/J174)</f>
        <v/>
      </c>
      <c r="U175" s="9">
        <f>$W$12+$W$4*M175+$W$5*N175+$W$6*O175+$W$7*P175+$W$8*Q175+$W$9*R175+$W$10*S175+$W$11*T175</f>
        <v/>
      </c>
    </row>
    <row r="176">
      <c r="A176" s="7" t="n">
        <v>38835</v>
      </c>
      <c r="B176" s="8" t="n">
        <v>644</v>
      </c>
      <c r="C176" s="8" t="n">
        <v>2.68</v>
      </c>
      <c r="D176" s="8" t="n">
        <v>2.39</v>
      </c>
      <c r="E176" s="8" t="n">
        <v>86.110001</v>
      </c>
      <c r="F176" s="8" t="n">
        <v>71.8</v>
      </c>
      <c r="G176" s="8" t="n">
        <v>11.59</v>
      </c>
      <c r="H176" s="8" t="n">
        <v>63</v>
      </c>
      <c r="I176" s="8" t="n">
        <v>1310.609985</v>
      </c>
      <c r="J176" s="8" t="n">
        <v>52.436146</v>
      </c>
      <c r="L176" s="9">
        <f>LN(B176/B175)</f>
        <v/>
      </c>
      <c r="M176" s="9">
        <f>$M$1*(C176-C175)</f>
        <v/>
      </c>
      <c r="N176" s="9">
        <f>$N$1*(D176-D175)</f>
        <v/>
      </c>
      <c r="O176" s="9">
        <f>$O$1*LN(E176/E175)</f>
        <v/>
      </c>
      <c r="P176" s="9">
        <f>$P$1*LN(F176/F175)</f>
        <v/>
      </c>
      <c r="Q176" s="9">
        <f>$Q$1*(G176-G175)</f>
        <v/>
      </c>
      <c r="R176" s="9">
        <f>$R$1*(H176-H175)</f>
        <v/>
      </c>
      <c r="S176" s="9">
        <f>$S$1*LN(I176/I175)</f>
        <v/>
      </c>
      <c r="T176" s="9">
        <f>$T$1*LN(J176/J175)</f>
        <v/>
      </c>
      <c r="U176" s="9">
        <f>$W$12+$W$4*M176+$W$5*N176+$W$6*O176+$W$7*P176+$W$8*Q176+$W$9*R176+$W$10*S176+$W$11*T176</f>
        <v/>
      </c>
    </row>
    <row r="177">
      <c r="A177" s="7" t="n">
        <v>38842</v>
      </c>
      <c r="B177" s="8" t="n">
        <v>678</v>
      </c>
      <c r="C177" s="8" t="n">
        <v>2.67</v>
      </c>
      <c r="D177" s="8" t="n">
        <v>2.45</v>
      </c>
      <c r="E177" s="8" t="n">
        <v>85.120003</v>
      </c>
      <c r="F177" s="8" t="n">
        <v>70.09</v>
      </c>
      <c r="G177" s="8" t="n">
        <v>11.62</v>
      </c>
      <c r="H177" s="8" t="n">
        <v>65.599998</v>
      </c>
      <c r="I177" s="8" t="n">
        <v>1325.76001</v>
      </c>
      <c r="J177" s="8" t="n">
        <v>52.315979</v>
      </c>
      <c r="L177" s="9">
        <f>LN(B177/B176)</f>
        <v/>
      </c>
      <c r="M177" s="9">
        <f>$M$1*(C177-C176)</f>
        <v/>
      </c>
      <c r="N177" s="9">
        <f>$N$1*(D177-D176)</f>
        <v/>
      </c>
      <c r="O177" s="9">
        <f>$O$1*LN(E177/E176)</f>
        <v/>
      </c>
      <c r="P177" s="9">
        <f>$P$1*LN(F177/F176)</f>
        <v/>
      </c>
      <c r="Q177" s="9">
        <f>$Q$1*(G177-G176)</f>
        <v/>
      </c>
      <c r="R177" s="9">
        <f>$R$1*(H177-H176)</f>
        <v/>
      </c>
      <c r="S177" s="9">
        <f>$S$1*LN(I177/I176)</f>
        <v/>
      </c>
      <c r="T177" s="9">
        <f>$T$1*LN(J177/J176)</f>
        <v/>
      </c>
      <c r="U177" s="9">
        <f>$W$12+$W$4*M177+$W$5*N177+$W$6*O177+$W$7*P177+$W$8*Q177+$W$9*R177+$W$10*S177+$W$11*T177</f>
        <v/>
      </c>
    </row>
    <row r="178">
      <c r="A178" s="7" t="n">
        <v>38849</v>
      </c>
      <c r="B178" s="8" t="n">
        <v>725</v>
      </c>
      <c r="C178" s="8" t="n">
        <v>2.72</v>
      </c>
      <c r="D178" s="8" t="n">
        <v>2.47</v>
      </c>
      <c r="E178" s="8" t="n">
        <v>83.959999</v>
      </c>
      <c r="F178" s="8" t="n">
        <v>71.87</v>
      </c>
      <c r="G178" s="8" t="n">
        <v>14.19</v>
      </c>
      <c r="H178" s="8" t="n">
        <v>65.800003</v>
      </c>
      <c r="I178" s="8" t="n">
        <v>1291.23999</v>
      </c>
      <c r="J178" s="8" t="n">
        <v>52.123676</v>
      </c>
      <c r="L178" s="9">
        <f>LN(B178/B177)</f>
        <v/>
      </c>
      <c r="M178" s="9">
        <f>$M$1*(C178-C177)</f>
        <v/>
      </c>
      <c r="N178" s="9">
        <f>$N$1*(D178-D177)</f>
        <v/>
      </c>
      <c r="O178" s="9">
        <f>$O$1*LN(E178/E177)</f>
        <v/>
      </c>
      <c r="P178" s="9">
        <f>$P$1*LN(F178/F177)</f>
        <v/>
      </c>
      <c r="Q178" s="9">
        <f>$Q$1*(G178-G177)</f>
        <v/>
      </c>
      <c r="R178" s="9">
        <f>$R$1*(H178-H177)</f>
        <v/>
      </c>
      <c r="S178" s="9">
        <f>$S$1*LN(I178/I177)</f>
        <v/>
      </c>
      <c r="T178" s="9">
        <f>$T$1*LN(J178/J177)</f>
        <v/>
      </c>
      <c r="U178" s="9">
        <f>$W$12+$W$4*M178+$W$5*N178+$W$6*O178+$W$7*P178+$W$8*Q178+$W$9*R178+$W$10*S178+$W$11*T178</f>
        <v/>
      </c>
    </row>
    <row r="179">
      <c r="A179" s="7" t="n">
        <v>38856</v>
      </c>
      <c r="B179" s="8" t="n">
        <v>651.5</v>
      </c>
      <c r="C179" s="8" t="n">
        <v>2.62</v>
      </c>
      <c r="D179" s="8" t="n">
        <v>2.43</v>
      </c>
      <c r="E179" s="8" t="n">
        <v>84.879997</v>
      </c>
      <c r="F179" s="8" t="n">
        <v>68.44</v>
      </c>
      <c r="G179" s="8" t="n">
        <v>17.18</v>
      </c>
      <c r="H179" s="8" t="n">
        <v>68.800003</v>
      </c>
      <c r="I179" s="8" t="n">
        <v>1267.030029</v>
      </c>
      <c r="J179" s="8" t="n">
        <v>52.470928</v>
      </c>
      <c r="L179" s="9">
        <f>LN(B179/B178)</f>
        <v/>
      </c>
      <c r="M179" s="9">
        <f>$M$1*(C179-C178)</f>
        <v/>
      </c>
      <c r="N179" s="9">
        <f>$N$1*(D179-D178)</f>
        <v/>
      </c>
      <c r="O179" s="9">
        <f>$O$1*LN(E179/E178)</f>
        <v/>
      </c>
      <c r="P179" s="9">
        <f>$P$1*LN(F179/F178)</f>
        <v/>
      </c>
      <c r="Q179" s="9">
        <f>$Q$1*(G179-G178)</f>
        <v/>
      </c>
      <c r="R179" s="9">
        <f>$R$1*(H179-H178)</f>
        <v/>
      </c>
      <c r="S179" s="9">
        <f>$S$1*LN(I179/I178)</f>
        <v/>
      </c>
      <c r="T179" s="9">
        <f>$T$1*LN(J179/J178)</f>
        <v/>
      </c>
      <c r="U179" s="9">
        <f>$W$12+$W$4*M179+$W$5*N179+$W$6*O179+$W$7*P179+$W$8*Q179+$W$9*R179+$W$10*S179+$W$11*T179</f>
        <v/>
      </c>
    </row>
    <row r="180">
      <c r="A180" s="7" t="n">
        <v>38863</v>
      </c>
      <c r="B180" s="8" t="n">
        <v>642.25</v>
      </c>
      <c r="C180" s="8" t="n">
        <v>2.62</v>
      </c>
      <c r="D180" s="8" t="n">
        <v>2.44</v>
      </c>
      <c r="E180" s="8" t="n">
        <v>85.260002</v>
      </c>
      <c r="F180" s="8" t="n">
        <v>71.34999999999999</v>
      </c>
      <c r="G180" s="8" t="n">
        <v>14.26</v>
      </c>
      <c r="H180" s="8" t="n">
        <v>67.099998</v>
      </c>
      <c r="I180" s="8" t="n">
        <v>1280.160034</v>
      </c>
      <c r="J180" s="8" t="n">
        <v>52.567078</v>
      </c>
      <c r="L180" s="9">
        <f>LN(B180/B179)</f>
        <v/>
      </c>
      <c r="M180" s="9">
        <f>$M$1*(C180-C179)</f>
        <v/>
      </c>
      <c r="N180" s="9">
        <f>$N$1*(D180-D179)</f>
        <v/>
      </c>
      <c r="O180" s="9">
        <f>$O$1*LN(E180/E179)</f>
        <v/>
      </c>
      <c r="P180" s="9">
        <f>$P$1*LN(F180/F179)</f>
        <v/>
      </c>
      <c r="Q180" s="9">
        <f>$Q$1*(G180-G179)</f>
        <v/>
      </c>
      <c r="R180" s="9">
        <f>$R$1*(H180-H179)</f>
        <v/>
      </c>
      <c r="S180" s="9">
        <f>$S$1*LN(I180/I179)</f>
        <v/>
      </c>
      <c r="T180" s="9">
        <f>$T$1*LN(J180/J179)</f>
        <v/>
      </c>
      <c r="U180" s="9">
        <f>$W$12+$W$4*M180+$W$5*N180+$W$6*O180+$W$7*P180+$W$8*Q180+$W$9*R180+$W$10*S180+$W$11*T180</f>
        <v/>
      </c>
    </row>
    <row r="181">
      <c r="A181" s="7" t="n">
        <v>38870</v>
      </c>
      <c r="B181" s="8" t="n">
        <v>632.25</v>
      </c>
      <c r="C181" s="8" t="n">
        <v>2.63</v>
      </c>
      <c r="D181" s="8" t="n">
        <v>2.37</v>
      </c>
      <c r="E181" s="8" t="n">
        <v>84.050003</v>
      </c>
      <c r="F181" s="8" t="n">
        <v>72.73</v>
      </c>
      <c r="G181" s="8" t="n">
        <v>14.32</v>
      </c>
      <c r="H181" s="8" t="n">
        <v>65.5</v>
      </c>
      <c r="I181" s="8" t="n">
        <v>1288.219971</v>
      </c>
      <c r="J181" s="8" t="n">
        <v>52.692898</v>
      </c>
      <c r="L181" s="9">
        <f>LN(B181/B180)</f>
        <v/>
      </c>
      <c r="M181" s="9">
        <f>$M$1*(C181-C180)</f>
        <v/>
      </c>
      <c r="N181" s="9">
        <f>$N$1*(D181-D180)</f>
        <v/>
      </c>
      <c r="O181" s="9">
        <f>$O$1*LN(E181/E180)</f>
        <v/>
      </c>
      <c r="P181" s="9">
        <f>$P$1*LN(F181/F180)</f>
        <v/>
      </c>
      <c r="Q181" s="9">
        <f>$Q$1*(G181-G180)</f>
        <v/>
      </c>
      <c r="R181" s="9">
        <f>$R$1*(H181-H180)</f>
        <v/>
      </c>
      <c r="S181" s="9">
        <f>$S$1*LN(I181/I180)</f>
        <v/>
      </c>
      <c r="T181" s="9">
        <f>$T$1*LN(J181/J180)</f>
        <v/>
      </c>
      <c r="U181" s="9">
        <f>$W$12+$W$4*M181+$W$5*N181+$W$6*O181+$W$7*P181+$W$8*Q181+$W$9*R181+$W$10*S181+$W$11*T181</f>
        <v/>
      </c>
    </row>
    <row r="182">
      <c r="A182" s="7" t="n">
        <v>38877</v>
      </c>
      <c r="B182" s="8" t="n">
        <v>616</v>
      </c>
      <c r="C182" s="8" t="n">
        <v>2.53</v>
      </c>
      <c r="D182" s="8" t="n">
        <v>2.45</v>
      </c>
      <c r="E182" s="8" t="n">
        <v>85.720001</v>
      </c>
      <c r="F182" s="8" t="n">
        <v>71.62</v>
      </c>
      <c r="G182" s="8" t="n">
        <v>18.12</v>
      </c>
      <c r="H182" s="8" t="n">
        <v>66.099998</v>
      </c>
      <c r="I182" s="8" t="n">
        <v>1252.300049</v>
      </c>
      <c r="J182" s="8" t="n">
        <v>52.746521</v>
      </c>
      <c r="L182" s="9">
        <f>LN(B182/B181)</f>
        <v/>
      </c>
      <c r="M182" s="9">
        <f>$M$1*(C182-C181)</f>
        <v/>
      </c>
      <c r="N182" s="9">
        <f>$N$1*(D182-D181)</f>
        <v/>
      </c>
      <c r="O182" s="9">
        <f>$O$1*LN(E182/E181)</f>
        <v/>
      </c>
      <c r="P182" s="9">
        <f>$P$1*LN(F182/F181)</f>
        <v/>
      </c>
      <c r="Q182" s="9">
        <f>$Q$1*(G182-G181)</f>
        <v/>
      </c>
      <c r="R182" s="9">
        <f>$R$1*(H182-H181)</f>
        <v/>
      </c>
      <c r="S182" s="9">
        <f>$S$1*LN(I182/I181)</f>
        <v/>
      </c>
      <c r="T182" s="9">
        <f>$T$1*LN(J182/J181)</f>
        <v/>
      </c>
      <c r="U182" s="9">
        <f>$W$12+$W$4*M182+$W$5*N182+$W$6*O182+$W$7*P182+$W$8*Q182+$W$9*R182+$W$10*S182+$W$11*T182</f>
        <v/>
      </c>
    </row>
    <row r="183">
      <c r="A183" s="7" t="n">
        <v>38884</v>
      </c>
      <c r="B183" s="8" t="n">
        <v>574</v>
      </c>
      <c r="C183" s="8" t="n">
        <v>2.59</v>
      </c>
      <c r="D183" s="8" t="n">
        <v>2.54</v>
      </c>
      <c r="E183" s="8" t="n">
        <v>85.91999800000001</v>
      </c>
      <c r="F183" s="8" t="n">
        <v>69.75</v>
      </c>
      <c r="G183" s="8" t="n">
        <v>17.25</v>
      </c>
      <c r="H183" s="8" t="n">
        <v>65.400002</v>
      </c>
      <c r="I183" s="8" t="n">
        <v>1251.540039</v>
      </c>
      <c r="J183" s="8" t="n">
        <v>52.419456</v>
      </c>
      <c r="L183" s="9">
        <f>LN(B183/B182)</f>
        <v/>
      </c>
      <c r="M183" s="9">
        <f>$M$1*(C183-C182)</f>
        <v/>
      </c>
      <c r="N183" s="9">
        <f>$N$1*(D183-D182)</f>
        <v/>
      </c>
      <c r="O183" s="9">
        <f>$O$1*LN(E183/E182)</f>
        <v/>
      </c>
      <c r="P183" s="9">
        <f>$P$1*LN(F183/F182)</f>
        <v/>
      </c>
      <c r="Q183" s="9">
        <f>$Q$1*(G183-G182)</f>
        <v/>
      </c>
      <c r="R183" s="9">
        <f>$R$1*(H183-H182)</f>
        <v/>
      </c>
      <c r="S183" s="9">
        <f>$S$1*LN(I183/I182)</f>
        <v/>
      </c>
      <c r="T183" s="9">
        <f>$T$1*LN(J183/J182)</f>
        <v/>
      </c>
      <c r="U183" s="9">
        <f>$W$12+$W$4*M183+$W$5*N183+$W$6*O183+$W$7*P183+$W$8*Q183+$W$9*R183+$W$10*S183+$W$11*T183</f>
        <v/>
      </c>
    </row>
    <row r="184">
      <c r="A184" s="7" t="n">
        <v>38891</v>
      </c>
      <c r="B184" s="8" t="n">
        <v>579.6</v>
      </c>
      <c r="C184" s="8" t="n">
        <v>2.59</v>
      </c>
      <c r="D184" s="8" t="n">
        <v>2.64</v>
      </c>
      <c r="E184" s="8" t="n">
        <v>86.81999999999999</v>
      </c>
      <c r="F184" s="8" t="n">
        <v>70.5</v>
      </c>
      <c r="G184" s="8" t="n">
        <v>15.89</v>
      </c>
      <c r="H184" s="8" t="n">
        <v>70.699997</v>
      </c>
      <c r="I184" s="8" t="n">
        <v>1244.5</v>
      </c>
      <c r="J184" s="8" t="n">
        <v>52.129906</v>
      </c>
      <c r="L184" s="9">
        <f>LN(B184/B183)</f>
        <v/>
      </c>
      <c r="M184" s="9">
        <f>$M$1*(C184-C183)</f>
        <v/>
      </c>
      <c r="N184" s="9">
        <f>$N$1*(D184-D183)</f>
        <v/>
      </c>
      <c r="O184" s="9">
        <f>$O$1*LN(E184/E183)</f>
        <v/>
      </c>
      <c r="P184" s="9">
        <f>$P$1*LN(F184/F183)</f>
        <v/>
      </c>
      <c r="Q184" s="9">
        <f>$Q$1*(G184-G183)</f>
        <v/>
      </c>
      <c r="R184" s="9">
        <f>$R$1*(H184-H183)</f>
        <v/>
      </c>
      <c r="S184" s="9">
        <f>$S$1*LN(I184/I183)</f>
        <v/>
      </c>
      <c r="T184" s="9">
        <f>$T$1*LN(J184/J183)</f>
        <v/>
      </c>
      <c r="U184" s="9">
        <f>$W$12+$W$4*M184+$W$5*N184+$W$6*O184+$W$7*P184+$W$8*Q184+$W$9*R184+$W$10*S184+$W$11*T184</f>
        <v/>
      </c>
    </row>
    <row r="185">
      <c r="A185" s="7" t="n">
        <v>38898</v>
      </c>
      <c r="B185" s="8" t="n">
        <v>613.5</v>
      </c>
      <c r="C185" s="8" t="n">
        <v>2.61</v>
      </c>
      <c r="D185" s="8" t="n">
        <v>2.54</v>
      </c>
      <c r="E185" s="8" t="n">
        <v>85.220001</v>
      </c>
      <c r="F185" s="8" t="n">
        <v>73.94</v>
      </c>
      <c r="G185" s="8" t="n">
        <v>13.08</v>
      </c>
      <c r="H185" s="8" t="n">
        <v>65.5</v>
      </c>
      <c r="I185" s="8" t="n">
        <v>1270.199951</v>
      </c>
      <c r="J185" s="8" t="n">
        <v>52.247799</v>
      </c>
      <c r="L185" s="9">
        <f>LN(B185/B184)</f>
        <v/>
      </c>
      <c r="M185" s="9">
        <f>$M$1*(C185-C184)</f>
        <v/>
      </c>
      <c r="N185" s="9">
        <f>$N$1*(D185-D184)</f>
        <v/>
      </c>
      <c r="O185" s="9">
        <f>$O$1*LN(E185/E184)</f>
        <v/>
      </c>
      <c r="P185" s="9">
        <f>$P$1*LN(F185/F184)</f>
        <v/>
      </c>
      <c r="Q185" s="9">
        <f>$Q$1*(G185-G184)</f>
        <v/>
      </c>
      <c r="R185" s="9">
        <f>$R$1*(H185-H184)</f>
        <v/>
      </c>
      <c r="S185" s="9">
        <f>$S$1*LN(I185/I184)</f>
        <v/>
      </c>
      <c r="T185" s="9">
        <f>$T$1*LN(J185/J184)</f>
        <v/>
      </c>
      <c r="U185" s="9">
        <f>$W$12+$W$4*M185+$W$5*N185+$W$6*O185+$W$7*P185+$W$8*Q185+$W$9*R185+$W$10*S185+$W$11*T185</f>
        <v/>
      </c>
    </row>
    <row r="186">
      <c r="A186" s="7" t="n">
        <v>38905</v>
      </c>
      <c r="B186" s="8" t="n">
        <v>631.5</v>
      </c>
      <c r="C186" s="8" t="n">
        <v>2.59</v>
      </c>
      <c r="D186" s="8" t="n">
        <v>2.55</v>
      </c>
      <c r="E186" s="8" t="n">
        <v>84.980003</v>
      </c>
      <c r="F186" s="8" t="n">
        <v>73.76000000000001</v>
      </c>
      <c r="G186" s="8" t="n">
        <v>13.97</v>
      </c>
      <c r="H186" s="8" t="n">
        <v>64</v>
      </c>
      <c r="I186" s="8" t="n">
        <v>1265.47998</v>
      </c>
      <c r="J186" s="8" t="n">
        <v>52.413651</v>
      </c>
      <c r="L186" s="9">
        <f>LN(B186/B185)</f>
        <v/>
      </c>
      <c r="M186" s="9">
        <f>$M$1*(C186-C185)</f>
        <v/>
      </c>
      <c r="N186" s="9">
        <f>$N$1*(D186-D185)</f>
        <v/>
      </c>
      <c r="O186" s="9">
        <f>$O$1*LN(E186/E185)</f>
        <v/>
      </c>
      <c r="P186" s="9">
        <f>$P$1*LN(F186/F185)</f>
        <v/>
      </c>
      <c r="Q186" s="9">
        <f>$Q$1*(G186-G185)</f>
        <v/>
      </c>
      <c r="R186" s="9">
        <f>$R$1*(H186-H185)</f>
        <v/>
      </c>
      <c r="S186" s="9">
        <f>$S$1*LN(I186/I185)</f>
        <v/>
      </c>
      <c r="T186" s="9">
        <f>$T$1*LN(J186/J185)</f>
        <v/>
      </c>
      <c r="U186" s="9">
        <f>$W$12+$W$4*M186+$W$5*N186+$W$6*O186+$W$7*P186+$W$8*Q186+$W$9*R186+$W$10*S186+$W$11*T186</f>
        <v/>
      </c>
    </row>
    <row r="187">
      <c r="A187" s="7" t="n">
        <v>38912</v>
      </c>
      <c r="B187" s="8" t="n">
        <v>663.25</v>
      </c>
      <c r="C187" s="8" t="n">
        <v>2.57</v>
      </c>
      <c r="D187" s="8" t="n">
        <v>2.5</v>
      </c>
      <c r="E187" s="8" t="n">
        <v>86.089996</v>
      </c>
      <c r="F187" s="8" t="n">
        <v>76.8</v>
      </c>
      <c r="G187" s="8" t="n">
        <v>18.05</v>
      </c>
      <c r="H187" s="8" t="n">
        <v>68.900002</v>
      </c>
      <c r="I187" s="8" t="n">
        <v>1236.199951</v>
      </c>
      <c r="J187" s="8" t="n">
        <v>52.693577</v>
      </c>
      <c r="L187" s="9">
        <f>LN(B187/B186)</f>
        <v/>
      </c>
      <c r="M187" s="9">
        <f>$M$1*(C187-C186)</f>
        <v/>
      </c>
      <c r="N187" s="9">
        <f>$N$1*(D187-D186)</f>
        <v/>
      </c>
      <c r="O187" s="9">
        <f>$O$1*LN(E187/E186)</f>
        <v/>
      </c>
      <c r="P187" s="9">
        <f>$P$1*LN(F187/F186)</f>
        <v/>
      </c>
      <c r="Q187" s="9">
        <f>$Q$1*(G187-G186)</f>
        <v/>
      </c>
      <c r="R187" s="9">
        <f>$R$1*(H187-H186)</f>
        <v/>
      </c>
      <c r="S187" s="9">
        <f>$S$1*LN(I187/I186)</f>
        <v/>
      </c>
      <c r="T187" s="9">
        <f>$T$1*LN(J187/J186)</f>
        <v/>
      </c>
      <c r="U187" s="9">
        <f>$W$12+$W$4*M187+$W$5*N187+$W$6*O187+$W$7*P187+$W$8*Q187+$W$9*R187+$W$10*S187+$W$11*T187</f>
        <v/>
      </c>
    </row>
    <row r="188">
      <c r="A188" s="7" t="n">
        <v>38919</v>
      </c>
      <c r="B188" s="8" t="n">
        <v>634</v>
      </c>
      <c r="C188" s="8" t="n">
        <v>2.56</v>
      </c>
      <c r="D188" s="8" t="n">
        <v>2.49</v>
      </c>
      <c r="E188" s="8" t="n">
        <v>85.93000000000001</v>
      </c>
      <c r="F188" s="8" t="n">
        <v>73.52</v>
      </c>
      <c r="G188" s="8" t="n">
        <v>17.4</v>
      </c>
      <c r="H188" s="8" t="n">
        <v>66.099998</v>
      </c>
      <c r="I188" s="8" t="n">
        <v>1240.290039</v>
      </c>
      <c r="J188" s="8" t="n">
        <v>52.768951</v>
      </c>
      <c r="L188" s="9">
        <f>LN(B188/B187)</f>
        <v/>
      </c>
      <c r="M188" s="9">
        <f>$M$1*(C188-C187)</f>
        <v/>
      </c>
      <c r="N188" s="9">
        <f>$N$1*(D188-D187)</f>
        <v/>
      </c>
      <c r="O188" s="9">
        <f>$O$1*LN(E188/E187)</f>
        <v/>
      </c>
      <c r="P188" s="9">
        <f>$P$1*LN(F188/F187)</f>
        <v/>
      </c>
      <c r="Q188" s="9">
        <f>$Q$1*(G188-G187)</f>
        <v/>
      </c>
      <c r="R188" s="9">
        <f>$R$1*(H188-H187)</f>
        <v/>
      </c>
      <c r="S188" s="9">
        <f>$S$1*LN(I188/I187)</f>
        <v/>
      </c>
      <c r="T188" s="9">
        <f>$T$1*LN(J188/J187)</f>
        <v/>
      </c>
      <c r="U188" s="9">
        <f>$W$12+$W$4*M188+$W$5*N188+$W$6*O188+$W$7*P188+$W$8*Q188+$W$9*R188+$W$10*S188+$W$11*T188</f>
        <v/>
      </c>
    </row>
    <row r="189">
      <c r="A189" s="7" t="n">
        <v>38926</v>
      </c>
      <c r="B189" s="8" t="n">
        <v>637.1</v>
      </c>
      <c r="C189" s="8" t="n">
        <v>2.59</v>
      </c>
      <c r="D189" s="8" t="n">
        <v>2.41</v>
      </c>
      <c r="E189" s="8" t="n">
        <v>85.44000200000001</v>
      </c>
      <c r="F189" s="8" t="n">
        <v>73.3</v>
      </c>
      <c r="G189" s="8" t="n">
        <v>14.33</v>
      </c>
      <c r="H189" s="8" t="n">
        <v>63.700001</v>
      </c>
      <c r="I189" s="8" t="n">
        <v>1278.550049</v>
      </c>
      <c r="J189" s="8" t="n">
        <v>53.038109</v>
      </c>
      <c r="L189" s="9">
        <f>LN(B189/B188)</f>
        <v/>
      </c>
      <c r="M189" s="9">
        <f>$M$1*(C189-C188)</f>
        <v/>
      </c>
      <c r="N189" s="9">
        <f>$N$1*(D189-D188)</f>
        <v/>
      </c>
      <c r="O189" s="9">
        <f>$O$1*LN(E189/E188)</f>
        <v/>
      </c>
      <c r="P189" s="9">
        <f>$P$1*LN(F189/F188)</f>
        <v/>
      </c>
      <c r="Q189" s="9">
        <f>$Q$1*(G189-G188)</f>
        <v/>
      </c>
      <c r="R189" s="9">
        <f>$R$1*(H189-H188)</f>
        <v/>
      </c>
      <c r="S189" s="9">
        <f>$S$1*LN(I189/I188)</f>
        <v/>
      </c>
      <c r="T189" s="9">
        <f>$T$1*LN(J189/J188)</f>
        <v/>
      </c>
      <c r="U189" s="9">
        <f>$W$12+$W$4*M189+$W$5*N189+$W$6*O189+$W$7*P189+$W$8*Q189+$W$9*R189+$W$10*S189+$W$11*T189</f>
        <v/>
      </c>
    </row>
    <row r="190">
      <c r="A190" s="7" t="n">
        <v>38933</v>
      </c>
      <c r="B190" s="8" t="n">
        <v>652.25</v>
      </c>
      <c r="C190" s="8" t="n">
        <v>2.61</v>
      </c>
      <c r="D190" s="8" t="n">
        <v>2.3</v>
      </c>
      <c r="E190" s="8" t="n">
        <v>84.56999999999999</v>
      </c>
      <c r="F190" s="8" t="n">
        <v>74.78</v>
      </c>
      <c r="G190" s="8" t="n">
        <v>14.34</v>
      </c>
      <c r="H190" s="8" t="n">
        <v>62.5</v>
      </c>
      <c r="I190" s="8" t="n">
        <v>1279.359985</v>
      </c>
      <c r="J190" s="8" t="n">
        <v>53.302731</v>
      </c>
      <c r="L190" s="9">
        <f>LN(B190/B189)</f>
        <v/>
      </c>
      <c r="M190" s="9">
        <f>$M$1*(C190-C189)</f>
        <v/>
      </c>
      <c r="N190" s="9">
        <f>$N$1*(D190-D189)</f>
        <v/>
      </c>
      <c r="O190" s="9">
        <f>$O$1*LN(E190/E189)</f>
        <v/>
      </c>
      <c r="P190" s="9">
        <f>$P$1*LN(F190/F189)</f>
        <v/>
      </c>
      <c r="Q190" s="9">
        <f>$Q$1*(G190-G189)</f>
        <v/>
      </c>
      <c r="R190" s="9">
        <f>$R$1*(H190-H189)</f>
        <v/>
      </c>
      <c r="S190" s="9">
        <f>$S$1*LN(I190/I189)</f>
        <v/>
      </c>
      <c r="T190" s="9">
        <f>$T$1*LN(J190/J189)</f>
        <v/>
      </c>
      <c r="U190" s="9">
        <f>$W$12+$W$4*M190+$W$5*N190+$W$6*O190+$W$7*P190+$W$8*Q190+$W$9*R190+$W$10*S190+$W$11*T190</f>
        <v/>
      </c>
    </row>
    <row r="191">
      <c r="A191" s="7" t="n">
        <v>38940</v>
      </c>
      <c r="B191" s="8" t="n">
        <v>644.5</v>
      </c>
      <c r="C191" s="8" t="n">
        <v>2.64</v>
      </c>
      <c r="D191" s="8" t="n">
        <v>2.33</v>
      </c>
      <c r="E191" s="8" t="n">
        <v>85.519997</v>
      </c>
      <c r="F191" s="8" t="n">
        <v>74.38</v>
      </c>
      <c r="G191" s="8" t="n">
        <v>14.3</v>
      </c>
      <c r="H191" s="8" t="n">
        <v>58.799999</v>
      </c>
      <c r="I191" s="8" t="n">
        <v>1266.73999</v>
      </c>
      <c r="J191" s="8" t="n">
        <v>53.232471</v>
      </c>
      <c r="L191" s="9">
        <f>LN(B191/B190)</f>
        <v/>
      </c>
      <c r="M191" s="9">
        <f>$M$1*(C191-C190)</f>
        <v/>
      </c>
      <c r="N191" s="9">
        <f>$N$1*(D191-D190)</f>
        <v/>
      </c>
      <c r="O191" s="9">
        <f>$O$1*LN(E191/E190)</f>
        <v/>
      </c>
      <c r="P191" s="9">
        <f>$P$1*LN(F191/F190)</f>
        <v/>
      </c>
      <c r="Q191" s="9">
        <f>$Q$1*(G191-G190)</f>
        <v/>
      </c>
      <c r="R191" s="9">
        <f>$R$1*(H191-H190)</f>
        <v/>
      </c>
      <c r="S191" s="9">
        <f>$S$1*LN(I191/I190)</f>
        <v/>
      </c>
      <c r="T191" s="9">
        <f>$T$1*LN(J191/J190)</f>
        <v/>
      </c>
      <c r="U191" s="9">
        <f>$W$12+$W$4*M191+$W$5*N191+$W$6*O191+$W$7*P191+$W$8*Q191+$W$9*R191+$W$10*S191+$W$11*T191</f>
        <v/>
      </c>
    </row>
    <row r="192">
      <c r="A192" s="7" t="n">
        <v>38947</v>
      </c>
      <c r="B192" s="8" t="n">
        <v>613.9</v>
      </c>
      <c r="C192" s="8" t="n">
        <v>2.58</v>
      </c>
      <c r="D192" s="8" t="n">
        <v>2.26</v>
      </c>
      <c r="E192" s="8" t="n">
        <v>85.089996</v>
      </c>
      <c r="F192" s="8" t="n">
        <v>70.93000000000001</v>
      </c>
      <c r="G192" s="8" t="n">
        <v>11.64</v>
      </c>
      <c r="H192" s="8" t="n">
        <v>59.299999</v>
      </c>
      <c r="I192" s="8" t="n">
        <v>1302.300049</v>
      </c>
      <c r="J192" s="8" t="n">
        <v>53.52441</v>
      </c>
      <c r="L192" s="9">
        <f>LN(B192/B191)</f>
        <v/>
      </c>
      <c r="M192" s="9">
        <f>$M$1*(C192-C191)</f>
        <v/>
      </c>
      <c r="N192" s="9">
        <f>$N$1*(D192-D191)</f>
        <v/>
      </c>
      <c r="O192" s="9">
        <f>$O$1*LN(E192/E191)</f>
        <v/>
      </c>
      <c r="P192" s="9">
        <f>$P$1*LN(F192/F191)</f>
        <v/>
      </c>
      <c r="Q192" s="9">
        <f>$Q$1*(G192-G191)</f>
        <v/>
      </c>
      <c r="R192" s="9">
        <f>$R$1*(H192-H191)</f>
        <v/>
      </c>
      <c r="S192" s="9">
        <f>$S$1*LN(I192/I191)</f>
        <v/>
      </c>
      <c r="T192" s="9">
        <f>$T$1*LN(J192/J191)</f>
        <v/>
      </c>
      <c r="U192" s="9">
        <f>$W$12+$W$4*M192+$W$5*N192+$W$6*O192+$W$7*P192+$W$8*Q192+$W$9*R192+$W$10*S192+$W$11*T192</f>
        <v/>
      </c>
    </row>
    <row r="193">
      <c r="A193" s="7" t="n">
        <v>38954</v>
      </c>
      <c r="B193" s="8" t="n">
        <v>621.25</v>
      </c>
      <c r="C193" s="8" t="n">
        <v>2.55</v>
      </c>
      <c r="D193" s="8" t="n">
        <v>2.24</v>
      </c>
      <c r="E193" s="8" t="n">
        <v>85.379997</v>
      </c>
      <c r="F193" s="8" t="n">
        <v>72.13</v>
      </c>
      <c r="G193" s="8" t="n">
        <v>12.31</v>
      </c>
      <c r="H193" s="8" t="n">
        <v>58.299999</v>
      </c>
      <c r="I193" s="8" t="n">
        <v>1295.089966</v>
      </c>
      <c r="J193" s="8" t="n">
        <v>53.691978</v>
      </c>
      <c r="L193" s="9">
        <f>LN(B193/B192)</f>
        <v/>
      </c>
      <c r="M193" s="9">
        <f>$M$1*(C193-C192)</f>
        <v/>
      </c>
      <c r="N193" s="9">
        <f>$N$1*(D193-D192)</f>
        <v/>
      </c>
      <c r="O193" s="9">
        <f>$O$1*LN(E193/E192)</f>
        <v/>
      </c>
      <c r="P193" s="9">
        <f>$P$1*LN(F193/F192)</f>
        <v/>
      </c>
      <c r="Q193" s="9">
        <f>$Q$1*(G193-G192)</f>
        <v/>
      </c>
      <c r="R193" s="9">
        <f>$R$1*(H193-H192)</f>
        <v/>
      </c>
      <c r="S193" s="9">
        <f>$S$1*LN(I193/I192)</f>
        <v/>
      </c>
      <c r="T193" s="9">
        <f>$T$1*LN(J193/J192)</f>
        <v/>
      </c>
      <c r="U193" s="9">
        <f>$W$12+$W$4*M193+$W$5*N193+$W$6*O193+$W$7*P193+$W$8*Q193+$W$9*R193+$W$10*S193+$W$11*T193</f>
        <v/>
      </c>
    </row>
    <row r="194">
      <c r="A194" s="7" t="n">
        <v>38961</v>
      </c>
      <c r="B194" s="8" t="n">
        <v>621.05</v>
      </c>
      <c r="C194" s="8" t="n">
        <v>2.48</v>
      </c>
      <c r="D194" s="8" t="n">
        <v>2.25</v>
      </c>
      <c r="E194" s="8" t="n">
        <v>84.94000200000001</v>
      </c>
      <c r="F194" s="8" t="n">
        <v>69.23999999999999</v>
      </c>
      <c r="G194" s="8" t="n">
        <v>11.96</v>
      </c>
      <c r="H194" s="8" t="n">
        <v>56.700001</v>
      </c>
      <c r="I194" s="8" t="n">
        <v>1311.01001</v>
      </c>
      <c r="J194" s="8" t="n">
        <v>53.823368</v>
      </c>
      <c r="L194" s="9">
        <f>LN(B194/B193)</f>
        <v/>
      </c>
      <c r="M194" s="9">
        <f>$M$1*(C194-C193)</f>
        <v/>
      </c>
      <c r="N194" s="9">
        <f>$N$1*(D194-D193)</f>
        <v/>
      </c>
      <c r="O194" s="9">
        <f>$O$1*LN(E194/E193)</f>
        <v/>
      </c>
      <c r="P194" s="9">
        <f>$P$1*LN(F194/F193)</f>
        <v/>
      </c>
      <c r="Q194" s="9">
        <f>$Q$1*(G194-G193)</f>
        <v/>
      </c>
      <c r="R194" s="9">
        <f>$R$1*(H194-H193)</f>
        <v/>
      </c>
      <c r="S194" s="9">
        <f>$S$1*LN(I194/I193)</f>
        <v/>
      </c>
      <c r="T194" s="9">
        <f>$T$1*LN(J194/J193)</f>
        <v/>
      </c>
      <c r="U194" s="9">
        <f>$W$12+$W$4*M194+$W$5*N194+$W$6*O194+$W$7*P194+$W$8*Q194+$W$9*R194+$W$10*S194+$W$11*T194</f>
        <v/>
      </c>
    </row>
    <row r="195">
      <c r="A195" s="7" t="n">
        <v>38968</v>
      </c>
      <c r="B195" s="8" t="n">
        <v>610</v>
      </c>
      <c r="C195" s="8" t="n">
        <v>2.43</v>
      </c>
      <c r="D195" s="8" t="n">
        <v>2.35</v>
      </c>
      <c r="E195" s="8" t="n">
        <v>85.949997</v>
      </c>
      <c r="F195" s="8" t="n">
        <v>66.3</v>
      </c>
      <c r="G195" s="8" t="n">
        <v>13.16</v>
      </c>
      <c r="H195" s="8" t="n">
        <v>56.400002</v>
      </c>
      <c r="I195" s="8" t="n">
        <v>1298.920044</v>
      </c>
      <c r="J195" s="8" t="n">
        <v>53.823368</v>
      </c>
      <c r="L195" s="9">
        <f>LN(B195/B194)</f>
        <v/>
      </c>
      <c r="M195" s="9">
        <f>$M$1*(C195-C194)</f>
        <v/>
      </c>
      <c r="N195" s="9">
        <f>$N$1*(D195-D194)</f>
        <v/>
      </c>
      <c r="O195" s="9">
        <f>$O$1*LN(E195/E194)</f>
        <v/>
      </c>
      <c r="P195" s="9">
        <f>$P$1*LN(F195/F194)</f>
        <v/>
      </c>
      <c r="Q195" s="9">
        <f>$Q$1*(G195-G194)</f>
        <v/>
      </c>
      <c r="R195" s="9">
        <f>$R$1*(H195-H194)</f>
        <v/>
      </c>
      <c r="S195" s="9">
        <f>$S$1*LN(I195/I194)</f>
        <v/>
      </c>
      <c r="T195" s="9">
        <f>$T$1*LN(J195/J194)</f>
        <v/>
      </c>
      <c r="U195" s="9">
        <f>$W$12+$W$4*M195+$W$5*N195+$W$6*O195+$W$7*P195+$W$8*Q195+$W$9*R195+$W$10*S195+$W$11*T195</f>
        <v/>
      </c>
    </row>
    <row r="196">
      <c r="A196" s="7" t="n">
        <v>38975</v>
      </c>
      <c r="B196" s="8" t="n">
        <v>573.6</v>
      </c>
      <c r="C196" s="8" t="n">
        <v>2.42</v>
      </c>
      <c r="D196" s="8" t="n">
        <v>2.38</v>
      </c>
      <c r="E196" s="8" t="n">
        <v>85.989998</v>
      </c>
      <c r="F196" s="8" t="n">
        <v>63.3</v>
      </c>
      <c r="G196" s="8" t="n">
        <v>11.76</v>
      </c>
      <c r="H196" s="8" t="n">
        <v>55.900002</v>
      </c>
      <c r="I196" s="8" t="n">
        <v>1319.660034</v>
      </c>
      <c r="J196" s="8" t="n">
        <v>53.866814</v>
      </c>
      <c r="L196" s="9">
        <f>LN(B196/B195)</f>
        <v/>
      </c>
      <c r="M196" s="9">
        <f>$M$1*(C196-C195)</f>
        <v/>
      </c>
      <c r="N196" s="9">
        <f>$N$1*(D196-D195)</f>
        <v/>
      </c>
      <c r="O196" s="9">
        <f>$O$1*LN(E196/E195)</f>
        <v/>
      </c>
      <c r="P196" s="9">
        <f>$P$1*LN(F196/F195)</f>
        <v/>
      </c>
      <c r="Q196" s="9">
        <f>$Q$1*(G196-G195)</f>
        <v/>
      </c>
      <c r="R196" s="9">
        <f>$R$1*(H196-H195)</f>
        <v/>
      </c>
      <c r="S196" s="9">
        <f>$S$1*LN(I196/I195)</f>
        <v/>
      </c>
      <c r="T196" s="9">
        <f>$T$1*LN(J196/J195)</f>
        <v/>
      </c>
      <c r="U196" s="9">
        <f>$W$12+$W$4*M196+$W$5*N196+$W$6*O196+$W$7*P196+$W$8*Q196+$W$9*R196+$W$10*S196+$W$11*T196</f>
        <v/>
      </c>
    </row>
    <row r="197">
      <c r="A197" s="7" t="n">
        <v>38982</v>
      </c>
      <c r="B197" s="8" t="n">
        <v>589</v>
      </c>
      <c r="C197" s="8" t="n">
        <v>2.33</v>
      </c>
      <c r="D197" s="8" t="n">
        <v>2.27</v>
      </c>
      <c r="E197" s="8" t="n">
        <v>85.199997</v>
      </c>
      <c r="F197" s="8" t="n">
        <v>59.79</v>
      </c>
      <c r="G197" s="8" t="n">
        <v>12.59</v>
      </c>
      <c r="H197" s="8" t="n">
        <v>69.5</v>
      </c>
      <c r="I197" s="8" t="n">
        <v>1314.780029</v>
      </c>
      <c r="J197" s="8" t="n">
        <v>54.3064</v>
      </c>
      <c r="L197" s="9">
        <f>LN(B197/B196)</f>
        <v/>
      </c>
      <c r="M197" s="9">
        <f>$M$1*(C197-C196)</f>
        <v/>
      </c>
      <c r="N197" s="9">
        <f>$N$1*(D197-D196)</f>
        <v/>
      </c>
      <c r="O197" s="9">
        <f>$O$1*LN(E197/E196)</f>
        <v/>
      </c>
      <c r="P197" s="9">
        <f>$P$1*LN(F197/F196)</f>
        <v/>
      </c>
      <c r="Q197" s="9">
        <f>$Q$1*(G197-G196)</f>
        <v/>
      </c>
      <c r="R197" s="9">
        <f>$R$1*(H197-H196)</f>
        <v/>
      </c>
      <c r="S197" s="9">
        <f>$S$1*LN(I197/I196)</f>
        <v/>
      </c>
      <c r="T197" s="9">
        <f>$T$1*LN(J197/J196)</f>
        <v/>
      </c>
      <c r="U197" s="9">
        <f>$W$12+$W$4*M197+$W$5*N197+$W$6*O197+$W$7*P197+$W$8*Q197+$W$9*R197+$W$10*S197+$W$11*T197</f>
        <v/>
      </c>
    </row>
    <row r="198">
      <c r="A198" s="7" t="n">
        <v>38989</v>
      </c>
      <c r="B198" s="8" t="n">
        <v>599.25</v>
      </c>
      <c r="C198" s="8" t="n">
        <v>2.37</v>
      </c>
      <c r="D198" s="8" t="n">
        <v>2.27</v>
      </c>
      <c r="E198" s="8" t="n">
        <v>85.970001</v>
      </c>
      <c r="F198" s="8" t="n">
        <v>62.9</v>
      </c>
      <c r="G198" s="8" t="n">
        <v>11.98</v>
      </c>
      <c r="H198" s="8" t="n">
        <v>63.099998</v>
      </c>
      <c r="I198" s="8" t="n">
        <v>1335.849976</v>
      </c>
      <c r="J198" s="8" t="n">
        <v>54.360672</v>
      </c>
      <c r="L198" s="9">
        <f>LN(B198/B197)</f>
        <v/>
      </c>
      <c r="M198" s="9">
        <f>$M$1*(C198-C197)</f>
        <v/>
      </c>
      <c r="N198" s="9">
        <f>$N$1*(D198-D197)</f>
        <v/>
      </c>
      <c r="O198" s="9">
        <f>$O$1*LN(E198/E197)</f>
        <v/>
      </c>
      <c r="P198" s="9">
        <f>$P$1*LN(F198/F197)</f>
        <v/>
      </c>
      <c r="Q198" s="9">
        <f>$Q$1*(G198-G197)</f>
        <v/>
      </c>
      <c r="R198" s="9">
        <f>$R$1*(H198-H197)</f>
        <v/>
      </c>
      <c r="S198" s="9">
        <f>$S$1*LN(I198/I197)</f>
        <v/>
      </c>
      <c r="T198" s="9">
        <f>$T$1*LN(J198/J197)</f>
        <v/>
      </c>
      <c r="U198" s="9">
        <f>$W$12+$W$4*M198+$W$5*N198+$W$6*O198+$W$7*P198+$W$8*Q198+$W$9*R198+$W$10*S198+$W$11*T198</f>
        <v/>
      </c>
    </row>
    <row r="199">
      <c r="A199" s="7" t="n">
        <v>38996</v>
      </c>
      <c r="B199" s="8" t="n">
        <v>560.75</v>
      </c>
      <c r="C199" s="8" t="n">
        <v>2.33</v>
      </c>
      <c r="D199" s="8" t="n">
        <v>2.37</v>
      </c>
      <c r="E199" s="8" t="n">
        <v>86.44000200000001</v>
      </c>
      <c r="F199" s="8" t="n">
        <v>59.68</v>
      </c>
      <c r="G199" s="8" t="n">
        <v>11.56</v>
      </c>
      <c r="H199" s="8" t="n">
        <v>63.700001</v>
      </c>
      <c r="I199" s="8" t="n">
        <v>1349.589966</v>
      </c>
      <c r="J199" s="8" t="n">
        <v>54.242989</v>
      </c>
      <c r="L199" s="9">
        <f>LN(B199/B198)</f>
        <v/>
      </c>
      <c r="M199" s="9">
        <f>$M$1*(C199-C198)</f>
        <v/>
      </c>
      <c r="N199" s="9">
        <f>$N$1*(D199-D198)</f>
        <v/>
      </c>
      <c r="O199" s="9">
        <f>$O$1*LN(E199/E198)</f>
        <v/>
      </c>
      <c r="P199" s="9">
        <f>$P$1*LN(F199/F198)</f>
        <v/>
      </c>
      <c r="Q199" s="9">
        <f>$Q$1*(G199-G198)</f>
        <v/>
      </c>
      <c r="R199" s="9">
        <f>$R$1*(H199-H198)</f>
        <v/>
      </c>
      <c r="S199" s="9">
        <f>$S$1*LN(I199/I198)</f>
        <v/>
      </c>
      <c r="T199" s="9">
        <f>$T$1*LN(J199/J198)</f>
        <v/>
      </c>
      <c r="U199" s="9">
        <f>$W$12+$W$4*M199+$W$5*N199+$W$6*O199+$W$7*P199+$W$8*Q199+$W$9*R199+$W$10*S199+$W$11*T199</f>
        <v/>
      </c>
    </row>
    <row r="200">
      <c r="A200" s="7" t="n">
        <v>39003</v>
      </c>
      <c r="B200" s="8" t="n">
        <v>586.1</v>
      </c>
      <c r="C200" s="8" t="n">
        <v>2.34</v>
      </c>
      <c r="D200" s="8" t="n">
        <v>2.47</v>
      </c>
      <c r="E200" s="8" t="n">
        <v>87.120003</v>
      </c>
      <c r="F200" s="8" t="n">
        <v>58.69</v>
      </c>
      <c r="G200" s="8" t="n">
        <v>10.75</v>
      </c>
      <c r="H200" s="8" t="n">
        <v>60.299999</v>
      </c>
      <c r="I200" s="8" t="n">
        <v>1365.619995</v>
      </c>
      <c r="J200" s="8" t="n">
        <v>54.003223</v>
      </c>
      <c r="L200" s="9">
        <f>LN(B200/B199)</f>
        <v/>
      </c>
      <c r="M200" s="9">
        <f>$M$1*(C200-C199)</f>
        <v/>
      </c>
      <c r="N200" s="9">
        <f>$N$1*(D200-D199)</f>
        <v/>
      </c>
      <c r="O200" s="9">
        <f>$O$1*LN(E200/E199)</f>
        <v/>
      </c>
      <c r="P200" s="9">
        <f>$P$1*LN(F200/F199)</f>
        <v/>
      </c>
      <c r="Q200" s="9">
        <f>$Q$1*(G200-G199)</f>
        <v/>
      </c>
      <c r="R200" s="9">
        <f>$R$1*(H200-H199)</f>
        <v/>
      </c>
      <c r="S200" s="9">
        <f>$S$1*LN(I200/I199)</f>
        <v/>
      </c>
      <c r="T200" s="9">
        <f>$T$1*LN(J200/J199)</f>
        <v/>
      </c>
      <c r="U200" s="9">
        <f>$W$12+$W$4*M200+$W$5*N200+$W$6*O200+$W$7*P200+$W$8*Q200+$W$9*R200+$W$10*S200+$W$11*T200</f>
        <v/>
      </c>
    </row>
    <row r="201">
      <c r="A201" s="7" t="n">
        <v>39010</v>
      </c>
      <c r="B201" s="8" t="n">
        <v>596.6</v>
      </c>
      <c r="C201" s="8" t="n">
        <v>2.3</v>
      </c>
      <c r="D201" s="8" t="n">
        <v>2.49</v>
      </c>
      <c r="E201" s="8" t="n">
        <v>86.269997</v>
      </c>
      <c r="F201" s="8" t="n">
        <v>57.35</v>
      </c>
      <c r="G201" s="8" t="n">
        <v>10.63</v>
      </c>
      <c r="H201" s="8" t="n">
        <v>56.599998</v>
      </c>
      <c r="I201" s="8" t="n">
        <v>1368.599976</v>
      </c>
      <c r="J201" s="8" t="n">
        <v>54.193909</v>
      </c>
      <c r="L201" s="9">
        <f>LN(B201/B200)</f>
        <v/>
      </c>
      <c r="M201" s="9">
        <f>$M$1*(C201-C200)</f>
        <v/>
      </c>
      <c r="N201" s="9">
        <f>$N$1*(D201-D200)</f>
        <v/>
      </c>
      <c r="O201" s="9">
        <f>$O$1*LN(E201/E200)</f>
        <v/>
      </c>
      <c r="P201" s="9">
        <f>$P$1*LN(F201/F200)</f>
        <v/>
      </c>
      <c r="Q201" s="9">
        <f>$Q$1*(G201-G200)</f>
        <v/>
      </c>
      <c r="R201" s="9">
        <f>$R$1*(H201-H200)</f>
        <v/>
      </c>
      <c r="S201" s="9">
        <f>$S$1*LN(I201/I200)</f>
        <v/>
      </c>
      <c r="T201" s="9">
        <f>$T$1*LN(J201/J200)</f>
        <v/>
      </c>
      <c r="U201" s="9">
        <f>$W$12+$W$4*M201+$W$5*N201+$W$6*O201+$W$7*P201+$W$8*Q201+$W$9*R201+$W$10*S201+$W$11*T201</f>
        <v/>
      </c>
    </row>
    <row r="202">
      <c r="A202" s="7" t="n">
        <v>39017</v>
      </c>
      <c r="B202" s="8" t="n">
        <v>596.25</v>
      </c>
      <c r="C202" s="8" t="n">
        <v>2.31</v>
      </c>
      <c r="D202" s="8" t="n">
        <v>2.37</v>
      </c>
      <c r="E202" s="8" t="n">
        <v>85.55999799999999</v>
      </c>
      <c r="F202" s="8" t="n">
        <v>60.75</v>
      </c>
      <c r="G202" s="8" t="n">
        <v>10.8</v>
      </c>
      <c r="H202" s="8" t="n">
        <v>59.5</v>
      </c>
      <c r="I202" s="8" t="n">
        <v>1377.339966</v>
      </c>
      <c r="J202" s="8" t="n">
        <v>54.520931</v>
      </c>
      <c r="L202" s="9">
        <f>LN(B202/B201)</f>
        <v/>
      </c>
      <c r="M202" s="9">
        <f>$M$1*(C202-C201)</f>
        <v/>
      </c>
      <c r="N202" s="9">
        <f>$N$1*(D202-D201)</f>
        <v/>
      </c>
      <c r="O202" s="9">
        <f>$O$1*LN(E202/E201)</f>
        <v/>
      </c>
      <c r="P202" s="9">
        <f>$P$1*LN(F202/F201)</f>
        <v/>
      </c>
      <c r="Q202" s="9">
        <f>$Q$1*(G202-G201)</f>
        <v/>
      </c>
      <c r="R202" s="9">
        <f>$R$1*(H202-H201)</f>
        <v/>
      </c>
      <c r="S202" s="9">
        <f>$S$1*LN(I202/I201)</f>
        <v/>
      </c>
      <c r="T202" s="9">
        <f>$T$1*LN(J202/J201)</f>
        <v/>
      </c>
      <c r="U202" s="9">
        <f>$W$12+$W$4*M202+$W$5*N202+$W$6*O202+$W$7*P202+$W$8*Q202+$W$9*R202+$W$10*S202+$W$11*T202</f>
        <v/>
      </c>
    </row>
    <row r="203">
      <c r="A203" s="7" t="n">
        <v>39024</v>
      </c>
      <c r="B203" s="8" t="n">
        <v>622.75</v>
      </c>
      <c r="C203" s="8" t="n">
        <v>2.32</v>
      </c>
      <c r="D203" s="8" t="n">
        <v>2.4</v>
      </c>
      <c r="E203" s="8" t="n">
        <v>85.709999</v>
      </c>
      <c r="F203" s="8" t="n">
        <v>59.13</v>
      </c>
      <c r="G203" s="8" t="n">
        <v>11.16</v>
      </c>
      <c r="H203" s="8" t="n">
        <v>60.900002</v>
      </c>
      <c r="I203" s="8" t="n">
        <v>1364.300049</v>
      </c>
      <c r="J203" s="8" t="n">
        <v>54.482803</v>
      </c>
      <c r="L203" s="9">
        <f>LN(B203/B202)</f>
        <v/>
      </c>
      <c r="M203" s="9">
        <f>$M$1*(C203-C202)</f>
        <v/>
      </c>
      <c r="N203" s="9">
        <f>$N$1*(D203-D202)</f>
        <v/>
      </c>
      <c r="O203" s="9">
        <f>$O$1*LN(E203/E202)</f>
        <v/>
      </c>
      <c r="P203" s="9">
        <f>$P$1*LN(F203/F202)</f>
        <v/>
      </c>
      <c r="Q203" s="9">
        <f>$Q$1*(G203-G202)</f>
        <v/>
      </c>
      <c r="R203" s="9">
        <f>$R$1*(H203-H202)</f>
        <v/>
      </c>
      <c r="S203" s="9">
        <f>$S$1*LN(I203/I202)</f>
        <v/>
      </c>
      <c r="T203" s="9">
        <f>$T$1*LN(J203/J202)</f>
        <v/>
      </c>
      <c r="U203" s="9">
        <f>$W$12+$W$4*M203+$W$5*N203+$W$6*O203+$W$7*P203+$W$8*Q203+$W$9*R203+$W$10*S203+$W$11*T203</f>
        <v/>
      </c>
    </row>
    <row r="204">
      <c r="A204" s="7" t="n">
        <v>39031</v>
      </c>
      <c r="B204" s="8" t="n">
        <v>629.3</v>
      </c>
      <c r="C204" s="8" t="n">
        <v>2.34</v>
      </c>
      <c r="D204" s="8" t="n">
        <v>2.25</v>
      </c>
      <c r="E204" s="8" t="n">
        <v>85.050003</v>
      </c>
      <c r="F204" s="8" t="n">
        <v>59.66</v>
      </c>
      <c r="G204" s="8" t="n">
        <v>10.79</v>
      </c>
      <c r="H204" s="8" t="n">
        <v>63.5</v>
      </c>
      <c r="I204" s="8" t="n">
        <v>1380.900024</v>
      </c>
      <c r="J204" s="8" t="n">
        <v>54.90424</v>
      </c>
      <c r="L204" s="9">
        <f>LN(B204/B203)</f>
        <v/>
      </c>
      <c r="M204" s="9">
        <f>$M$1*(C204-C203)</f>
        <v/>
      </c>
      <c r="N204" s="9">
        <f>$N$1*(D204-D203)</f>
        <v/>
      </c>
      <c r="O204" s="9">
        <f>$O$1*LN(E204/E203)</f>
        <v/>
      </c>
      <c r="P204" s="9">
        <f>$P$1*LN(F204/F203)</f>
        <v/>
      </c>
      <c r="Q204" s="9">
        <f>$Q$1*(G204-G203)</f>
        <v/>
      </c>
      <c r="R204" s="9">
        <f>$R$1*(H204-H203)</f>
        <v/>
      </c>
      <c r="S204" s="9">
        <f>$S$1*LN(I204/I203)</f>
        <v/>
      </c>
      <c r="T204" s="9">
        <f>$T$1*LN(J204/J203)</f>
        <v/>
      </c>
      <c r="U204" s="9">
        <f>$W$12+$W$4*M204+$W$5*N204+$W$6*O204+$W$7*P204+$W$8*Q204+$W$9*R204+$W$10*S204+$W$11*T204</f>
        <v/>
      </c>
    </row>
    <row r="205">
      <c r="A205" s="7" t="n">
        <v>39038</v>
      </c>
      <c r="B205" s="8" t="n">
        <v>620.5</v>
      </c>
      <c r="C205" s="8" t="n">
        <v>2.28</v>
      </c>
      <c r="D205" s="8" t="n">
        <v>2.33</v>
      </c>
      <c r="E205" s="8" t="n">
        <v>85.370003</v>
      </c>
      <c r="F205" s="8" t="n">
        <v>55.9</v>
      </c>
      <c r="G205" s="8" t="n">
        <v>10.05</v>
      </c>
      <c r="H205" s="8" t="n">
        <v>65</v>
      </c>
      <c r="I205" s="8" t="n">
        <v>1401.199951</v>
      </c>
      <c r="J205" s="8" t="n">
        <v>54.90424</v>
      </c>
      <c r="L205" s="9">
        <f>LN(B205/B204)</f>
        <v/>
      </c>
      <c r="M205" s="9">
        <f>$M$1*(C205-C204)</f>
        <v/>
      </c>
      <c r="N205" s="9">
        <f>$N$1*(D205-D204)</f>
        <v/>
      </c>
      <c r="O205" s="9">
        <f>$O$1*LN(E205/E204)</f>
        <v/>
      </c>
      <c r="P205" s="9">
        <f>$P$1*LN(F205/F204)</f>
        <v/>
      </c>
      <c r="Q205" s="9">
        <f>$Q$1*(G205-G204)</f>
        <v/>
      </c>
      <c r="R205" s="9">
        <f>$R$1*(H205-H204)</f>
        <v/>
      </c>
      <c r="S205" s="9">
        <f>$S$1*LN(I205/I204)</f>
        <v/>
      </c>
      <c r="T205" s="9">
        <f>$T$1*LN(J205/J204)</f>
        <v/>
      </c>
      <c r="U205" s="9">
        <f>$W$12+$W$4*M205+$W$5*N205+$W$6*O205+$W$7*P205+$W$8*Q205+$W$9*R205+$W$10*S205+$W$11*T205</f>
        <v/>
      </c>
    </row>
    <row r="206">
      <c r="A206" s="7" t="n">
        <v>39045</v>
      </c>
      <c r="B206" s="8" t="n">
        <v>639.5</v>
      </c>
      <c r="C206" s="8" t="n">
        <v>2.28</v>
      </c>
      <c r="D206" s="8" t="n">
        <v>2.27</v>
      </c>
      <c r="E206" s="8" t="n">
        <v>83.709999</v>
      </c>
      <c r="F206" s="8" t="n">
        <v>57.28</v>
      </c>
      <c r="G206" s="8" t="n">
        <v>10.73</v>
      </c>
      <c r="H206" s="8" t="n">
        <v>63</v>
      </c>
      <c r="I206" s="8" t="n">
        <v>1400.949951</v>
      </c>
      <c r="J206" s="8" t="n">
        <v>55.106747</v>
      </c>
      <c r="L206" s="9">
        <f>LN(B206/B205)</f>
        <v/>
      </c>
      <c r="M206" s="9">
        <f>$M$1*(C206-C205)</f>
        <v/>
      </c>
      <c r="N206" s="9">
        <f>$N$1*(D206-D205)</f>
        <v/>
      </c>
      <c r="O206" s="9">
        <f>$O$1*LN(E206/E205)</f>
        <v/>
      </c>
      <c r="P206" s="9">
        <f>$P$1*LN(F206/F205)</f>
        <v/>
      </c>
      <c r="Q206" s="9">
        <f>$Q$1*(G206-G205)</f>
        <v/>
      </c>
      <c r="R206" s="9">
        <f>$R$1*(H206-H205)</f>
        <v/>
      </c>
      <c r="S206" s="9">
        <f>$S$1*LN(I206/I205)</f>
        <v/>
      </c>
      <c r="T206" s="9">
        <f>$T$1*LN(J206/J205)</f>
        <v/>
      </c>
      <c r="U206" s="9">
        <f>$W$12+$W$4*M206+$W$5*N206+$W$6*O206+$W$7*P206+$W$8*Q206+$W$9*R206+$W$10*S206+$W$11*T206</f>
        <v/>
      </c>
    </row>
    <row r="207">
      <c r="A207" s="7" t="n">
        <v>39052</v>
      </c>
      <c r="B207" s="8" t="n">
        <v>648.75</v>
      </c>
      <c r="C207" s="8" t="n">
        <v>2.33</v>
      </c>
      <c r="D207" s="8" t="n">
        <v>2.1</v>
      </c>
      <c r="E207" s="8" t="n">
        <v>82.480003</v>
      </c>
      <c r="F207" s="8" t="n">
        <v>63.43</v>
      </c>
      <c r="G207" s="8" t="n">
        <v>11.66</v>
      </c>
      <c r="H207" s="8" t="n">
        <v>72.25</v>
      </c>
      <c r="I207" s="8" t="n">
        <v>1396.709961</v>
      </c>
      <c r="J207" s="8" t="n">
        <v>55.418003</v>
      </c>
      <c r="L207" s="9">
        <f>LN(B207/B206)</f>
        <v/>
      </c>
      <c r="M207" s="9">
        <f>$M$1*(C207-C206)</f>
        <v/>
      </c>
      <c r="N207" s="9">
        <f>$N$1*(D207-D206)</f>
        <v/>
      </c>
      <c r="O207" s="9">
        <f>$O$1*LN(E207/E206)</f>
        <v/>
      </c>
      <c r="P207" s="9">
        <f>$P$1*LN(F207/F206)</f>
        <v/>
      </c>
      <c r="Q207" s="9">
        <f>$Q$1*(G207-G206)</f>
        <v/>
      </c>
      <c r="R207" s="9">
        <f>$R$1*(H207-H206)</f>
        <v/>
      </c>
      <c r="S207" s="9">
        <f>$S$1*LN(I207/I206)</f>
        <v/>
      </c>
      <c r="T207" s="9">
        <f>$T$1*LN(J207/J206)</f>
        <v/>
      </c>
      <c r="U207" s="9">
        <f>$W$12+$W$4*M207+$W$5*N207+$W$6*O207+$W$7*P207+$W$8*Q207+$W$9*R207+$W$10*S207+$W$11*T207</f>
        <v/>
      </c>
    </row>
    <row r="208">
      <c r="A208" s="7" t="n">
        <v>39059</v>
      </c>
      <c r="B208" s="8" t="n">
        <v>637.4</v>
      </c>
      <c r="C208" s="8" t="n">
        <v>2.35</v>
      </c>
      <c r="D208" s="8" t="n">
        <v>2.21</v>
      </c>
      <c r="E208" s="8" t="n">
        <v>83.33000199999999</v>
      </c>
      <c r="F208" s="8" t="n">
        <v>62.06</v>
      </c>
      <c r="G208" s="8" t="n">
        <v>12.07</v>
      </c>
      <c r="H208" s="8" t="n">
        <v>71.099998</v>
      </c>
      <c r="I208" s="8" t="n">
        <v>1409.839966</v>
      </c>
      <c r="J208" s="8" t="n">
        <v>55.231163</v>
      </c>
      <c r="L208" s="9">
        <f>LN(B208/B207)</f>
        <v/>
      </c>
      <c r="M208" s="9">
        <f>$M$1*(C208-C207)</f>
        <v/>
      </c>
      <c r="N208" s="9">
        <f>$N$1*(D208-D207)</f>
        <v/>
      </c>
      <c r="O208" s="9">
        <f>$O$1*LN(E208/E207)</f>
        <v/>
      </c>
      <c r="P208" s="9">
        <f>$P$1*LN(F208/F207)</f>
        <v/>
      </c>
      <c r="Q208" s="9">
        <f>$Q$1*(G208-G207)</f>
        <v/>
      </c>
      <c r="R208" s="9">
        <f>$R$1*(H208-H207)</f>
        <v/>
      </c>
      <c r="S208" s="9">
        <f>$S$1*LN(I208/I207)</f>
        <v/>
      </c>
      <c r="T208" s="9">
        <f>$T$1*LN(J208/J207)</f>
        <v/>
      </c>
      <c r="U208" s="9">
        <f>$W$12+$W$4*M208+$W$5*N208+$W$6*O208+$W$7*P208+$W$8*Q208+$W$9*R208+$W$10*S208+$W$11*T208</f>
        <v/>
      </c>
    </row>
    <row r="209">
      <c r="A209" s="7" t="n">
        <v>39066</v>
      </c>
      <c r="B209" s="8" t="n">
        <v>623.75</v>
      </c>
      <c r="C209" s="8" t="n">
        <v>2.31</v>
      </c>
      <c r="D209" s="8" t="n">
        <v>2.29</v>
      </c>
      <c r="E209" s="8" t="n">
        <v>84.05999799999999</v>
      </c>
      <c r="F209" s="8" t="n">
        <v>63.4</v>
      </c>
      <c r="G209" s="8" t="n">
        <v>10.05</v>
      </c>
      <c r="H209" s="8" t="n">
        <v>64.25</v>
      </c>
      <c r="I209" s="8" t="n">
        <v>1427.089966</v>
      </c>
      <c r="J209" s="8" t="n">
        <v>55.115772</v>
      </c>
      <c r="L209" s="9">
        <f>LN(B209/B208)</f>
        <v/>
      </c>
      <c r="M209" s="9">
        <f>$M$1*(C209-C208)</f>
        <v/>
      </c>
      <c r="N209" s="9">
        <f>$N$1*(D209-D208)</f>
        <v/>
      </c>
      <c r="O209" s="9">
        <f>$O$1*LN(E209/E208)</f>
        <v/>
      </c>
      <c r="P209" s="9">
        <f>$P$1*LN(F209/F208)</f>
        <v/>
      </c>
      <c r="Q209" s="9">
        <f>$Q$1*(G209-G208)</f>
        <v/>
      </c>
      <c r="R209" s="9">
        <f>$R$1*(H209-H208)</f>
        <v/>
      </c>
      <c r="S209" s="9">
        <f>$S$1*LN(I209/I208)</f>
        <v/>
      </c>
      <c r="T209" s="9">
        <f>$T$1*LN(J209/J208)</f>
        <v/>
      </c>
      <c r="U209" s="9">
        <f>$W$12+$W$4*M209+$W$5*N209+$W$6*O209+$W$7*P209+$W$8*Q209+$W$9*R209+$W$10*S209+$W$11*T209</f>
        <v/>
      </c>
    </row>
    <row r="210">
      <c r="A210" s="7" t="n">
        <v>39073</v>
      </c>
      <c r="B210" s="8" t="n">
        <v>620.5</v>
      </c>
      <c r="C210" s="8" t="n">
        <v>2.28</v>
      </c>
      <c r="D210" s="8" t="n">
        <v>2.35</v>
      </c>
      <c r="E210" s="8" t="n">
        <v>83.94000200000001</v>
      </c>
      <c r="F210" s="8" t="n">
        <v>61.81</v>
      </c>
      <c r="G210" s="8" t="n">
        <v>11.36</v>
      </c>
      <c r="H210" s="8" t="n">
        <v>65.300003</v>
      </c>
      <c r="I210" s="8" t="n">
        <v>1410.76001</v>
      </c>
      <c r="J210" s="8" t="n">
        <v>55.225719</v>
      </c>
      <c r="L210" s="9">
        <f>LN(B210/B209)</f>
        <v/>
      </c>
      <c r="M210" s="9">
        <f>$M$1*(C210-C209)</f>
        <v/>
      </c>
      <c r="N210" s="9">
        <f>$N$1*(D210-D209)</f>
        <v/>
      </c>
      <c r="O210" s="9">
        <f>$O$1*LN(E210/E209)</f>
        <v/>
      </c>
      <c r="P210" s="9">
        <f>$P$1*LN(F210/F209)</f>
        <v/>
      </c>
      <c r="Q210" s="9">
        <f>$Q$1*(G210-G209)</f>
        <v/>
      </c>
      <c r="R210" s="9">
        <f>$R$1*(H210-H209)</f>
        <v/>
      </c>
      <c r="S210" s="9">
        <f>$S$1*LN(I210/I209)</f>
        <v/>
      </c>
      <c r="T210" s="9">
        <f>$T$1*LN(J210/J209)</f>
        <v/>
      </c>
      <c r="U210" s="9">
        <f>$W$12+$W$4*M210+$W$5*N210+$W$6*O210+$W$7*P210+$W$8*Q210+$W$9*R210+$W$10*S210+$W$11*T210</f>
        <v/>
      </c>
    </row>
    <row r="211">
      <c r="A211" s="7" t="n">
        <v>39080</v>
      </c>
      <c r="B211" s="8" t="n">
        <v>632</v>
      </c>
      <c r="C211" s="8" t="n">
        <v>2.3</v>
      </c>
      <c r="D211" s="8" t="n">
        <v>2.41</v>
      </c>
      <c r="E211" s="8" t="n">
        <v>83.720001</v>
      </c>
      <c r="F211" s="8" t="n">
        <v>60.85</v>
      </c>
      <c r="G211" s="8" t="n">
        <v>11.56</v>
      </c>
      <c r="H211" s="8" t="n">
        <v>66.800003</v>
      </c>
      <c r="I211" s="8" t="n">
        <v>1418.300049</v>
      </c>
      <c r="J211" s="8" t="n">
        <v>54.982533</v>
      </c>
      <c r="L211" s="9">
        <f>LN(B211/B210)</f>
        <v/>
      </c>
      <c r="M211" s="9">
        <f>$M$1*(C211-C210)</f>
        <v/>
      </c>
      <c r="N211" s="9">
        <f>$N$1*(D211-D210)</f>
        <v/>
      </c>
      <c r="O211" s="9">
        <f>$O$1*LN(E211/E210)</f>
        <v/>
      </c>
      <c r="P211" s="9">
        <f>$P$1*LN(F211/F210)</f>
        <v/>
      </c>
      <c r="Q211" s="9">
        <f>$Q$1*(G211-G210)</f>
        <v/>
      </c>
      <c r="R211" s="9">
        <f>$R$1*(H211-H210)</f>
        <v/>
      </c>
      <c r="S211" s="9">
        <f>$S$1*LN(I211/I210)</f>
        <v/>
      </c>
      <c r="T211" s="9">
        <f>$T$1*LN(J211/J210)</f>
        <v/>
      </c>
      <c r="U211" s="9">
        <f>$W$12+$W$4*M211+$W$5*N211+$W$6*O211+$W$7*P211+$W$8*Q211+$W$9*R211+$W$10*S211+$W$11*T211</f>
        <v/>
      </c>
    </row>
    <row r="212">
      <c r="A212" s="7" t="n">
        <v>39087</v>
      </c>
      <c r="B212" s="8" t="n">
        <v>609.5</v>
      </c>
      <c r="C212" s="8" t="n">
        <v>2.27</v>
      </c>
      <c r="D212" s="8" t="n">
        <v>2.38</v>
      </c>
      <c r="E212" s="8" t="n">
        <v>84.629997</v>
      </c>
      <c r="F212" s="8" t="n">
        <v>56.29</v>
      </c>
      <c r="G212" s="8" t="n">
        <v>12.14</v>
      </c>
      <c r="H212" s="8" t="n">
        <v>67.400002</v>
      </c>
      <c r="I212" s="8" t="n">
        <v>1409.709961</v>
      </c>
      <c r="J212" s="8" t="n">
        <v>55.175529</v>
      </c>
      <c r="L212" s="9">
        <f>LN(B212/B211)</f>
        <v/>
      </c>
      <c r="M212" s="9">
        <f>$M$1*(C212-C211)</f>
        <v/>
      </c>
      <c r="N212" s="9">
        <f>$N$1*(D212-D211)</f>
        <v/>
      </c>
      <c r="O212" s="9">
        <f>$O$1*LN(E212/E211)</f>
        <v/>
      </c>
      <c r="P212" s="9">
        <f>$P$1*LN(F212/F211)</f>
        <v/>
      </c>
      <c r="Q212" s="9">
        <f>$Q$1*(G212-G211)</f>
        <v/>
      </c>
      <c r="R212" s="9">
        <f>$R$1*(H212-H211)</f>
        <v/>
      </c>
      <c r="S212" s="9">
        <f>$S$1*LN(I212/I211)</f>
        <v/>
      </c>
      <c r="T212" s="9">
        <f>$T$1*LN(J212/J211)</f>
        <v/>
      </c>
      <c r="U212" s="9">
        <f>$W$12+$W$4*M212+$W$5*N212+$W$6*O212+$W$7*P212+$W$8*Q212+$W$9*R212+$W$10*S212+$W$11*T212</f>
        <v/>
      </c>
    </row>
    <row r="213">
      <c r="A213" s="7" t="n">
        <v>39094</v>
      </c>
      <c r="B213" s="8" t="n">
        <v>619.75</v>
      </c>
      <c r="C213" s="8" t="n">
        <v>2.28</v>
      </c>
      <c r="D213" s="8" t="n">
        <v>2.49</v>
      </c>
      <c r="E213" s="8" t="n">
        <v>85.029999</v>
      </c>
      <c r="F213" s="8" t="n">
        <v>52.96</v>
      </c>
      <c r="G213" s="8" t="n">
        <v>10.15</v>
      </c>
      <c r="H213" s="8" t="n">
        <v>61.200001</v>
      </c>
      <c r="I213" s="8" t="n">
        <v>1430.72998</v>
      </c>
      <c r="J213" s="8" t="n">
        <v>54.966026</v>
      </c>
      <c r="L213" s="9">
        <f>LN(B213/B212)</f>
        <v/>
      </c>
      <c r="M213" s="9">
        <f>$M$1*(C213-C212)</f>
        <v/>
      </c>
      <c r="N213" s="9">
        <f>$N$1*(D213-D212)</f>
        <v/>
      </c>
      <c r="O213" s="9">
        <f>$O$1*LN(E213/E212)</f>
        <v/>
      </c>
      <c r="P213" s="9">
        <f>$P$1*LN(F213/F212)</f>
        <v/>
      </c>
      <c r="Q213" s="9">
        <f>$Q$1*(G213-G212)</f>
        <v/>
      </c>
      <c r="R213" s="9">
        <f>$R$1*(H213-H212)</f>
        <v/>
      </c>
      <c r="S213" s="9">
        <f>$S$1*LN(I213/I212)</f>
        <v/>
      </c>
      <c r="T213" s="9">
        <f>$T$1*LN(J213/J212)</f>
        <v/>
      </c>
      <c r="U213" s="9">
        <f>$W$12+$W$4*M213+$W$5*N213+$W$6*O213+$W$7*P213+$W$8*Q213+$W$9*R213+$W$10*S213+$W$11*T213</f>
        <v/>
      </c>
    </row>
    <row r="214">
      <c r="A214" s="7" t="n">
        <v>39101</v>
      </c>
      <c r="B214" s="8" t="n">
        <v>629</v>
      </c>
      <c r="C214" s="8" t="n">
        <v>2.31</v>
      </c>
      <c r="D214" s="8" t="n">
        <v>2.47</v>
      </c>
      <c r="E214" s="8" t="n">
        <v>84.860001</v>
      </c>
      <c r="F214" s="8" t="n">
        <v>51.98</v>
      </c>
      <c r="G214" s="8" t="n">
        <v>10.4</v>
      </c>
      <c r="H214" s="8" t="n">
        <v>57.200001</v>
      </c>
      <c r="I214" s="8" t="n">
        <v>1430.5</v>
      </c>
      <c r="J214" s="8" t="n">
        <v>55.059734</v>
      </c>
      <c r="L214" s="9">
        <f>LN(B214/B213)</f>
        <v/>
      </c>
      <c r="M214" s="9">
        <f>$M$1*(C214-C213)</f>
        <v/>
      </c>
      <c r="N214" s="9">
        <f>$N$1*(D214-D213)</f>
        <v/>
      </c>
      <c r="O214" s="9">
        <f>$O$1*LN(E214/E213)</f>
        <v/>
      </c>
      <c r="P214" s="9">
        <f>$P$1*LN(F214/F213)</f>
        <v/>
      </c>
      <c r="Q214" s="9">
        <f>$Q$1*(G214-G213)</f>
        <v/>
      </c>
      <c r="R214" s="9">
        <f>$R$1*(H214-H213)</f>
        <v/>
      </c>
      <c r="S214" s="9">
        <f>$S$1*LN(I214/I213)</f>
        <v/>
      </c>
      <c r="T214" s="9">
        <f>$T$1*LN(J214/J213)</f>
        <v/>
      </c>
      <c r="U214" s="9">
        <f>$W$12+$W$4*M214+$W$5*N214+$W$6*O214+$W$7*P214+$W$8*Q214+$W$9*R214+$W$10*S214+$W$11*T214</f>
        <v/>
      </c>
    </row>
    <row r="215">
      <c r="A215" s="7" t="n">
        <v>39108</v>
      </c>
      <c r="B215" s="8" t="n">
        <v>645.5</v>
      </c>
      <c r="C215" s="8" t="n">
        <v>2.4</v>
      </c>
      <c r="D215" s="8" t="n">
        <v>2.48</v>
      </c>
      <c r="E215" s="8" t="n">
        <v>85.279999</v>
      </c>
      <c r="F215" s="8" t="n">
        <v>55.38</v>
      </c>
      <c r="G215" s="8" t="n">
        <v>11.13</v>
      </c>
      <c r="H215" s="8" t="n">
        <v>60.299999</v>
      </c>
      <c r="I215" s="8" t="n">
        <v>1422.180054</v>
      </c>
      <c r="J215" s="8" t="n">
        <v>54.888775</v>
      </c>
      <c r="L215" s="9">
        <f>LN(B215/B214)</f>
        <v/>
      </c>
      <c r="M215" s="9">
        <f>$M$1*(C215-C214)</f>
        <v/>
      </c>
      <c r="N215" s="9">
        <f>$N$1*(D215-D214)</f>
        <v/>
      </c>
      <c r="O215" s="9">
        <f>$O$1*LN(E215/E214)</f>
        <v/>
      </c>
      <c r="P215" s="9">
        <f>$P$1*LN(F215/F214)</f>
        <v/>
      </c>
      <c r="Q215" s="9">
        <f>$Q$1*(G215-G214)</f>
        <v/>
      </c>
      <c r="R215" s="9">
        <f>$R$1*(H215-H214)</f>
        <v/>
      </c>
      <c r="S215" s="9">
        <f>$S$1*LN(I215/I214)</f>
        <v/>
      </c>
      <c r="T215" s="9">
        <f>$T$1*LN(J215/J214)</f>
        <v/>
      </c>
      <c r="U215" s="9">
        <f>$W$12+$W$4*M215+$W$5*N215+$W$6*O215+$W$7*P215+$W$8*Q215+$W$9*R215+$W$10*S215+$W$11*T215</f>
        <v/>
      </c>
    </row>
    <row r="216">
      <c r="A216" s="7" t="n">
        <v>39115</v>
      </c>
      <c r="B216" s="8" t="n">
        <v>645.7</v>
      </c>
      <c r="C216" s="8" t="n">
        <v>2.41</v>
      </c>
      <c r="D216" s="8" t="n">
        <v>2.42</v>
      </c>
      <c r="E216" s="8" t="n">
        <v>84.959999</v>
      </c>
      <c r="F216" s="8" t="n">
        <v>59.01</v>
      </c>
      <c r="G216" s="8" t="n">
        <v>10.08</v>
      </c>
      <c r="H216" s="8" t="n">
        <v>56.099998</v>
      </c>
      <c r="I216" s="8" t="n">
        <v>1448.390015</v>
      </c>
      <c r="J216" s="8" t="n">
        <v>55.050785</v>
      </c>
      <c r="L216" s="9">
        <f>LN(B216/B215)</f>
        <v/>
      </c>
      <c r="M216" s="9">
        <f>$M$1*(C216-C215)</f>
        <v/>
      </c>
      <c r="N216" s="9">
        <f>$N$1*(D216-D215)</f>
        <v/>
      </c>
      <c r="O216" s="9">
        <f>$O$1*LN(E216/E215)</f>
        <v/>
      </c>
      <c r="P216" s="9">
        <f>$P$1*LN(F216/F215)</f>
        <v/>
      </c>
      <c r="Q216" s="9">
        <f>$Q$1*(G216-G215)</f>
        <v/>
      </c>
      <c r="R216" s="9">
        <f>$R$1*(H216-H215)</f>
        <v/>
      </c>
      <c r="S216" s="9">
        <f>$S$1*LN(I216/I215)</f>
        <v/>
      </c>
      <c r="T216" s="9">
        <f>$T$1*LN(J216/J215)</f>
        <v/>
      </c>
      <c r="U216" s="9">
        <f>$W$12+$W$4*M216+$W$5*N216+$W$6*O216+$W$7*P216+$W$8*Q216+$W$9*R216+$W$10*S216+$W$11*T216</f>
        <v/>
      </c>
    </row>
    <row r="217">
      <c r="A217" s="7" t="n">
        <v>39122</v>
      </c>
      <c r="B217" s="8" t="n">
        <v>664.5</v>
      </c>
      <c r="C217" s="8" t="n">
        <v>2.36</v>
      </c>
      <c r="D217" s="8" t="n">
        <v>2.43</v>
      </c>
      <c r="E217" s="8" t="n">
        <v>84.870003</v>
      </c>
      <c r="F217" s="8" t="n">
        <v>59.86</v>
      </c>
      <c r="G217" s="8" t="n">
        <v>11.1</v>
      </c>
      <c r="H217" s="8" t="n">
        <v>60.099998</v>
      </c>
      <c r="I217" s="8" t="n">
        <v>1438.060059</v>
      </c>
      <c r="J217" s="8" t="n">
        <v>55.216881</v>
      </c>
      <c r="L217" s="9">
        <f>LN(B217/B216)</f>
        <v/>
      </c>
      <c r="M217" s="9">
        <f>$M$1*(C217-C216)</f>
        <v/>
      </c>
      <c r="N217" s="9">
        <f>$N$1*(D217-D216)</f>
        <v/>
      </c>
      <c r="O217" s="9">
        <f>$O$1*LN(E217/E216)</f>
        <v/>
      </c>
      <c r="P217" s="9">
        <f>$P$1*LN(F217/F216)</f>
        <v/>
      </c>
      <c r="Q217" s="9">
        <f>$Q$1*(G217-G216)</f>
        <v/>
      </c>
      <c r="R217" s="9">
        <f>$R$1*(H217-H216)</f>
        <v/>
      </c>
      <c r="S217" s="9">
        <f>$S$1*LN(I217/I216)</f>
        <v/>
      </c>
      <c r="T217" s="9">
        <f>$T$1*LN(J217/J216)</f>
        <v/>
      </c>
      <c r="U217" s="9">
        <f>$W$12+$W$4*M217+$W$5*N217+$W$6*O217+$W$7*P217+$W$8*Q217+$W$9*R217+$W$10*S217+$W$11*T217</f>
        <v/>
      </c>
    </row>
    <row r="218">
      <c r="A218" s="7" t="n">
        <v>39129</v>
      </c>
      <c r="B218" s="8" t="n">
        <v>665.1</v>
      </c>
      <c r="C218" s="8" t="n">
        <v>2.33</v>
      </c>
      <c r="D218" s="8" t="n">
        <v>2.36</v>
      </c>
      <c r="E218" s="8" t="n">
        <v>84.089996</v>
      </c>
      <c r="F218" s="8" t="n">
        <v>59.38</v>
      </c>
      <c r="G218" s="8" t="n">
        <v>10.02</v>
      </c>
      <c r="H218" s="8" t="n">
        <v>60.700001</v>
      </c>
      <c r="I218" s="8" t="n">
        <v>1455.540039</v>
      </c>
      <c r="J218" s="8" t="n">
        <v>55.482628</v>
      </c>
      <c r="L218" s="9">
        <f>LN(B218/B217)</f>
        <v/>
      </c>
      <c r="M218" s="9">
        <f>$M$1*(C218-C217)</f>
        <v/>
      </c>
      <c r="N218" s="9">
        <f>$N$1*(D218-D217)</f>
        <v/>
      </c>
      <c r="O218" s="9">
        <f>$O$1*LN(E218/E217)</f>
        <v/>
      </c>
      <c r="P218" s="9">
        <f>$P$1*LN(F218/F217)</f>
        <v/>
      </c>
      <c r="Q218" s="9">
        <f>$Q$1*(G218-G217)</f>
        <v/>
      </c>
      <c r="R218" s="9">
        <f>$R$1*(H218-H217)</f>
        <v/>
      </c>
      <c r="S218" s="9">
        <f>$S$1*LN(I218/I217)</f>
        <v/>
      </c>
      <c r="T218" s="9">
        <f>$T$1*LN(J218/J217)</f>
        <v/>
      </c>
      <c r="U218" s="9">
        <f>$W$12+$W$4*M218+$W$5*N218+$W$6*O218+$W$7*P218+$W$8*Q218+$W$9*R218+$W$10*S218+$W$11*T218</f>
        <v/>
      </c>
    </row>
    <row r="219">
      <c r="A219" s="7" t="n">
        <v>39136</v>
      </c>
      <c r="B219" s="8" t="n">
        <v>683</v>
      </c>
      <c r="C219" s="8" t="n">
        <v>2.38</v>
      </c>
      <c r="D219" s="8" t="n">
        <v>2.3</v>
      </c>
      <c r="E219" s="8" t="n">
        <v>84.06999999999999</v>
      </c>
      <c r="F219" s="8" t="n">
        <v>60.28</v>
      </c>
      <c r="G219" s="8" t="n">
        <v>10.58</v>
      </c>
      <c r="H219" s="8" t="n">
        <v>57.799999</v>
      </c>
      <c r="I219" s="8" t="n">
        <v>1451.189941</v>
      </c>
      <c r="J219" s="8" t="n">
        <v>55.526905</v>
      </c>
      <c r="L219" s="9">
        <f>LN(B219/B218)</f>
        <v/>
      </c>
      <c r="M219" s="9">
        <f>$M$1*(C219-C218)</f>
        <v/>
      </c>
      <c r="N219" s="9">
        <f>$N$1*(D219-D218)</f>
        <v/>
      </c>
      <c r="O219" s="9">
        <f>$O$1*LN(E219/E218)</f>
        <v/>
      </c>
      <c r="P219" s="9">
        <f>$P$1*LN(F219/F218)</f>
        <v/>
      </c>
      <c r="Q219" s="9">
        <f>$Q$1*(G219-G218)</f>
        <v/>
      </c>
      <c r="R219" s="9">
        <f>$R$1*(H219-H218)</f>
        <v/>
      </c>
      <c r="S219" s="9">
        <f>$S$1*LN(I219/I218)</f>
        <v/>
      </c>
      <c r="T219" s="9">
        <f>$T$1*LN(J219/J218)</f>
        <v/>
      </c>
      <c r="U219" s="9">
        <f>$W$12+$W$4*M219+$W$5*N219+$W$6*O219+$W$7*P219+$W$8*Q219+$W$9*R219+$W$10*S219+$W$11*T219</f>
        <v/>
      </c>
    </row>
    <row r="220">
      <c r="A220" s="7" t="n">
        <v>39143</v>
      </c>
      <c r="B220" s="8" t="n">
        <v>651.9</v>
      </c>
      <c r="C220" s="8" t="n">
        <v>2.37</v>
      </c>
      <c r="D220" s="8" t="n">
        <v>2.15</v>
      </c>
      <c r="E220" s="8" t="n">
        <v>83.739998</v>
      </c>
      <c r="F220" s="8" t="n">
        <v>61.58</v>
      </c>
      <c r="G220" s="8" t="n">
        <v>18.61</v>
      </c>
      <c r="H220" s="8" t="n">
        <v>76.699997</v>
      </c>
      <c r="I220" s="8" t="n">
        <v>1387.170044</v>
      </c>
      <c r="J220" s="8" t="n">
        <v>55.944832</v>
      </c>
      <c r="L220" s="9">
        <f>LN(B220/B219)</f>
        <v/>
      </c>
      <c r="M220" s="9">
        <f>$M$1*(C220-C219)</f>
        <v/>
      </c>
      <c r="N220" s="9">
        <f>$N$1*(D220-D219)</f>
        <v/>
      </c>
      <c r="O220" s="9">
        <f>$O$1*LN(E220/E219)</f>
        <v/>
      </c>
      <c r="P220" s="9">
        <f>$P$1*LN(F220/F219)</f>
        <v/>
      </c>
      <c r="Q220" s="9">
        <f>$Q$1*(G220-G219)</f>
        <v/>
      </c>
      <c r="R220" s="9">
        <f>$R$1*(H220-H219)</f>
        <v/>
      </c>
      <c r="S220" s="9">
        <f>$S$1*LN(I220/I219)</f>
        <v/>
      </c>
      <c r="T220" s="9">
        <f>$T$1*LN(J220/J219)</f>
        <v/>
      </c>
      <c r="U220" s="9">
        <f>$W$12+$W$4*M220+$W$5*N220+$W$6*O220+$W$7*P220+$W$8*Q220+$W$9*R220+$W$10*S220+$W$11*T220</f>
        <v/>
      </c>
    </row>
    <row r="221">
      <c r="A221" s="7" t="n">
        <v>39150</v>
      </c>
      <c r="B221" s="8" t="n">
        <v>652.25</v>
      </c>
      <c r="C221" s="8" t="n">
        <v>2.34</v>
      </c>
      <c r="D221" s="8" t="n">
        <v>2.25</v>
      </c>
      <c r="E221" s="8" t="n">
        <v>84.239998</v>
      </c>
      <c r="F221" s="8" t="n">
        <v>60.06</v>
      </c>
      <c r="G221" s="8" t="n">
        <v>14.09</v>
      </c>
      <c r="H221" s="8" t="n">
        <v>63.599998</v>
      </c>
      <c r="I221" s="8" t="n">
        <v>1402.839966</v>
      </c>
      <c r="J221" s="8" t="n">
        <v>55.711411</v>
      </c>
      <c r="L221" s="9">
        <f>LN(B221/B220)</f>
        <v/>
      </c>
      <c r="M221" s="9">
        <f>$M$1*(C221-C220)</f>
        <v/>
      </c>
      <c r="N221" s="9">
        <f>$N$1*(D221-D220)</f>
        <v/>
      </c>
      <c r="O221" s="9">
        <f>$O$1*LN(E221/E220)</f>
        <v/>
      </c>
      <c r="P221" s="9">
        <f>$P$1*LN(F221/F220)</f>
        <v/>
      </c>
      <c r="Q221" s="9">
        <f>$Q$1*(G221-G220)</f>
        <v/>
      </c>
      <c r="R221" s="9">
        <f>$R$1*(H221-H220)</f>
        <v/>
      </c>
      <c r="S221" s="9">
        <f>$S$1*LN(I221/I220)</f>
        <v/>
      </c>
      <c r="T221" s="9">
        <f>$T$1*LN(J221/J220)</f>
        <v/>
      </c>
      <c r="U221" s="9">
        <f>$W$12+$W$4*M221+$W$5*N221+$W$6*O221+$W$7*P221+$W$8*Q221+$W$9*R221+$W$10*S221+$W$11*T221</f>
        <v/>
      </c>
    </row>
    <row r="222">
      <c r="A222" s="7" t="n">
        <v>39157</v>
      </c>
      <c r="B222" s="8" t="n">
        <v>653.2</v>
      </c>
      <c r="C222" s="8" t="n">
        <v>2.39</v>
      </c>
      <c r="D222" s="8" t="n">
        <v>2.16</v>
      </c>
      <c r="E222" s="8" t="n">
        <v>83.230003</v>
      </c>
      <c r="F222" s="8" t="n">
        <v>57.06</v>
      </c>
      <c r="G222" s="8" t="n">
        <v>16.79</v>
      </c>
      <c r="H222" s="8" t="n">
        <v>67</v>
      </c>
      <c r="I222" s="8" t="n">
        <v>1386.949951</v>
      </c>
      <c r="J222" s="8" t="n">
        <v>55.905918</v>
      </c>
      <c r="L222" s="9">
        <f>LN(B222/B221)</f>
        <v/>
      </c>
      <c r="M222" s="9">
        <f>$M$1*(C222-C221)</f>
        <v/>
      </c>
      <c r="N222" s="9">
        <f>$N$1*(D222-D221)</f>
        <v/>
      </c>
      <c r="O222" s="9">
        <f>$O$1*LN(E222/E221)</f>
        <v/>
      </c>
      <c r="P222" s="9">
        <f>$P$1*LN(F222/F221)</f>
        <v/>
      </c>
      <c r="Q222" s="9">
        <f>$Q$1*(G222-G221)</f>
        <v/>
      </c>
      <c r="R222" s="9">
        <f>$R$1*(H222-H221)</f>
        <v/>
      </c>
      <c r="S222" s="9">
        <f>$S$1*LN(I222/I221)</f>
        <v/>
      </c>
      <c r="T222" s="9">
        <f>$T$1*LN(J222/J221)</f>
        <v/>
      </c>
      <c r="U222" s="9">
        <f>$W$12+$W$4*M222+$W$5*N222+$W$6*O222+$W$7*P222+$W$8*Q222+$W$9*R222+$W$10*S222+$W$11*T222</f>
        <v/>
      </c>
    </row>
    <row r="223">
      <c r="A223" s="7" t="n">
        <v>39164</v>
      </c>
      <c r="B223" s="8" t="n">
        <v>656.25</v>
      </c>
      <c r="C223" s="8" t="n">
        <v>2.43</v>
      </c>
      <c r="D223" s="8" t="n">
        <v>2.19</v>
      </c>
      <c r="E223" s="8" t="n">
        <v>83.279999</v>
      </c>
      <c r="F223" s="8" t="n">
        <v>61.07</v>
      </c>
      <c r="G223" s="8" t="n">
        <v>12.95</v>
      </c>
      <c r="H223" s="8" t="n">
        <v>68.699997</v>
      </c>
      <c r="I223" s="8" t="n">
        <v>1436.109985</v>
      </c>
      <c r="J223" s="8" t="n">
        <v>55.811413</v>
      </c>
      <c r="L223" s="9">
        <f>LN(B223/B222)</f>
        <v/>
      </c>
      <c r="M223" s="9">
        <f>$M$1*(C223-C222)</f>
        <v/>
      </c>
      <c r="N223" s="9">
        <f>$N$1*(D223-D222)</f>
        <v/>
      </c>
      <c r="O223" s="9">
        <f>$O$1*LN(E223/E222)</f>
        <v/>
      </c>
      <c r="P223" s="9">
        <f>$P$1*LN(F223/F222)</f>
        <v/>
      </c>
      <c r="Q223" s="9">
        <f>$Q$1*(G223-G222)</f>
        <v/>
      </c>
      <c r="R223" s="9">
        <f>$R$1*(H223-H222)</f>
        <v/>
      </c>
      <c r="S223" s="9">
        <f>$S$1*LN(I223/I222)</f>
        <v/>
      </c>
      <c r="T223" s="9">
        <f>$T$1*LN(J223/J222)</f>
        <v/>
      </c>
      <c r="U223" s="9">
        <f>$W$12+$W$4*M223+$W$5*N223+$W$6*O223+$W$7*P223+$W$8*Q223+$W$9*R223+$W$10*S223+$W$11*T223</f>
        <v/>
      </c>
    </row>
    <row r="224">
      <c r="A224" s="7" t="n">
        <v>39171</v>
      </c>
      <c r="B224" s="8" t="n">
        <v>661.75</v>
      </c>
      <c r="C224" s="8" t="n">
        <v>2.44</v>
      </c>
      <c r="D224" s="8" t="n">
        <v>2.21</v>
      </c>
      <c r="E224" s="8" t="n">
        <v>82.93000000000001</v>
      </c>
      <c r="F224" s="8" t="n">
        <v>65.94</v>
      </c>
      <c r="G224" s="8" t="n">
        <v>14.64</v>
      </c>
      <c r="H224" s="8" t="n">
        <v>67.900002</v>
      </c>
      <c r="I224" s="8" t="n">
        <v>1420.859985</v>
      </c>
      <c r="J224" s="8" t="n">
        <v>55.728016</v>
      </c>
      <c r="L224" s="9">
        <f>LN(B224/B223)</f>
        <v/>
      </c>
      <c r="M224" s="9">
        <f>$M$1*(C224-C223)</f>
        <v/>
      </c>
      <c r="N224" s="9">
        <f>$N$1*(D224-D223)</f>
        <v/>
      </c>
      <c r="O224" s="9">
        <f>$O$1*LN(E224/E223)</f>
        <v/>
      </c>
      <c r="P224" s="9">
        <f>$P$1*LN(F224/F223)</f>
        <v/>
      </c>
      <c r="Q224" s="9">
        <f>$Q$1*(G224-G223)</f>
        <v/>
      </c>
      <c r="R224" s="9">
        <f>$R$1*(H224-H223)</f>
        <v/>
      </c>
      <c r="S224" s="9">
        <f>$S$1*LN(I224/I223)</f>
        <v/>
      </c>
      <c r="T224" s="9">
        <f>$T$1*LN(J224/J223)</f>
        <v/>
      </c>
      <c r="U224" s="9">
        <f>$W$12+$W$4*M224+$W$5*N224+$W$6*O224+$W$7*P224+$W$8*Q224+$W$9*R224+$W$10*S224+$W$11*T224</f>
        <v/>
      </c>
    </row>
    <row r="225">
      <c r="A225" s="7" t="n">
        <v>39178</v>
      </c>
      <c r="B225" s="8" t="n">
        <v>673.5</v>
      </c>
      <c r="C225" s="8" t="n">
        <v>2.49</v>
      </c>
      <c r="D225" s="8" t="n">
        <v>2.27</v>
      </c>
      <c r="E225" s="8" t="n">
        <v>82.68000000000001</v>
      </c>
      <c r="F225" s="8" t="n">
        <v>64.26000000000001</v>
      </c>
      <c r="G225" s="8" t="n">
        <v>13.23</v>
      </c>
      <c r="H225" s="8" t="n">
        <v>64</v>
      </c>
      <c r="I225" s="8" t="n">
        <v>1443.76001</v>
      </c>
      <c r="J225" s="8" t="n">
        <v>55.755405</v>
      </c>
      <c r="L225" s="9">
        <f>LN(B225/B224)</f>
        <v/>
      </c>
      <c r="M225" s="9">
        <f>$M$1*(C225-C224)</f>
        <v/>
      </c>
      <c r="N225" s="9">
        <f>$N$1*(D225-D224)</f>
        <v/>
      </c>
      <c r="O225" s="9">
        <f>$O$1*LN(E225/E224)</f>
        <v/>
      </c>
      <c r="P225" s="9">
        <f>$P$1*LN(F225/F224)</f>
        <v/>
      </c>
      <c r="Q225" s="9">
        <f>$Q$1*(G225-G224)</f>
        <v/>
      </c>
      <c r="R225" s="9">
        <f>$R$1*(H225-H224)</f>
        <v/>
      </c>
      <c r="S225" s="9">
        <f>$S$1*LN(I225/I224)</f>
        <v/>
      </c>
      <c r="T225" s="9">
        <f>$T$1*LN(J225/J224)</f>
        <v/>
      </c>
      <c r="U225" s="9">
        <f>$W$12+$W$4*M225+$W$5*N225+$W$6*O225+$W$7*P225+$W$8*Q225+$W$9*R225+$W$10*S225+$W$11*T225</f>
        <v/>
      </c>
    </row>
    <row r="226">
      <c r="A226" s="7" t="n">
        <v>39185</v>
      </c>
      <c r="B226" s="8" t="n">
        <v>681.75</v>
      </c>
      <c r="C226" s="8" t="n">
        <v>2.45</v>
      </c>
      <c r="D226" s="8" t="n">
        <v>2.31</v>
      </c>
      <c r="E226" s="8" t="n">
        <v>82.129997</v>
      </c>
      <c r="F226" s="8" t="n">
        <v>63.63</v>
      </c>
      <c r="G226" s="8" t="n">
        <v>12.2</v>
      </c>
      <c r="H226" s="8" t="n">
        <v>57.799999</v>
      </c>
      <c r="I226" s="8" t="n">
        <v>1452.849976</v>
      </c>
      <c r="J226" s="8" t="n">
        <v>55.57122</v>
      </c>
      <c r="L226" s="9">
        <f>LN(B226/B225)</f>
        <v/>
      </c>
      <c r="M226" s="9">
        <f>$M$1*(C226-C225)</f>
        <v/>
      </c>
      <c r="N226" s="9">
        <f>$N$1*(D226-D225)</f>
        <v/>
      </c>
      <c r="O226" s="9">
        <f>$O$1*LN(E226/E225)</f>
        <v/>
      </c>
      <c r="P226" s="9">
        <f>$P$1*LN(F226/F225)</f>
        <v/>
      </c>
      <c r="Q226" s="9">
        <f>$Q$1*(G226-G225)</f>
        <v/>
      </c>
      <c r="R226" s="9">
        <f>$R$1*(H226-H225)</f>
        <v/>
      </c>
      <c r="S226" s="9">
        <f>$S$1*LN(I226/I225)</f>
        <v/>
      </c>
      <c r="T226" s="9">
        <f>$T$1*LN(J226/J225)</f>
        <v/>
      </c>
      <c r="U226" s="9">
        <f>$W$12+$W$4*M226+$W$5*N226+$W$6*O226+$W$7*P226+$W$8*Q226+$W$9*R226+$W$10*S226+$W$11*T226</f>
        <v/>
      </c>
    </row>
    <row r="227">
      <c r="A227" s="7" t="n">
        <v>39192</v>
      </c>
      <c r="B227" s="8" t="n">
        <v>691.4</v>
      </c>
      <c r="C227" s="8" t="n">
        <v>2.41</v>
      </c>
      <c r="D227" s="8" t="n">
        <v>2.27</v>
      </c>
      <c r="E227" s="8" t="n">
        <v>81.639999</v>
      </c>
      <c r="F227" s="8" t="n">
        <v>63.56</v>
      </c>
      <c r="G227" s="8" t="n">
        <v>12.07</v>
      </c>
      <c r="H227" s="8" t="n">
        <v>59.099998</v>
      </c>
      <c r="I227" s="8" t="n">
        <v>1484.349976</v>
      </c>
      <c r="J227" s="8" t="n">
        <v>55.878159</v>
      </c>
      <c r="L227" s="9">
        <f>LN(B227/B226)</f>
        <v/>
      </c>
      <c r="M227" s="9">
        <f>$M$1*(C227-C226)</f>
        <v/>
      </c>
      <c r="N227" s="9">
        <f>$N$1*(D227-D226)</f>
        <v/>
      </c>
      <c r="O227" s="9">
        <f>$O$1*LN(E227/E226)</f>
        <v/>
      </c>
      <c r="P227" s="9">
        <f>$P$1*LN(F227/F226)</f>
        <v/>
      </c>
      <c r="Q227" s="9">
        <f>$Q$1*(G227-G226)</f>
        <v/>
      </c>
      <c r="R227" s="9">
        <f>$R$1*(H227-H226)</f>
        <v/>
      </c>
      <c r="S227" s="9">
        <f>$S$1*LN(I227/I226)</f>
        <v/>
      </c>
      <c r="T227" s="9">
        <f>$T$1*LN(J227/J226)</f>
        <v/>
      </c>
      <c r="U227" s="9">
        <f>$W$12+$W$4*M227+$W$5*N227+$W$6*O227+$W$7*P227+$W$8*Q227+$W$9*R227+$W$10*S227+$W$11*T227</f>
        <v/>
      </c>
    </row>
    <row r="228">
      <c r="A228" s="7" t="n">
        <v>39199</v>
      </c>
      <c r="B228" s="8" t="n">
        <v>677.5</v>
      </c>
      <c r="C228" s="8" t="n">
        <v>2.46</v>
      </c>
      <c r="D228" s="8" t="n">
        <v>2.25</v>
      </c>
      <c r="E228" s="8" t="n">
        <v>81.529999</v>
      </c>
      <c r="F228" s="8" t="n">
        <v>66.45</v>
      </c>
      <c r="G228" s="8" t="n">
        <v>12.45</v>
      </c>
      <c r="H228" s="8" t="n">
        <v>57.799999</v>
      </c>
      <c r="I228" s="8" t="n">
        <v>1494.069946</v>
      </c>
      <c r="J228" s="8" t="n">
        <v>55.866947</v>
      </c>
      <c r="L228" s="9">
        <f>LN(B228/B227)</f>
        <v/>
      </c>
      <c r="M228" s="9">
        <f>$M$1*(C228-C227)</f>
        <v/>
      </c>
      <c r="N228" s="9">
        <f>$N$1*(D228-D227)</f>
        <v/>
      </c>
      <c r="O228" s="9">
        <f>$O$1*LN(E228/E227)</f>
        <v/>
      </c>
      <c r="P228" s="9">
        <f>$P$1*LN(F228/F227)</f>
        <v/>
      </c>
      <c r="Q228" s="9">
        <f>$Q$1*(G228-G227)</f>
        <v/>
      </c>
      <c r="R228" s="9">
        <f>$R$1*(H228-H227)</f>
        <v/>
      </c>
      <c r="S228" s="9">
        <f>$S$1*LN(I228/I227)</f>
        <v/>
      </c>
      <c r="T228" s="9">
        <f>$T$1*LN(J228/J227)</f>
        <v/>
      </c>
      <c r="U228" s="9">
        <f>$W$12+$W$4*M228+$W$5*N228+$W$6*O228+$W$7*P228+$W$8*Q228+$W$9*R228+$W$10*S228+$W$11*T228</f>
        <v/>
      </c>
    </row>
    <row r="229">
      <c r="A229" s="7" t="n">
        <v>39206</v>
      </c>
      <c r="B229" s="8" t="n">
        <v>688.8</v>
      </c>
      <c r="C229" s="8" t="n">
        <v>2.41</v>
      </c>
      <c r="D229" s="8" t="n">
        <v>2.24</v>
      </c>
      <c r="E229" s="8" t="n">
        <v>81.739998</v>
      </c>
      <c r="F229" s="8" t="n">
        <v>61.89</v>
      </c>
      <c r="G229" s="8" t="n">
        <v>12.91</v>
      </c>
      <c r="H229" s="8" t="n">
        <v>57.099998</v>
      </c>
      <c r="I229" s="8" t="n">
        <v>1505.619995</v>
      </c>
      <c r="J229" s="8" t="n">
        <v>56.052185</v>
      </c>
      <c r="L229" s="9">
        <f>LN(B229/B228)</f>
        <v/>
      </c>
      <c r="M229" s="9">
        <f>$M$1*(C229-C228)</f>
        <v/>
      </c>
      <c r="N229" s="9">
        <f>$N$1*(D229-D228)</f>
        <v/>
      </c>
      <c r="O229" s="9">
        <f>$O$1*LN(E229/E228)</f>
        <v/>
      </c>
      <c r="P229" s="9">
        <f>$P$1*LN(F229/F228)</f>
        <v/>
      </c>
      <c r="Q229" s="9">
        <f>$Q$1*(G229-G228)</f>
        <v/>
      </c>
      <c r="R229" s="9">
        <f>$R$1*(H229-H228)</f>
        <v/>
      </c>
      <c r="S229" s="9">
        <f>$S$1*LN(I229/I228)</f>
        <v/>
      </c>
      <c r="T229" s="9">
        <f>$T$1*LN(J229/J228)</f>
        <v/>
      </c>
      <c r="U229" s="9">
        <f>$W$12+$W$4*M229+$W$5*N229+$W$6*O229+$W$7*P229+$W$8*Q229+$W$9*R229+$W$10*S229+$W$11*T229</f>
        <v/>
      </c>
    </row>
    <row r="230">
      <c r="A230" s="7" t="n">
        <v>39213</v>
      </c>
      <c r="B230" s="8" t="n">
        <v>669</v>
      </c>
      <c r="C230" s="8" t="n">
        <v>2.37</v>
      </c>
      <c r="D230" s="8" t="n">
        <v>2.3</v>
      </c>
      <c r="E230" s="8" t="n">
        <v>82.120003</v>
      </c>
      <c r="F230" s="8" t="n">
        <v>62.35</v>
      </c>
      <c r="G230" s="8" t="n">
        <v>12.95</v>
      </c>
      <c r="H230" s="8" t="n">
        <v>52.400002</v>
      </c>
      <c r="I230" s="8" t="n">
        <v>1505.849976</v>
      </c>
      <c r="J230" s="8" t="n">
        <v>55.962589</v>
      </c>
      <c r="L230" s="9">
        <f>LN(B230/B229)</f>
        <v/>
      </c>
      <c r="M230" s="9">
        <f>$M$1*(C230-C229)</f>
        <v/>
      </c>
      <c r="N230" s="9">
        <f>$N$1*(D230-D229)</f>
        <v/>
      </c>
      <c r="O230" s="9">
        <f>$O$1*LN(E230/E229)</f>
        <v/>
      </c>
      <c r="P230" s="9">
        <f>$P$1*LN(F230/F229)</f>
        <v/>
      </c>
      <c r="Q230" s="9">
        <f>$Q$1*(G230-G229)</f>
        <v/>
      </c>
      <c r="R230" s="9">
        <f>$R$1*(H230-H229)</f>
        <v/>
      </c>
      <c r="S230" s="9">
        <f>$S$1*LN(I230/I229)</f>
        <v/>
      </c>
      <c r="T230" s="9">
        <f>$T$1*LN(J230/J229)</f>
        <v/>
      </c>
      <c r="U230" s="9">
        <f>$W$12+$W$4*M230+$W$5*N230+$W$6*O230+$W$7*P230+$W$8*Q230+$W$9*R230+$W$10*S230+$W$11*T230</f>
        <v/>
      </c>
    </row>
    <row r="231">
      <c r="A231" s="7" t="n">
        <v>39220</v>
      </c>
      <c r="B231" s="8" t="n">
        <v>657</v>
      </c>
      <c r="C231" s="8" t="n">
        <v>2.35</v>
      </c>
      <c r="D231" s="8" t="n">
        <v>2.46</v>
      </c>
      <c r="E231" s="8" t="n">
        <v>82.199997</v>
      </c>
      <c r="F231" s="8" t="n">
        <v>64.93000000000001</v>
      </c>
      <c r="G231" s="8" t="n">
        <v>12.76</v>
      </c>
      <c r="H231" s="8" t="n">
        <v>56.700001</v>
      </c>
      <c r="I231" s="8" t="n">
        <v>1522.75</v>
      </c>
      <c r="J231" s="8" t="n">
        <v>55.704971</v>
      </c>
      <c r="L231" s="9">
        <f>LN(B231/B230)</f>
        <v/>
      </c>
      <c r="M231" s="9">
        <f>$M$1*(C231-C230)</f>
        <v/>
      </c>
      <c r="N231" s="9">
        <f>$N$1*(D231-D230)</f>
        <v/>
      </c>
      <c r="O231" s="9">
        <f>$O$1*LN(E231/E230)</f>
        <v/>
      </c>
      <c r="P231" s="9">
        <f>$P$1*LN(F231/F230)</f>
        <v/>
      </c>
      <c r="Q231" s="9">
        <f>$Q$1*(G231-G230)</f>
        <v/>
      </c>
      <c r="R231" s="9">
        <f>$R$1*(H231-H230)</f>
        <v/>
      </c>
      <c r="S231" s="9">
        <f>$S$1*LN(I231/I230)</f>
        <v/>
      </c>
      <c r="T231" s="9">
        <f>$T$1*LN(J231/J230)</f>
        <v/>
      </c>
      <c r="U231" s="9">
        <f>$W$12+$W$4*M231+$W$5*N231+$W$6*O231+$W$7*P231+$W$8*Q231+$W$9*R231+$W$10*S231+$W$11*T231</f>
        <v/>
      </c>
    </row>
    <row r="232">
      <c r="A232" s="7" t="n">
        <v>39227</v>
      </c>
      <c r="B232" s="8" t="n">
        <v>655.3</v>
      </c>
      <c r="C232" s="8" t="n">
        <v>2.37</v>
      </c>
      <c r="D232" s="8" t="n">
        <v>2.49</v>
      </c>
      <c r="E232" s="8" t="n">
        <v>82.33000199999999</v>
      </c>
      <c r="F232" s="8" t="n">
        <v>64.59</v>
      </c>
      <c r="G232" s="8" t="n">
        <v>13.34</v>
      </c>
      <c r="H232" s="8" t="n">
        <v>56.900002</v>
      </c>
      <c r="I232" s="8" t="n">
        <v>1515.72998</v>
      </c>
      <c r="J232" s="8" t="n">
        <v>55.654533</v>
      </c>
      <c r="L232" s="9">
        <f>LN(B232/B231)</f>
        <v/>
      </c>
      <c r="M232" s="9">
        <f>$M$1*(C232-C231)</f>
        <v/>
      </c>
      <c r="N232" s="9">
        <f>$N$1*(D232-D231)</f>
        <v/>
      </c>
      <c r="O232" s="9">
        <f>$O$1*LN(E232/E231)</f>
        <v/>
      </c>
      <c r="P232" s="9">
        <f>$P$1*LN(F232/F231)</f>
        <v/>
      </c>
      <c r="Q232" s="9">
        <f>$Q$1*(G232-G231)</f>
        <v/>
      </c>
      <c r="R232" s="9">
        <f>$R$1*(H232-H231)</f>
        <v/>
      </c>
      <c r="S232" s="9">
        <f>$S$1*LN(I232/I231)</f>
        <v/>
      </c>
      <c r="T232" s="9">
        <f>$T$1*LN(J232/J231)</f>
        <v/>
      </c>
      <c r="U232" s="9">
        <f>$W$12+$W$4*M232+$W$5*N232+$W$6*O232+$W$7*P232+$W$8*Q232+$W$9*R232+$W$10*S232+$W$11*T232</f>
        <v/>
      </c>
    </row>
    <row r="233">
      <c r="A233" s="7" t="n">
        <v>39234</v>
      </c>
      <c r="B233" s="8" t="n">
        <v>666.5</v>
      </c>
      <c r="C233" s="8" t="n">
        <v>2.38</v>
      </c>
      <c r="D233" s="8" t="n">
        <v>2.57</v>
      </c>
      <c r="E233" s="8" t="n">
        <v>82.31999999999999</v>
      </c>
      <c r="F233" s="8" t="n">
        <v>65.09</v>
      </c>
      <c r="G233" s="8" t="n">
        <v>12.78</v>
      </c>
      <c r="H233" s="8" t="n">
        <v>58</v>
      </c>
      <c r="I233" s="8" t="n">
        <v>1536.339966</v>
      </c>
      <c r="J233" s="8" t="n">
        <v>55.485165</v>
      </c>
      <c r="L233" s="9">
        <f>LN(B233/B232)</f>
        <v/>
      </c>
      <c r="M233" s="9">
        <f>$M$1*(C233-C232)</f>
        <v/>
      </c>
      <c r="N233" s="9">
        <f>$N$1*(D233-D232)</f>
        <v/>
      </c>
      <c r="O233" s="9">
        <f>$O$1*LN(E233/E232)</f>
        <v/>
      </c>
      <c r="P233" s="9">
        <f>$P$1*LN(F233/F232)</f>
        <v/>
      </c>
      <c r="Q233" s="9">
        <f>$Q$1*(G233-G232)</f>
        <v/>
      </c>
      <c r="R233" s="9">
        <f>$R$1*(H233-H232)</f>
        <v/>
      </c>
      <c r="S233" s="9">
        <f>$S$1*LN(I233/I232)</f>
        <v/>
      </c>
      <c r="T233" s="9">
        <f>$T$1*LN(J233/J232)</f>
        <v/>
      </c>
      <c r="U233" s="9">
        <f>$W$12+$W$4*M233+$W$5*N233+$W$6*O233+$W$7*P233+$W$8*Q233+$W$9*R233+$W$10*S233+$W$11*T233</f>
        <v/>
      </c>
    </row>
    <row r="234">
      <c r="A234" s="7" t="n">
        <v>39241</v>
      </c>
      <c r="B234" s="8" t="n">
        <v>655.25</v>
      </c>
      <c r="C234" s="8" t="n">
        <v>2.43</v>
      </c>
      <c r="D234" s="8" t="n">
        <v>2.69</v>
      </c>
      <c r="E234" s="8" t="n">
        <v>82.69000200000001</v>
      </c>
      <c r="F234" s="8" t="n">
        <v>64.78</v>
      </c>
      <c r="G234" s="8" t="n">
        <v>14.84</v>
      </c>
      <c r="H234" s="8" t="n">
        <v>79.099998</v>
      </c>
      <c r="I234" s="8" t="n">
        <v>1507.670044</v>
      </c>
      <c r="J234" s="8" t="n">
        <v>54.967548</v>
      </c>
      <c r="L234" s="9">
        <f>LN(B234/B233)</f>
        <v/>
      </c>
      <c r="M234" s="9">
        <f>$M$1*(C234-C233)</f>
        <v/>
      </c>
      <c r="N234" s="9">
        <f>$N$1*(D234-D233)</f>
        <v/>
      </c>
      <c r="O234" s="9">
        <f>$O$1*LN(E234/E233)</f>
        <v/>
      </c>
      <c r="P234" s="9">
        <f>$P$1*LN(F234/F233)</f>
        <v/>
      </c>
      <c r="Q234" s="9">
        <f>$Q$1*(G234-G233)</f>
        <v/>
      </c>
      <c r="R234" s="9">
        <f>$R$1*(H234-H233)</f>
        <v/>
      </c>
      <c r="S234" s="9">
        <f>$S$1*LN(I234/I233)</f>
        <v/>
      </c>
      <c r="T234" s="9">
        <f>$T$1*LN(J234/J233)</f>
        <v/>
      </c>
      <c r="U234" s="9">
        <f>$W$12+$W$4*M234+$W$5*N234+$W$6*O234+$W$7*P234+$W$8*Q234+$W$9*R234+$W$10*S234+$W$11*T234</f>
        <v/>
      </c>
    </row>
    <row r="235">
      <c r="A235" s="7" t="n">
        <v>39248</v>
      </c>
      <c r="B235" s="8" t="n">
        <v>653.1</v>
      </c>
      <c r="C235" s="8" t="n">
        <v>2.43</v>
      </c>
      <c r="D235" s="8" t="n">
        <v>2.73</v>
      </c>
      <c r="E235" s="8" t="n">
        <v>82.849998</v>
      </c>
      <c r="F235" s="8" t="n">
        <v>68.04000000000001</v>
      </c>
      <c r="G235" s="8" t="n">
        <v>13.94</v>
      </c>
      <c r="H235" s="8" t="n">
        <v>70.599998</v>
      </c>
      <c r="I235" s="8" t="n">
        <v>1532.910034</v>
      </c>
      <c r="J235" s="8" t="n">
        <v>55.068813</v>
      </c>
      <c r="L235" s="9">
        <f>LN(B235/B234)</f>
        <v/>
      </c>
      <c r="M235" s="9">
        <f>$M$1*(C235-C234)</f>
        <v/>
      </c>
      <c r="N235" s="9">
        <f>$N$1*(D235-D234)</f>
        <v/>
      </c>
      <c r="O235" s="9">
        <f>$O$1*LN(E235/E234)</f>
        <v/>
      </c>
      <c r="P235" s="9">
        <f>$P$1*LN(F235/F234)</f>
        <v/>
      </c>
      <c r="Q235" s="9">
        <f>$Q$1*(G235-G234)</f>
        <v/>
      </c>
      <c r="R235" s="9">
        <f>$R$1*(H235-H234)</f>
        <v/>
      </c>
      <c r="S235" s="9">
        <f>$S$1*LN(I235/I234)</f>
        <v/>
      </c>
      <c r="T235" s="9">
        <f>$T$1*LN(J235/J234)</f>
        <v/>
      </c>
      <c r="U235" s="9">
        <f>$W$12+$W$4*M235+$W$5*N235+$W$6*O235+$W$7*P235+$W$8*Q235+$W$9*R235+$W$10*S235+$W$11*T235</f>
        <v/>
      </c>
    </row>
    <row r="236">
      <c r="A236" s="7" t="n">
        <v>39255</v>
      </c>
      <c r="B236" s="8" t="n">
        <v>652.85</v>
      </c>
      <c r="C236" s="8" t="n">
        <v>2.44</v>
      </c>
      <c r="D236" s="8" t="n">
        <v>2.7</v>
      </c>
      <c r="E236" s="8" t="n">
        <v>82.339996</v>
      </c>
      <c r="F236" s="8" t="n">
        <v>68.84999999999999</v>
      </c>
      <c r="G236" s="8" t="n">
        <v>15.75</v>
      </c>
      <c r="H236" s="8" t="n">
        <v>76.300003</v>
      </c>
      <c r="I236" s="8" t="n">
        <v>1502.560059</v>
      </c>
      <c r="J236" s="8" t="n">
        <v>55.175694</v>
      </c>
      <c r="L236" s="9">
        <f>LN(B236/B235)</f>
        <v/>
      </c>
      <c r="M236" s="9">
        <f>$M$1*(C236-C235)</f>
        <v/>
      </c>
      <c r="N236" s="9">
        <f>$N$1*(D236-D235)</f>
        <v/>
      </c>
      <c r="O236" s="9">
        <f>$O$1*LN(E236/E235)</f>
        <v/>
      </c>
      <c r="P236" s="9">
        <f>$P$1*LN(F236/F235)</f>
        <v/>
      </c>
      <c r="Q236" s="9">
        <f>$Q$1*(G236-G235)</f>
        <v/>
      </c>
      <c r="R236" s="9">
        <f>$R$1*(H236-H235)</f>
        <v/>
      </c>
      <c r="S236" s="9">
        <f>$S$1*LN(I236/I235)</f>
        <v/>
      </c>
      <c r="T236" s="9">
        <f>$T$1*LN(J236/J235)</f>
        <v/>
      </c>
      <c r="U236" s="9">
        <f>$W$12+$W$4*M236+$W$5*N236+$W$6*O236+$W$7*P236+$W$8*Q236+$W$9*R236+$W$10*S236+$W$11*T236</f>
        <v/>
      </c>
    </row>
    <row r="237">
      <c r="A237" s="7" t="n">
        <v>39262</v>
      </c>
      <c r="B237" s="8" t="n">
        <v>650.5</v>
      </c>
      <c r="C237" s="8" t="n">
        <v>2.38</v>
      </c>
      <c r="D237" s="8" t="n">
        <v>2.65</v>
      </c>
      <c r="E237" s="8" t="n">
        <v>81.91999800000001</v>
      </c>
      <c r="F237" s="8" t="n">
        <v>70.47</v>
      </c>
      <c r="G237" s="8" t="n">
        <v>16.23</v>
      </c>
      <c r="H237" s="8" t="n">
        <v>77.5</v>
      </c>
      <c r="I237" s="8" t="n">
        <v>1503.349976</v>
      </c>
      <c r="J237" s="8" t="n">
        <v>55.333248</v>
      </c>
      <c r="L237" s="9">
        <f>LN(B237/B236)</f>
        <v/>
      </c>
      <c r="M237" s="9">
        <f>$M$1*(C237-C236)</f>
        <v/>
      </c>
      <c r="N237" s="9">
        <f>$N$1*(D237-D236)</f>
        <v/>
      </c>
      <c r="O237" s="9">
        <f>$O$1*LN(E237/E236)</f>
        <v/>
      </c>
      <c r="P237" s="9">
        <f>$P$1*LN(F237/F236)</f>
        <v/>
      </c>
      <c r="Q237" s="9">
        <f>$Q$1*(G237-G236)</f>
        <v/>
      </c>
      <c r="R237" s="9">
        <f>$R$1*(H237-H236)</f>
        <v/>
      </c>
      <c r="S237" s="9">
        <f>$S$1*LN(I237/I236)</f>
        <v/>
      </c>
      <c r="T237" s="9">
        <f>$T$1*LN(J237/J236)</f>
        <v/>
      </c>
      <c r="U237" s="9">
        <f>$W$12+$W$4*M237+$W$5*N237+$W$6*O237+$W$7*P237+$W$8*Q237+$W$9*R237+$W$10*S237+$W$11*T237</f>
        <v/>
      </c>
    </row>
    <row r="238">
      <c r="A238" s="7" t="n">
        <v>39269</v>
      </c>
      <c r="B238" s="8" t="n">
        <v>648.75</v>
      </c>
      <c r="C238" s="8" t="n">
        <v>2.4</v>
      </c>
      <c r="D238" s="8" t="n">
        <v>2.79</v>
      </c>
      <c r="E238" s="8" t="n">
        <v>81.459999</v>
      </c>
      <c r="F238" s="8" t="n">
        <v>72.8</v>
      </c>
      <c r="G238" s="8" t="n">
        <v>14.72</v>
      </c>
      <c r="H238" s="8" t="n">
        <v>74.400002</v>
      </c>
      <c r="I238" s="8" t="n">
        <v>1530.439941</v>
      </c>
      <c r="J238" s="8" t="n">
        <v>55.090843</v>
      </c>
      <c r="L238" s="9">
        <f>LN(B238/B237)</f>
        <v/>
      </c>
      <c r="M238" s="9">
        <f>$M$1*(C238-C237)</f>
        <v/>
      </c>
      <c r="N238" s="9">
        <f>$N$1*(D238-D237)</f>
        <v/>
      </c>
      <c r="O238" s="9">
        <f>$O$1*LN(E238/E237)</f>
        <v/>
      </c>
      <c r="P238" s="9">
        <f>$P$1*LN(F238/F237)</f>
        <v/>
      </c>
      <c r="Q238" s="9">
        <f>$Q$1*(G238-G237)</f>
        <v/>
      </c>
      <c r="R238" s="9">
        <f>$R$1*(H238-H237)</f>
        <v/>
      </c>
      <c r="S238" s="9">
        <f>$S$1*LN(I238/I237)</f>
        <v/>
      </c>
      <c r="T238" s="9">
        <f>$T$1*LN(J238/J237)</f>
        <v/>
      </c>
      <c r="U238" s="9">
        <f>$W$12+$W$4*M238+$W$5*N238+$W$6*O238+$W$7*P238+$W$8*Q238+$W$9*R238+$W$10*S238+$W$11*T238</f>
        <v/>
      </c>
    </row>
    <row r="239">
      <c r="A239" s="7" t="n">
        <v>39276</v>
      </c>
      <c r="B239" s="8" t="n">
        <v>666.5</v>
      </c>
      <c r="C239" s="8" t="n">
        <v>2.38</v>
      </c>
      <c r="D239" s="8" t="n">
        <v>2.73</v>
      </c>
      <c r="E239" s="8" t="n">
        <v>80.58000199999999</v>
      </c>
      <c r="F239" s="8" t="n">
        <v>73.89</v>
      </c>
      <c r="G239" s="8" t="n">
        <v>15.15</v>
      </c>
      <c r="H239" s="8" t="n">
        <v>73.099998</v>
      </c>
      <c r="I239" s="8" t="n">
        <v>1552.5</v>
      </c>
      <c r="J239" s="8" t="n">
        <v>55.311214</v>
      </c>
      <c r="L239" s="9">
        <f>LN(B239/B238)</f>
        <v/>
      </c>
      <c r="M239" s="9">
        <f>$M$1*(C239-C238)</f>
        <v/>
      </c>
      <c r="N239" s="9">
        <f>$N$1*(D239-D238)</f>
        <v/>
      </c>
      <c r="O239" s="9">
        <f>$O$1*LN(E239/E238)</f>
        <v/>
      </c>
      <c r="P239" s="9">
        <f>$P$1*LN(F239/F238)</f>
        <v/>
      </c>
      <c r="Q239" s="9">
        <f>$Q$1*(G239-G238)</f>
        <v/>
      </c>
      <c r="R239" s="9">
        <f>$R$1*(H239-H238)</f>
        <v/>
      </c>
      <c r="S239" s="9">
        <f>$S$1*LN(I239/I238)</f>
        <v/>
      </c>
      <c r="T239" s="9">
        <f>$T$1*LN(J239/J238)</f>
        <v/>
      </c>
      <c r="U239" s="9">
        <f>$W$12+$W$4*M239+$W$5*N239+$W$6*O239+$W$7*P239+$W$8*Q239+$W$9*R239+$W$10*S239+$W$11*T239</f>
        <v/>
      </c>
    </row>
    <row r="240">
      <c r="A240" s="7" t="n">
        <v>39283</v>
      </c>
      <c r="B240" s="8" t="n">
        <v>681.6</v>
      </c>
      <c r="C240" s="8" t="n">
        <v>2.36</v>
      </c>
      <c r="D240" s="8" t="n">
        <v>2.6</v>
      </c>
      <c r="E240" s="8" t="n">
        <v>80.290001</v>
      </c>
      <c r="F240" s="8" t="n">
        <v>75.53</v>
      </c>
      <c r="G240" s="8" t="n">
        <v>16.95</v>
      </c>
      <c r="H240" s="8" t="n">
        <v>72.199997</v>
      </c>
      <c r="I240" s="8" t="n">
        <v>1534.099976</v>
      </c>
      <c r="J240" s="8" t="n">
        <v>55.593662</v>
      </c>
      <c r="L240" s="9">
        <f>LN(B240/B239)</f>
        <v/>
      </c>
      <c r="M240" s="9">
        <f>$M$1*(C240-C239)</f>
        <v/>
      </c>
      <c r="N240" s="9">
        <f>$N$1*(D240-D239)</f>
        <v/>
      </c>
      <c r="O240" s="9">
        <f>$O$1*LN(E240/E239)</f>
        <v/>
      </c>
      <c r="P240" s="9">
        <f>$P$1*LN(F240/F239)</f>
        <v/>
      </c>
      <c r="Q240" s="9">
        <f>$Q$1*(G240-G239)</f>
        <v/>
      </c>
      <c r="R240" s="9">
        <f>$R$1*(H240-H239)</f>
        <v/>
      </c>
      <c r="S240" s="9">
        <f>$S$1*LN(I240/I239)</f>
        <v/>
      </c>
      <c r="T240" s="9">
        <f>$T$1*LN(J240/J239)</f>
        <v/>
      </c>
      <c r="U240" s="9">
        <f>$W$12+$W$4*M240+$W$5*N240+$W$6*O240+$W$7*P240+$W$8*Q240+$W$9*R240+$W$10*S240+$W$11*T240</f>
        <v/>
      </c>
    </row>
    <row r="241">
      <c r="A241" s="7" t="n">
        <v>39290</v>
      </c>
      <c r="B241" s="8" t="n">
        <v>660.5</v>
      </c>
      <c r="C241" s="8" t="n">
        <v>2.32</v>
      </c>
      <c r="D241" s="8" t="n">
        <v>2.48</v>
      </c>
      <c r="E241" s="8" t="n">
        <v>80.949997</v>
      </c>
      <c r="F241" s="8" t="n">
        <v>77.03</v>
      </c>
      <c r="G241" s="8" t="n">
        <v>24.17</v>
      </c>
      <c r="H241" s="8" t="n">
        <v>92.599998</v>
      </c>
      <c r="I241" s="8" t="n">
        <v>1458.949951</v>
      </c>
      <c r="J241" s="8" t="n">
        <v>55.780098</v>
      </c>
      <c r="L241" s="9">
        <f>LN(B241/B240)</f>
        <v/>
      </c>
      <c r="M241" s="9">
        <f>$M$1*(C241-C240)</f>
        <v/>
      </c>
      <c r="N241" s="9">
        <f>$N$1*(D241-D240)</f>
        <v/>
      </c>
      <c r="O241" s="9">
        <f>$O$1*LN(E241/E240)</f>
        <v/>
      </c>
      <c r="P241" s="9">
        <f>$P$1*LN(F241/F240)</f>
        <v/>
      </c>
      <c r="Q241" s="9">
        <f>$Q$1*(G241-G240)</f>
        <v/>
      </c>
      <c r="R241" s="9">
        <f>$R$1*(H241-H240)</f>
        <v/>
      </c>
      <c r="S241" s="9">
        <f>$S$1*LN(I241/I240)</f>
        <v/>
      </c>
      <c r="T241" s="9">
        <f>$T$1*LN(J241/J240)</f>
        <v/>
      </c>
      <c r="U241" s="9">
        <f>$W$12+$W$4*M241+$W$5*N241+$W$6*O241+$W$7*P241+$W$8*Q241+$W$9*R241+$W$10*S241+$W$11*T241</f>
        <v/>
      </c>
    </row>
    <row r="242">
      <c r="A242" s="7" t="n">
        <v>39297</v>
      </c>
      <c r="B242" s="8" t="n">
        <v>670.5</v>
      </c>
      <c r="C242" s="8" t="n">
        <v>2.27</v>
      </c>
      <c r="D242" s="8" t="n">
        <v>2.44</v>
      </c>
      <c r="E242" s="8" t="n">
        <v>80.18000000000001</v>
      </c>
      <c r="F242" s="8" t="n">
        <v>75.41</v>
      </c>
      <c r="G242" s="8" t="n">
        <v>25.16</v>
      </c>
      <c r="H242" s="8" t="n">
        <v>95.400002</v>
      </c>
      <c r="I242" s="8" t="n">
        <v>1433.060059</v>
      </c>
      <c r="J242" s="8" t="n">
        <v>56.012711</v>
      </c>
      <c r="L242" s="9">
        <f>LN(B242/B241)</f>
        <v/>
      </c>
      <c r="M242" s="9">
        <f>$M$1*(C242-C241)</f>
        <v/>
      </c>
      <c r="N242" s="9">
        <f>$N$1*(D242-D241)</f>
        <v/>
      </c>
      <c r="O242" s="9">
        <f>$O$1*LN(E242/E241)</f>
        <v/>
      </c>
      <c r="P242" s="9">
        <f>$P$1*LN(F242/F241)</f>
        <v/>
      </c>
      <c r="Q242" s="9">
        <f>$Q$1*(G242-G241)</f>
        <v/>
      </c>
      <c r="R242" s="9">
        <f>$R$1*(H242-H241)</f>
        <v/>
      </c>
      <c r="S242" s="9">
        <f>$S$1*LN(I242/I241)</f>
        <v/>
      </c>
      <c r="T242" s="9">
        <f>$T$1*LN(J242/J241)</f>
        <v/>
      </c>
      <c r="U242" s="9">
        <f>$W$12+$W$4*M242+$W$5*N242+$W$6*O242+$W$7*P242+$W$8*Q242+$W$9*R242+$W$10*S242+$W$11*T242</f>
        <v/>
      </c>
    </row>
    <row r="243">
      <c r="A243" s="7" t="n">
        <v>39304</v>
      </c>
      <c r="B243" s="8" t="n">
        <v>668.5</v>
      </c>
      <c r="C243" s="8" t="n">
        <v>2.25</v>
      </c>
      <c r="D243" s="8" t="n">
        <v>2.56</v>
      </c>
      <c r="E243" s="8" t="n">
        <v>80.68000000000001</v>
      </c>
      <c r="F243" s="8" t="n">
        <v>71.48999999999999</v>
      </c>
      <c r="G243" s="8" t="n">
        <v>28.3</v>
      </c>
      <c r="H243" s="8" t="n">
        <v>116.400002</v>
      </c>
      <c r="I243" s="8" t="n">
        <v>1453.640015</v>
      </c>
      <c r="J243" s="8" t="n">
        <v>55.694969</v>
      </c>
      <c r="L243" s="9">
        <f>LN(B243/B242)</f>
        <v/>
      </c>
      <c r="M243" s="9">
        <f>$M$1*(C243-C242)</f>
        <v/>
      </c>
      <c r="N243" s="9">
        <f>$N$1*(D243-D242)</f>
        <v/>
      </c>
      <c r="O243" s="9">
        <f>$O$1*LN(E243/E242)</f>
        <v/>
      </c>
      <c r="P243" s="9">
        <f>$P$1*LN(F243/F242)</f>
        <v/>
      </c>
      <c r="Q243" s="9">
        <f>$Q$1*(G243-G242)</f>
        <v/>
      </c>
      <c r="R243" s="9">
        <f>$R$1*(H243-H242)</f>
        <v/>
      </c>
      <c r="S243" s="9">
        <f>$S$1*LN(I243/I242)</f>
        <v/>
      </c>
      <c r="T243" s="9">
        <f>$T$1*LN(J243/J242)</f>
        <v/>
      </c>
      <c r="U243" s="9">
        <f>$W$12+$W$4*M243+$W$5*N243+$W$6*O243+$W$7*P243+$W$8*Q243+$W$9*R243+$W$10*S243+$W$11*T243</f>
        <v/>
      </c>
    </row>
    <row r="244">
      <c r="A244" s="7" t="n">
        <v>39311</v>
      </c>
      <c r="B244" s="8" t="n">
        <v>657.5</v>
      </c>
      <c r="C244" s="8" t="n">
        <v>2.23</v>
      </c>
      <c r="D244" s="8" t="n">
        <v>2.45</v>
      </c>
      <c r="E244" s="8" t="n">
        <v>81.43000000000001</v>
      </c>
      <c r="F244" s="8" t="n">
        <v>71.90000000000001</v>
      </c>
      <c r="G244" s="8" t="n">
        <v>29.99</v>
      </c>
      <c r="H244" s="8" t="n">
        <v>106.900002</v>
      </c>
      <c r="I244" s="8" t="n">
        <v>1445.939941</v>
      </c>
      <c r="J244" s="8" t="n">
        <v>56.11488</v>
      </c>
      <c r="L244" s="9">
        <f>LN(B244/B243)</f>
        <v/>
      </c>
      <c r="M244" s="9">
        <f>$M$1*(C244-C243)</f>
        <v/>
      </c>
      <c r="N244" s="9">
        <f>$N$1*(D244-D243)</f>
        <v/>
      </c>
      <c r="O244" s="9">
        <f>$O$1*LN(E244/E243)</f>
        <v/>
      </c>
      <c r="P244" s="9">
        <f>$P$1*LN(F244/F243)</f>
        <v/>
      </c>
      <c r="Q244" s="9">
        <f>$Q$1*(G244-G243)</f>
        <v/>
      </c>
      <c r="R244" s="9">
        <f>$R$1*(H244-H243)</f>
        <v/>
      </c>
      <c r="S244" s="9">
        <f>$S$1*LN(I244/I243)</f>
        <v/>
      </c>
      <c r="T244" s="9">
        <f>$T$1*LN(J244/J243)</f>
        <v/>
      </c>
      <c r="U244" s="9">
        <f>$W$12+$W$4*M244+$W$5*N244+$W$6*O244+$W$7*P244+$W$8*Q244+$W$9*R244+$W$10*S244+$W$11*T244</f>
        <v/>
      </c>
    </row>
    <row r="245">
      <c r="A245" s="7" t="n">
        <v>39318</v>
      </c>
      <c r="B245" s="8" t="n">
        <v>660.85</v>
      </c>
      <c r="C245" s="8" t="n">
        <v>2.23</v>
      </c>
      <c r="D245" s="8" t="n">
        <v>2.4</v>
      </c>
      <c r="E245" s="8" t="n">
        <v>80.66999800000001</v>
      </c>
      <c r="F245" s="8" t="n">
        <v>71.17</v>
      </c>
      <c r="G245" s="8" t="n">
        <v>20.72</v>
      </c>
      <c r="H245" s="8" t="n">
        <v>104.400002</v>
      </c>
      <c r="I245" s="8" t="n">
        <v>1479.369995</v>
      </c>
      <c r="J245" s="8" t="n">
        <v>56.205639</v>
      </c>
      <c r="L245" s="9">
        <f>LN(B245/B244)</f>
        <v/>
      </c>
      <c r="M245" s="9">
        <f>$M$1*(C245-C244)</f>
        <v/>
      </c>
      <c r="N245" s="9">
        <f>$N$1*(D245-D244)</f>
        <v/>
      </c>
      <c r="O245" s="9">
        <f>$O$1*LN(E245/E244)</f>
        <v/>
      </c>
      <c r="P245" s="9">
        <f>$P$1*LN(F245/F244)</f>
        <v/>
      </c>
      <c r="Q245" s="9">
        <f>$Q$1*(G245-G244)</f>
        <v/>
      </c>
      <c r="R245" s="9">
        <f>$R$1*(H245-H244)</f>
        <v/>
      </c>
      <c r="S245" s="9">
        <f>$S$1*LN(I245/I244)</f>
        <v/>
      </c>
      <c r="T245" s="9">
        <f>$T$1*LN(J245/J244)</f>
        <v/>
      </c>
      <c r="U245" s="9">
        <f>$W$12+$W$4*M245+$W$5*N245+$W$6*O245+$W$7*P245+$W$8*Q245+$W$9*R245+$W$10*S245+$W$11*T245</f>
        <v/>
      </c>
    </row>
    <row r="246">
      <c r="A246" s="7" t="n">
        <v>39325</v>
      </c>
      <c r="B246" s="8" t="n">
        <v>672</v>
      </c>
      <c r="C246" s="8" t="n">
        <v>2.2</v>
      </c>
      <c r="D246" s="8" t="n">
        <v>2.34</v>
      </c>
      <c r="E246" s="8" t="n">
        <v>80.790001</v>
      </c>
      <c r="F246" s="8" t="n">
        <v>73.98</v>
      </c>
      <c r="G246" s="8" t="n">
        <v>23.38</v>
      </c>
      <c r="H246" s="8" t="n">
        <v>111</v>
      </c>
      <c r="I246" s="8" t="n">
        <v>1473.98999</v>
      </c>
      <c r="J246" s="8" t="n">
        <v>56.642548</v>
      </c>
      <c r="L246" s="9">
        <f>LN(B246/B245)</f>
        <v/>
      </c>
      <c r="M246" s="9">
        <f>$M$1*(C246-C245)</f>
        <v/>
      </c>
      <c r="N246" s="9">
        <f>$N$1*(D246-D245)</f>
        <v/>
      </c>
      <c r="O246" s="9">
        <f>$O$1*LN(E246/E245)</f>
        <v/>
      </c>
      <c r="P246" s="9">
        <f>$P$1*LN(F246/F245)</f>
        <v/>
      </c>
      <c r="Q246" s="9">
        <f>$Q$1*(G246-G245)</f>
        <v/>
      </c>
      <c r="R246" s="9">
        <f>$R$1*(H246-H245)</f>
        <v/>
      </c>
      <c r="S246" s="9">
        <f>$S$1*LN(I246/I245)</f>
        <v/>
      </c>
      <c r="T246" s="9">
        <f>$T$1*LN(J246/J245)</f>
        <v/>
      </c>
      <c r="U246" s="9">
        <f>$W$12+$W$4*M246+$W$5*N246+$W$6*O246+$W$7*P246+$W$8*Q246+$W$9*R246+$W$10*S246+$W$11*T246</f>
        <v/>
      </c>
    </row>
    <row r="247">
      <c r="A247" s="7" t="n">
        <v>39332</v>
      </c>
      <c r="B247" s="8" t="n">
        <v>701</v>
      </c>
      <c r="C247" s="8" t="n">
        <v>2.19</v>
      </c>
      <c r="D247" s="8" t="n">
        <v>2.19</v>
      </c>
      <c r="E247" s="8" t="n">
        <v>79.959999</v>
      </c>
      <c r="F247" s="8" t="n">
        <v>76.7</v>
      </c>
      <c r="G247" s="8" t="n">
        <v>26.23</v>
      </c>
      <c r="H247" s="8" t="n">
        <v>116.900002</v>
      </c>
      <c r="I247" s="8" t="n">
        <v>1453.550049</v>
      </c>
      <c r="J247" s="8" t="n">
        <v>57.103653</v>
      </c>
      <c r="L247" s="9">
        <f>LN(B247/B246)</f>
        <v/>
      </c>
      <c r="M247" s="9">
        <f>$M$1*(C247-C246)</f>
        <v/>
      </c>
      <c r="N247" s="9">
        <f>$N$1*(D247-D246)</f>
        <v/>
      </c>
      <c r="O247" s="9">
        <f>$O$1*LN(E247/E246)</f>
        <v/>
      </c>
      <c r="P247" s="9">
        <f>$P$1*LN(F247/F246)</f>
        <v/>
      </c>
      <c r="Q247" s="9">
        <f>$Q$1*(G247-G246)</f>
        <v/>
      </c>
      <c r="R247" s="9">
        <f>$R$1*(H247-H246)</f>
        <v/>
      </c>
      <c r="S247" s="9">
        <f>$S$1*LN(I247/I246)</f>
        <v/>
      </c>
      <c r="T247" s="9">
        <f>$T$1*LN(J247/J246)</f>
        <v/>
      </c>
      <c r="U247" s="9">
        <f>$W$12+$W$4*M247+$W$5*N247+$W$6*O247+$W$7*P247+$W$8*Q247+$W$9*R247+$W$10*S247+$W$11*T247</f>
        <v/>
      </c>
    </row>
    <row r="248">
      <c r="A248" s="7" t="n">
        <v>39339</v>
      </c>
      <c r="B248" s="8" t="n">
        <v>716.35</v>
      </c>
      <c r="C248" s="8" t="n">
        <v>2.27</v>
      </c>
      <c r="D248" s="8" t="n">
        <v>2.2</v>
      </c>
      <c r="E248" s="8" t="n">
        <v>79.620003</v>
      </c>
      <c r="F248" s="8" t="n">
        <v>79.14</v>
      </c>
      <c r="G248" s="8" t="n">
        <v>24.92</v>
      </c>
      <c r="H248" s="8" t="n">
        <v>123.400002</v>
      </c>
      <c r="I248" s="8" t="n">
        <v>1484.25</v>
      </c>
      <c r="J248" s="8" t="n">
        <v>56.932606</v>
      </c>
      <c r="L248" s="9">
        <f>LN(B248/B247)</f>
        <v/>
      </c>
      <c r="M248" s="9">
        <f>$M$1*(C248-C247)</f>
        <v/>
      </c>
      <c r="N248" s="9">
        <f>$N$1*(D248-D247)</f>
        <v/>
      </c>
      <c r="O248" s="9">
        <f>$O$1*LN(E248/E247)</f>
        <v/>
      </c>
      <c r="P248" s="9">
        <f>$P$1*LN(F248/F247)</f>
        <v/>
      </c>
      <c r="Q248" s="9">
        <f>$Q$1*(G248-G247)</f>
        <v/>
      </c>
      <c r="R248" s="9">
        <f>$R$1*(H248-H247)</f>
        <v/>
      </c>
      <c r="S248" s="9">
        <f>$S$1*LN(I248/I247)</f>
        <v/>
      </c>
      <c r="T248" s="9">
        <f>$T$1*LN(J248/J247)</f>
        <v/>
      </c>
      <c r="U248" s="9">
        <f>$W$12+$W$4*M248+$W$5*N248+$W$6*O248+$W$7*P248+$W$8*Q248+$W$9*R248+$W$10*S248+$W$11*T248</f>
        <v/>
      </c>
    </row>
    <row r="249">
      <c r="A249" s="7" t="n">
        <v>39346</v>
      </c>
      <c r="B249" s="8" t="n">
        <v>737</v>
      </c>
      <c r="C249" s="8" t="n">
        <v>2.33</v>
      </c>
      <c r="D249" s="8" t="n">
        <v>2.31</v>
      </c>
      <c r="E249" s="8" t="n">
        <v>78.599998</v>
      </c>
      <c r="F249" s="8" t="n">
        <v>83.38</v>
      </c>
      <c r="G249" s="8" t="n">
        <v>19</v>
      </c>
      <c r="H249" s="8" t="n">
        <v>103.199997</v>
      </c>
      <c r="I249" s="8" t="n">
        <v>1525.75</v>
      </c>
      <c r="J249" s="8" t="n">
        <v>56.824368</v>
      </c>
      <c r="L249" s="9">
        <f>LN(B249/B248)</f>
        <v/>
      </c>
      <c r="M249" s="9">
        <f>$M$1*(C249-C248)</f>
        <v/>
      </c>
      <c r="N249" s="9">
        <f>$N$1*(D249-D248)</f>
        <v/>
      </c>
      <c r="O249" s="9">
        <f>$O$1*LN(E249/E248)</f>
        <v/>
      </c>
      <c r="P249" s="9">
        <f>$P$1*LN(F249/F248)</f>
        <v/>
      </c>
      <c r="Q249" s="9">
        <f>$Q$1*(G249-G248)</f>
        <v/>
      </c>
      <c r="R249" s="9">
        <f>$R$1*(H249-H248)</f>
        <v/>
      </c>
      <c r="S249" s="9">
        <f>$S$1*LN(I249/I248)</f>
        <v/>
      </c>
      <c r="T249" s="9">
        <f>$T$1*LN(J249/J248)</f>
        <v/>
      </c>
      <c r="U249" s="9">
        <f>$W$12+$W$4*M249+$W$5*N249+$W$6*O249+$W$7*P249+$W$8*Q249+$W$9*R249+$W$10*S249+$W$11*T249</f>
        <v/>
      </c>
    </row>
    <row r="250">
      <c r="A250" s="7" t="n">
        <v>39353</v>
      </c>
      <c r="B250" s="8" t="n">
        <v>743</v>
      </c>
      <c r="C250" s="8" t="n">
        <v>2.32</v>
      </c>
      <c r="D250" s="8" t="n">
        <v>2.27</v>
      </c>
      <c r="E250" s="8" t="n">
        <v>77.720001</v>
      </c>
      <c r="F250" s="8" t="n">
        <v>81.64</v>
      </c>
      <c r="G250" s="8" t="n">
        <v>18</v>
      </c>
      <c r="H250" s="8" t="n">
        <v>103.699997</v>
      </c>
      <c r="I250" s="8" t="n">
        <v>1526.75</v>
      </c>
      <c r="J250" s="8" t="n">
        <v>57.001057</v>
      </c>
      <c r="L250" s="9">
        <f>LN(B250/B249)</f>
        <v/>
      </c>
      <c r="M250" s="9">
        <f>$M$1*(C250-C249)</f>
        <v/>
      </c>
      <c r="N250" s="9">
        <f>$N$1*(D250-D249)</f>
        <v/>
      </c>
      <c r="O250" s="9">
        <f>$O$1*LN(E250/E249)</f>
        <v/>
      </c>
      <c r="P250" s="9">
        <f>$P$1*LN(F250/F249)</f>
        <v/>
      </c>
      <c r="Q250" s="9">
        <f>$Q$1*(G250-G249)</f>
        <v/>
      </c>
      <c r="R250" s="9">
        <f>$R$1*(H250-H249)</f>
        <v/>
      </c>
      <c r="S250" s="9">
        <f>$S$1*LN(I250/I249)</f>
        <v/>
      </c>
      <c r="T250" s="9">
        <f>$T$1*LN(J250/J249)</f>
        <v/>
      </c>
      <c r="U250" s="9">
        <f>$W$12+$W$4*M250+$W$5*N250+$W$6*O250+$W$7*P250+$W$8*Q250+$W$9*R250+$W$10*S250+$W$11*T250</f>
        <v/>
      </c>
    </row>
    <row r="251">
      <c r="A251" s="7" t="n">
        <v>39360</v>
      </c>
      <c r="B251" s="8" t="n">
        <v>737</v>
      </c>
      <c r="C251" s="8" t="n">
        <v>2.31</v>
      </c>
      <c r="D251" s="8" t="n">
        <v>2.34</v>
      </c>
      <c r="E251" s="8" t="n">
        <v>78.30999799999999</v>
      </c>
      <c r="F251" s="8" t="n">
        <v>81.2</v>
      </c>
      <c r="G251" s="8" t="n">
        <v>16.91</v>
      </c>
      <c r="H251" s="8" t="n">
        <v>98.099998</v>
      </c>
      <c r="I251" s="8" t="n">
        <v>1557.589966</v>
      </c>
      <c r="J251" s="8" t="n">
        <v>56.579887</v>
      </c>
      <c r="L251" s="9">
        <f>LN(B251/B250)</f>
        <v/>
      </c>
      <c r="M251" s="9">
        <f>$M$1*(C251-C250)</f>
        <v/>
      </c>
      <c r="N251" s="9">
        <f>$N$1*(D251-D250)</f>
        <v/>
      </c>
      <c r="O251" s="9">
        <f>$O$1*LN(E251/E250)</f>
        <v/>
      </c>
      <c r="P251" s="9">
        <f>$P$1*LN(F251/F250)</f>
        <v/>
      </c>
      <c r="Q251" s="9">
        <f>$Q$1*(G251-G250)</f>
        <v/>
      </c>
      <c r="R251" s="9">
        <f>$R$1*(H251-H250)</f>
        <v/>
      </c>
      <c r="S251" s="9">
        <f>$S$1*LN(I251/I250)</f>
        <v/>
      </c>
      <c r="T251" s="9">
        <f>$T$1*LN(J251/J250)</f>
        <v/>
      </c>
      <c r="U251" s="9">
        <f>$W$12+$W$4*M251+$W$5*N251+$W$6*O251+$W$7*P251+$W$8*Q251+$W$9*R251+$W$10*S251+$W$11*T251</f>
        <v/>
      </c>
    </row>
    <row r="252">
      <c r="A252" s="7" t="n">
        <v>39367</v>
      </c>
      <c r="B252" s="8" t="n">
        <v>749.5</v>
      </c>
      <c r="C252" s="8" t="n">
        <v>2.34</v>
      </c>
      <c r="D252" s="8" t="n">
        <v>2.36</v>
      </c>
      <c r="E252" s="8" t="n">
        <v>78.220001</v>
      </c>
      <c r="F252" s="8" t="n">
        <v>83.73</v>
      </c>
      <c r="G252" s="8" t="n">
        <v>17.73</v>
      </c>
      <c r="H252" s="8" t="n">
        <v>79.599998</v>
      </c>
      <c r="I252" s="8" t="n">
        <v>1561.800049</v>
      </c>
      <c r="J252" s="8" t="n">
        <v>56.911781</v>
      </c>
      <c r="L252" s="9">
        <f>LN(B252/B251)</f>
        <v/>
      </c>
      <c r="M252" s="9">
        <f>$M$1*(C252-C251)</f>
        <v/>
      </c>
      <c r="N252" s="9">
        <f>$N$1*(D252-D251)</f>
        <v/>
      </c>
      <c r="O252" s="9">
        <f>$O$1*LN(E252/E251)</f>
        <v/>
      </c>
      <c r="P252" s="9">
        <f>$P$1*LN(F252/F251)</f>
        <v/>
      </c>
      <c r="Q252" s="9">
        <f>$Q$1*(G252-G251)</f>
        <v/>
      </c>
      <c r="R252" s="9">
        <f>$R$1*(H252-H251)</f>
        <v/>
      </c>
      <c r="S252" s="9">
        <f>$S$1*LN(I252/I251)</f>
        <v/>
      </c>
      <c r="T252" s="9">
        <f>$T$1*LN(J252/J251)</f>
        <v/>
      </c>
      <c r="U252" s="9">
        <f>$W$12+$W$4*M252+$W$5*N252+$W$6*O252+$W$7*P252+$W$8*Q252+$W$9*R252+$W$10*S252+$W$11*T252</f>
        <v/>
      </c>
    </row>
    <row r="253">
      <c r="A253" s="7" t="n">
        <v>39374</v>
      </c>
      <c r="B253" s="8" t="n">
        <v>763</v>
      </c>
      <c r="C253" s="8" t="n">
        <v>2.32</v>
      </c>
      <c r="D253" s="8" t="n">
        <v>2.09</v>
      </c>
      <c r="E253" s="8" t="n">
        <v>77.410004</v>
      </c>
      <c r="F253" s="8" t="n">
        <v>88.58</v>
      </c>
      <c r="G253" s="8" t="n">
        <v>22.96</v>
      </c>
      <c r="H253" s="8" t="n">
        <v>95.800003</v>
      </c>
      <c r="I253" s="8" t="n">
        <v>1500.630005</v>
      </c>
      <c r="J253" s="8" t="n">
        <v>57.644268</v>
      </c>
      <c r="L253" s="9">
        <f>LN(B253/B252)</f>
        <v/>
      </c>
      <c r="M253" s="9">
        <f>$M$1*(C253-C252)</f>
        <v/>
      </c>
      <c r="N253" s="9">
        <f>$N$1*(D253-D252)</f>
        <v/>
      </c>
      <c r="O253" s="9">
        <f>$O$1*LN(E253/E252)</f>
        <v/>
      </c>
      <c r="P253" s="9">
        <f>$P$1*LN(F253/F252)</f>
        <v/>
      </c>
      <c r="Q253" s="9">
        <f>$Q$1*(G253-G252)</f>
        <v/>
      </c>
      <c r="R253" s="9">
        <f>$R$1*(H253-H252)</f>
        <v/>
      </c>
      <c r="S253" s="9">
        <f>$S$1*LN(I253/I252)</f>
        <v/>
      </c>
      <c r="T253" s="9">
        <f>$T$1*LN(J253/J252)</f>
        <v/>
      </c>
      <c r="U253" s="9">
        <f>$W$12+$W$4*M253+$W$5*N253+$W$6*O253+$W$7*P253+$W$8*Q253+$W$9*R253+$W$10*S253+$W$11*T253</f>
        <v/>
      </c>
    </row>
    <row r="254">
      <c r="A254" s="7" t="n">
        <v>39381</v>
      </c>
      <c r="B254" s="8" t="n">
        <v>779.15</v>
      </c>
      <c r="C254" s="8" t="n">
        <v>2.36</v>
      </c>
      <c r="D254" s="8" t="n">
        <v>2.05</v>
      </c>
      <c r="E254" s="8" t="n">
        <v>77.029999</v>
      </c>
      <c r="F254" s="8" t="n">
        <v>91.73</v>
      </c>
      <c r="G254" s="8" t="n">
        <v>19.56</v>
      </c>
      <c r="H254" s="8" t="n">
        <v>102.040001</v>
      </c>
      <c r="I254" s="8" t="n">
        <v>1535.280029</v>
      </c>
      <c r="J254" s="8" t="n">
        <v>57.661442</v>
      </c>
      <c r="L254" s="9">
        <f>LN(B254/B253)</f>
        <v/>
      </c>
      <c r="M254" s="9">
        <f>$M$1*(C254-C253)</f>
        <v/>
      </c>
      <c r="N254" s="9">
        <f>$N$1*(D254-D253)</f>
        <v/>
      </c>
      <c r="O254" s="9">
        <f>$O$1*LN(E254/E253)</f>
        <v/>
      </c>
      <c r="P254" s="9">
        <f>$P$1*LN(F254/F253)</f>
        <v/>
      </c>
      <c r="Q254" s="9">
        <f>$Q$1*(G254-G253)</f>
        <v/>
      </c>
      <c r="R254" s="9">
        <f>$R$1*(H254-H253)</f>
        <v/>
      </c>
      <c r="S254" s="9">
        <f>$S$1*LN(I254/I253)</f>
        <v/>
      </c>
      <c r="T254" s="9">
        <f>$T$1*LN(J254/J253)</f>
        <v/>
      </c>
      <c r="U254" s="9">
        <f>$W$12+$W$4*M254+$W$5*N254+$W$6*O254+$W$7*P254+$W$8*Q254+$W$9*R254+$W$10*S254+$W$11*T254</f>
        <v/>
      </c>
    </row>
    <row r="255">
      <c r="A255" s="7" t="n">
        <v>39388</v>
      </c>
      <c r="B255" s="8" t="n">
        <v>796.5</v>
      </c>
      <c r="C255" s="8" t="n">
        <v>2.39</v>
      </c>
      <c r="D255" s="8" t="n">
        <v>1.92</v>
      </c>
      <c r="E255" s="8" t="n">
        <v>76.339996</v>
      </c>
      <c r="F255" s="8" t="n">
        <v>95.81</v>
      </c>
      <c r="G255" s="8" t="n">
        <v>23.01</v>
      </c>
      <c r="H255" s="8" t="n">
        <v>103.639999</v>
      </c>
      <c r="I255" s="8" t="n">
        <v>1509.650024</v>
      </c>
      <c r="J255" s="8" t="n">
        <v>57.780758</v>
      </c>
      <c r="L255" s="9">
        <f>LN(B255/B254)</f>
        <v/>
      </c>
      <c r="M255" s="9">
        <f>$M$1*(C255-C254)</f>
        <v/>
      </c>
      <c r="N255" s="9">
        <f>$N$1*(D255-D254)</f>
        <v/>
      </c>
      <c r="O255" s="9">
        <f>$O$1*LN(E255/E254)</f>
        <v/>
      </c>
      <c r="P255" s="9">
        <f>$P$1*LN(F255/F254)</f>
        <v/>
      </c>
      <c r="Q255" s="9">
        <f>$Q$1*(G255-G254)</f>
        <v/>
      </c>
      <c r="R255" s="9">
        <f>$R$1*(H255-H254)</f>
        <v/>
      </c>
      <c r="S255" s="9">
        <f>$S$1*LN(I255/I254)</f>
        <v/>
      </c>
      <c r="T255" s="9">
        <f>$T$1*LN(J255/J254)</f>
        <v/>
      </c>
      <c r="U255" s="9">
        <f>$W$12+$W$4*M255+$W$5*N255+$W$6*O255+$W$7*P255+$W$8*Q255+$W$9*R255+$W$10*S255+$W$11*T255</f>
        <v/>
      </c>
    </row>
    <row r="256">
      <c r="A256" s="7" t="n">
        <v>39395</v>
      </c>
      <c r="B256" s="8" t="n">
        <v>831.5</v>
      </c>
      <c r="C256" s="8" t="n">
        <v>2.41</v>
      </c>
      <c r="D256" s="8" t="n">
        <v>1.82</v>
      </c>
      <c r="E256" s="8" t="n">
        <v>75.400002</v>
      </c>
      <c r="F256" s="8" t="n">
        <v>96.36</v>
      </c>
      <c r="G256" s="8" t="n">
        <v>28.5</v>
      </c>
      <c r="H256" s="8" t="n">
        <v>112.080002</v>
      </c>
      <c r="I256" s="8" t="n">
        <v>1453.699951</v>
      </c>
      <c r="J256" s="8" t="n">
        <v>57.924397</v>
      </c>
      <c r="L256" s="9">
        <f>LN(B256/B255)</f>
        <v/>
      </c>
      <c r="M256" s="9">
        <f>$M$1*(C256-C255)</f>
        <v/>
      </c>
      <c r="N256" s="9">
        <f>$N$1*(D256-D255)</f>
        <v/>
      </c>
      <c r="O256" s="9">
        <f>$O$1*LN(E256/E255)</f>
        <v/>
      </c>
      <c r="P256" s="9">
        <f>$P$1*LN(F256/F255)</f>
        <v/>
      </c>
      <c r="Q256" s="9">
        <f>$Q$1*(G256-G255)</f>
        <v/>
      </c>
      <c r="R256" s="9">
        <f>$R$1*(H256-H255)</f>
        <v/>
      </c>
      <c r="S256" s="9">
        <f>$S$1*LN(I256/I255)</f>
        <v/>
      </c>
      <c r="T256" s="9">
        <f>$T$1*LN(J256/J255)</f>
        <v/>
      </c>
      <c r="U256" s="9">
        <f>$W$12+$W$4*M256+$W$5*N256+$W$6*O256+$W$7*P256+$W$8*Q256+$W$9*R256+$W$10*S256+$W$11*T256</f>
        <v/>
      </c>
    </row>
    <row r="257">
      <c r="A257" s="7" t="n">
        <v>39402</v>
      </c>
      <c r="B257" s="8" t="n">
        <v>789.75</v>
      </c>
      <c r="C257" s="8" t="n">
        <v>2.35</v>
      </c>
      <c r="D257" s="8" t="n">
        <v>1.8</v>
      </c>
      <c r="E257" s="8" t="n">
        <v>75.83000199999999</v>
      </c>
      <c r="F257" s="8" t="n">
        <v>94.81</v>
      </c>
      <c r="G257" s="8" t="n">
        <v>25.49</v>
      </c>
      <c r="H257" s="8" t="n">
        <v>99.139999</v>
      </c>
      <c r="I257" s="8" t="n">
        <v>1458.73999</v>
      </c>
      <c r="J257" s="8" t="n">
        <v>58.033585</v>
      </c>
      <c r="L257" s="9">
        <f>LN(B257/B256)</f>
        <v/>
      </c>
      <c r="M257" s="9">
        <f>$M$1*(C257-C256)</f>
        <v/>
      </c>
      <c r="N257" s="9">
        <f>$N$1*(D257-D256)</f>
        <v/>
      </c>
      <c r="O257" s="9">
        <f>$O$1*LN(E257/E256)</f>
        <v/>
      </c>
      <c r="P257" s="9">
        <f>$P$1*LN(F257/F256)</f>
        <v/>
      </c>
      <c r="Q257" s="9">
        <f>$Q$1*(G257-G256)</f>
        <v/>
      </c>
      <c r="R257" s="9">
        <f>$R$1*(H257-H256)</f>
        <v/>
      </c>
      <c r="S257" s="9">
        <f>$S$1*LN(I257/I256)</f>
        <v/>
      </c>
      <c r="T257" s="9">
        <f>$T$1*LN(J257/J256)</f>
        <v/>
      </c>
      <c r="U257" s="9">
        <f>$W$12+$W$4*M257+$W$5*N257+$W$6*O257+$W$7*P257+$W$8*Q257+$W$9*R257+$W$10*S257+$W$11*T257</f>
        <v/>
      </c>
    </row>
    <row r="258">
      <c r="A258" s="7" t="n">
        <v>39409</v>
      </c>
      <c r="B258" s="8" t="n">
        <v>815.25</v>
      </c>
      <c r="C258" s="8" t="n">
        <v>2.38</v>
      </c>
      <c r="D258" s="8" t="n">
        <v>1.63</v>
      </c>
      <c r="E258" s="8" t="n">
        <v>75.050003</v>
      </c>
      <c r="F258" s="8" t="n">
        <v>98.23999999999999</v>
      </c>
      <c r="G258" s="8" t="n">
        <v>25.61</v>
      </c>
      <c r="H258" s="8" t="n">
        <v>112.099998</v>
      </c>
      <c r="I258" s="8" t="n">
        <v>1440.699951</v>
      </c>
      <c r="J258" s="8" t="n">
        <v>58.182964</v>
      </c>
      <c r="L258" s="9">
        <f>LN(B258/B257)</f>
        <v/>
      </c>
      <c r="M258" s="9">
        <f>$M$1*(C258-C257)</f>
        <v/>
      </c>
      <c r="N258" s="9">
        <f>$N$1*(D258-D257)</f>
        <v/>
      </c>
      <c r="O258" s="9">
        <f>$O$1*LN(E258/E257)</f>
        <v/>
      </c>
      <c r="P258" s="9">
        <f>$P$1*LN(F258/F257)</f>
        <v/>
      </c>
      <c r="Q258" s="9">
        <f>$Q$1*(G258-G257)</f>
        <v/>
      </c>
      <c r="R258" s="9">
        <f>$R$1*(H258-H257)</f>
        <v/>
      </c>
      <c r="S258" s="9">
        <f>$S$1*LN(I258/I257)</f>
        <v/>
      </c>
      <c r="T258" s="9">
        <f>$T$1*LN(J258/J257)</f>
        <v/>
      </c>
      <c r="U258" s="9">
        <f>$W$12+$W$4*M258+$W$5*N258+$W$6*O258+$W$7*P258+$W$8*Q258+$W$9*R258+$W$10*S258+$W$11*T258</f>
        <v/>
      </c>
    </row>
    <row r="259">
      <c r="A259" s="7" t="n">
        <v>39416</v>
      </c>
      <c r="B259" s="8" t="n">
        <v>783.5</v>
      </c>
      <c r="C259" s="8" t="n">
        <v>2.34</v>
      </c>
      <c r="D259" s="8" t="n">
        <v>1.63</v>
      </c>
      <c r="E259" s="8" t="n">
        <v>76.150002</v>
      </c>
      <c r="F259" s="8" t="n">
        <v>88.59999999999999</v>
      </c>
      <c r="G259" s="8" t="n">
        <v>22.87</v>
      </c>
      <c r="H259" s="8" t="n">
        <v>131.5</v>
      </c>
      <c r="I259" s="8" t="n">
        <v>1481.140015</v>
      </c>
      <c r="J259" s="8" t="n">
        <v>58.613979</v>
      </c>
      <c r="L259" s="9">
        <f>LN(B259/B258)</f>
        <v/>
      </c>
      <c r="M259" s="9">
        <f>$M$1*(C259-C258)</f>
        <v/>
      </c>
      <c r="N259" s="9">
        <f>$N$1*(D259-D258)</f>
        <v/>
      </c>
      <c r="O259" s="9">
        <f>$O$1*LN(E259/E258)</f>
        <v/>
      </c>
      <c r="P259" s="9">
        <f>$P$1*LN(F259/F258)</f>
        <v/>
      </c>
      <c r="Q259" s="9">
        <f>$Q$1*(G259-G258)</f>
        <v/>
      </c>
      <c r="R259" s="9">
        <f>$R$1*(H259-H258)</f>
        <v/>
      </c>
      <c r="S259" s="9">
        <f>$S$1*LN(I259/I258)</f>
        <v/>
      </c>
      <c r="T259" s="9">
        <f>$T$1*LN(J259/J258)</f>
        <v/>
      </c>
      <c r="U259" s="9">
        <f>$W$12+$W$4*M259+$W$5*N259+$W$6*O259+$W$7*P259+$W$8*Q259+$W$9*R259+$W$10*S259+$W$11*T259</f>
        <v/>
      </c>
    </row>
    <row r="260">
      <c r="A260" s="7" t="n">
        <v>39423</v>
      </c>
      <c r="B260" s="8" t="n">
        <v>792.5</v>
      </c>
      <c r="C260" s="8" t="n">
        <v>2.26</v>
      </c>
      <c r="D260" s="8" t="n">
        <v>1.86</v>
      </c>
      <c r="E260" s="8" t="n">
        <v>76.290001</v>
      </c>
      <c r="F260" s="8" t="n">
        <v>88.23</v>
      </c>
      <c r="G260" s="8" t="n">
        <v>20.85</v>
      </c>
      <c r="H260" s="8" t="n">
        <v>139.960007</v>
      </c>
      <c r="I260" s="8" t="n">
        <v>1504.660034</v>
      </c>
      <c r="J260" s="8" t="n">
        <v>58.191105</v>
      </c>
      <c r="L260" s="9">
        <f>LN(B260/B259)</f>
        <v/>
      </c>
      <c r="M260" s="9">
        <f>$M$1*(C260-C259)</f>
        <v/>
      </c>
      <c r="N260" s="9">
        <f>$N$1*(D260-D259)</f>
        <v/>
      </c>
      <c r="O260" s="9">
        <f>$O$1*LN(E260/E259)</f>
        <v/>
      </c>
      <c r="P260" s="9">
        <f>$P$1*LN(F260/F259)</f>
        <v/>
      </c>
      <c r="Q260" s="9">
        <f>$Q$1*(G260-G259)</f>
        <v/>
      </c>
      <c r="R260" s="9">
        <f>$R$1*(H260-H259)</f>
        <v/>
      </c>
      <c r="S260" s="9">
        <f>$S$1*LN(I260/I259)</f>
        <v/>
      </c>
      <c r="T260" s="9">
        <f>$T$1*LN(J260/J259)</f>
        <v/>
      </c>
      <c r="U260" s="9">
        <f>$W$12+$W$4*M260+$W$5*N260+$W$6*O260+$W$7*P260+$W$8*Q260+$W$9*R260+$W$10*S260+$W$11*T260</f>
        <v/>
      </c>
    </row>
    <row r="261">
      <c r="A261" s="7" t="n">
        <v>39430</v>
      </c>
      <c r="B261" s="8" t="n">
        <v>789.5</v>
      </c>
      <c r="C261" s="8" t="n">
        <v>2.34</v>
      </c>
      <c r="D261" s="8" t="n">
        <v>1.9</v>
      </c>
      <c r="E261" s="8" t="n">
        <v>77.44000200000001</v>
      </c>
      <c r="F261" s="8" t="n">
        <v>91.31</v>
      </c>
      <c r="G261" s="8" t="n">
        <v>23.27</v>
      </c>
      <c r="H261" s="8" t="n">
        <v>139.380005</v>
      </c>
      <c r="I261" s="8" t="n">
        <v>1467.949951</v>
      </c>
      <c r="J261" s="8" t="n">
        <v>57.914181</v>
      </c>
      <c r="L261" s="9">
        <f>LN(B261/B260)</f>
        <v/>
      </c>
      <c r="M261" s="9">
        <f>$M$1*(C261-C260)</f>
        <v/>
      </c>
      <c r="N261" s="9">
        <f>$N$1*(D261-D260)</f>
        <v/>
      </c>
      <c r="O261" s="9">
        <f>$O$1*LN(E261/E260)</f>
        <v/>
      </c>
      <c r="P261" s="9">
        <f>$P$1*LN(F261/F260)</f>
        <v/>
      </c>
      <c r="Q261" s="9">
        <f>$Q$1*(G261-G260)</f>
        <v/>
      </c>
      <c r="R261" s="9">
        <f>$R$1*(H261-H260)</f>
        <v/>
      </c>
      <c r="S261" s="9">
        <f>$S$1*LN(I261/I260)</f>
        <v/>
      </c>
      <c r="T261" s="9">
        <f>$T$1*LN(J261/J260)</f>
        <v/>
      </c>
      <c r="U261" s="9">
        <f>$W$12+$W$4*M261+$W$5*N261+$W$6*O261+$W$7*P261+$W$8*Q261+$W$9*R261+$W$10*S261+$W$11*T261</f>
        <v/>
      </c>
    </row>
    <row r="262">
      <c r="A262" s="7" t="n">
        <v>39437</v>
      </c>
      <c r="B262" s="8" t="n">
        <v>810.5</v>
      </c>
      <c r="C262" s="8" t="n">
        <v>2.34</v>
      </c>
      <c r="D262" s="8" t="n">
        <v>1.84</v>
      </c>
      <c r="E262" s="8" t="n">
        <v>77.720001</v>
      </c>
      <c r="F262" s="8" t="n">
        <v>93.19</v>
      </c>
      <c r="G262" s="8" t="n">
        <v>18.47</v>
      </c>
      <c r="H262" s="8" t="n">
        <v>145.5</v>
      </c>
      <c r="I262" s="8" t="n">
        <v>1484.459961</v>
      </c>
      <c r="J262" s="8" t="n">
        <v>58.121883</v>
      </c>
      <c r="L262" s="9">
        <f>LN(B262/B261)</f>
        <v/>
      </c>
      <c r="M262" s="9">
        <f>$M$1*(C262-C261)</f>
        <v/>
      </c>
      <c r="N262" s="9">
        <f>$N$1*(D262-D261)</f>
        <v/>
      </c>
      <c r="O262" s="9">
        <f>$O$1*LN(E262/E261)</f>
        <v/>
      </c>
      <c r="P262" s="9">
        <f>$P$1*LN(F262/F261)</f>
        <v/>
      </c>
      <c r="Q262" s="9">
        <f>$Q$1*(G262-G261)</f>
        <v/>
      </c>
      <c r="R262" s="9">
        <f>$R$1*(H262-H261)</f>
        <v/>
      </c>
      <c r="S262" s="9">
        <f>$S$1*LN(I262/I261)</f>
        <v/>
      </c>
      <c r="T262" s="9">
        <f>$T$1*LN(J262/J261)</f>
        <v/>
      </c>
      <c r="U262" s="9">
        <f>$W$12+$W$4*M262+$W$5*N262+$W$6*O262+$W$7*P262+$W$8*Q262+$W$9*R262+$W$10*S262+$W$11*T262</f>
        <v/>
      </c>
    </row>
    <row r="263">
      <c r="A263" s="7" t="n">
        <v>39444</v>
      </c>
      <c r="B263" s="8" t="n">
        <v>833.75</v>
      </c>
      <c r="C263" s="8" t="n">
        <v>2.33</v>
      </c>
      <c r="D263" s="8" t="n">
        <v>1.78</v>
      </c>
      <c r="E263" s="8" t="n">
        <v>76.220001</v>
      </c>
      <c r="F263" s="8" t="n">
        <v>96.03</v>
      </c>
      <c r="G263" s="8" t="n">
        <v>20.74</v>
      </c>
      <c r="H263" s="8" t="n">
        <v>144</v>
      </c>
      <c r="I263" s="8" t="n">
        <v>1478.48999</v>
      </c>
      <c r="J263" s="8" t="n">
        <v>58.591167</v>
      </c>
      <c r="L263" s="9">
        <f>LN(B263/B262)</f>
        <v/>
      </c>
      <c r="M263" s="9">
        <f>$M$1*(C263-C262)</f>
        <v/>
      </c>
      <c r="N263" s="9">
        <f>$N$1*(D263-D262)</f>
        <v/>
      </c>
      <c r="O263" s="9">
        <f>$O$1*LN(E263/E262)</f>
        <v/>
      </c>
      <c r="P263" s="9">
        <f>$P$1*LN(F263/F262)</f>
        <v/>
      </c>
      <c r="Q263" s="9">
        <f>$Q$1*(G263-G262)</f>
        <v/>
      </c>
      <c r="R263" s="9">
        <f>$R$1*(H263-H262)</f>
        <v/>
      </c>
      <c r="S263" s="9">
        <f>$S$1*LN(I263/I262)</f>
        <v/>
      </c>
      <c r="T263" s="9">
        <f>$T$1*LN(J263/J262)</f>
        <v/>
      </c>
      <c r="U263" s="9">
        <f>$W$12+$W$4*M263+$W$5*N263+$W$6*O263+$W$7*P263+$W$8*Q263+$W$9*R263+$W$10*S263+$W$11*T263</f>
        <v/>
      </c>
      <c r="AA263" s="10">
        <f>INDEX(LINEST(L4:L263,M4:T263,TRUE,TRUE),1,9)*52</f>
        <v/>
      </c>
      <c r="AB263" s="9">
        <f>INDEX(LINEST(L4:L263,M4:T263,TRUE,TRUE),1,8)</f>
        <v/>
      </c>
      <c r="AC263" s="9">
        <f>INDEX(LINEST(L4:L263,M4:T263,TRUE,TRUE),1,7)</f>
        <v/>
      </c>
      <c r="AD263" s="9">
        <f>INDEX(LINEST(L4:L263,M4:T263,TRUE,TRUE),1,6)</f>
        <v/>
      </c>
      <c r="AE263" s="9">
        <f>INDEX(LINEST(L4:L263,M4:T263,TRUE,TRUE),1,5)</f>
        <v/>
      </c>
      <c r="AF263" s="9">
        <f>INDEX(LINEST(L4:L263,M4:T263,TRUE,TRUE),1,4)</f>
        <v/>
      </c>
      <c r="AG263" s="9">
        <f>INDEX(LINEST(L4:L263,M4:T263,TRUE,TRUE),1,3)</f>
        <v/>
      </c>
      <c r="AH263" s="9">
        <f>INDEX(LINEST(L4:L263,M4:T263,TRUE,TRUE),1,2)</f>
        <v/>
      </c>
      <c r="AI263" s="9">
        <f>INDEX(LINEST(L4:L263,M4:T263,TRUE,TRUE),1,1)</f>
        <v/>
      </c>
      <c r="AJ263" s="10">
        <f>INDEX(LINEST(L4:L263,M4:T263,TRUE,TRUE),3,1)</f>
        <v/>
      </c>
    </row>
    <row r="264">
      <c r="A264" s="7" t="n">
        <v>39451</v>
      </c>
      <c r="B264" s="8" t="n">
        <v>855</v>
      </c>
      <c r="C264" s="8" t="n">
        <v>2.32</v>
      </c>
      <c r="D264" s="8" t="n">
        <v>1.56</v>
      </c>
      <c r="E264" s="8" t="n">
        <v>75.790001</v>
      </c>
      <c r="F264" s="8" t="n">
        <v>97.90000000000001</v>
      </c>
      <c r="G264" s="8" t="n">
        <v>23.94</v>
      </c>
      <c r="H264" s="8" t="n">
        <v>138.100006</v>
      </c>
      <c r="I264" s="8" t="n">
        <v>1411.630005</v>
      </c>
      <c r="J264" s="8" t="n">
        <v>59.164696</v>
      </c>
      <c r="L264" s="9">
        <f>LN(B264/B263)</f>
        <v/>
      </c>
      <c r="M264" s="9">
        <f>$M$1*(C264-C263)</f>
        <v/>
      </c>
      <c r="N264" s="9">
        <f>$N$1*(D264-D263)</f>
        <v/>
      </c>
      <c r="O264" s="9">
        <f>$O$1*LN(E264/E263)</f>
        <v/>
      </c>
      <c r="P264" s="9">
        <f>$P$1*LN(F264/F263)</f>
        <v/>
      </c>
      <c r="Q264" s="9">
        <f>$Q$1*(G264-G263)</f>
        <v/>
      </c>
      <c r="R264" s="9">
        <f>$R$1*(H264-H263)</f>
        <v/>
      </c>
      <c r="S264" s="9">
        <f>$S$1*LN(I264/I263)</f>
        <v/>
      </c>
      <c r="T264" s="9">
        <f>$T$1*LN(J264/J263)</f>
        <v/>
      </c>
      <c r="U264" s="9">
        <f>$W$12+$W$4*M264+$W$5*N264+$W$6*O264+$W$7*P264+$W$8*Q264+$W$9*R264+$W$10*S264+$W$11*T264</f>
        <v/>
      </c>
      <c r="AA264" s="10">
        <f>INDEX(LINEST(L5:L264,M5:T264,TRUE,TRUE),1,9)*52</f>
        <v/>
      </c>
      <c r="AB264" s="9">
        <f>INDEX(LINEST(L5:L264,M5:T264,TRUE,TRUE),1,8)</f>
        <v/>
      </c>
      <c r="AC264" s="9">
        <f>INDEX(LINEST(L5:L264,M5:T264,TRUE,TRUE),1,7)</f>
        <v/>
      </c>
      <c r="AD264" s="9">
        <f>INDEX(LINEST(L5:L264,M5:T264,TRUE,TRUE),1,6)</f>
        <v/>
      </c>
      <c r="AE264" s="9">
        <f>INDEX(LINEST(L5:L264,M5:T264,TRUE,TRUE),1,5)</f>
        <v/>
      </c>
      <c r="AF264" s="9">
        <f>INDEX(LINEST(L5:L264,M5:T264,TRUE,TRUE),1,4)</f>
        <v/>
      </c>
      <c r="AG264" s="9">
        <f>INDEX(LINEST(L5:L264,M5:T264,TRUE,TRUE),1,3)</f>
        <v/>
      </c>
      <c r="AH264" s="9">
        <f>INDEX(LINEST(L5:L264,M5:T264,TRUE,TRUE),1,2)</f>
        <v/>
      </c>
      <c r="AI264" s="9">
        <f>INDEX(LINEST(L5:L264,M5:T264,TRUE,TRUE),1,1)</f>
        <v/>
      </c>
      <c r="AJ264" s="10">
        <f>INDEX(LINEST(L5:L264,M5:T264,TRUE,TRUE),3,1)</f>
        <v/>
      </c>
      <c r="AK264" s="9">
        <f>AA263/52+AB263*M264+AC263*N264+AD263*O264+AE263*P264+AF263*Q264+AG263*R264+AH263*S264+AI263*T264</f>
        <v/>
      </c>
      <c r="AL264" s="9">
        <f>AVERAGE(L4:L263)</f>
        <v/>
      </c>
    </row>
    <row r="265">
      <c r="A265" s="7" t="n">
        <v>39458</v>
      </c>
      <c r="B265" s="8" t="n">
        <v>891</v>
      </c>
      <c r="C265" s="8" t="n">
        <v>2.26</v>
      </c>
      <c r="D265" s="8" t="n">
        <v>1.56</v>
      </c>
      <c r="E265" s="8" t="n">
        <v>75.980003</v>
      </c>
      <c r="F265" s="8" t="n">
        <v>92.73999999999999</v>
      </c>
      <c r="G265" s="8" t="n">
        <v>23.68</v>
      </c>
      <c r="H265" s="8" t="n">
        <v>130.899994</v>
      </c>
      <c r="I265" s="8" t="n">
        <v>1401.02002</v>
      </c>
      <c r="J265" s="8" t="n">
        <v>59.384808</v>
      </c>
      <c r="L265" s="9">
        <f>LN(B265/B264)</f>
        <v/>
      </c>
      <c r="M265" s="9">
        <f>$M$1*(C265-C264)</f>
        <v/>
      </c>
      <c r="N265" s="9">
        <f>$N$1*(D265-D264)</f>
        <v/>
      </c>
      <c r="O265" s="9">
        <f>$O$1*LN(E265/E264)</f>
        <v/>
      </c>
      <c r="P265" s="9">
        <f>$P$1*LN(F265/F264)</f>
        <v/>
      </c>
      <c r="Q265" s="9">
        <f>$Q$1*(G265-G264)</f>
        <v/>
      </c>
      <c r="R265" s="9">
        <f>$R$1*(H265-H264)</f>
        <v/>
      </c>
      <c r="S265" s="9">
        <f>$S$1*LN(I265/I264)</f>
        <v/>
      </c>
      <c r="T265" s="9">
        <f>$T$1*LN(J265/J264)</f>
        <v/>
      </c>
      <c r="U265" s="9">
        <f>$W$12+$W$4*M265+$W$5*N265+$W$6*O265+$W$7*P265+$W$8*Q265+$W$9*R265+$W$10*S265+$W$11*T265</f>
        <v/>
      </c>
      <c r="AA265" s="10">
        <f>INDEX(LINEST(L6:L265,M6:T265,TRUE,TRUE),1,9)*52</f>
        <v/>
      </c>
      <c r="AB265" s="9">
        <f>INDEX(LINEST(L6:L265,M6:T265,TRUE,TRUE),1,8)</f>
        <v/>
      </c>
      <c r="AC265" s="9">
        <f>INDEX(LINEST(L6:L265,M6:T265,TRUE,TRUE),1,7)</f>
        <v/>
      </c>
      <c r="AD265" s="9">
        <f>INDEX(LINEST(L6:L265,M6:T265,TRUE,TRUE),1,6)</f>
        <v/>
      </c>
      <c r="AE265" s="9">
        <f>INDEX(LINEST(L6:L265,M6:T265,TRUE,TRUE),1,5)</f>
        <v/>
      </c>
      <c r="AF265" s="9">
        <f>INDEX(LINEST(L6:L265,M6:T265,TRUE,TRUE),1,4)</f>
        <v/>
      </c>
      <c r="AG265" s="9">
        <f>INDEX(LINEST(L6:L265,M6:T265,TRUE,TRUE),1,3)</f>
        <v/>
      </c>
      <c r="AH265" s="9">
        <f>INDEX(LINEST(L6:L265,M6:T265,TRUE,TRUE),1,2)</f>
        <v/>
      </c>
      <c r="AI265" s="9">
        <f>INDEX(LINEST(L6:L265,M6:T265,TRUE,TRUE),1,1)</f>
        <v/>
      </c>
      <c r="AJ265" s="10">
        <f>INDEX(LINEST(L6:L265,M6:T265,TRUE,TRUE),3,1)</f>
        <v/>
      </c>
      <c r="AK265" s="9">
        <f>AA264/52+AB264*M265+AC264*N265+AD264*O265+AE264*P265+AF264*Q265+AG264*R265+AH264*S265+AI264*T265</f>
        <v/>
      </c>
      <c r="AL265" s="9">
        <f>AVERAGE(L5:L264)</f>
        <v/>
      </c>
    </row>
    <row r="266">
      <c r="A266" s="7" t="n">
        <v>39465</v>
      </c>
      <c r="B266" s="8" t="n">
        <v>882</v>
      </c>
      <c r="C266" s="8" t="n">
        <v>2.24</v>
      </c>
      <c r="D266" s="8" t="n">
        <v>1.42</v>
      </c>
      <c r="E266" s="8" t="n">
        <v>76.379997</v>
      </c>
      <c r="F266" s="8" t="n">
        <v>90.55</v>
      </c>
      <c r="G266" s="8" t="n">
        <v>27.18</v>
      </c>
      <c r="H266" s="8" t="n">
        <v>137.100006</v>
      </c>
      <c r="I266" s="8" t="n">
        <v>1325.189941</v>
      </c>
      <c r="J266" s="8" t="n">
        <v>59.813507</v>
      </c>
      <c r="L266" s="9">
        <f>LN(B266/B265)</f>
        <v/>
      </c>
      <c r="M266" s="9">
        <f>$M$1*(C266-C265)</f>
        <v/>
      </c>
      <c r="N266" s="9">
        <f>$N$1*(D266-D265)</f>
        <v/>
      </c>
      <c r="O266" s="9">
        <f>$O$1*LN(E266/E265)</f>
        <v/>
      </c>
      <c r="P266" s="9">
        <f>$P$1*LN(F266/F265)</f>
        <v/>
      </c>
      <c r="Q266" s="9">
        <f>$Q$1*(G266-G265)</f>
        <v/>
      </c>
      <c r="R266" s="9">
        <f>$R$1*(H266-H265)</f>
        <v/>
      </c>
      <c r="S266" s="9">
        <f>$S$1*LN(I266/I265)</f>
        <v/>
      </c>
      <c r="T266" s="9">
        <f>$T$1*LN(J266/J265)</f>
        <v/>
      </c>
      <c r="U266" s="9">
        <f>$W$12+$W$4*M266+$W$5*N266+$W$6*O266+$W$7*P266+$W$8*Q266+$W$9*R266+$W$10*S266+$W$11*T266</f>
        <v/>
      </c>
      <c r="AA266" s="10">
        <f>INDEX(LINEST(L7:L266,M7:T266,TRUE,TRUE),1,9)*52</f>
        <v/>
      </c>
      <c r="AB266" s="9">
        <f>INDEX(LINEST(L7:L266,M7:T266,TRUE,TRUE),1,8)</f>
        <v/>
      </c>
      <c r="AC266" s="9">
        <f>INDEX(LINEST(L7:L266,M7:T266,TRUE,TRUE),1,7)</f>
        <v/>
      </c>
      <c r="AD266" s="9">
        <f>INDEX(LINEST(L7:L266,M7:T266,TRUE,TRUE),1,6)</f>
        <v/>
      </c>
      <c r="AE266" s="9">
        <f>INDEX(LINEST(L7:L266,M7:T266,TRUE,TRUE),1,5)</f>
        <v/>
      </c>
      <c r="AF266" s="9">
        <f>INDEX(LINEST(L7:L266,M7:T266,TRUE,TRUE),1,4)</f>
        <v/>
      </c>
      <c r="AG266" s="9">
        <f>INDEX(LINEST(L7:L266,M7:T266,TRUE,TRUE),1,3)</f>
        <v/>
      </c>
      <c r="AH266" s="9">
        <f>INDEX(LINEST(L7:L266,M7:T266,TRUE,TRUE),1,2)</f>
        <v/>
      </c>
      <c r="AI266" s="9">
        <f>INDEX(LINEST(L7:L266,M7:T266,TRUE,TRUE),1,1)</f>
        <v/>
      </c>
      <c r="AJ266" s="10">
        <f>INDEX(LINEST(L7:L266,M7:T266,TRUE,TRUE),3,1)</f>
        <v/>
      </c>
      <c r="AK266" s="9">
        <f>AA265/52+AB265*M266+AC265*N266+AD265*O266+AE265*P266+AF265*Q266+AG265*R266+AH265*S266+AI265*T266</f>
        <v/>
      </c>
      <c r="AL266" s="9">
        <f>AVERAGE(L6:L265)</f>
        <v/>
      </c>
    </row>
    <row r="267">
      <c r="A267" s="7" t="n">
        <v>39472</v>
      </c>
      <c r="B267" s="8" t="n">
        <v>918.25</v>
      </c>
      <c r="C267" s="8" t="n">
        <v>2.27</v>
      </c>
      <c r="D267" s="8" t="n">
        <v>1.34</v>
      </c>
      <c r="E267" s="8" t="n">
        <v>75.970001</v>
      </c>
      <c r="F267" s="8" t="n">
        <v>90.37</v>
      </c>
      <c r="G267" s="8" t="n">
        <v>29.08</v>
      </c>
      <c r="H267" s="8" t="n">
        <v>178.800003</v>
      </c>
      <c r="I267" s="8" t="n">
        <v>1330.609985</v>
      </c>
      <c r="J267" s="8" t="n">
        <v>59.680275</v>
      </c>
      <c r="L267" s="9">
        <f>LN(B267/B266)</f>
        <v/>
      </c>
      <c r="M267" s="9">
        <f>$M$1*(C267-C266)</f>
        <v/>
      </c>
      <c r="N267" s="9">
        <f>$N$1*(D267-D266)</f>
        <v/>
      </c>
      <c r="O267" s="9">
        <f>$O$1*LN(E267/E266)</f>
        <v/>
      </c>
      <c r="P267" s="9">
        <f>$P$1*LN(F267/F266)</f>
        <v/>
      </c>
      <c r="Q267" s="9">
        <f>$Q$1*(G267-G266)</f>
        <v/>
      </c>
      <c r="R267" s="9">
        <f>$R$1*(H267-H266)</f>
        <v/>
      </c>
      <c r="S267" s="9">
        <f>$S$1*LN(I267/I266)</f>
        <v/>
      </c>
      <c r="T267" s="9">
        <f>$T$1*LN(J267/J266)</f>
        <v/>
      </c>
      <c r="U267" s="9">
        <f>$W$12+$W$4*M267+$W$5*N267+$W$6*O267+$W$7*P267+$W$8*Q267+$W$9*R267+$W$10*S267+$W$11*T267</f>
        <v/>
      </c>
      <c r="AA267" s="10">
        <f>INDEX(LINEST(L8:L267,M8:T267,TRUE,TRUE),1,9)*52</f>
        <v/>
      </c>
      <c r="AB267" s="9">
        <f>INDEX(LINEST(L8:L267,M8:T267,TRUE,TRUE),1,8)</f>
        <v/>
      </c>
      <c r="AC267" s="9">
        <f>INDEX(LINEST(L8:L267,M8:T267,TRUE,TRUE),1,7)</f>
        <v/>
      </c>
      <c r="AD267" s="9">
        <f>INDEX(LINEST(L8:L267,M8:T267,TRUE,TRUE),1,6)</f>
        <v/>
      </c>
      <c r="AE267" s="9">
        <f>INDEX(LINEST(L8:L267,M8:T267,TRUE,TRUE),1,5)</f>
        <v/>
      </c>
      <c r="AF267" s="9">
        <f>INDEX(LINEST(L8:L267,M8:T267,TRUE,TRUE),1,4)</f>
        <v/>
      </c>
      <c r="AG267" s="9">
        <f>INDEX(LINEST(L8:L267,M8:T267,TRUE,TRUE),1,3)</f>
        <v/>
      </c>
      <c r="AH267" s="9">
        <f>INDEX(LINEST(L8:L267,M8:T267,TRUE,TRUE),1,2)</f>
        <v/>
      </c>
      <c r="AI267" s="9">
        <f>INDEX(LINEST(L8:L267,M8:T267,TRUE,TRUE),1,1)</f>
        <v/>
      </c>
      <c r="AJ267" s="10">
        <f>INDEX(LINEST(L8:L267,M8:T267,TRUE,TRUE),3,1)</f>
        <v/>
      </c>
      <c r="AK267" s="9">
        <f>AA266/52+AB266*M267+AC266*N267+AD266*O267+AE266*P267+AF266*Q267+AG266*R267+AH266*S267+AI266*T267</f>
        <v/>
      </c>
      <c r="AL267" s="9">
        <f>AVERAGE(L7:L266)</f>
        <v/>
      </c>
    </row>
    <row r="268">
      <c r="A268" s="7" t="n">
        <v>39479</v>
      </c>
      <c r="B268" s="8" t="n">
        <v>914.75</v>
      </c>
      <c r="C268" s="8" t="n">
        <v>2.31</v>
      </c>
      <c r="D268" s="8" t="n">
        <v>1.31</v>
      </c>
      <c r="E268" s="8" t="n">
        <v>75.449997</v>
      </c>
      <c r="F268" s="8" t="n">
        <v>89.03</v>
      </c>
      <c r="G268" s="8" t="n">
        <v>24.02</v>
      </c>
      <c r="H268" s="8" t="n">
        <v>144.699997</v>
      </c>
      <c r="I268" s="8" t="n">
        <v>1395.420044</v>
      </c>
      <c r="J268" s="8" t="n">
        <v>59.903034</v>
      </c>
      <c r="L268" s="9">
        <f>LN(B268/B267)</f>
        <v/>
      </c>
      <c r="M268" s="9">
        <f>$M$1*(C268-C267)</f>
        <v/>
      </c>
      <c r="N268" s="9">
        <f>$N$1*(D268-D267)</f>
        <v/>
      </c>
      <c r="O268" s="9">
        <f>$O$1*LN(E268/E267)</f>
        <v/>
      </c>
      <c r="P268" s="9">
        <f>$P$1*LN(F268/F267)</f>
        <v/>
      </c>
      <c r="Q268" s="9">
        <f>$Q$1*(G268-G267)</f>
        <v/>
      </c>
      <c r="R268" s="9">
        <f>$R$1*(H268-H267)</f>
        <v/>
      </c>
      <c r="S268" s="9">
        <f>$S$1*LN(I268/I267)</f>
        <v/>
      </c>
      <c r="T268" s="9">
        <f>$T$1*LN(J268/J267)</f>
        <v/>
      </c>
      <c r="U268" s="9">
        <f>$W$12+$W$4*M268+$W$5*N268+$W$6*O268+$W$7*P268+$W$8*Q268+$W$9*R268+$W$10*S268+$W$11*T268</f>
        <v/>
      </c>
      <c r="AA268" s="10">
        <f>INDEX(LINEST(L9:L268,M9:T268,TRUE,TRUE),1,9)*52</f>
        <v/>
      </c>
      <c r="AB268" s="9">
        <f>INDEX(LINEST(L9:L268,M9:T268,TRUE,TRUE),1,8)</f>
        <v/>
      </c>
      <c r="AC268" s="9">
        <f>INDEX(LINEST(L9:L268,M9:T268,TRUE,TRUE),1,7)</f>
        <v/>
      </c>
      <c r="AD268" s="9">
        <f>INDEX(LINEST(L9:L268,M9:T268,TRUE,TRUE),1,6)</f>
        <v/>
      </c>
      <c r="AE268" s="9">
        <f>INDEX(LINEST(L9:L268,M9:T268,TRUE,TRUE),1,5)</f>
        <v/>
      </c>
      <c r="AF268" s="9">
        <f>INDEX(LINEST(L9:L268,M9:T268,TRUE,TRUE),1,4)</f>
        <v/>
      </c>
      <c r="AG268" s="9">
        <f>INDEX(LINEST(L9:L268,M9:T268,TRUE,TRUE),1,3)</f>
        <v/>
      </c>
      <c r="AH268" s="9">
        <f>INDEX(LINEST(L9:L268,M9:T268,TRUE,TRUE),1,2)</f>
        <v/>
      </c>
      <c r="AI268" s="9">
        <f>INDEX(LINEST(L9:L268,M9:T268,TRUE,TRUE),1,1)</f>
        <v/>
      </c>
      <c r="AJ268" s="10">
        <f>INDEX(LINEST(L9:L268,M9:T268,TRUE,TRUE),3,1)</f>
        <v/>
      </c>
      <c r="AK268" s="9">
        <f>AA267/52+AB267*M268+AC267*N268+AD267*O268+AE267*P268+AF267*Q268+AG267*R268+AH267*S268+AI267*T268</f>
        <v/>
      </c>
      <c r="AL268" s="9">
        <f>AVERAGE(L8:L267)</f>
        <v/>
      </c>
    </row>
    <row r="269">
      <c r="A269" s="7" t="n">
        <v>39486</v>
      </c>
      <c r="B269" s="8" t="n">
        <v>916.25</v>
      </c>
      <c r="C269" s="8" t="n">
        <v>2.28</v>
      </c>
      <c r="D269" s="8" t="n">
        <v>1.36</v>
      </c>
      <c r="E269" s="8" t="n">
        <v>76.66999800000001</v>
      </c>
      <c r="F269" s="8" t="n">
        <v>91.77</v>
      </c>
      <c r="G269" s="8" t="n">
        <v>28.01</v>
      </c>
      <c r="H269" s="8" t="n">
        <v>153</v>
      </c>
      <c r="I269" s="8" t="n">
        <v>1331.290039</v>
      </c>
      <c r="J269" s="8" t="n">
        <v>59.763493</v>
      </c>
      <c r="L269" s="9">
        <f>LN(B269/B268)</f>
        <v/>
      </c>
      <c r="M269" s="9">
        <f>$M$1*(C269-C268)</f>
        <v/>
      </c>
      <c r="N269" s="9">
        <f>$N$1*(D269-D268)</f>
        <v/>
      </c>
      <c r="O269" s="9">
        <f>$O$1*LN(E269/E268)</f>
        <v/>
      </c>
      <c r="P269" s="9">
        <f>$P$1*LN(F269/F268)</f>
        <v/>
      </c>
      <c r="Q269" s="9">
        <f>$Q$1*(G269-G268)</f>
        <v/>
      </c>
      <c r="R269" s="9">
        <f>$R$1*(H269-H268)</f>
        <v/>
      </c>
      <c r="S269" s="9">
        <f>$S$1*LN(I269/I268)</f>
        <v/>
      </c>
      <c r="T269" s="9">
        <f>$T$1*LN(J269/J268)</f>
        <v/>
      </c>
      <c r="U269" s="9">
        <f>$W$12+$W$4*M269+$W$5*N269+$W$6*O269+$W$7*P269+$W$8*Q269+$W$9*R269+$W$10*S269+$W$11*T269</f>
        <v/>
      </c>
      <c r="AA269" s="10">
        <f>INDEX(LINEST(L10:L269,M10:T269,TRUE,TRUE),1,9)*52</f>
        <v/>
      </c>
      <c r="AB269" s="9">
        <f>INDEX(LINEST(L10:L269,M10:T269,TRUE,TRUE),1,8)</f>
        <v/>
      </c>
      <c r="AC269" s="9">
        <f>INDEX(LINEST(L10:L269,M10:T269,TRUE,TRUE),1,7)</f>
        <v/>
      </c>
      <c r="AD269" s="9">
        <f>INDEX(LINEST(L10:L269,M10:T269,TRUE,TRUE),1,6)</f>
        <v/>
      </c>
      <c r="AE269" s="9">
        <f>INDEX(LINEST(L10:L269,M10:T269,TRUE,TRUE),1,5)</f>
        <v/>
      </c>
      <c r="AF269" s="9">
        <f>INDEX(LINEST(L10:L269,M10:T269,TRUE,TRUE),1,4)</f>
        <v/>
      </c>
      <c r="AG269" s="9">
        <f>INDEX(LINEST(L10:L269,M10:T269,TRUE,TRUE),1,3)</f>
        <v/>
      </c>
      <c r="AH269" s="9">
        <f>INDEX(LINEST(L10:L269,M10:T269,TRUE,TRUE),1,2)</f>
        <v/>
      </c>
      <c r="AI269" s="9">
        <f>INDEX(LINEST(L10:L269,M10:T269,TRUE,TRUE),1,1)</f>
        <v/>
      </c>
      <c r="AJ269" s="10">
        <f>INDEX(LINEST(L10:L269,M10:T269,TRUE,TRUE),3,1)</f>
        <v/>
      </c>
      <c r="AK269" s="9">
        <f>AA268/52+AB268*M269+AC268*N269+AD268*O269+AE268*P269+AF268*Q269+AG268*R269+AH268*S269+AI268*T269</f>
        <v/>
      </c>
      <c r="AL269" s="9">
        <f>AVERAGE(L9:L268)</f>
        <v/>
      </c>
    </row>
    <row r="270">
      <c r="A270" s="7" t="n">
        <v>39493</v>
      </c>
      <c r="B270" s="8" t="n">
        <v>912.5</v>
      </c>
      <c r="C270" s="8" t="n">
        <v>2.28</v>
      </c>
      <c r="D270" s="8" t="n">
        <v>1.48</v>
      </c>
      <c r="E270" s="8" t="n">
        <v>76.099998</v>
      </c>
      <c r="F270" s="8" t="n">
        <v>95.56999999999999</v>
      </c>
      <c r="G270" s="8" t="n">
        <v>25.02</v>
      </c>
      <c r="H270" s="8" t="n">
        <v>146.600006</v>
      </c>
      <c r="I270" s="8" t="n">
        <v>1349.98999</v>
      </c>
      <c r="J270" s="8" t="n">
        <v>59.298153</v>
      </c>
      <c r="L270" s="9">
        <f>LN(B270/B269)</f>
        <v/>
      </c>
      <c r="M270" s="9">
        <f>$M$1*(C270-C269)</f>
        <v/>
      </c>
      <c r="N270" s="9">
        <f>$N$1*(D270-D269)</f>
        <v/>
      </c>
      <c r="O270" s="9">
        <f>$O$1*LN(E270/E269)</f>
        <v/>
      </c>
      <c r="P270" s="9">
        <f>$P$1*LN(F270/F269)</f>
        <v/>
      </c>
      <c r="Q270" s="9">
        <f>$Q$1*(G270-G269)</f>
        <v/>
      </c>
      <c r="R270" s="9">
        <f>$R$1*(H270-H269)</f>
        <v/>
      </c>
      <c r="S270" s="9">
        <f>$S$1*LN(I270/I269)</f>
        <v/>
      </c>
      <c r="T270" s="9">
        <f>$T$1*LN(J270/J269)</f>
        <v/>
      </c>
      <c r="U270" s="9">
        <f>$W$12+$W$4*M270+$W$5*N270+$W$6*O270+$W$7*P270+$W$8*Q270+$W$9*R270+$W$10*S270+$W$11*T270</f>
        <v/>
      </c>
      <c r="AA270" s="10">
        <f>INDEX(LINEST(L11:L270,M11:T270,TRUE,TRUE),1,9)*52</f>
        <v/>
      </c>
      <c r="AB270" s="9">
        <f>INDEX(LINEST(L11:L270,M11:T270,TRUE,TRUE),1,8)</f>
        <v/>
      </c>
      <c r="AC270" s="9">
        <f>INDEX(LINEST(L11:L270,M11:T270,TRUE,TRUE),1,7)</f>
        <v/>
      </c>
      <c r="AD270" s="9">
        <f>INDEX(LINEST(L11:L270,M11:T270,TRUE,TRUE),1,6)</f>
        <v/>
      </c>
      <c r="AE270" s="9">
        <f>INDEX(LINEST(L11:L270,M11:T270,TRUE,TRUE),1,5)</f>
        <v/>
      </c>
      <c r="AF270" s="9">
        <f>INDEX(LINEST(L11:L270,M11:T270,TRUE,TRUE),1,4)</f>
        <v/>
      </c>
      <c r="AG270" s="9">
        <f>INDEX(LINEST(L11:L270,M11:T270,TRUE,TRUE),1,3)</f>
        <v/>
      </c>
      <c r="AH270" s="9">
        <f>INDEX(LINEST(L11:L270,M11:T270,TRUE,TRUE),1,2)</f>
        <v/>
      </c>
      <c r="AI270" s="9">
        <f>INDEX(LINEST(L11:L270,M11:T270,TRUE,TRUE),1,1)</f>
        <v/>
      </c>
      <c r="AJ270" s="10">
        <f>INDEX(LINEST(L11:L270,M11:T270,TRUE,TRUE),3,1)</f>
        <v/>
      </c>
      <c r="AK270" s="9">
        <f>AA269/52+AB269*M270+AC269*N270+AD269*O270+AE269*P270+AF269*Q270+AG269*R270+AH269*S270+AI269*T270</f>
        <v/>
      </c>
      <c r="AL270" s="9">
        <f>AVERAGE(L10:L269)</f>
        <v/>
      </c>
    </row>
    <row r="271">
      <c r="A271" s="7" t="n">
        <v>39500</v>
      </c>
      <c r="B271" s="8" t="n">
        <v>943</v>
      </c>
      <c r="C271" s="8" t="n">
        <v>2.35</v>
      </c>
      <c r="D271" s="8" t="n">
        <v>1.44</v>
      </c>
      <c r="E271" s="8" t="n">
        <v>75.519997</v>
      </c>
      <c r="F271" s="8" t="n">
        <v>99.03</v>
      </c>
      <c r="G271" s="8" t="n">
        <v>24.06</v>
      </c>
      <c r="H271" s="8" t="n">
        <v>161.5</v>
      </c>
      <c r="I271" s="8" t="n">
        <v>1353.109985</v>
      </c>
      <c r="J271" s="8" t="n">
        <v>59.088768</v>
      </c>
      <c r="L271" s="9">
        <f>LN(B271/B270)</f>
        <v/>
      </c>
      <c r="M271" s="9">
        <f>$M$1*(C271-C270)</f>
        <v/>
      </c>
      <c r="N271" s="9">
        <f>$N$1*(D271-D270)</f>
        <v/>
      </c>
      <c r="O271" s="9">
        <f>$O$1*LN(E271/E270)</f>
        <v/>
      </c>
      <c r="P271" s="9">
        <f>$P$1*LN(F271/F270)</f>
        <v/>
      </c>
      <c r="Q271" s="9">
        <f>$Q$1*(G271-G270)</f>
        <v/>
      </c>
      <c r="R271" s="9">
        <f>$R$1*(H271-H270)</f>
        <v/>
      </c>
      <c r="S271" s="9">
        <f>$S$1*LN(I271/I270)</f>
        <v/>
      </c>
      <c r="T271" s="9">
        <f>$T$1*LN(J271/J270)</f>
        <v/>
      </c>
      <c r="U271" s="9">
        <f>$W$12+$W$4*M271+$W$5*N271+$W$6*O271+$W$7*P271+$W$8*Q271+$W$9*R271+$W$10*S271+$W$11*T271</f>
        <v/>
      </c>
      <c r="AA271" s="10">
        <f>INDEX(LINEST(L12:L271,M12:T271,TRUE,TRUE),1,9)*52</f>
        <v/>
      </c>
      <c r="AB271" s="9">
        <f>INDEX(LINEST(L12:L271,M12:T271,TRUE,TRUE),1,8)</f>
        <v/>
      </c>
      <c r="AC271" s="9">
        <f>INDEX(LINEST(L12:L271,M12:T271,TRUE,TRUE),1,7)</f>
        <v/>
      </c>
      <c r="AD271" s="9">
        <f>INDEX(LINEST(L12:L271,M12:T271,TRUE,TRUE),1,6)</f>
        <v/>
      </c>
      <c r="AE271" s="9">
        <f>INDEX(LINEST(L12:L271,M12:T271,TRUE,TRUE),1,5)</f>
        <v/>
      </c>
      <c r="AF271" s="9">
        <f>INDEX(LINEST(L12:L271,M12:T271,TRUE,TRUE),1,4)</f>
        <v/>
      </c>
      <c r="AG271" s="9">
        <f>INDEX(LINEST(L12:L271,M12:T271,TRUE,TRUE),1,3)</f>
        <v/>
      </c>
      <c r="AH271" s="9">
        <f>INDEX(LINEST(L12:L271,M12:T271,TRUE,TRUE),1,2)</f>
        <v/>
      </c>
      <c r="AI271" s="9">
        <f>INDEX(LINEST(L12:L271,M12:T271,TRUE,TRUE),1,1)</f>
        <v/>
      </c>
      <c r="AJ271" s="10">
        <f>INDEX(LINEST(L12:L271,M12:T271,TRUE,TRUE),3,1)</f>
        <v/>
      </c>
      <c r="AK271" s="9">
        <f>AA270/52+AB270*M271+AC270*N271+AD270*O271+AE270*P271+AF270*Q271+AG270*R271+AH270*S271+AI270*T271</f>
        <v/>
      </c>
      <c r="AL271" s="9">
        <f>AVERAGE(L11:L270)</f>
        <v/>
      </c>
    </row>
    <row r="272">
      <c r="A272" s="7" t="n">
        <v>39507</v>
      </c>
      <c r="B272" s="8" t="n">
        <v>971.5</v>
      </c>
      <c r="C272" s="8" t="n">
        <v>2.43</v>
      </c>
      <c r="D272" s="8" t="n">
        <v>1.1</v>
      </c>
      <c r="E272" s="8" t="n">
        <v>73.709999</v>
      </c>
      <c r="F272" s="8" t="n">
        <v>101.78</v>
      </c>
      <c r="G272" s="8" t="n">
        <v>26.54</v>
      </c>
      <c r="H272" s="8" t="n">
        <v>155.199997</v>
      </c>
      <c r="I272" s="8" t="n">
        <v>1330.630005</v>
      </c>
      <c r="J272" s="8" t="n">
        <v>59.868195</v>
      </c>
      <c r="L272" s="9">
        <f>LN(B272/B271)</f>
        <v/>
      </c>
      <c r="M272" s="9">
        <f>$M$1*(C272-C271)</f>
        <v/>
      </c>
      <c r="N272" s="9">
        <f>$N$1*(D272-D271)</f>
        <v/>
      </c>
      <c r="O272" s="9">
        <f>$O$1*LN(E272/E271)</f>
        <v/>
      </c>
      <c r="P272" s="9">
        <f>$P$1*LN(F272/F271)</f>
        <v/>
      </c>
      <c r="Q272" s="9">
        <f>$Q$1*(G272-G271)</f>
        <v/>
      </c>
      <c r="R272" s="9">
        <f>$R$1*(H272-H271)</f>
        <v/>
      </c>
      <c r="S272" s="9">
        <f>$S$1*LN(I272/I271)</f>
        <v/>
      </c>
      <c r="T272" s="9">
        <f>$T$1*LN(J272/J271)</f>
        <v/>
      </c>
      <c r="U272" s="9">
        <f>$W$12+$W$4*M272+$W$5*N272+$W$6*O272+$W$7*P272+$W$8*Q272+$W$9*R272+$W$10*S272+$W$11*T272</f>
        <v/>
      </c>
      <c r="AA272" s="10">
        <f>INDEX(LINEST(L13:L272,M13:T272,TRUE,TRUE),1,9)*52</f>
        <v/>
      </c>
      <c r="AB272" s="9">
        <f>INDEX(LINEST(L13:L272,M13:T272,TRUE,TRUE),1,8)</f>
        <v/>
      </c>
      <c r="AC272" s="9">
        <f>INDEX(LINEST(L13:L272,M13:T272,TRUE,TRUE),1,7)</f>
        <v/>
      </c>
      <c r="AD272" s="9">
        <f>INDEX(LINEST(L13:L272,M13:T272,TRUE,TRUE),1,6)</f>
        <v/>
      </c>
      <c r="AE272" s="9">
        <f>INDEX(LINEST(L13:L272,M13:T272,TRUE,TRUE),1,5)</f>
        <v/>
      </c>
      <c r="AF272" s="9">
        <f>INDEX(LINEST(L13:L272,M13:T272,TRUE,TRUE),1,4)</f>
        <v/>
      </c>
      <c r="AG272" s="9">
        <f>INDEX(LINEST(L13:L272,M13:T272,TRUE,TRUE),1,3)</f>
        <v/>
      </c>
      <c r="AH272" s="9">
        <f>INDEX(LINEST(L13:L272,M13:T272,TRUE,TRUE),1,2)</f>
        <v/>
      </c>
      <c r="AI272" s="9">
        <f>INDEX(LINEST(L13:L272,M13:T272,TRUE,TRUE),1,1)</f>
        <v/>
      </c>
      <c r="AJ272" s="10">
        <f>INDEX(LINEST(L13:L272,M13:T272,TRUE,TRUE),3,1)</f>
        <v/>
      </c>
      <c r="AK272" s="9">
        <f>AA271/52+AB271*M272+AC271*N272+AD271*O272+AE271*P272+AF271*Q272+AG271*R272+AH271*S272+AI271*T272</f>
        <v/>
      </c>
      <c r="AL272" s="9">
        <f>AVERAGE(L12:L271)</f>
        <v/>
      </c>
    </row>
    <row r="273">
      <c r="A273" s="7" t="n">
        <v>39514</v>
      </c>
      <c r="B273" s="8" t="n">
        <v>972.5</v>
      </c>
      <c r="C273" s="8" t="n">
        <v>2.55</v>
      </c>
      <c r="D273" s="8" t="n">
        <v>1.01</v>
      </c>
      <c r="E273" s="8" t="n">
        <v>73.029999</v>
      </c>
      <c r="F273" s="8" t="n">
        <v>105.12</v>
      </c>
      <c r="G273" s="8" t="n">
        <v>27.49</v>
      </c>
      <c r="H273" s="8" t="n">
        <v>172.600006</v>
      </c>
      <c r="I273" s="8" t="n">
        <v>1293.369995</v>
      </c>
      <c r="J273" s="8" t="n">
        <v>59.315292</v>
      </c>
      <c r="L273" s="9">
        <f>LN(B273/B272)</f>
        <v/>
      </c>
      <c r="M273" s="9">
        <f>$M$1*(C273-C272)</f>
        <v/>
      </c>
      <c r="N273" s="9">
        <f>$N$1*(D273-D272)</f>
        <v/>
      </c>
      <c r="O273" s="9">
        <f>$O$1*LN(E273/E272)</f>
        <v/>
      </c>
      <c r="P273" s="9">
        <f>$P$1*LN(F273/F272)</f>
        <v/>
      </c>
      <c r="Q273" s="9">
        <f>$Q$1*(G273-G272)</f>
        <v/>
      </c>
      <c r="R273" s="9">
        <f>$R$1*(H273-H272)</f>
        <v/>
      </c>
      <c r="S273" s="9">
        <f>$S$1*LN(I273/I272)</f>
        <v/>
      </c>
      <c r="T273" s="9">
        <f>$T$1*LN(J273/J272)</f>
        <v/>
      </c>
      <c r="U273" s="9">
        <f>$W$12+$W$4*M273+$W$5*N273+$W$6*O273+$W$7*P273+$W$8*Q273+$W$9*R273+$W$10*S273+$W$11*T273</f>
        <v/>
      </c>
      <c r="AA273" s="10">
        <f>INDEX(LINEST(L14:L273,M14:T273,TRUE,TRUE),1,9)*52</f>
        <v/>
      </c>
      <c r="AB273" s="9">
        <f>INDEX(LINEST(L14:L273,M14:T273,TRUE,TRUE),1,8)</f>
        <v/>
      </c>
      <c r="AC273" s="9">
        <f>INDEX(LINEST(L14:L273,M14:T273,TRUE,TRUE),1,7)</f>
        <v/>
      </c>
      <c r="AD273" s="9">
        <f>INDEX(LINEST(L14:L273,M14:T273,TRUE,TRUE),1,6)</f>
        <v/>
      </c>
      <c r="AE273" s="9">
        <f>INDEX(LINEST(L14:L273,M14:T273,TRUE,TRUE),1,5)</f>
        <v/>
      </c>
      <c r="AF273" s="9">
        <f>INDEX(LINEST(L14:L273,M14:T273,TRUE,TRUE),1,4)</f>
        <v/>
      </c>
      <c r="AG273" s="9">
        <f>INDEX(LINEST(L14:L273,M14:T273,TRUE,TRUE),1,3)</f>
        <v/>
      </c>
      <c r="AH273" s="9">
        <f>INDEX(LINEST(L14:L273,M14:T273,TRUE,TRUE),1,2)</f>
        <v/>
      </c>
      <c r="AI273" s="9">
        <f>INDEX(LINEST(L14:L273,M14:T273,TRUE,TRUE),1,1)</f>
        <v/>
      </c>
      <c r="AJ273" s="10">
        <f>INDEX(LINEST(L14:L273,M14:T273,TRUE,TRUE),3,1)</f>
        <v/>
      </c>
      <c r="AK273" s="9">
        <f>AA272/52+AB272*M273+AC272*N273+AD272*O273+AE272*P273+AF272*Q273+AG272*R273+AH272*S273+AI272*T273</f>
        <v/>
      </c>
      <c r="AL273" s="9">
        <f>AVERAGE(L13:L272)</f>
        <v/>
      </c>
    </row>
    <row r="274">
      <c r="A274" s="7" t="n">
        <v>39521</v>
      </c>
      <c r="B274" s="8" t="n">
        <v>1003.5</v>
      </c>
      <c r="C274" s="8" t="n">
        <v>2.43</v>
      </c>
      <c r="D274" s="8" t="n">
        <v>1.01</v>
      </c>
      <c r="E274" s="8" t="n">
        <v>71.660004</v>
      </c>
      <c r="F274" s="8" t="n">
        <v>110.03</v>
      </c>
      <c r="G274" s="8" t="n">
        <v>31.16</v>
      </c>
      <c r="H274" s="8" t="n">
        <v>167.199997</v>
      </c>
      <c r="I274" s="8" t="n">
        <v>1288.140015</v>
      </c>
      <c r="J274" s="8" t="n">
        <v>59.869907</v>
      </c>
      <c r="L274" s="9">
        <f>LN(B274/B273)</f>
        <v/>
      </c>
      <c r="M274" s="9">
        <f>$M$1*(C274-C273)</f>
        <v/>
      </c>
      <c r="N274" s="9">
        <f>$N$1*(D274-D273)</f>
        <v/>
      </c>
      <c r="O274" s="9">
        <f>$O$1*LN(E274/E273)</f>
        <v/>
      </c>
      <c r="P274" s="9">
        <f>$P$1*LN(F274/F273)</f>
        <v/>
      </c>
      <c r="Q274" s="9">
        <f>$Q$1*(G274-G273)</f>
        <v/>
      </c>
      <c r="R274" s="9">
        <f>$R$1*(H274-H273)</f>
        <v/>
      </c>
      <c r="S274" s="9">
        <f>$S$1*LN(I274/I273)</f>
        <v/>
      </c>
      <c r="T274" s="9">
        <f>$T$1*LN(J274/J273)</f>
        <v/>
      </c>
      <c r="U274" s="9">
        <f>$W$12+$W$4*M274+$W$5*N274+$W$6*O274+$W$7*P274+$W$8*Q274+$W$9*R274+$W$10*S274+$W$11*T274</f>
        <v/>
      </c>
      <c r="AA274" s="10">
        <f>INDEX(LINEST(L15:L274,M15:T274,TRUE,TRUE),1,9)*52</f>
        <v/>
      </c>
      <c r="AB274" s="9">
        <f>INDEX(LINEST(L15:L274,M15:T274,TRUE,TRUE),1,8)</f>
        <v/>
      </c>
      <c r="AC274" s="9">
        <f>INDEX(LINEST(L15:L274,M15:T274,TRUE,TRUE),1,7)</f>
        <v/>
      </c>
      <c r="AD274" s="9">
        <f>INDEX(LINEST(L15:L274,M15:T274,TRUE,TRUE),1,6)</f>
        <v/>
      </c>
      <c r="AE274" s="9">
        <f>INDEX(LINEST(L15:L274,M15:T274,TRUE,TRUE),1,5)</f>
        <v/>
      </c>
      <c r="AF274" s="9">
        <f>INDEX(LINEST(L15:L274,M15:T274,TRUE,TRUE),1,4)</f>
        <v/>
      </c>
      <c r="AG274" s="9">
        <f>INDEX(LINEST(L15:L274,M15:T274,TRUE,TRUE),1,3)</f>
        <v/>
      </c>
      <c r="AH274" s="9">
        <f>INDEX(LINEST(L15:L274,M15:T274,TRUE,TRUE),1,2)</f>
        <v/>
      </c>
      <c r="AI274" s="9">
        <f>INDEX(LINEST(L15:L274,M15:T274,TRUE,TRUE),1,1)</f>
        <v/>
      </c>
      <c r="AJ274" s="10">
        <f>INDEX(LINEST(L15:L274,M15:T274,TRUE,TRUE),3,1)</f>
        <v/>
      </c>
      <c r="AK274" s="9">
        <f>AA273/52+AB273*M274+AC273*N274+AD273*O274+AE273*P274+AF273*Q274+AG273*R274+AH273*S274+AI273*T274</f>
        <v/>
      </c>
      <c r="AL274" s="9">
        <f>AVERAGE(L14:L273)</f>
        <v/>
      </c>
    </row>
    <row r="275">
      <c r="A275" s="7" t="n">
        <v>39528</v>
      </c>
      <c r="B275" s="8" t="n">
        <v>925.75</v>
      </c>
      <c r="C275" s="8" t="n">
        <v>2.32</v>
      </c>
      <c r="D275" s="8" t="n">
        <v>1.02</v>
      </c>
      <c r="E275" s="8" t="n">
        <v>72.75</v>
      </c>
      <c r="F275" s="8" t="n">
        <v>102.57</v>
      </c>
      <c r="G275" s="8" t="n">
        <v>26.62</v>
      </c>
      <c r="H275" s="8" t="n">
        <v>158.600006</v>
      </c>
      <c r="I275" s="8" t="n">
        <v>1329.51001</v>
      </c>
      <c r="J275" s="8" t="n">
        <v>60.377815</v>
      </c>
      <c r="L275" s="9">
        <f>LN(B275/B274)</f>
        <v/>
      </c>
      <c r="M275" s="9">
        <f>$M$1*(C275-C274)</f>
        <v/>
      </c>
      <c r="N275" s="9">
        <f>$N$1*(D275-D274)</f>
        <v/>
      </c>
      <c r="O275" s="9">
        <f>$O$1*LN(E275/E274)</f>
        <v/>
      </c>
      <c r="P275" s="9">
        <f>$P$1*LN(F275/F274)</f>
        <v/>
      </c>
      <c r="Q275" s="9">
        <f>$Q$1*(G275-G274)</f>
        <v/>
      </c>
      <c r="R275" s="9">
        <f>$R$1*(H275-H274)</f>
        <v/>
      </c>
      <c r="S275" s="9">
        <f>$S$1*LN(I275/I274)</f>
        <v/>
      </c>
      <c r="T275" s="9">
        <f>$T$1*LN(J275/J274)</f>
        <v/>
      </c>
      <c r="U275" s="9">
        <f>$W$12+$W$4*M275+$W$5*N275+$W$6*O275+$W$7*P275+$W$8*Q275+$W$9*R275+$W$10*S275+$W$11*T275</f>
        <v/>
      </c>
      <c r="AA275" s="10">
        <f>INDEX(LINEST(L16:L275,M16:T275,TRUE,TRUE),1,9)*52</f>
        <v/>
      </c>
      <c r="AB275" s="9">
        <f>INDEX(LINEST(L16:L275,M16:T275,TRUE,TRUE),1,8)</f>
        <v/>
      </c>
      <c r="AC275" s="9">
        <f>INDEX(LINEST(L16:L275,M16:T275,TRUE,TRUE),1,7)</f>
        <v/>
      </c>
      <c r="AD275" s="9">
        <f>INDEX(LINEST(L16:L275,M16:T275,TRUE,TRUE),1,6)</f>
        <v/>
      </c>
      <c r="AE275" s="9">
        <f>INDEX(LINEST(L16:L275,M16:T275,TRUE,TRUE),1,5)</f>
        <v/>
      </c>
      <c r="AF275" s="9">
        <f>INDEX(LINEST(L16:L275,M16:T275,TRUE,TRUE),1,4)</f>
        <v/>
      </c>
      <c r="AG275" s="9">
        <f>INDEX(LINEST(L16:L275,M16:T275,TRUE,TRUE),1,3)</f>
        <v/>
      </c>
      <c r="AH275" s="9">
        <f>INDEX(LINEST(L16:L275,M16:T275,TRUE,TRUE),1,2)</f>
        <v/>
      </c>
      <c r="AI275" s="9">
        <f>INDEX(LINEST(L16:L275,M16:T275,TRUE,TRUE),1,1)</f>
        <v/>
      </c>
      <c r="AJ275" s="10">
        <f>INDEX(LINEST(L16:L275,M16:T275,TRUE,TRUE),3,1)</f>
        <v/>
      </c>
      <c r="AK275" s="9">
        <f>AA274/52+AB274*M275+AC274*N275+AD274*O275+AE274*P275+AF274*Q275+AG274*R275+AH274*S275+AI274*T275</f>
        <v/>
      </c>
      <c r="AL275" s="9">
        <f>AVERAGE(L15:L274)</f>
        <v/>
      </c>
    </row>
    <row r="276">
      <c r="A276" s="7" t="n">
        <v>39535</v>
      </c>
      <c r="B276" s="8" t="n">
        <v>934.25</v>
      </c>
      <c r="C276" s="8" t="n">
        <v>2.34</v>
      </c>
      <c r="D276" s="8" t="n">
        <v>1.13</v>
      </c>
      <c r="E276" s="8" t="n">
        <v>71.68000000000001</v>
      </c>
      <c r="F276" s="8" t="n">
        <v>105.59</v>
      </c>
      <c r="G276" s="8" t="n">
        <v>25.71</v>
      </c>
      <c r="H276" s="8" t="n">
        <v>145.899994</v>
      </c>
      <c r="I276" s="8" t="n">
        <v>1315.219971</v>
      </c>
      <c r="J276" s="8" t="n">
        <v>60.039246</v>
      </c>
      <c r="L276" s="9">
        <f>LN(B276/B275)</f>
        <v/>
      </c>
      <c r="M276" s="9">
        <f>$M$1*(C276-C275)</f>
        <v/>
      </c>
      <c r="N276" s="9">
        <f>$N$1*(D276-D275)</f>
        <v/>
      </c>
      <c r="O276" s="9">
        <f>$O$1*LN(E276/E275)</f>
        <v/>
      </c>
      <c r="P276" s="9">
        <f>$P$1*LN(F276/F275)</f>
        <v/>
      </c>
      <c r="Q276" s="9">
        <f>$Q$1*(G276-G275)</f>
        <v/>
      </c>
      <c r="R276" s="9">
        <f>$R$1*(H276-H275)</f>
        <v/>
      </c>
      <c r="S276" s="9">
        <f>$S$1*LN(I276/I275)</f>
        <v/>
      </c>
      <c r="T276" s="9">
        <f>$T$1*LN(J276/J275)</f>
        <v/>
      </c>
      <c r="U276" s="9">
        <f>$W$12+$W$4*M276+$W$5*N276+$W$6*O276+$W$7*P276+$W$8*Q276+$W$9*R276+$W$10*S276+$W$11*T276</f>
        <v/>
      </c>
      <c r="AA276" s="10">
        <f>INDEX(LINEST(L17:L276,M17:T276,TRUE,TRUE),1,9)*52</f>
        <v/>
      </c>
      <c r="AB276" s="9">
        <f>INDEX(LINEST(L17:L276,M17:T276,TRUE,TRUE),1,8)</f>
        <v/>
      </c>
      <c r="AC276" s="9">
        <f>INDEX(LINEST(L17:L276,M17:T276,TRUE,TRUE),1,7)</f>
        <v/>
      </c>
      <c r="AD276" s="9">
        <f>INDEX(LINEST(L17:L276,M17:T276,TRUE,TRUE),1,6)</f>
        <v/>
      </c>
      <c r="AE276" s="9">
        <f>INDEX(LINEST(L17:L276,M17:T276,TRUE,TRUE),1,5)</f>
        <v/>
      </c>
      <c r="AF276" s="9">
        <f>INDEX(LINEST(L17:L276,M17:T276,TRUE,TRUE),1,4)</f>
        <v/>
      </c>
      <c r="AG276" s="9">
        <f>INDEX(LINEST(L17:L276,M17:T276,TRUE,TRUE),1,3)</f>
        <v/>
      </c>
      <c r="AH276" s="9">
        <f>INDEX(LINEST(L17:L276,M17:T276,TRUE,TRUE),1,2)</f>
        <v/>
      </c>
      <c r="AI276" s="9">
        <f>INDEX(LINEST(L17:L276,M17:T276,TRUE,TRUE),1,1)</f>
        <v/>
      </c>
      <c r="AJ276" s="10">
        <f>INDEX(LINEST(L17:L276,M17:T276,TRUE,TRUE),3,1)</f>
        <v/>
      </c>
      <c r="AK276" s="9">
        <f>AA275/52+AB275*M276+AC275*N276+AD275*O276+AE275*P276+AF275*Q276+AG275*R276+AH275*S276+AI275*T276</f>
        <v/>
      </c>
      <c r="AL276" s="9">
        <f>AVERAGE(L16:L275)</f>
        <v/>
      </c>
    </row>
    <row r="277">
      <c r="A277" s="7" t="n">
        <v>39542</v>
      </c>
      <c r="B277" s="8" t="n">
        <v>905.5</v>
      </c>
      <c r="C277" s="8" t="n">
        <v>2.32</v>
      </c>
      <c r="D277" s="8" t="n">
        <v>1.18</v>
      </c>
      <c r="E277" s="8" t="n">
        <v>72.019997</v>
      </c>
      <c r="F277" s="8" t="n">
        <v>106.09</v>
      </c>
      <c r="G277" s="8" t="n">
        <v>22.45</v>
      </c>
      <c r="H277" s="8" t="n">
        <v>140.199997</v>
      </c>
      <c r="I277" s="8" t="n">
        <v>1370.400024</v>
      </c>
      <c r="J277" s="8" t="n">
        <v>60.060097</v>
      </c>
      <c r="L277" s="9">
        <f>LN(B277/B276)</f>
        <v/>
      </c>
      <c r="M277" s="9">
        <f>$M$1*(C277-C276)</f>
        <v/>
      </c>
      <c r="N277" s="9">
        <f>$N$1*(D277-D276)</f>
        <v/>
      </c>
      <c r="O277" s="9">
        <f>$O$1*LN(E277/E276)</f>
        <v/>
      </c>
      <c r="P277" s="9">
        <f>$P$1*LN(F277/F276)</f>
        <v/>
      </c>
      <c r="Q277" s="9">
        <f>$Q$1*(G277-G276)</f>
        <v/>
      </c>
      <c r="R277" s="9">
        <f>$R$1*(H277-H276)</f>
        <v/>
      </c>
      <c r="S277" s="9">
        <f>$S$1*LN(I277/I276)</f>
        <v/>
      </c>
      <c r="T277" s="9">
        <f>$T$1*LN(J277/J276)</f>
        <v/>
      </c>
      <c r="U277" s="9">
        <f>$W$12+$W$4*M277+$W$5*N277+$W$6*O277+$W$7*P277+$W$8*Q277+$W$9*R277+$W$10*S277+$W$11*T277</f>
        <v/>
      </c>
      <c r="AA277" s="10">
        <f>INDEX(LINEST(L18:L277,M18:T277,TRUE,TRUE),1,9)*52</f>
        <v/>
      </c>
      <c r="AB277" s="9">
        <f>INDEX(LINEST(L18:L277,M18:T277,TRUE,TRUE),1,8)</f>
        <v/>
      </c>
      <c r="AC277" s="9">
        <f>INDEX(LINEST(L18:L277,M18:T277,TRUE,TRUE),1,7)</f>
        <v/>
      </c>
      <c r="AD277" s="9">
        <f>INDEX(LINEST(L18:L277,M18:T277,TRUE,TRUE),1,6)</f>
        <v/>
      </c>
      <c r="AE277" s="9">
        <f>INDEX(LINEST(L18:L277,M18:T277,TRUE,TRUE),1,5)</f>
        <v/>
      </c>
      <c r="AF277" s="9">
        <f>INDEX(LINEST(L18:L277,M18:T277,TRUE,TRUE),1,4)</f>
        <v/>
      </c>
      <c r="AG277" s="9">
        <f>INDEX(LINEST(L18:L277,M18:T277,TRUE,TRUE),1,3)</f>
        <v/>
      </c>
      <c r="AH277" s="9">
        <f>INDEX(LINEST(L18:L277,M18:T277,TRUE,TRUE),1,2)</f>
        <v/>
      </c>
      <c r="AI277" s="9">
        <f>INDEX(LINEST(L18:L277,M18:T277,TRUE,TRUE),1,1)</f>
        <v/>
      </c>
      <c r="AJ277" s="10">
        <f>INDEX(LINEST(L18:L277,M18:T277,TRUE,TRUE),3,1)</f>
        <v/>
      </c>
      <c r="AK277" s="9">
        <f>AA276/52+AB276*M277+AC276*N277+AD276*O277+AE276*P277+AF276*Q277+AG276*R277+AH276*S277+AI276*T277</f>
        <v/>
      </c>
      <c r="AL277" s="9">
        <f>AVERAGE(L17:L276)</f>
        <v/>
      </c>
    </row>
    <row r="278">
      <c r="A278" s="7" t="n">
        <v>39549</v>
      </c>
      <c r="B278" s="8" t="n">
        <v>927.75</v>
      </c>
      <c r="C278" s="8" t="n">
        <v>2.3</v>
      </c>
      <c r="D278" s="8" t="n">
        <v>1.19</v>
      </c>
      <c r="E278" s="8" t="n">
        <v>71.80999799999999</v>
      </c>
      <c r="F278" s="8" t="n">
        <v>110.14</v>
      </c>
      <c r="G278" s="8" t="n">
        <v>23.46</v>
      </c>
      <c r="H278" s="8" t="n">
        <v>129.399994</v>
      </c>
      <c r="I278" s="8" t="n">
        <v>1332.829956</v>
      </c>
      <c r="J278" s="8" t="n">
        <v>60.253536</v>
      </c>
      <c r="L278" s="9">
        <f>LN(B278/B277)</f>
        <v/>
      </c>
      <c r="M278" s="9">
        <f>$M$1*(C278-C277)</f>
        <v/>
      </c>
      <c r="N278" s="9">
        <f>$N$1*(D278-D277)</f>
        <v/>
      </c>
      <c r="O278" s="9">
        <f>$O$1*LN(E278/E277)</f>
        <v/>
      </c>
      <c r="P278" s="9">
        <f>$P$1*LN(F278/F277)</f>
        <v/>
      </c>
      <c r="Q278" s="9">
        <f>$Q$1*(G278-G277)</f>
        <v/>
      </c>
      <c r="R278" s="9">
        <f>$R$1*(H278-H277)</f>
        <v/>
      </c>
      <c r="S278" s="9">
        <f>$S$1*LN(I278/I277)</f>
        <v/>
      </c>
      <c r="T278" s="9">
        <f>$T$1*LN(J278/J277)</f>
        <v/>
      </c>
      <c r="U278" s="9">
        <f>$W$12+$W$4*M278+$W$5*N278+$W$6*O278+$W$7*P278+$W$8*Q278+$W$9*R278+$W$10*S278+$W$11*T278</f>
        <v/>
      </c>
      <c r="AA278" s="10">
        <f>INDEX(LINEST(L19:L278,M19:T278,TRUE,TRUE),1,9)*52</f>
        <v/>
      </c>
      <c r="AB278" s="9">
        <f>INDEX(LINEST(L19:L278,M19:T278,TRUE,TRUE),1,8)</f>
        <v/>
      </c>
      <c r="AC278" s="9">
        <f>INDEX(LINEST(L19:L278,M19:T278,TRUE,TRUE),1,7)</f>
        <v/>
      </c>
      <c r="AD278" s="9">
        <f>INDEX(LINEST(L19:L278,M19:T278,TRUE,TRUE),1,6)</f>
        <v/>
      </c>
      <c r="AE278" s="9">
        <f>INDEX(LINEST(L19:L278,M19:T278,TRUE,TRUE),1,5)</f>
        <v/>
      </c>
      <c r="AF278" s="9">
        <f>INDEX(LINEST(L19:L278,M19:T278,TRUE,TRUE),1,4)</f>
        <v/>
      </c>
      <c r="AG278" s="9">
        <f>INDEX(LINEST(L19:L278,M19:T278,TRUE,TRUE),1,3)</f>
        <v/>
      </c>
      <c r="AH278" s="9">
        <f>INDEX(LINEST(L19:L278,M19:T278,TRUE,TRUE),1,2)</f>
        <v/>
      </c>
      <c r="AI278" s="9">
        <f>INDEX(LINEST(L19:L278,M19:T278,TRUE,TRUE),1,1)</f>
        <v/>
      </c>
      <c r="AJ278" s="10">
        <f>INDEX(LINEST(L19:L278,M19:T278,TRUE,TRUE),3,1)</f>
        <v/>
      </c>
      <c r="AK278" s="9">
        <f>AA277/52+AB277*M278+AC277*N278+AD277*O278+AE277*P278+AF277*Q278+AG277*R278+AH277*S278+AI277*T278</f>
        <v/>
      </c>
      <c r="AL278" s="9">
        <f>AVERAGE(L18:L277)</f>
        <v/>
      </c>
    </row>
    <row r="279">
      <c r="A279" s="7" t="n">
        <v>39556</v>
      </c>
      <c r="B279" s="8" t="n">
        <v>908.75</v>
      </c>
      <c r="C279" s="8" t="n">
        <v>2.32</v>
      </c>
      <c r="D279" s="8" t="n">
        <v>1.45</v>
      </c>
      <c r="E279" s="8" t="n">
        <v>72.010002</v>
      </c>
      <c r="F279" s="8" t="n">
        <v>116.56</v>
      </c>
      <c r="G279" s="8" t="n">
        <v>20.13</v>
      </c>
      <c r="H279" s="8" t="n">
        <v>144.100006</v>
      </c>
      <c r="I279" s="8" t="n">
        <v>1390.329956</v>
      </c>
      <c r="J279" s="8" t="n">
        <v>59.790474</v>
      </c>
      <c r="L279" s="9">
        <f>LN(B279/B278)</f>
        <v/>
      </c>
      <c r="M279" s="9">
        <f>$M$1*(C279-C278)</f>
        <v/>
      </c>
      <c r="N279" s="9">
        <f>$N$1*(D279-D278)</f>
        <v/>
      </c>
      <c r="O279" s="9">
        <f>$O$1*LN(E279/E278)</f>
        <v/>
      </c>
      <c r="P279" s="9">
        <f>$P$1*LN(F279/F278)</f>
        <v/>
      </c>
      <c r="Q279" s="9">
        <f>$Q$1*(G279-G278)</f>
        <v/>
      </c>
      <c r="R279" s="9">
        <f>$R$1*(H279-H278)</f>
        <v/>
      </c>
      <c r="S279" s="9">
        <f>$S$1*LN(I279/I278)</f>
        <v/>
      </c>
      <c r="T279" s="9">
        <f>$T$1*LN(J279/J278)</f>
        <v/>
      </c>
      <c r="U279" s="9">
        <f>$W$12+$W$4*M279+$W$5*N279+$W$6*O279+$W$7*P279+$W$8*Q279+$W$9*R279+$W$10*S279+$W$11*T279</f>
        <v/>
      </c>
      <c r="AA279" s="10">
        <f>INDEX(LINEST(L20:L279,M20:T279,TRUE,TRUE),1,9)*52</f>
        <v/>
      </c>
      <c r="AB279" s="9">
        <f>INDEX(LINEST(L20:L279,M20:T279,TRUE,TRUE),1,8)</f>
        <v/>
      </c>
      <c r="AC279" s="9">
        <f>INDEX(LINEST(L20:L279,M20:T279,TRUE,TRUE),1,7)</f>
        <v/>
      </c>
      <c r="AD279" s="9">
        <f>INDEX(LINEST(L20:L279,M20:T279,TRUE,TRUE),1,6)</f>
        <v/>
      </c>
      <c r="AE279" s="9">
        <f>INDEX(LINEST(L20:L279,M20:T279,TRUE,TRUE),1,5)</f>
        <v/>
      </c>
      <c r="AF279" s="9">
        <f>INDEX(LINEST(L20:L279,M20:T279,TRUE,TRUE),1,4)</f>
        <v/>
      </c>
      <c r="AG279" s="9">
        <f>INDEX(LINEST(L20:L279,M20:T279,TRUE,TRUE),1,3)</f>
        <v/>
      </c>
      <c r="AH279" s="9">
        <f>INDEX(LINEST(L20:L279,M20:T279,TRUE,TRUE),1,2)</f>
        <v/>
      </c>
      <c r="AI279" s="9">
        <f>INDEX(LINEST(L20:L279,M20:T279,TRUE,TRUE),1,1)</f>
        <v/>
      </c>
      <c r="AJ279" s="10">
        <f>INDEX(LINEST(L20:L279,M20:T279,TRUE,TRUE),3,1)</f>
        <v/>
      </c>
      <c r="AK279" s="9">
        <f>AA278/52+AB278*M279+AC278*N279+AD278*O279+AE278*P279+AF278*Q279+AG278*R279+AH278*S279+AI278*T279</f>
        <v/>
      </c>
      <c r="AL279" s="9">
        <f>AVERAGE(L19:L278)</f>
        <v/>
      </c>
    </row>
    <row r="280">
      <c r="A280" s="7" t="n">
        <v>39563</v>
      </c>
      <c r="B280" s="8" t="n">
        <v>891.5</v>
      </c>
      <c r="C280" s="8" t="n">
        <v>2.31</v>
      </c>
      <c r="D280" s="8" t="n">
        <v>1.6</v>
      </c>
      <c r="E280" s="8" t="n">
        <v>72.790001</v>
      </c>
      <c r="F280" s="8" t="n">
        <v>119.64</v>
      </c>
      <c r="G280" s="8" t="n">
        <v>19.59</v>
      </c>
      <c r="H280" s="8" t="n">
        <v>131</v>
      </c>
      <c r="I280" s="8" t="n">
        <v>1397.839966</v>
      </c>
      <c r="J280" s="8" t="n">
        <v>59.544289</v>
      </c>
      <c r="L280" s="9">
        <f>LN(B280/B279)</f>
        <v/>
      </c>
      <c r="M280" s="9">
        <f>$M$1*(C280-C279)</f>
        <v/>
      </c>
      <c r="N280" s="9">
        <f>$N$1*(D280-D279)</f>
        <v/>
      </c>
      <c r="O280" s="9">
        <f>$O$1*LN(E280/E279)</f>
        <v/>
      </c>
      <c r="P280" s="9">
        <f>$P$1*LN(F280/F279)</f>
        <v/>
      </c>
      <c r="Q280" s="9">
        <f>$Q$1*(G280-G279)</f>
        <v/>
      </c>
      <c r="R280" s="9">
        <f>$R$1*(H280-H279)</f>
        <v/>
      </c>
      <c r="S280" s="9">
        <f>$S$1*LN(I280/I279)</f>
        <v/>
      </c>
      <c r="T280" s="9">
        <f>$T$1*LN(J280/J279)</f>
        <v/>
      </c>
      <c r="U280" s="9">
        <f>$W$12+$W$4*M280+$W$5*N280+$W$6*O280+$W$7*P280+$W$8*Q280+$W$9*R280+$W$10*S280+$W$11*T280</f>
        <v/>
      </c>
      <c r="AA280" s="10">
        <f>INDEX(LINEST(L21:L280,M21:T280,TRUE,TRUE),1,9)*52</f>
        <v/>
      </c>
      <c r="AB280" s="9">
        <f>INDEX(LINEST(L21:L280,M21:T280,TRUE,TRUE),1,8)</f>
        <v/>
      </c>
      <c r="AC280" s="9">
        <f>INDEX(LINEST(L21:L280,M21:T280,TRUE,TRUE),1,7)</f>
        <v/>
      </c>
      <c r="AD280" s="9">
        <f>INDEX(LINEST(L21:L280,M21:T280,TRUE,TRUE),1,6)</f>
        <v/>
      </c>
      <c r="AE280" s="9">
        <f>INDEX(LINEST(L21:L280,M21:T280,TRUE,TRUE),1,5)</f>
        <v/>
      </c>
      <c r="AF280" s="9">
        <f>INDEX(LINEST(L21:L280,M21:T280,TRUE,TRUE),1,4)</f>
        <v/>
      </c>
      <c r="AG280" s="9">
        <f>INDEX(LINEST(L21:L280,M21:T280,TRUE,TRUE),1,3)</f>
        <v/>
      </c>
      <c r="AH280" s="9">
        <f>INDEX(LINEST(L21:L280,M21:T280,TRUE,TRUE),1,2)</f>
        <v/>
      </c>
      <c r="AI280" s="9">
        <f>INDEX(LINEST(L21:L280,M21:T280,TRUE,TRUE),1,1)</f>
        <v/>
      </c>
      <c r="AJ280" s="10">
        <f>INDEX(LINEST(L21:L280,M21:T280,TRUE,TRUE),3,1)</f>
        <v/>
      </c>
      <c r="AK280" s="9">
        <f>AA279/52+AB279*M280+AC279*N280+AD279*O280+AE279*P280+AF279*Q280+AG279*R280+AH279*S280+AI279*T280</f>
        <v/>
      </c>
      <c r="AL280" s="9">
        <f>AVERAGE(L20:L279)</f>
        <v/>
      </c>
    </row>
    <row r="281">
      <c r="A281" s="7" t="n">
        <v>39570</v>
      </c>
      <c r="B281" s="8" t="n">
        <v>853.5</v>
      </c>
      <c r="C281" s="8" t="n">
        <v>2.36</v>
      </c>
      <c r="D281" s="8" t="n">
        <v>1.53</v>
      </c>
      <c r="E281" s="8" t="n">
        <v>73.5</v>
      </c>
      <c r="F281" s="8" t="n">
        <v>116.36</v>
      </c>
      <c r="G281" s="8" t="n">
        <v>18.18</v>
      </c>
      <c r="H281" s="8" t="n">
        <v>111.800003</v>
      </c>
      <c r="I281" s="8" t="n">
        <v>1413.900024</v>
      </c>
      <c r="J281" s="8" t="n">
        <v>59.939865</v>
      </c>
      <c r="L281" s="9">
        <f>LN(B281/B280)</f>
        <v/>
      </c>
      <c r="M281" s="9">
        <f>$M$1*(C281-C280)</f>
        <v/>
      </c>
      <c r="N281" s="9">
        <f>$N$1*(D281-D280)</f>
        <v/>
      </c>
      <c r="O281" s="9">
        <f>$O$1*LN(E281/E280)</f>
        <v/>
      </c>
      <c r="P281" s="9">
        <f>$P$1*LN(F281/F280)</f>
        <v/>
      </c>
      <c r="Q281" s="9">
        <f>$Q$1*(G281-G280)</f>
        <v/>
      </c>
      <c r="R281" s="9">
        <f>$R$1*(H281-H280)</f>
        <v/>
      </c>
      <c r="S281" s="9">
        <f>$S$1*LN(I281/I280)</f>
        <v/>
      </c>
      <c r="T281" s="9">
        <f>$T$1*LN(J281/J280)</f>
        <v/>
      </c>
      <c r="U281" s="9">
        <f>$W$12+$W$4*M281+$W$5*N281+$W$6*O281+$W$7*P281+$W$8*Q281+$W$9*R281+$W$10*S281+$W$11*T281</f>
        <v/>
      </c>
      <c r="AA281" s="10">
        <f>INDEX(LINEST(L22:L281,M22:T281,TRUE,TRUE),1,9)*52</f>
        <v/>
      </c>
      <c r="AB281" s="9">
        <f>INDEX(LINEST(L22:L281,M22:T281,TRUE,TRUE),1,8)</f>
        <v/>
      </c>
      <c r="AC281" s="9">
        <f>INDEX(LINEST(L22:L281,M22:T281,TRUE,TRUE),1,7)</f>
        <v/>
      </c>
      <c r="AD281" s="9">
        <f>INDEX(LINEST(L22:L281,M22:T281,TRUE,TRUE),1,6)</f>
        <v/>
      </c>
      <c r="AE281" s="9">
        <f>INDEX(LINEST(L22:L281,M22:T281,TRUE,TRUE),1,5)</f>
        <v/>
      </c>
      <c r="AF281" s="9">
        <f>INDEX(LINEST(L22:L281,M22:T281,TRUE,TRUE),1,4)</f>
        <v/>
      </c>
      <c r="AG281" s="9">
        <f>INDEX(LINEST(L22:L281,M22:T281,TRUE,TRUE),1,3)</f>
        <v/>
      </c>
      <c r="AH281" s="9">
        <f>INDEX(LINEST(L22:L281,M22:T281,TRUE,TRUE),1,2)</f>
        <v/>
      </c>
      <c r="AI281" s="9">
        <f>INDEX(LINEST(L22:L281,M22:T281,TRUE,TRUE),1,1)</f>
        <v/>
      </c>
      <c r="AJ281" s="10">
        <f>INDEX(LINEST(L22:L281,M22:T281,TRUE,TRUE),3,1)</f>
        <v/>
      </c>
      <c r="AK281" s="9">
        <f>AA280/52+AB280*M281+AC280*N281+AD280*O281+AE280*P281+AF280*Q281+AG280*R281+AH280*S281+AI280*T281</f>
        <v/>
      </c>
      <c r="AL281" s="9">
        <f>AVERAGE(L21:L280)</f>
        <v/>
      </c>
    </row>
    <row r="282">
      <c r="A282" s="7" t="n">
        <v>39577</v>
      </c>
      <c r="B282" s="8" t="n">
        <v>876</v>
      </c>
      <c r="C282" s="8" t="n">
        <v>2.38</v>
      </c>
      <c r="D282" s="8" t="n">
        <v>1.39</v>
      </c>
      <c r="E282" s="8" t="n">
        <v>73.050003</v>
      </c>
      <c r="F282" s="8" t="n">
        <v>125.94</v>
      </c>
      <c r="G282" s="8" t="n">
        <v>19.41</v>
      </c>
      <c r="H282" s="8" t="n">
        <v>121.099998</v>
      </c>
      <c r="I282" s="8" t="n">
        <v>1388.280029</v>
      </c>
      <c r="J282" s="8" t="n">
        <v>60.116333</v>
      </c>
      <c r="L282" s="9">
        <f>LN(B282/B281)</f>
        <v/>
      </c>
      <c r="M282" s="9">
        <f>$M$1*(C282-C281)</f>
        <v/>
      </c>
      <c r="N282" s="9">
        <f>$N$1*(D282-D281)</f>
        <v/>
      </c>
      <c r="O282" s="9">
        <f>$O$1*LN(E282/E281)</f>
        <v/>
      </c>
      <c r="P282" s="9">
        <f>$P$1*LN(F282/F281)</f>
        <v/>
      </c>
      <c r="Q282" s="9">
        <f>$Q$1*(G282-G281)</f>
        <v/>
      </c>
      <c r="R282" s="9">
        <f>$R$1*(H282-H281)</f>
        <v/>
      </c>
      <c r="S282" s="9">
        <f>$S$1*LN(I282/I281)</f>
        <v/>
      </c>
      <c r="T282" s="9">
        <f>$T$1*LN(J282/J281)</f>
        <v/>
      </c>
      <c r="U282" s="9">
        <f>$W$12+$W$4*M282+$W$5*N282+$W$6*O282+$W$7*P282+$W$8*Q282+$W$9*R282+$W$10*S282+$W$11*T282</f>
        <v/>
      </c>
      <c r="AA282" s="10">
        <f>INDEX(LINEST(L23:L282,M23:T282,TRUE,TRUE),1,9)*52</f>
        <v/>
      </c>
      <c r="AB282" s="9">
        <f>INDEX(LINEST(L23:L282,M23:T282,TRUE,TRUE),1,8)</f>
        <v/>
      </c>
      <c r="AC282" s="9">
        <f>INDEX(LINEST(L23:L282,M23:T282,TRUE,TRUE),1,7)</f>
        <v/>
      </c>
      <c r="AD282" s="9">
        <f>INDEX(LINEST(L23:L282,M23:T282,TRUE,TRUE),1,6)</f>
        <v/>
      </c>
      <c r="AE282" s="9">
        <f>INDEX(LINEST(L23:L282,M23:T282,TRUE,TRUE),1,5)</f>
        <v/>
      </c>
      <c r="AF282" s="9">
        <f>INDEX(LINEST(L23:L282,M23:T282,TRUE,TRUE),1,4)</f>
        <v/>
      </c>
      <c r="AG282" s="9">
        <f>INDEX(LINEST(L23:L282,M23:T282,TRUE,TRUE),1,3)</f>
        <v/>
      </c>
      <c r="AH282" s="9">
        <f>INDEX(LINEST(L23:L282,M23:T282,TRUE,TRUE),1,2)</f>
        <v/>
      </c>
      <c r="AI282" s="9">
        <f>INDEX(LINEST(L23:L282,M23:T282,TRUE,TRUE),1,1)</f>
        <v/>
      </c>
      <c r="AJ282" s="10">
        <f>INDEX(LINEST(L23:L282,M23:T282,TRUE,TRUE),3,1)</f>
        <v/>
      </c>
      <c r="AK282" s="9">
        <f>AA281/52+AB281*M282+AC281*N282+AD281*O282+AE281*P282+AF281*Q282+AG281*R282+AH281*S282+AI281*T282</f>
        <v/>
      </c>
      <c r="AL282" s="9">
        <f>AVERAGE(L22:L281)</f>
        <v/>
      </c>
    </row>
    <row r="283">
      <c r="A283" s="7" t="n">
        <v>39584</v>
      </c>
      <c r="B283" s="8" t="n">
        <v>897</v>
      </c>
      <c r="C283" s="8" t="n">
        <v>2.44</v>
      </c>
      <c r="D283" s="8" t="n">
        <v>1.41</v>
      </c>
      <c r="E283" s="8" t="n">
        <v>72.839996</v>
      </c>
      <c r="F283" s="8" t="n">
        <v>126.5</v>
      </c>
      <c r="G283" s="8" t="n">
        <v>16.47</v>
      </c>
      <c r="H283" s="8" t="n">
        <v>122.5</v>
      </c>
      <c r="I283" s="8" t="n">
        <v>1425.349976</v>
      </c>
      <c r="J283" s="8" t="n">
        <v>59.928123</v>
      </c>
      <c r="L283" s="9">
        <f>LN(B283/B282)</f>
        <v/>
      </c>
      <c r="M283" s="9">
        <f>$M$1*(C283-C282)</f>
        <v/>
      </c>
      <c r="N283" s="9">
        <f>$N$1*(D283-D282)</f>
        <v/>
      </c>
      <c r="O283" s="9">
        <f>$O$1*LN(E283/E282)</f>
        <v/>
      </c>
      <c r="P283" s="9">
        <f>$P$1*LN(F283/F282)</f>
        <v/>
      </c>
      <c r="Q283" s="9">
        <f>$Q$1*(G283-G282)</f>
        <v/>
      </c>
      <c r="R283" s="9">
        <f>$R$1*(H283-H282)</f>
        <v/>
      </c>
      <c r="S283" s="9">
        <f>$S$1*LN(I283/I282)</f>
        <v/>
      </c>
      <c r="T283" s="9">
        <f>$T$1*LN(J283/J282)</f>
        <v/>
      </c>
      <c r="U283" s="9">
        <f>$W$12+$W$4*M283+$W$5*N283+$W$6*O283+$W$7*P283+$W$8*Q283+$W$9*R283+$W$10*S283+$W$11*T283</f>
        <v/>
      </c>
      <c r="AA283" s="10">
        <f>INDEX(LINEST(L24:L283,M24:T283,TRUE,TRUE),1,9)*52</f>
        <v/>
      </c>
      <c r="AB283" s="9">
        <f>INDEX(LINEST(L24:L283,M24:T283,TRUE,TRUE),1,8)</f>
        <v/>
      </c>
      <c r="AC283" s="9">
        <f>INDEX(LINEST(L24:L283,M24:T283,TRUE,TRUE),1,7)</f>
        <v/>
      </c>
      <c r="AD283" s="9">
        <f>INDEX(LINEST(L24:L283,M24:T283,TRUE,TRUE),1,6)</f>
        <v/>
      </c>
      <c r="AE283" s="9">
        <f>INDEX(LINEST(L24:L283,M24:T283,TRUE,TRUE),1,5)</f>
        <v/>
      </c>
      <c r="AF283" s="9">
        <f>INDEX(LINEST(L24:L283,M24:T283,TRUE,TRUE),1,4)</f>
        <v/>
      </c>
      <c r="AG283" s="9">
        <f>INDEX(LINEST(L24:L283,M24:T283,TRUE,TRUE),1,3)</f>
        <v/>
      </c>
      <c r="AH283" s="9">
        <f>INDEX(LINEST(L24:L283,M24:T283,TRUE,TRUE),1,2)</f>
        <v/>
      </c>
      <c r="AI283" s="9">
        <f>INDEX(LINEST(L24:L283,M24:T283,TRUE,TRUE),1,1)</f>
        <v/>
      </c>
      <c r="AJ283" s="10">
        <f>INDEX(LINEST(L24:L283,M24:T283,TRUE,TRUE),3,1)</f>
        <v/>
      </c>
      <c r="AK283" s="9">
        <f>AA282/52+AB282*M283+AC282*N283+AD282*O283+AE282*P283+AF282*Q283+AG282*R283+AH282*S283+AI282*T283</f>
        <v/>
      </c>
      <c r="AL283" s="9">
        <f>AVERAGE(L23:L282)</f>
        <v/>
      </c>
    </row>
    <row r="284">
      <c r="A284" s="7" t="n">
        <v>39591</v>
      </c>
      <c r="B284" s="8" t="n">
        <v>927.5</v>
      </c>
      <c r="C284" s="8" t="n">
        <v>2.49</v>
      </c>
      <c r="D284" s="8" t="n">
        <v>1.36</v>
      </c>
      <c r="E284" s="8" t="n">
        <v>71.889999</v>
      </c>
      <c r="F284" s="8" t="n">
        <v>131.58</v>
      </c>
      <c r="G284" s="8" t="n">
        <v>19.55</v>
      </c>
      <c r="H284" s="8" t="n">
        <v>120.400002</v>
      </c>
      <c r="I284" s="8" t="n">
        <v>1375.930054</v>
      </c>
      <c r="J284" s="8" t="n">
        <v>59.945778</v>
      </c>
      <c r="L284" s="9">
        <f>LN(B284/B283)</f>
        <v/>
      </c>
      <c r="M284" s="9">
        <f>$M$1*(C284-C283)</f>
        <v/>
      </c>
      <c r="N284" s="9">
        <f>$N$1*(D284-D283)</f>
        <v/>
      </c>
      <c r="O284" s="9">
        <f>$O$1*LN(E284/E283)</f>
        <v/>
      </c>
      <c r="P284" s="9">
        <f>$P$1*LN(F284/F283)</f>
        <v/>
      </c>
      <c r="Q284" s="9">
        <f>$Q$1*(G284-G283)</f>
        <v/>
      </c>
      <c r="R284" s="9">
        <f>$R$1*(H284-H283)</f>
        <v/>
      </c>
      <c r="S284" s="9">
        <f>$S$1*LN(I284/I283)</f>
        <v/>
      </c>
      <c r="T284" s="9">
        <f>$T$1*LN(J284/J283)</f>
        <v/>
      </c>
      <c r="U284" s="9">
        <f>$W$12+$W$4*M284+$W$5*N284+$W$6*O284+$W$7*P284+$W$8*Q284+$W$9*R284+$W$10*S284+$W$11*T284</f>
        <v/>
      </c>
      <c r="AA284" s="10">
        <f>INDEX(LINEST(L25:L284,M25:T284,TRUE,TRUE),1,9)*52</f>
        <v/>
      </c>
      <c r="AB284" s="9">
        <f>INDEX(LINEST(L25:L284,M25:T284,TRUE,TRUE),1,8)</f>
        <v/>
      </c>
      <c r="AC284" s="9">
        <f>INDEX(LINEST(L25:L284,M25:T284,TRUE,TRUE),1,7)</f>
        <v/>
      </c>
      <c r="AD284" s="9">
        <f>INDEX(LINEST(L25:L284,M25:T284,TRUE,TRUE),1,6)</f>
        <v/>
      </c>
      <c r="AE284" s="9">
        <f>INDEX(LINEST(L25:L284,M25:T284,TRUE,TRUE),1,5)</f>
        <v/>
      </c>
      <c r="AF284" s="9">
        <f>INDEX(LINEST(L25:L284,M25:T284,TRUE,TRUE),1,4)</f>
        <v/>
      </c>
      <c r="AG284" s="9">
        <f>INDEX(LINEST(L25:L284,M25:T284,TRUE,TRUE),1,3)</f>
        <v/>
      </c>
      <c r="AH284" s="9">
        <f>INDEX(LINEST(L25:L284,M25:T284,TRUE,TRUE),1,2)</f>
        <v/>
      </c>
      <c r="AI284" s="9">
        <f>INDEX(LINEST(L25:L284,M25:T284,TRUE,TRUE),1,1)</f>
        <v/>
      </c>
      <c r="AJ284" s="10">
        <f>INDEX(LINEST(L25:L284,M25:T284,TRUE,TRUE),3,1)</f>
        <v/>
      </c>
      <c r="AK284" s="9">
        <f>AA283/52+AB283*M284+AC283*N284+AD283*O284+AE283*P284+AF283*Q284+AG283*R284+AH283*S284+AI283*T284</f>
        <v/>
      </c>
      <c r="AL284" s="9">
        <f>AVERAGE(L24:L283)</f>
        <v/>
      </c>
    </row>
    <row r="285">
      <c r="A285" s="7" t="n">
        <v>39598</v>
      </c>
      <c r="B285" s="8" t="n">
        <v>885.75</v>
      </c>
      <c r="C285" s="8" t="n">
        <v>2.48</v>
      </c>
      <c r="D285" s="8" t="n">
        <v>1.58</v>
      </c>
      <c r="E285" s="8" t="n">
        <v>72.879997</v>
      </c>
      <c r="F285" s="8" t="n">
        <v>127.35</v>
      </c>
      <c r="G285" s="8" t="n">
        <v>17.83</v>
      </c>
      <c r="H285" s="8" t="n">
        <v>130.199997</v>
      </c>
      <c r="I285" s="8" t="n">
        <v>1400.380005</v>
      </c>
      <c r="J285" s="8" t="n">
        <v>59.381161</v>
      </c>
      <c r="L285" s="9">
        <f>LN(B285/B284)</f>
        <v/>
      </c>
      <c r="M285" s="9">
        <f>$M$1*(C285-C284)</f>
        <v/>
      </c>
      <c r="N285" s="9">
        <f>$N$1*(D285-D284)</f>
        <v/>
      </c>
      <c r="O285" s="9">
        <f>$O$1*LN(E285/E284)</f>
        <v/>
      </c>
      <c r="P285" s="9">
        <f>$P$1*LN(F285/F284)</f>
        <v/>
      </c>
      <c r="Q285" s="9">
        <f>$Q$1*(G285-G284)</f>
        <v/>
      </c>
      <c r="R285" s="9">
        <f>$R$1*(H285-H284)</f>
        <v/>
      </c>
      <c r="S285" s="9">
        <f>$S$1*LN(I285/I284)</f>
        <v/>
      </c>
      <c r="T285" s="9">
        <f>$T$1*LN(J285/J284)</f>
        <v/>
      </c>
      <c r="U285" s="9">
        <f>$W$12+$W$4*M285+$W$5*N285+$W$6*O285+$W$7*P285+$W$8*Q285+$W$9*R285+$W$10*S285+$W$11*T285</f>
        <v/>
      </c>
      <c r="AA285" s="10">
        <f>INDEX(LINEST(L26:L285,M26:T285,TRUE,TRUE),1,9)*52</f>
        <v/>
      </c>
      <c r="AB285" s="9">
        <f>INDEX(LINEST(L26:L285,M26:T285,TRUE,TRUE),1,8)</f>
        <v/>
      </c>
      <c r="AC285" s="9">
        <f>INDEX(LINEST(L26:L285,M26:T285,TRUE,TRUE),1,7)</f>
        <v/>
      </c>
      <c r="AD285" s="9">
        <f>INDEX(LINEST(L26:L285,M26:T285,TRUE,TRUE),1,6)</f>
        <v/>
      </c>
      <c r="AE285" s="9">
        <f>INDEX(LINEST(L26:L285,M26:T285,TRUE,TRUE),1,5)</f>
        <v/>
      </c>
      <c r="AF285" s="9">
        <f>INDEX(LINEST(L26:L285,M26:T285,TRUE,TRUE),1,4)</f>
        <v/>
      </c>
      <c r="AG285" s="9">
        <f>INDEX(LINEST(L26:L285,M26:T285,TRUE,TRUE),1,3)</f>
        <v/>
      </c>
      <c r="AH285" s="9">
        <f>INDEX(LINEST(L26:L285,M26:T285,TRUE,TRUE),1,2)</f>
        <v/>
      </c>
      <c r="AI285" s="9">
        <f>INDEX(LINEST(L26:L285,M26:T285,TRUE,TRUE),1,1)</f>
        <v/>
      </c>
      <c r="AJ285" s="10">
        <f>INDEX(LINEST(L26:L285,M26:T285,TRUE,TRUE),3,1)</f>
        <v/>
      </c>
      <c r="AK285" s="9">
        <f>AA284/52+AB284*M285+AC284*N285+AD284*O285+AE284*P285+AF284*Q285+AG284*R285+AH284*S285+AI284*T285</f>
        <v/>
      </c>
      <c r="AL285" s="9">
        <f>AVERAGE(L25:L284)</f>
        <v/>
      </c>
    </row>
    <row r="286">
      <c r="A286" s="7" t="n">
        <v>39605</v>
      </c>
      <c r="B286" s="8" t="n">
        <v>890.5</v>
      </c>
      <c r="C286" s="8" t="n">
        <v>2.47</v>
      </c>
      <c r="D286" s="8" t="n">
        <v>1.47</v>
      </c>
      <c r="E286" s="8" t="n">
        <v>72.389999</v>
      </c>
      <c r="F286" s="8" t="n">
        <v>138.51</v>
      </c>
      <c r="G286" s="8" t="n">
        <v>23.56</v>
      </c>
      <c r="H286" s="8" t="n">
        <v>139.600006</v>
      </c>
      <c r="I286" s="8" t="n">
        <v>1360.680054</v>
      </c>
      <c r="J286" s="8" t="n">
        <v>59.613808</v>
      </c>
      <c r="L286" s="9">
        <f>LN(B286/B285)</f>
        <v/>
      </c>
      <c r="M286" s="9">
        <f>$M$1*(C286-C285)</f>
        <v/>
      </c>
      <c r="N286" s="9">
        <f>$N$1*(D286-D285)</f>
        <v/>
      </c>
      <c r="O286" s="9">
        <f>$O$1*LN(E286/E285)</f>
        <v/>
      </c>
      <c r="P286" s="9">
        <f>$P$1*LN(F286/F285)</f>
        <v/>
      </c>
      <c r="Q286" s="9">
        <f>$Q$1*(G286-G285)</f>
        <v/>
      </c>
      <c r="R286" s="9">
        <f>$R$1*(H286-H285)</f>
        <v/>
      </c>
      <c r="S286" s="9">
        <f>$S$1*LN(I286/I285)</f>
        <v/>
      </c>
      <c r="T286" s="9">
        <f>$T$1*LN(J286/J285)</f>
        <v/>
      </c>
      <c r="U286" s="9">
        <f>$W$12+$W$4*M286+$W$5*N286+$W$6*O286+$W$7*P286+$W$8*Q286+$W$9*R286+$W$10*S286+$W$11*T286</f>
        <v/>
      </c>
      <c r="AA286" s="10">
        <f>INDEX(LINEST(L27:L286,M27:T286,TRUE,TRUE),1,9)*52</f>
        <v/>
      </c>
      <c r="AB286" s="9">
        <f>INDEX(LINEST(L27:L286,M27:T286,TRUE,TRUE),1,8)</f>
        <v/>
      </c>
      <c r="AC286" s="9">
        <f>INDEX(LINEST(L27:L286,M27:T286,TRUE,TRUE),1,7)</f>
        <v/>
      </c>
      <c r="AD286" s="9">
        <f>INDEX(LINEST(L27:L286,M27:T286,TRUE,TRUE),1,6)</f>
        <v/>
      </c>
      <c r="AE286" s="9">
        <f>INDEX(LINEST(L27:L286,M27:T286,TRUE,TRUE),1,5)</f>
        <v/>
      </c>
      <c r="AF286" s="9">
        <f>INDEX(LINEST(L27:L286,M27:T286,TRUE,TRUE),1,4)</f>
        <v/>
      </c>
      <c r="AG286" s="9">
        <f>INDEX(LINEST(L27:L286,M27:T286,TRUE,TRUE),1,3)</f>
        <v/>
      </c>
      <c r="AH286" s="9">
        <f>INDEX(LINEST(L27:L286,M27:T286,TRUE,TRUE),1,2)</f>
        <v/>
      </c>
      <c r="AI286" s="9">
        <f>INDEX(LINEST(L27:L286,M27:T286,TRUE,TRUE),1,1)</f>
        <v/>
      </c>
      <c r="AJ286" s="10">
        <f>INDEX(LINEST(L27:L286,M27:T286,TRUE,TRUE),3,1)</f>
        <v/>
      </c>
      <c r="AK286" s="9">
        <f>AA285/52+AB285*M286+AC285*N286+AD285*O286+AE285*P286+AF285*Q286+AG285*R286+AH285*S286+AI285*T286</f>
        <v/>
      </c>
      <c r="AL286" s="9">
        <f>AVERAGE(L26:L285)</f>
        <v/>
      </c>
    </row>
    <row r="287">
      <c r="A287" s="7" t="n">
        <v>39612</v>
      </c>
      <c r="B287" s="8" t="n">
        <v>866</v>
      </c>
      <c r="C287" s="8" t="n">
        <v>2.5</v>
      </c>
      <c r="D287" s="8" t="n">
        <v>1.77</v>
      </c>
      <c r="E287" s="8" t="n">
        <v>74.150002</v>
      </c>
      <c r="F287" s="8" t="n">
        <v>134.84</v>
      </c>
      <c r="G287" s="8" t="n">
        <v>21.22</v>
      </c>
      <c r="H287" s="8" t="n">
        <v>153.699997</v>
      </c>
      <c r="I287" s="8" t="n">
        <v>1360.030029</v>
      </c>
      <c r="J287" s="8" t="n">
        <v>58.563019</v>
      </c>
      <c r="L287" s="9">
        <f>LN(B287/B286)</f>
        <v/>
      </c>
      <c r="M287" s="9">
        <f>$M$1*(C287-C286)</f>
        <v/>
      </c>
      <c r="N287" s="9">
        <f>$N$1*(D287-D286)</f>
        <v/>
      </c>
      <c r="O287" s="9">
        <f>$O$1*LN(E287/E286)</f>
        <v/>
      </c>
      <c r="P287" s="9">
        <f>$P$1*LN(F287/F286)</f>
        <v/>
      </c>
      <c r="Q287" s="9">
        <f>$Q$1*(G287-G286)</f>
        <v/>
      </c>
      <c r="R287" s="9">
        <f>$R$1*(H287-H286)</f>
        <v/>
      </c>
      <c r="S287" s="9">
        <f>$S$1*LN(I287/I286)</f>
        <v/>
      </c>
      <c r="T287" s="9">
        <f>$T$1*LN(J287/J286)</f>
        <v/>
      </c>
      <c r="U287" s="9">
        <f>$W$12+$W$4*M287+$W$5*N287+$W$6*O287+$W$7*P287+$W$8*Q287+$W$9*R287+$W$10*S287+$W$11*T287</f>
        <v/>
      </c>
      <c r="AA287" s="10">
        <f>INDEX(LINEST(L28:L287,M28:T287,TRUE,TRUE),1,9)*52</f>
        <v/>
      </c>
      <c r="AB287" s="9">
        <f>INDEX(LINEST(L28:L287,M28:T287,TRUE,TRUE),1,8)</f>
        <v/>
      </c>
      <c r="AC287" s="9">
        <f>INDEX(LINEST(L28:L287,M28:T287,TRUE,TRUE),1,7)</f>
        <v/>
      </c>
      <c r="AD287" s="9">
        <f>INDEX(LINEST(L28:L287,M28:T287,TRUE,TRUE),1,6)</f>
        <v/>
      </c>
      <c r="AE287" s="9">
        <f>INDEX(LINEST(L28:L287,M28:T287,TRUE,TRUE),1,5)</f>
        <v/>
      </c>
      <c r="AF287" s="9">
        <f>INDEX(LINEST(L28:L287,M28:T287,TRUE,TRUE),1,4)</f>
        <v/>
      </c>
      <c r="AG287" s="9">
        <f>INDEX(LINEST(L28:L287,M28:T287,TRUE,TRUE),1,3)</f>
        <v/>
      </c>
      <c r="AH287" s="9">
        <f>INDEX(LINEST(L28:L287,M28:T287,TRUE,TRUE),1,2)</f>
        <v/>
      </c>
      <c r="AI287" s="9">
        <f>INDEX(LINEST(L28:L287,M28:T287,TRUE,TRUE),1,1)</f>
        <v/>
      </c>
      <c r="AJ287" s="10">
        <f>INDEX(LINEST(L28:L287,M28:T287,TRUE,TRUE),3,1)</f>
        <v/>
      </c>
      <c r="AK287" s="9">
        <f>AA286/52+AB286*M287+AC286*N287+AD286*O287+AE286*P287+AF286*Q287+AG286*R287+AH286*S287+AI286*T287</f>
        <v/>
      </c>
      <c r="AL287" s="9">
        <f>AVERAGE(L27:L286)</f>
        <v/>
      </c>
    </row>
    <row r="288">
      <c r="A288" s="7" t="n">
        <v>39619</v>
      </c>
      <c r="B288" s="8" t="n">
        <v>907.5</v>
      </c>
      <c r="C288" s="8" t="n">
        <v>2.44</v>
      </c>
      <c r="D288" s="8" t="n">
        <v>1.72</v>
      </c>
      <c r="E288" s="8" t="n">
        <v>73.029999</v>
      </c>
      <c r="F288" s="8" t="n">
        <v>134.78</v>
      </c>
      <c r="G288" s="8" t="n">
        <v>22.87</v>
      </c>
      <c r="H288" s="8" t="n">
        <v>137.800003</v>
      </c>
      <c r="I288" s="8" t="n">
        <v>1317.930054</v>
      </c>
      <c r="J288" s="8" t="n">
        <v>58.952629</v>
      </c>
      <c r="L288" s="9">
        <f>LN(B288/B287)</f>
        <v/>
      </c>
      <c r="M288" s="9">
        <f>$M$1*(C288-C287)</f>
        <v/>
      </c>
      <c r="N288" s="9">
        <f>$N$1*(D288-D287)</f>
        <v/>
      </c>
      <c r="O288" s="9">
        <f>$O$1*LN(E288/E287)</f>
        <v/>
      </c>
      <c r="P288" s="9">
        <f>$P$1*LN(F288/F287)</f>
        <v/>
      </c>
      <c r="Q288" s="9">
        <f>$Q$1*(G288-G287)</f>
        <v/>
      </c>
      <c r="R288" s="9">
        <f>$R$1*(H288-H287)</f>
        <v/>
      </c>
      <c r="S288" s="9">
        <f>$S$1*LN(I288/I287)</f>
        <v/>
      </c>
      <c r="T288" s="9">
        <f>$T$1*LN(J288/J287)</f>
        <v/>
      </c>
      <c r="U288" s="9">
        <f>$W$12+$W$4*M288+$W$5*N288+$W$6*O288+$W$7*P288+$W$8*Q288+$W$9*R288+$W$10*S288+$W$11*T288</f>
        <v/>
      </c>
      <c r="AA288" s="10">
        <f>INDEX(LINEST(L29:L288,M29:T288,TRUE,TRUE),1,9)*52</f>
        <v/>
      </c>
      <c r="AB288" s="9">
        <f>INDEX(LINEST(L29:L288,M29:T288,TRUE,TRUE),1,8)</f>
        <v/>
      </c>
      <c r="AC288" s="9">
        <f>INDEX(LINEST(L29:L288,M29:T288,TRUE,TRUE),1,7)</f>
        <v/>
      </c>
      <c r="AD288" s="9">
        <f>INDEX(LINEST(L29:L288,M29:T288,TRUE,TRUE),1,6)</f>
        <v/>
      </c>
      <c r="AE288" s="9">
        <f>INDEX(LINEST(L29:L288,M29:T288,TRUE,TRUE),1,5)</f>
        <v/>
      </c>
      <c r="AF288" s="9">
        <f>INDEX(LINEST(L29:L288,M29:T288,TRUE,TRUE),1,4)</f>
        <v/>
      </c>
      <c r="AG288" s="9">
        <f>INDEX(LINEST(L29:L288,M29:T288,TRUE,TRUE),1,3)</f>
        <v/>
      </c>
      <c r="AH288" s="9">
        <f>INDEX(LINEST(L29:L288,M29:T288,TRUE,TRUE),1,2)</f>
        <v/>
      </c>
      <c r="AI288" s="9">
        <f>INDEX(LINEST(L29:L288,M29:T288,TRUE,TRUE),1,1)</f>
        <v/>
      </c>
      <c r="AJ288" s="10">
        <f>INDEX(LINEST(L29:L288,M29:T288,TRUE,TRUE),3,1)</f>
        <v/>
      </c>
      <c r="AK288" s="9">
        <f>AA287/52+AB287*M288+AC287*N288+AD287*O288+AE287*P288+AF287*Q288+AG287*R288+AH287*S288+AI287*T288</f>
        <v/>
      </c>
      <c r="AL288" s="9">
        <f>AVERAGE(L28:L287)</f>
        <v/>
      </c>
    </row>
    <row r="289">
      <c r="A289" s="7" t="n">
        <v>39626</v>
      </c>
      <c r="B289" s="8" t="n">
        <v>919.5</v>
      </c>
      <c r="C289" s="8" t="n">
        <v>2.51</v>
      </c>
      <c r="D289" s="8" t="n">
        <v>1.48</v>
      </c>
      <c r="E289" s="8" t="n">
        <v>72.360001</v>
      </c>
      <c r="F289" s="8" t="n">
        <v>139.69</v>
      </c>
      <c r="G289" s="8" t="n">
        <v>23.44</v>
      </c>
      <c r="H289" s="8" t="n">
        <v>132.5</v>
      </c>
      <c r="I289" s="8" t="n">
        <v>1278.380005</v>
      </c>
      <c r="J289" s="8" t="n">
        <v>59.241882</v>
      </c>
      <c r="L289" s="9">
        <f>LN(B289/B288)</f>
        <v/>
      </c>
      <c r="M289" s="9">
        <f>$M$1*(C289-C288)</f>
        <v/>
      </c>
      <c r="N289" s="9">
        <f>$N$1*(D289-D288)</f>
        <v/>
      </c>
      <c r="O289" s="9">
        <f>$O$1*LN(E289/E288)</f>
        <v/>
      </c>
      <c r="P289" s="9">
        <f>$P$1*LN(F289/F288)</f>
        <v/>
      </c>
      <c r="Q289" s="9">
        <f>$Q$1*(G289-G288)</f>
        <v/>
      </c>
      <c r="R289" s="9">
        <f>$R$1*(H289-H288)</f>
        <v/>
      </c>
      <c r="S289" s="9">
        <f>$S$1*LN(I289/I288)</f>
        <v/>
      </c>
      <c r="T289" s="9">
        <f>$T$1*LN(J289/J288)</f>
        <v/>
      </c>
      <c r="U289" s="9">
        <f>$W$12+$W$4*M289+$W$5*N289+$W$6*O289+$W$7*P289+$W$8*Q289+$W$9*R289+$W$10*S289+$W$11*T289</f>
        <v/>
      </c>
      <c r="AA289" s="10">
        <f>INDEX(LINEST(L30:L289,M30:T289,TRUE,TRUE),1,9)*52</f>
        <v/>
      </c>
      <c r="AB289" s="9">
        <f>INDEX(LINEST(L30:L289,M30:T289,TRUE,TRUE),1,8)</f>
        <v/>
      </c>
      <c r="AC289" s="9">
        <f>INDEX(LINEST(L30:L289,M30:T289,TRUE,TRUE),1,7)</f>
        <v/>
      </c>
      <c r="AD289" s="9">
        <f>INDEX(LINEST(L30:L289,M30:T289,TRUE,TRUE),1,6)</f>
        <v/>
      </c>
      <c r="AE289" s="9">
        <f>INDEX(LINEST(L30:L289,M30:T289,TRUE,TRUE),1,5)</f>
        <v/>
      </c>
      <c r="AF289" s="9">
        <f>INDEX(LINEST(L30:L289,M30:T289,TRUE,TRUE),1,4)</f>
        <v/>
      </c>
      <c r="AG289" s="9">
        <f>INDEX(LINEST(L30:L289,M30:T289,TRUE,TRUE),1,3)</f>
        <v/>
      </c>
      <c r="AH289" s="9">
        <f>INDEX(LINEST(L30:L289,M30:T289,TRUE,TRUE),1,2)</f>
        <v/>
      </c>
      <c r="AI289" s="9">
        <f>INDEX(LINEST(L30:L289,M30:T289,TRUE,TRUE),1,1)</f>
        <v/>
      </c>
      <c r="AJ289" s="10">
        <f>INDEX(LINEST(L30:L289,M30:T289,TRUE,TRUE),3,1)</f>
        <v/>
      </c>
      <c r="AK289" s="9">
        <f>AA288/52+AB288*M289+AC288*N289+AD288*O289+AE288*P289+AF288*Q289+AG288*R289+AH288*S289+AI288*T289</f>
        <v/>
      </c>
      <c r="AL289" s="9">
        <f>AVERAGE(L29:L288)</f>
        <v/>
      </c>
    </row>
    <row r="290">
      <c r="A290" s="7" t="n">
        <v>39633</v>
      </c>
      <c r="B290" s="8" t="n">
        <v>931.25</v>
      </c>
      <c r="C290" s="8" t="n">
        <v>2.57</v>
      </c>
      <c r="D290" s="8" t="n">
        <v>1.42</v>
      </c>
      <c r="E290" s="8" t="n">
        <v>72.739998</v>
      </c>
      <c r="F290" s="8" t="n">
        <v>145.31</v>
      </c>
      <c r="G290" s="8" t="n">
        <v>24.79</v>
      </c>
      <c r="H290" s="8" t="n">
        <v>125.099998</v>
      </c>
      <c r="I290" s="8" t="n">
        <v>1262.900024</v>
      </c>
      <c r="J290" s="8" t="n">
        <v>59.013088</v>
      </c>
      <c r="L290" s="9">
        <f>LN(B290/B289)</f>
        <v/>
      </c>
      <c r="M290" s="9">
        <f>$M$1*(C290-C289)</f>
        <v/>
      </c>
      <c r="N290" s="9">
        <f>$N$1*(D290-D289)</f>
        <v/>
      </c>
      <c r="O290" s="9">
        <f>$O$1*LN(E290/E289)</f>
        <v/>
      </c>
      <c r="P290" s="9">
        <f>$P$1*LN(F290/F289)</f>
        <v/>
      </c>
      <c r="Q290" s="9">
        <f>$Q$1*(G290-G289)</f>
        <v/>
      </c>
      <c r="R290" s="9">
        <f>$R$1*(H290-H289)</f>
        <v/>
      </c>
      <c r="S290" s="9">
        <f>$S$1*LN(I290/I289)</f>
        <v/>
      </c>
      <c r="T290" s="9">
        <f>$T$1*LN(J290/J289)</f>
        <v/>
      </c>
      <c r="U290" s="9">
        <f>$W$12+$W$4*M290+$W$5*N290+$W$6*O290+$W$7*P290+$W$8*Q290+$W$9*R290+$W$10*S290+$W$11*T290</f>
        <v/>
      </c>
      <c r="AA290" s="10">
        <f>INDEX(LINEST(L31:L290,M31:T290,TRUE,TRUE),1,9)*52</f>
        <v/>
      </c>
      <c r="AB290" s="9">
        <f>INDEX(LINEST(L31:L290,M31:T290,TRUE,TRUE),1,8)</f>
        <v/>
      </c>
      <c r="AC290" s="9">
        <f>INDEX(LINEST(L31:L290,M31:T290,TRUE,TRUE),1,7)</f>
        <v/>
      </c>
      <c r="AD290" s="9">
        <f>INDEX(LINEST(L31:L290,M31:T290,TRUE,TRUE),1,6)</f>
        <v/>
      </c>
      <c r="AE290" s="9">
        <f>INDEX(LINEST(L31:L290,M31:T290,TRUE,TRUE),1,5)</f>
        <v/>
      </c>
      <c r="AF290" s="9">
        <f>INDEX(LINEST(L31:L290,M31:T290,TRUE,TRUE),1,4)</f>
        <v/>
      </c>
      <c r="AG290" s="9">
        <f>INDEX(LINEST(L31:L290,M31:T290,TRUE,TRUE),1,3)</f>
        <v/>
      </c>
      <c r="AH290" s="9">
        <f>INDEX(LINEST(L31:L290,M31:T290,TRUE,TRUE),1,2)</f>
        <v/>
      </c>
      <c r="AI290" s="9">
        <f>INDEX(LINEST(L31:L290,M31:T290,TRUE,TRUE),1,1)</f>
        <v/>
      </c>
      <c r="AJ290" s="10">
        <f>INDEX(LINEST(L31:L290,M31:T290,TRUE,TRUE),3,1)</f>
        <v/>
      </c>
      <c r="AK290" s="9">
        <f>AA289/52+AB289*M290+AC289*N290+AD289*O290+AE289*P290+AF289*Q290+AG289*R290+AH289*S290+AI289*T290</f>
        <v/>
      </c>
      <c r="AL290" s="9">
        <f>AVERAGE(L30:L289)</f>
        <v/>
      </c>
    </row>
    <row r="291">
      <c r="A291" s="7" t="n">
        <v>39640</v>
      </c>
      <c r="B291" s="8" t="n">
        <v>962.75</v>
      </c>
      <c r="C291" s="8" t="n">
        <v>2.48</v>
      </c>
      <c r="D291" s="8" t="n">
        <v>1.48</v>
      </c>
      <c r="E291" s="8" t="n">
        <v>72.099998</v>
      </c>
      <c r="F291" s="8" t="n">
        <v>144.96</v>
      </c>
      <c r="G291" s="8" t="n">
        <v>27.49</v>
      </c>
      <c r="H291" s="8" t="n">
        <v>129.199997</v>
      </c>
      <c r="I291" s="8" t="n">
        <v>1239.48999</v>
      </c>
      <c r="J291" s="8" t="n">
        <v>59.398319</v>
      </c>
      <c r="L291" s="9">
        <f>LN(B291/B290)</f>
        <v/>
      </c>
      <c r="M291" s="9">
        <f>$M$1*(C291-C290)</f>
        <v/>
      </c>
      <c r="N291" s="9">
        <f>$N$1*(D291-D290)</f>
        <v/>
      </c>
      <c r="O291" s="9">
        <f>$O$1*LN(E291/E290)</f>
        <v/>
      </c>
      <c r="P291" s="9">
        <f>$P$1*LN(F291/F290)</f>
        <v/>
      </c>
      <c r="Q291" s="9">
        <f>$Q$1*(G291-G290)</f>
        <v/>
      </c>
      <c r="R291" s="9">
        <f>$R$1*(H291-H290)</f>
        <v/>
      </c>
      <c r="S291" s="9">
        <f>$S$1*LN(I291/I290)</f>
        <v/>
      </c>
      <c r="T291" s="9">
        <f>$T$1*LN(J291/J290)</f>
        <v/>
      </c>
      <c r="U291" s="9">
        <f>$W$12+$W$4*M291+$W$5*N291+$W$6*O291+$W$7*P291+$W$8*Q291+$W$9*R291+$W$10*S291+$W$11*T291</f>
        <v/>
      </c>
      <c r="AA291" s="10">
        <f>INDEX(LINEST(L32:L291,M32:T291,TRUE,TRUE),1,9)*52</f>
        <v/>
      </c>
      <c r="AB291" s="9">
        <f>INDEX(LINEST(L32:L291,M32:T291,TRUE,TRUE),1,8)</f>
        <v/>
      </c>
      <c r="AC291" s="9">
        <f>INDEX(LINEST(L32:L291,M32:T291,TRUE,TRUE),1,7)</f>
        <v/>
      </c>
      <c r="AD291" s="9">
        <f>INDEX(LINEST(L32:L291,M32:T291,TRUE,TRUE),1,6)</f>
        <v/>
      </c>
      <c r="AE291" s="9">
        <f>INDEX(LINEST(L32:L291,M32:T291,TRUE,TRUE),1,5)</f>
        <v/>
      </c>
      <c r="AF291" s="9">
        <f>INDEX(LINEST(L32:L291,M32:T291,TRUE,TRUE),1,4)</f>
        <v/>
      </c>
      <c r="AG291" s="9">
        <f>INDEX(LINEST(L32:L291,M32:T291,TRUE,TRUE),1,3)</f>
        <v/>
      </c>
      <c r="AH291" s="9">
        <f>INDEX(LINEST(L32:L291,M32:T291,TRUE,TRUE),1,2)</f>
        <v/>
      </c>
      <c r="AI291" s="9">
        <f>INDEX(LINEST(L32:L291,M32:T291,TRUE,TRUE),1,1)</f>
        <v/>
      </c>
      <c r="AJ291" s="10">
        <f>INDEX(LINEST(L32:L291,M32:T291,TRUE,TRUE),3,1)</f>
        <v/>
      </c>
      <c r="AK291" s="9">
        <f>AA290/52+AB290*M291+AC290*N291+AD290*O291+AE290*P291+AF290*Q291+AG290*R291+AH290*S291+AI290*T291</f>
        <v/>
      </c>
      <c r="AL291" s="9">
        <f>AVERAGE(L31:L290)</f>
        <v/>
      </c>
    </row>
    <row r="292">
      <c r="A292" s="7" t="n">
        <v>39647</v>
      </c>
      <c r="B292" s="8" t="n">
        <v>959.75</v>
      </c>
      <c r="C292" s="8" t="n">
        <v>2.46</v>
      </c>
      <c r="D292" s="8" t="n">
        <v>1.65</v>
      </c>
      <c r="E292" s="8" t="n">
        <v>72.19000200000001</v>
      </c>
      <c r="F292" s="8" t="n">
        <v>128.94</v>
      </c>
      <c r="G292" s="8" t="n">
        <v>24.05</v>
      </c>
      <c r="H292" s="8" t="n">
        <v>131</v>
      </c>
      <c r="I292" s="8" t="n">
        <v>1260.680054</v>
      </c>
      <c r="J292" s="8" t="n">
        <v>58.657478</v>
      </c>
      <c r="L292" s="9">
        <f>LN(B292/B291)</f>
        <v/>
      </c>
      <c r="M292" s="9">
        <f>$M$1*(C292-C291)</f>
        <v/>
      </c>
      <c r="N292" s="9">
        <f>$N$1*(D292-D291)</f>
        <v/>
      </c>
      <c r="O292" s="9">
        <f>$O$1*LN(E292/E291)</f>
        <v/>
      </c>
      <c r="P292" s="9">
        <f>$P$1*LN(F292/F291)</f>
        <v/>
      </c>
      <c r="Q292" s="9">
        <f>$Q$1*(G292-G291)</f>
        <v/>
      </c>
      <c r="R292" s="9">
        <f>$R$1*(H292-H291)</f>
        <v/>
      </c>
      <c r="S292" s="9">
        <f>$S$1*LN(I292/I291)</f>
        <v/>
      </c>
      <c r="T292" s="9">
        <f>$T$1*LN(J292/J291)</f>
        <v/>
      </c>
      <c r="U292" s="9">
        <f>$W$12+$W$4*M292+$W$5*N292+$W$6*O292+$W$7*P292+$W$8*Q292+$W$9*R292+$W$10*S292+$W$11*T292</f>
        <v/>
      </c>
      <c r="AA292" s="10">
        <f>INDEX(LINEST(L33:L292,M33:T292,TRUE,TRUE),1,9)*52</f>
        <v/>
      </c>
      <c r="AB292" s="9">
        <f>INDEX(LINEST(L33:L292,M33:T292,TRUE,TRUE),1,8)</f>
        <v/>
      </c>
      <c r="AC292" s="9">
        <f>INDEX(LINEST(L33:L292,M33:T292,TRUE,TRUE),1,7)</f>
        <v/>
      </c>
      <c r="AD292" s="9">
        <f>INDEX(LINEST(L33:L292,M33:T292,TRUE,TRUE),1,6)</f>
        <v/>
      </c>
      <c r="AE292" s="9">
        <f>INDEX(LINEST(L33:L292,M33:T292,TRUE,TRUE),1,5)</f>
        <v/>
      </c>
      <c r="AF292" s="9">
        <f>INDEX(LINEST(L33:L292,M33:T292,TRUE,TRUE),1,4)</f>
        <v/>
      </c>
      <c r="AG292" s="9">
        <f>INDEX(LINEST(L33:L292,M33:T292,TRUE,TRUE),1,3)</f>
        <v/>
      </c>
      <c r="AH292" s="9">
        <f>INDEX(LINEST(L33:L292,M33:T292,TRUE,TRUE),1,2)</f>
        <v/>
      </c>
      <c r="AI292" s="9">
        <f>INDEX(LINEST(L33:L292,M33:T292,TRUE,TRUE),1,1)</f>
        <v/>
      </c>
      <c r="AJ292" s="10">
        <f>INDEX(LINEST(L33:L292,M33:T292,TRUE,TRUE),3,1)</f>
        <v/>
      </c>
      <c r="AK292" s="9">
        <f>AA291/52+AB291*M292+AC291*N292+AD291*O292+AE291*P292+AF291*Q292+AG291*R292+AH291*S292+AI291*T292</f>
        <v/>
      </c>
      <c r="AL292" s="9">
        <f>AVERAGE(L32:L291)</f>
        <v/>
      </c>
    </row>
    <row r="293">
      <c r="A293" s="7" t="n">
        <v>39654</v>
      </c>
      <c r="B293" s="8" t="n">
        <v>920.5</v>
      </c>
      <c r="C293" s="8" t="n">
        <v>2.34</v>
      </c>
      <c r="D293" s="8" t="n">
        <v>1.79</v>
      </c>
      <c r="E293" s="8" t="n">
        <v>72.860001</v>
      </c>
      <c r="F293" s="8" t="n">
        <v>122.59</v>
      </c>
      <c r="G293" s="8" t="n">
        <v>22.91</v>
      </c>
      <c r="H293" s="8" t="n">
        <v>123.400002</v>
      </c>
      <c r="I293" s="8" t="n">
        <v>1257.76001</v>
      </c>
      <c r="J293" s="8" t="n">
        <v>58.941963</v>
      </c>
      <c r="L293" s="9">
        <f>LN(B293/B292)</f>
        <v/>
      </c>
      <c r="M293" s="9">
        <f>$M$1*(C293-C292)</f>
        <v/>
      </c>
      <c r="N293" s="9">
        <f>$N$1*(D293-D292)</f>
        <v/>
      </c>
      <c r="O293" s="9">
        <f>$O$1*LN(E293/E292)</f>
        <v/>
      </c>
      <c r="P293" s="9">
        <f>$P$1*LN(F293/F292)</f>
        <v/>
      </c>
      <c r="Q293" s="9">
        <f>$Q$1*(G293-G292)</f>
        <v/>
      </c>
      <c r="R293" s="9">
        <f>$R$1*(H293-H292)</f>
        <v/>
      </c>
      <c r="S293" s="9">
        <f>$S$1*LN(I293/I292)</f>
        <v/>
      </c>
      <c r="T293" s="9">
        <f>$T$1*LN(J293/J292)</f>
        <v/>
      </c>
      <c r="U293" s="9">
        <f>$W$12+$W$4*M293+$W$5*N293+$W$6*O293+$W$7*P293+$W$8*Q293+$W$9*R293+$W$10*S293+$W$11*T293</f>
        <v/>
      </c>
      <c r="AA293" s="10">
        <f>INDEX(LINEST(L34:L293,M34:T293,TRUE,TRUE),1,9)*52</f>
        <v/>
      </c>
      <c r="AB293" s="9">
        <f>INDEX(LINEST(L34:L293,M34:T293,TRUE,TRUE),1,8)</f>
        <v/>
      </c>
      <c r="AC293" s="9">
        <f>INDEX(LINEST(L34:L293,M34:T293,TRUE,TRUE),1,7)</f>
        <v/>
      </c>
      <c r="AD293" s="9">
        <f>INDEX(LINEST(L34:L293,M34:T293,TRUE,TRUE),1,6)</f>
        <v/>
      </c>
      <c r="AE293" s="9">
        <f>INDEX(LINEST(L34:L293,M34:T293,TRUE,TRUE),1,5)</f>
        <v/>
      </c>
      <c r="AF293" s="9">
        <f>INDEX(LINEST(L34:L293,M34:T293,TRUE,TRUE),1,4)</f>
        <v/>
      </c>
      <c r="AG293" s="9">
        <f>INDEX(LINEST(L34:L293,M34:T293,TRUE,TRUE),1,3)</f>
        <v/>
      </c>
      <c r="AH293" s="9">
        <f>INDEX(LINEST(L34:L293,M34:T293,TRUE,TRUE),1,2)</f>
        <v/>
      </c>
      <c r="AI293" s="9">
        <f>INDEX(LINEST(L34:L293,M34:T293,TRUE,TRUE),1,1)</f>
        <v/>
      </c>
      <c r="AJ293" s="10">
        <f>INDEX(LINEST(L34:L293,M34:T293,TRUE,TRUE),3,1)</f>
        <v/>
      </c>
      <c r="AK293" s="9">
        <f>AA292/52+AB292*M293+AC292*N293+AD292*O293+AE292*P293+AF292*Q293+AG292*R293+AH292*S293+AI292*T293</f>
        <v/>
      </c>
      <c r="AL293" s="9">
        <f>AVERAGE(L33:L292)</f>
        <v/>
      </c>
    </row>
    <row r="294">
      <c r="A294" s="7" t="n">
        <v>39661</v>
      </c>
      <c r="B294" s="8" t="n">
        <v>912.5</v>
      </c>
      <c r="C294" s="8" t="n">
        <v>2.34</v>
      </c>
      <c r="D294" s="8" t="n">
        <v>1.63</v>
      </c>
      <c r="E294" s="8" t="n">
        <v>73.41999800000001</v>
      </c>
      <c r="F294" s="8" t="n">
        <v>125.03</v>
      </c>
      <c r="G294" s="8" t="n">
        <v>22.57</v>
      </c>
      <c r="H294" s="8" t="n">
        <v>118.300003</v>
      </c>
      <c r="I294" s="8" t="n">
        <v>1260.310059</v>
      </c>
      <c r="J294" s="8" t="n">
        <v>59.434731</v>
      </c>
      <c r="L294" s="9">
        <f>LN(B294/B293)</f>
        <v/>
      </c>
      <c r="M294" s="9">
        <f>$M$1*(C294-C293)</f>
        <v/>
      </c>
      <c r="N294" s="9">
        <f>$N$1*(D294-D293)</f>
        <v/>
      </c>
      <c r="O294" s="9">
        <f>$O$1*LN(E294/E293)</f>
        <v/>
      </c>
      <c r="P294" s="9">
        <f>$P$1*LN(F294/F293)</f>
        <v/>
      </c>
      <c r="Q294" s="9">
        <f>$Q$1*(G294-G293)</f>
        <v/>
      </c>
      <c r="R294" s="9">
        <f>$R$1*(H294-H293)</f>
        <v/>
      </c>
      <c r="S294" s="9">
        <f>$S$1*LN(I294/I293)</f>
        <v/>
      </c>
      <c r="T294" s="9">
        <f>$T$1*LN(J294/J293)</f>
        <v/>
      </c>
      <c r="U294" s="9">
        <f>$W$12+$W$4*M294+$W$5*N294+$W$6*O294+$W$7*P294+$W$8*Q294+$W$9*R294+$W$10*S294+$W$11*T294</f>
        <v/>
      </c>
      <c r="AA294" s="10">
        <f>INDEX(LINEST(L35:L294,M35:T294,TRUE,TRUE),1,9)*52</f>
        <v/>
      </c>
      <c r="AB294" s="9">
        <f>INDEX(LINEST(L35:L294,M35:T294,TRUE,TRUE),1,8)</f>
        <v/>
      </c>
      <c r="AC294" s="9">
        <f>INDEX(LINEST(L35:L294,M35:T294,TRUE,TRUE),1,7)</f>
        <v/>
      </c>
      <c r="AD294" s="9">
        <f>INDEX(LINEST(L35:L294,M35:T294,TRUE,TRUE),1,6)</f>
        <v/>
      </c>
      <c r="AE294" s="9">
        <f>INDEX(LINEST(L35:L294,M35:T294,TRUE,TRUE),1,5)</f>
        <v/>
      </c>
      <c r="AF294" s="9">
        <f>INDEX(LINEST(L35:L294,M35:T294,TRUE,TRUE),1,4)</f>
        <v/>
      </c>
      <c r="AG294" s="9">
        <f>INDEX(LINEST(L35:L294,M35:T294,TRUE,TRUE),1,3)</f>
        <v/>
      </c>
      <c r="AH294" s="9">
        <f>INDEX(LINEST(L35:L294,M35:T294,TRUE,TRUE),1,2)</f>
        <v/>
      </c>
      <c r="AI294" s="9">
        <f>INDEX(LINEST(L35:L294,M35:T294,TRUE,TRUE),1,1)</f>
        <v/>
      </c>
      <c r="AJ294" s="10">
        <f>INDEX(LINEST(L35:L294,M35:T294,TRUE,TRUE),3,1)</f>
        <v/>
      </c>
      <c r="AK294" s="9">
        <f>AA293/52+AB293*M294+AC293*N294+AD293*O294+AE293*P294+AF293*Q294+AG293*R294+AH293*S294+AI293*T294</f>
        <v/>
      </c>
      <c r="AL294" s="9">
        <f>AVERAGE(L34:L293)</f>
        <v/>
      </c>
    </row>
    <row r="295">
      <c r="A295" s="7" t="n">
        <v>39668</v>
      </c>
      <c r="B295" s="8" t="n">
        <v>852.5</v>
      </c>
      <c r="C295" s="8" t="n">
        <v>2.22</v>
      </c>
      <c r="D295" s="8" t="n">
        <v>1.72</v>
      </c>
      <c r="E295" s="8" t="n">
        <v>75.849998</v>
      </c>
      <c r="F295" s="8" t="n">
        <v>115.42</v>
      </c>
      <c r="G295" s="8" t="n">
        <v>20.66</v>
      </c>
      <c r="H295" s="8" t="n">
        <v>109.099998</v>
      </c>
      <c r="I295" s="8" t="n">
        <v>1296.319946</v>
      </c>
      <c r="J295" s="8" t="n">
        <v>59.31567</v>
      </c>
      <c r="L295" s="9">
        <f>LN(B295/B294)</f>
        <v/>
      </c>
      <c r="M295" s="9">
        <f>$M$1*(C295-C294)</f>
        <v/>
      </c>
      <c r="N295" s="9">
        <f>$N$1*(D295-D294)</f>
        <v/>
      </c>
      <c r="O295" s="9">
        <f>$O$1*LN(E295/E294)</f>
        <v/>
      </c>
      <c r="P295" s="9">
        <f>$P$1*LN(F295/F294)</f>
        <v/>
      </c>
      <c r="Q295" s="9">
        <f>$Q$1*(G295-G294)</f>
        <v/>
      </c>
      <c r="R295" s="9">
        <f>$R$1*(H295-H294)</f>
        <v/>
      </c>
      <c r="S295" s="9">
        <f>$S$1*LN(I295/I294)</f>
        <v/>
      </c>
      <c r="T295" s="9">
        <f>$T$1*LN(J295/J294)</f>
        <v/>
      </c>
      <c r="U295" s="9">
        <f>$W$12+$W$4*M295+$W$5*N295+$W$6*O295+$W$7*P295+$W$8*Q295+$W$9*R295+$W$10*S295+$W$11*T295</f>
        <v/>
      </c>
      <c r="AA295" s="10">
        <f>INDEX(LINEST(L36:L295,M36:T295,TRUE,TRUE),1,9)*52</f>
        <v/>
      </c>
      <c r="AB295" s="9">
        <f>INDEX(LINEST(L36:L295,M36:T295,TRUE,TRUE),1,8)</f>
        <v/>
      </c>
      <c r="AC295" s="9">
        <f>INDEX(LINEST(L36:L295,M36:T295,TRUE,TRUE),1,7)</f>
        <v/>
      </c>
      <c r="AD295" s="9">
        <f>INDEX(LINEST(L36:L295,M36:T295,TRUE,TRUE),1,6)</f>
        <v/>
      </c>
      <c r="AE295" s="9">
        <f>INDEX(LINEST(L36:L295,M36:T295,TRUE,TRUE),1,5)</f>
        <v/>
      </c>
      <c r="AF295" s="9">
        <f>INDEX(LINEST(L36:L295,M36:T295,TRUE,TRUE),1,4)</f>
        <v/>
      </c>
      <c r="AG295" s="9">
        <f>INDEX(LINEST(L36:L295,M36:T295,TRUE,TRUE),1,3)</f>
        <v/>
      </c>
      <c r="AH295" s="9">
        <f>INDEX(LINEST(L36:L295,M36:T295,TRUE,TRUE),1,2)</f>
        <v/>
      </c>
      <c r="AI295" s="9">
        <f>INDEX(LINEST(L36:L295,M36:T295,TRUE,TRUE),1,1)</f>
        <v/>
      </c>
      <c r="AJ295" s="10">
        <f>INDEX(LINEST(L36:L295,M36:T295,TRUE,TRUE),3,1)</f>
        <v/>
      </c>
      <c r="AK295" s="9">
        <f>AA294/52+AB294*M295+AC294*N295+AD294*O295+AE294*P295+AF294*Q295+AG294*R295+AH294*S295+AI294*T295</f>
        <v/>
      </c>
      <c r="AL295" s="9">
        <f>AVERAGE(L35:L294)</f>
        <v/>
      </c>
    </row>
    <row r="296">
      <c r="A296" s="7" t="n">
        <v>39675</v>
      </c>
      <c r="B296" s="8" t="n">
        <v>786.5</v>
      </c>
      <c r="C296" s="8" t="n">
        <v>2.18</v>
      </c>
      <c r="D296" s="8" t="n">
        <v>1.66</v>
      </c>
      <c r="E296" s="8" t="n">
        <v>77.18000000000001</v>
      </c>
      <c r="F296" s="8" t="n">
        <v>113.46</v>
      </c>
      <c r="G296" s="8" t="n">
        <v>19.58</v>
      </c>
      <c r="H296" s="8" t="n">
        <v>112.099998</v>
      </c>
      <c r="I296" s="8" t="n">
        <v>1298.199951</v>
      </c>
      <c r="J296" s="8" t="n">
        <v>59.6311</v>
      </c>
      <c r="L296" s="9">
        <f>LN(B296/B295)</f>
        <v/>
      </c>
      <c r="M296" s="9">
        <f>$M$1*(C296-C295)</f>
        <v/>
      </c>
      <c r="N296" s="9">
        <f>$N$1*(D296-D295)</f>
        <v/>
      </c>
      <c r="O296" s="9">
        <f>$O$1*LN(E296/E295)</f>
        <v/>
      </c>
      <c r="P296" s="9">
        <f>$P$1*LN(F296/F295)</f>
        <v/>
      </c>
      <c r="Q296" s="9">
        <f>$Q$1*(G296-G295)</f>
        <v/>
      </c>
      <c r="R296" s="9">
        <f>$R$1*(H296-H295)</f>
        <v/>
      </c>
      <c r="S296" s="9">
        <f>$S$1*LN(I296/I295)</f>
        <v/>
      </c>
      <c r="T296" s="9">
        <f>$T$1*LN(J296/J295)</f>
        <v/>
      </c>
      <c r="U296" s="9">
        <f>$W$12+$W$4*M296+$W$5*N296+$W$6*O296+$W$7*P296+$W$8*Q296+$W$9*R296+$W$10*S296+$W$11*T296</f>
        <v/>
      </c>
      <c r="AA296" s="10">
        <f>INDEX(LINEST(L37:L296,M37:T296,TRUE,TRUE),1,9)*52</f>
        <v/>
      </c>
      <c r="AB296" s="9">
        <f>INDEX(LINEST(L37:L296,M37:T296,TRUE,TRUE),1,8)</f>
        <v/>
      </c>
      <c r="AC296" s="9">
        <f>INDEX(LINEST(L37:L296,M37:T296,TRUE,TRUE),1,7)</f>
        <v/>
      </c>
      <c r="AD296" s="9">
        <f>INDEX(LINEST(L37:L296,M37:T296,TRUE,TRUE),1,6)</f>
        <v/>
      </c>
      <c r="AE296" s="9">
        <f>INDEX(LINEST(L37:L296,M37:T296,TRUE,TRUE),1,5)</f>
        <v/>
      </c>
      <c r="AF296" s="9">
        <f>INDEX(LINEST(L37:L296,M37:T296,TRUE,TRUE),1,4)</f>
        <v/>
      </c>
      <c r="AG296" s="9">
        <f>INDEX(LINEST(L37:L296,M37:T296,TRUE,TRUE),1,3)</f>
        <v/>
      </c>
      <c r="AH296" s="9">
        <f>INDEX(LINEST(L37:L296,M37:T296,TRUE,TRUE),1,2)</f>
        <v/>
      </c>
      <c r="AI296" s="9">
        <f>INDEX(LINEST(L37:L296,M37:T296,TRUE,TRUE),1,1)</f>
        <v/>
      </c>
      <c r="AJ296" s="10">
        <f>INDEX(LINEST(L37:L296,M37:T296,TRUE,TRUE),3,1)</f>
        <v/>
      </c>
      <c r="AK296" s="9">
        <f>AA295/52+AB295*M296+AC295*N296+AD295*O296+AE295*P296+AF295*Q296+AG295*R296+AH295*S296+AI295*T296</f>
        <v/>
      </c>
      <c r="AL296" s="9">
        <f>AVERAGE(L36:L295)</f>
        <v/>
      </c>
    </row>
    <row r="297">
      <c r="A297" s="7" t="n">
        <v>39682</v>
      </c>
      <c r="B297" s="8" t="n">
        <v>824</v>
      </c>
      <c r="C297" s="8" t="n">
        <v>2.18</v>
      </c>
      <c r="D297" s="8" t="n">
        <v>1.69</v>
      </c>
      <c r="E297" s="8" t="n">
        <v>76.80999799999999</v>
      </c>
      <c r="F297" s="8" t="n">
        <v>114.48</v>
      </c>
      <c r="G297" s="8" t="n">
        <v>18.81</v>
      </c>
      <c r="H297" s="8" t="n">
        <v>109.800003</v>
      </c>
      <c r="I297" s="8" t="n">
        <v>1292.199951</v>
      </c>
      <c r="J297" s="8" t="n">
        <v>59.726269</v>
      </c>
      <c r="L297" s="9">
        <f>LN(B297/B296)</f>
        <v/>
      </c>
      <c r="M297" s="9">
        <f>$M$1*(C297-C296)</f>
        <v/>
      </c>
      <c r="N297" s="9">
        <f>$N$1*(D297-D296)</f>
        <v/>
      </c>
      <c r="O297" s="9">
        <f>$O$1*LN(E297/E296)</f>
        <v/>
      </c>
      <c r="P297" s="9">
        <f>$P$1*LN(F297/F296)</f>
        <v/>
      </c>
      <c r="Q297" s="9">
        <f>$Q$1*(G297-G296)</f>
        <v/>
      </c>
      <c r="R297" s="9">
        <f>$R$1*(H297-H296)</f>
        <v/>
      </c>
      <c r="S297" s="9">
        <f>$S$1*LN(I297/I296)</f>
        <v/>
      </c>
      <c r="T297" s="9">
        <f>$T$1*LN(J297/J296)</f>
        <v/>
      </c>
      <c r="U297" s="9">
        <f>$W$12+$W$4*M297+$W$5*N297+$W$6*O297+$W$7*P297+$W$8*Q297+$W$9*R297+$W$10*S297+$W$11*T297</f>
        <v/>
      </c>
      <c r="AA297" s="10">
        <f>INDEX(LINEST(L38:L297,M38:T297,TRUE,TRUE),1,9)*52</f>
        <v/>
      </c>
      <c r="AB297" s="9">
        <f>INDEX(LINEST(L38:L297,M38:T297,TRUE,TRUE),1,8)</f>
        <v/>
      </c>
      <c r="AC297" s="9">
        <f>INDEX(LINEST(L38:L297,M38:T297,TRUE,TRUE),1,7)</f>
        <v/>
      </c>
      <c r="AD297" s="9">
        <f>INDEX(LINEST(L38:L297,M38:T297,TRUE,TRUE),1,6)</f>
        <v/>
      </c>
      <c r="AE297" s="9">
        <f>INDEX(LINEST(L38:L297,M38:T297,TRUE,TRUE),1,5)</f>
        <v/>
      </c>
      <c r="AF297" s="9">
        <f>INDEX(LINEST(L38:L297,M38:T297,TRUE,TRUE),1,4)</f>
        <v/>
      </c>
      <c r="AG297" s="9">
        <f>INDEX(LINEST(L38:L297,M38:T297,TRUE,TRUE),1,3)</f>
        <v/>
      </c>
      <c r="AH297" s="9">
        <f>INDEX(LINEST(L38:L297,M38:T297,TRUE,TRUE),1,2)</f>
        <v/>
      </c>
      <c r="AI297" s="9">
        <f>INDEX(LINEST(L38:L297,M38:T297,TRUE,TRUE),1,1)</f>
        <v/>
      </c>
      <c r="AJ297" s="10">
        <f>INDEX(LINEST(L38:L297,M38:T297,TRUE,TRUE),3,1)</f>
        <v/>
      </c>
      <c r="AK297" s="9">
        <f>AA296/52+AB296*M297+AC296*N297+AD296*O297+AE296*P297+AF296*Q297+AG296*R297+AH296*S297+AI296*T297</f>
        <v/>
      </c>
      <c r="AL297" s="9">
        <f>AVERAGE(L37:L296)</f>
        <v/>
      </c>
    </row>
    <row r="298">
      <c r="A298" s="7" t="n">
        <v>39689</v>
      </c>
      <c r="B298" s="8" t="n">
        <v>833</v>
      </c>
      <c r="C298" s="8" t="n">
        <v>2.15</v>
      </c>
      <c r="D298" s="8" t="n">
        <v>1.68</v>
      </c>
      <c r="E298" s="8" t="n">
        <v>77.379997</v>
      </c>
      <c r="F298" s="8" t="n">
        <v>115.55</v>
      </c>
      <c r="G298" s="8" t="n">
        <v>20.65</v>
      </c>
      <c r="H298" s="8" t="n">
        <v>103</v>
      </c>
      <c r="I298" s="8" t="n">
        <v>1282.829956</v>
      </c>
      <c r="J298" s="8" t="n">
        <v>59.946411</v>
      </c>
      <c r="L298" s="9">
        <f>LN(B298/B297)</f>
        <v/>
      </c>
      <c r="M298" s="9">
        <f>$M$1*(C298-C297)</f>
        <v/>
      </c>
      <c r="N298" s="9">
        <f>$N$1*(D298-D297)</f>
        <v/>
      </c>
      <c r="O298" s="9">
        <f>$O$1*LN(E298/E297)</f>
        <v/>
      </c>
      <c r="P298" s="9">
        <f>$P$1*LN(F298/F297)</f>
        <v/>
      </c>
      <c r="Q298" s="9">
        <f>$Q$1*(G298-G297)</f>
        <v/>
      </c>
      <c r="R298" s="9">
        <f>$R$1*(H298-H297)</f>
        <v/>
      </c>
      <c r="S298" s="9">
        <f>$S$1*LN(I298/I297)</f>
        <v/>
      </c>
      <c r="T298" s="9">
        <f>$T$1*LN(J298/J297)</f>
        <v/>
      </c>
      <c r="U298" s="9">
        <f>$W$12+$W$4*M298+$W$5*N298+$W$6*O298+$W$7*P298+$W$8*Q298+$W$9*R298+$W$10*S298+$W$11*T298</f>
        <v/>
      </c>
      <c r="AA298" s="10">
        <f>INDEX(LINEST(L39:L298,M39:T298,TRUE,TRUE),1,9)*52</f>
        <v/>
      </c>
      <c r="AB298" s="9">
        <f>INDEX(LINEST(L39:L298,M39:T298,TRUE,TRUE),1,8)</f>
        <v/>
      </c>
      <c r="AC298" s="9">
        <f>INDEX(LINEST(L39:L298,M39:T298,TRUE,TRUE),1,7)</f>
        <v/>
      </c>
      <c r="AD298" s="9">
        <f>INDEX(LINEST(L39:L298,M39:T298,TRUE,TRUE),1,6)</f>
        <v/>
      </c>
      <c r="AE298" s="9">
        <f>INDEX(LINEST(L39:L298,M39:T298,TRUE,TRUE),1,5)</f>
        <v/>
      </c>
      <c r="AF298" s="9">
        <f>INDEX(LINEST(L39:L298,M39:T298,TRUE,TRUE),1,4)</f>
        <v/>
      </c>
      <c r="AG298" s="9">
        <f>INDEX(LINEST(L39:L298,M39:T298,TRUE,TRUE),1,3)</f>
        <v/>
      </c>
      <c r="AH298" s="9">
        <f>INDEX(LINEST(L39:L298,M39:T298,TRUE,TRUE),1,2)</f>
        <v/>
      </c>
      <c r="AI298" s="9">
        <f>INDEX(LINEST(L39:L298,M39:T298,TRUE,TRUE),1,1)</f>
        <v/>
      </c>
      <c r="AJ298" s="10">
        <f>INDEX(LINEST(L39:L298,M39:T298,TRUE,TRUE),3,1)</f>
        <v/>
      </c>
      <c r="AK298" s="9">
        <f>AA297/52+AB297*M298+AC297*N298+AD297*O298+AE297*P298+AF297*Q298+AG297*R298+AH297*S298+AI297*T298</f>
        <v/>
      </c>
      <c r="AL298" s="9">
        <f>AVERAGE(L38:L297)</f>
        <v/>
      </c>
    </row>
    <row r="299">
      <c r="A299" s="7" t="n">
        <v>39696</v>
      </c>
      <c r="B299" s="8" t="n">
        <v>808.5</v>
      </c>
      <c r="C299" s="8" t="n">
        <v>1.95</v>
      </c>
      <c r="D299" s="8" t="n">
        <v>1.71</v>
      </c>
      <c r="E299" s="8" t="n">
        <v>78.93000000000001</v>
      </c>
      <c r="F299" s="8" t="n">
        <v>106.47</v>
      </c>
      <c r="G299" s="8" t="n">
        <v>23.06</v>
      </c>
      <c r="H299" s="8" t="n">
        <v>111.800003</v>
      </c>
      <c r="I299" s="8" t="n">
        <v>1242.310059</v>
      </c>
      <c r="J299" s="8" t="n">
        <v>60.175797</v>
      </c>
      <c r="L299" s="9">
        <f>LN(B299/B298)</f>
        <v/>
      </c>
      <c r="M299" s="9">
        <f>$M$1*(C299-C298)</f>
        <v/>
      </c>
      <c r="N299" s="9">
        <f>$N$1*(D299-D298)</f>
        <v/>
      </c>
      <c r="O299" s="9">
        <f>$O$1*LN(E299/E298)</f>
        <v/>
      </c>
      <c r="P299" s="9">
        <f>$P$1*LN(F299/F298)</f>
        <v/>
      </c>
      <c r="Q299" s="9">
        <f>$Q$1*(G299-G298)</f>
        <v/>
      </c>
      <c r="R299" s="9">
        <f>$R$1*(H299-H298)</f>
        <v/>
      </c>
      <c r="S299" s="9">
        <f>$S$1*LN(I299/I298)</f>
        <v/>
      </c>
      <c r="T299" s="9">
        <f>$T$1*LN(J299/J298)</f>
        <v/>
      </c>
      <c r="U299" s="9">
        <f>$W$12+$W$4*M299+$W$5*N299+$W$6*O299+$W$7*P299+$W$8*Q299+$W$9*R299+$W$10*S299+$W$11*T299</f>
        <v/>
      </c>
      <c r="AA299" s="10">
        <f>INDEX(LINEST(L40:L299,M40:T299,TRUE,TRUE),1,9)*52</f>
        <v/>
      </c>
      <c r="AB299" s="9">
        <f>INDEX(LINEST(L40:L299,M40:T299,TRUE,TRUE),1,8)</f>
        <v/>
      </c>
      <c r="AC299" s="9">
        <f>INDEX(LINEST(L40:L299,M40:T299,TRUE,TRUE),1,7)</f>
        <v/>
      </c>
      <c r="AD299" s="9">
        <f>INDEX(LINEST(L40:L299,M40:T299,TRUE,TRUE),1,6)</f>
        <v/>
      </c>
      <c r="AE299" s="9">
        <f>INDEX(LINEST(L40:L299,M40:T299,TRUE,TRUE),1,5)</f>
        <v/>
      </c>
      <c r="AF299" s="9">
        <f>INDEX(LINEST(L40:L299,M40:T299,TRUE,TRUE),1,4)</f>
        <v/>
      </c>
      <c r="AG299" s="9">
        <f>INDEX(LINEST(L40:L299,M40:T299,TRUE,TRUE),1,3)</f>
        <v/>
      </c>
      <c r="AH299" s="9">
        <f>INDEX(LINEST(L40:L299,M40:T299,TRUE,TRUE),1,2)</f>
        <v/>
      </c>
      <c r="AI299" s="9">
        <f>INDEX(LINEST(L40:L299,M40:T299,TRUE,TRUE),1,1)</f>
        <v/>
      </c>
      <c r="AJ299" s="10">
        <f>INDEX(LINEST(L40:L299,M40:T299,TRUE,TRUE),3,1)</f>
        <v/>
      </c>
      <c r="AK299" s="9">
        <f>AA298/52+AB298*M299+AC298*N299+AD298*O299+AE298*P299+AF298*Q299+AG298*R299+AH298*S299+AI298*T299</f>
        <v/>
      </c>
      <c r="AL299" s="9">
        <f>AVERAGE(L39:L298)</f>
        <v/>
      </c>
    </row>
    <row r="300">
      <c r="A300" s="7" t="n">
        <v>39703</v>
      </c>
      <c r="B300" s="8" t="n">
        <v>750.25</v>
      </c>
      <c r="C300" s="8" t="n">
        <v>1.95</v>
      </c>
      <c r="D300" s="8" t="n">
        <v>1.79</v>
      </c>
      <c r="E300" s="8" t="n">
        <v>78.970001</v>
      </c>
      <c r="F300" s="8" t="n">
        <v>101.19</v>
      </c>
      <c r="G300" s="8" t="n">
        <v>25.66</v>
      </c>
      <c r="H300" s="8" t="n">
        <v>125.400002</v>
      </c>
      <c r="I300" s="8" t="n">
        <v>1251.699951</v>
      </c>
      <c r="J300" s="8" t="n">
        <v>60.456554</v>
      </c>
      <c r="L300" s="9">
        <f>LN(B300/B299)</f>
        <v/>
      </c>
      <c r="M300" s="9">
        <f>$M$1*(C300-C299)</f>
        <v/>
      </c>
      <c r="N300" s="9">
        <f>$N$1*(D300-D299)</f>
        <v/>
      </c>
      <c r="O300" s="9">
        <f>$O$1*LN(E300/E299)</f>
        <v/>
      </c>
      <c r="P300" s="9">
        <f>$P$1*LN(F300/F299)</f>
        <v/>
      </c>
      <c r="Q300" s="9">
        <f>$Q$1*(G300-G299)</f>
        <v/>
      </c>
      <c r="R300" s="9">
        <f>$R$1*(H300-H299)</f>
        <v/>
      </c>
      <c r="S300" s="9">
        <f>$S$1*LN(I300/I299)</f>
        <v/>
      </c>
      <c r="T300" s="9">
        <f>$T$1*LN(J300/J299)</f>
        <v/>
      </c>
      <c r="U300" s="9">
        <f>$W$12+$W$4*M300+$W$5*N300+$W$6*O300+$W$7*P300+$W$8*Q300+$W$9*R300+$W$10*S300+$W$11*T300</f>
        <v/>
      </c>
      <c r="AA300" s="10">
        <f>INDEX(LINEST(L41:L300,M41:T300,TRUE,TRUE),1,9)*52</f>
        <v/>
      </c>
      <c r="AB300" s="9">
        <f>INDEX(LINEST(L41:L300,M41:T300,TRUE,TRUE),1,8)</f>
        <v/>
      </c>
      <c r="AC300" s="9">
        <f>INDEX(LINEST(L41:L300,M41:T300,TRUE,TRUE),1,7)</f>
        <v/>
      </c>
      <c r="AD300" s="9">
        <f>INDEX(LINEST(L41:L300,M41:T300,TRUE,TRUE),1,6)</f>
        <v/>
      </c>
      <c r="AE300" s="9">
        <f>INDEX(LINEST(L41:L300,M41:T300,TRUE,TRUE),1,5)</f>
        <v/>
      </c>
      <c r="AF300" s="9">
        <f>INDEX(LINEST(L41:L300,M41:T300,TRUE,TRUE),1,4)</f>
        <v/>
      </c>
      <c r="AG300" s="9">
        <f>INDEX(LINEST(L41:L300,M41:T300,TRUE,TRUE),1,3)</f>
        <v/>
      </c>
      <c r="AH300" s="9">
        <f>INDEX(LINEST(L41:L300,M41:T300,TRUE,TRUE),1,2)</f>
        <v/>
      </c>
      <c r="AI300" s="9">
        <f>INDEX(LINEST(L41:L300,M41:T300,TRUE,TRUE),1,1)</f>
        <v/>
      </c>
      <c r="AJ300" s="10">
        <f>INDEX(LINEST(L41:L300,M41:T300,TRUE,TRUE),3,1)</f>
        <v/>
      </c>
      <c r="AK300" s="9">
        <f>AA299/52+AB299*M300+AC299*N300+AD299*O300+AE299*P300+AF299*Q300+AG299*R300+AH299*S300+AI299*T300</f>
        <v/>
      </c>
      <c r="AL300" s="9">
        <f>AVERAGE(L40:L299)</f>
        <v/>
      </c>
    </row>
    <row r="301">
      <c r="A301" s="7" t="n">
        <v>39710</v>
      </c>
      <c r="B301" s="8" t="n">
        <v>869</v>
      </c>
      <c r="C301" s="8" t="n">
        <v>1.93</v>
      </c>
      <c r="D301" s="8" t="n">
        <v>1.85</v>
      </c>
      <c r="E301" s="8" t="n">
        <v>77.68000000000001</v>
      </c>
      <c r="F301" s="8" t="n">
        <v>104.05</v>
      </c>
      <c r="G301" s="8" t="n">
        <v>32.07</v>
      </c>
      <c r="H301" s="8" t="n">
        <v>162.300003</v>
      </c>
      <c r="I301" s="8" t="n">
        <v>1255.079956</v>
      </c>
      <c r="J301" s="8" t="n">
        <v>60.331074</v>
      </c>
      <c r="L301" s="9">
        <f>LN(B301/B300)</f>
        <v/>
      </c>
      <c r="M301" s="9">
        <f>$M$1*(C301-C300)</f>
        <v/>
      </c>
      <c r="N301" s="9">
        <f>$N$1*(D301-D300)</f>
        <v/>
      </c>
      <c r="O301" s="9">
        <f>$O$1*LN(E301/E300)</f>
        <v/>
      </c>
      <c r="P301" s="9">
        <f>$P$1*LN(F301/F300)</f>
        <v/>
      </c>
      <c r="Q301" s="9">
        <f>$Q$1*(G301-G300)</f>
        <v/>
      </c>
      <c r="R301" s="9">
        <f>$R$1*(H301-H300)</f>
        <v/>
      </c>
      <c r="S301" s="9">
        <f>$S$1*LN(I301/I300)</f>
        <v/>
      </c>
      <c r="T301" s="9">
        <f>$T$1*LN(J301/J300)</f>
        <v/>
      </c>
      <c r="U301" s="9">
        <f>$W$12+$W$4*M301+$W$5*N301+$W$6*O301+$W$7*P301+$W$8*Q301+$W$9*R301+$W$10*S301+$W$11*T301</f>
        <v/>
      </c>
      <c r="AA301" s="10">
        <f>INDEX(LINEST(L42:L301,M42:T301,TRUE,TRUE),1,9)*52</f>
        <v/>
      </c>
      <c r="AB301" s="9">
        <f>INDEX(LINEST(L42:L301,M42:T301,TRUE,TRUE),1,8)</f>
        <v/>
      </c>
      <c r="AC301" s="9">
        <f>INDEX(LINEST(L42:L301,M42:T301,TRUE,TRUE),1,7)</f>
        <v/>
      </c>
      <c r="AD301" s="9">
        <f>INDEX(LINEST(L42:L301,M42:T301,TRUE,TRUE),1,6)</f>
        <v/>
      </c>
      <c r="AE301" s="9">
        <f>INDEX(LINEST(L42:L301,M42:T301,TRUE,TRUE),1,5)</f>
        <v/>
      </c>
      <c r="AF301" s="9">
        <f>INDEX(LINEST(L42:L301,M42:T301,TRUE,TRUE),1,4)</f>
        <v/>
      </c>
      <c r="AG301" s="9">
        <f>INDEX(LINEST(L42:L301,M42:T301,TRUE,TRUE),1,3)</f>
        <v/>
      </c>
      <c r="AH301" s="9">
        <f>INDEX(LINEST(L42:L301,M42:T301,TRUE,TRUE),1,2)</f>
        <v/>
      </c>
      <c r="AI301" s="9">
        <f>INDEX(LINEST(L42:L301,M42:T301,TRUE,TRUE),1,1)</f>
        <v/>
      </c>
      <c r="AJ301" s="10">
        <f>INDEX(LINEST(L42:L301,M42:T301,TRUE,TRUE),3,1)</f>
        <v/>
      </c>
      <c r="AK301" s="9">
        <f>AA300/52+AB300*M301+AC300*N301+AD300*O301+AE300*P301+AF300*Q301+AG300*R301+AH300*S301+AI300*T301</f>
        <v/>
      </c>
      <c r="AL301" s="9">
        <f>AVERAGE(L41:L300)</f>
        <v/>
      </c>
    </row>
    <row r="302">
      <c r="A302" s="7" t="n">
        <v>39717</v>
      </c>
      <c r="B302" s="8" t="n">
        <v>902</v>
      </c>
      <c r="C302" s="8" t="n">
        <v>1.75</v>
      </c>
      <c r="D302" s="8" t="n">
        <v>2.1</v>
      </c>
      <c r="E302" s="8" t="n">
        <v>76.949997</v>
      </c>
      <c r="F302" s="8" t="n">
        <v>106.77</v>
      </c>
      <c r="G302" s="8" t="n">
        <v>34.74</v>
      </c>
      <c r="H302" s="8" t="n">
        <v>183.600006</v>
      </c>
      <c r="I302" s="8" t="n">
        <v>1213.27002</v>
      </c>
      <c r="J302" s="8" t="n">
        <v>58.963173</v>
      </c>
      <c r="L302" s="9">
        <f>LN(B302/B301)</f>
        <v/>
      </c>
      <c r="M302" s="9">
        <f>$M$1*(C302-C301)</f>
        <v/>
      </c>
      <c r="N302" s="9">
        <f>$N$1*(D302-D301)</f>
        <v/>
      </c>
      <c r="O302" s="9">
        <f>$O$1*LN(E302/E301)</f>
        <v/>
      </c>
      <c r="P302" s="9">
        <f>$P$1*LN(F302/F301)</f>
        <v/>
      </c>
      <c r="Q302" s="9">
        <f>$Q$1*(G302-G301)</f>
        <v/>
      </c>
      <c r="R302" s="9">
        <f>$R$1*(H302-H301)</f>
        <v/>
      </c>
      <c r="S302" s="9">
        <f>$S$1*LN(I302/I301)</f>
        <v/>
      </c>
      <c r="T302" s="9">
        <f>$T$1*LN(J302/J301)</f>
        <v/>
      </c>
      <c r="U302" s="9">
        <f>$W$12+$W$4*M302+$W$5*N302+$W$6*O302+$W$7*P302+$W$8*Q302+$W$9*R302+$W$10*S302+$W$11*T302</f>
        <v/>
      </c>
      <c r="AA302" s="10">
        <f>INDEX(LINEST(L43:L302,M43:T302,TRUE,TRUE),1,9)*52</f>
        <v/>
      </c>
      <c r="AB302" s="9">
        <f>INDEX(LINEST(L43:L302,M43:T302,TRUE,TRUE),1,8)</f>
        <v/>
      </c>
      <c r="AC302" s="9">
        <f>INDEX(LINEST(L43:L302,M43:T302,TRUE,TRUE),1,7)</f>
        <v/>
      </c>
      <c r="AD302" s="9">
        <f>INDEX(LINEST(L43:L302,M43:T302,TRUE,TRUE),1,6)</f>
        <v/>
      </c>
      <c r="AE302" s="9">
        <f>INDEX(LINEST(L43:L302,M43:T302,TRUE,TRUE),1,5)</f>
        <v/>
      </c>
      <c r="AF302" s="9">
        <f>INDEX(LINEST(L43:L302,M43:T302,TRUE,TRUE),1,4)</f>
        <v/>
      </c>
      <c r="AG302" s="9">
        <f>INDEX(LINEST(L43:L302,M43:T302,TRUE,TRUE),1,3)</f>
        <v/>
      </c>
      <c r="AH302" s="9">
        <f>INDEX(LINEST(L43:L302,M43:T302,TRUE,TRUE),1,2)</f>
        <v/>
      </c>
      <c r="AI302" s="9">
        <f>INDEX(LINEST(L43:L302,M43:T302,TRUE,TRUE),1,1)</f>
        <v/>
      </c>
      <c r="AJ302" s="10">
        <f>INDEX(LINEST(L43:L302,M43:T302,TRUE,TRUE),3,1)</f>
        <v/>
      </c>
      <c r="AK302" s="9">
        <f>AA301/52+AB301*M302+AC301*N302+AD301*O302+AE301*P302+AF301*Q302+AG301*R302+AH301*S302+AI301*T302</f>
        <v/>
      </c>
      <c r="AL302" s="9">
        <f>AVERAGE(L42:L301)</f>
        <v/>
      </c>
    </row>
    <row r="303">
      <c r="A303" s="7" t="n">
        <v>39724</v>
      </c>
      <c r="B303" s="8" t="n">
        <v>828</v>
      </c>
      <c r="C303" s="8" t="n">
        <v>1.45</v>
      </c>
      <c r="D303" s="8" t="n">
        <v>2.18</v>
      </c>
      <c r="E303" s="8" t="n">
        <v>80.30999799999999</v>
      </c>
      <c r="F303" s="8" t="n">
        <v>93.91</v>
      </c>
      <c r="G303" s="8" t="n">
        <v>45.14</v>
      </c>
      <c r="H303" s="8" t="n">
        <v>204.800003</v>
      </c>
      <c r="I303" s="8" t="n">
        <v>1099.22998</v>
      </c>
      <c r="J303" s="8" t="n">
        <v>59.143379</v>
      </c>
      <c r="L303" s="9">
        <f>LN(B303/B302)</f>
        <v/>
      </c>
      <c r="M303" s="9">
        <f>$M$1*(C303-C302)</f>
        <v/>
      </c>
      <c r="N303" s="9">
        <f>$N$1*(D303-D302)</f>
        <v/>
      </c>
      <c r="O303" s="9">
        <f>$O$1*LN(E303/E302)</f>
        <v/>
      </c>
      <c r="P303" s="9">
        <f>$P$1*LN(F303/F302)</f>
        <v/>
      </c>
      <c r="Q303" s="9">
        <f>$Q$1*(G303-G302)</f>
        <v/>
      </c>
      <c r="R303" s="9">
        <f>$R$1*(H303-H302)</f>
        <v/>
      </c>
      <c r="S303" s="9">
        <f>$S$1*LN(I303/I302)</f>
        <v/>
      </c>
      <c r="T303" s="9">
        <f>$T$1*LN(J303/J302)</f>
        <v/>
      </c>
      <c r="U303" s="9">
        <f>$W$12+$W$4*M303+$W$5*N303+$W$6*O303+$W$7*P303+$W$8*Q303+$W$9*R303+$W$10*S303+$W$11*T303</f>
        <v/>
      </c>
      <c r="AA303" s="10">
        <f>INDEX(LINEST(L44:L303,M44:T303,TRUE,TRUE),1,9)*52</f>
        <v/>
      </c>
      <c r="AB303" s="9">
        <f>INDEX(LINEST(L44:L303,M44:T303,TRUE,TRUE),1,8)</f>
        <v/>
      </c>
      <c r="AC303" s="9">
        <f>INDEX(LINEST(L44:L303,M44:T303,TRUE,TRUE),1,7)</f>
        <v/>
      </c>
      <c r="AD303" s="9">
        <f>INDEX(LINEST(L44:L303,M44:T303,TRUE,TRUE),1,6)</f>
        <v/>
      </c>
      <c r="AE303" s="9">
        <f>INDEX(LINEST(L44:L303,M44:T303,TRUE,TRUE),1,5)</f>
        <v/>
      </c>
      <c r="AF303" s="9">
        <f>INDEX(LINEST(L44:L303,M44:T303,TRUE,TRUE),1,4)</f>
        <v/>
      </c>
      <c r="AG303" s="9">
        <f>INDEX(LINEST(L44:L303,M44:T303,TRUE,TRUE),1,3)</f>
        <v/>
      </c>
      <c r="AH303" s="9">
        <f>INDEX(LINEST(L44:L303,M44:T303,TRUE,TRUE),1,2)</f>
        <v/>
      </c>
      <c r="AI303" s="9">
        <f>INDEX(LINEST(L44:L303,M44:T303,TRUE,TRUE),1,1)</f>
        <v/>
      </c>
      <c r="AJ303" s="10">
        <f>INDEX(LINEST(L44:L303,M44:T303,TRUE,TRUE),3,1)</f>
        <v/>
      </c>
      <c r="AK303" s="9">
        <f>AA302/52+AB302*M303+AC302*N303+AD302*O303+AE302*P303+AF302*Q303+AG302*R303+AH302*S303+AI302*T303</f>
        <v/>
      </c>
      <c r="AL303" s="9">
        <f>AVERAGE(L43:L302)</f>
        <v/>
      </c>
    </row>
    <row r="304">
      <c r="A304" s="7" t="n">
        <v>39731</v>
      </c>
      <c r="B304" s="8" t="n">
        <v>900.5</v>
      </c>
      <c r="C304" s="8" t="n">
        <v>0.92</v>
      </c>
      <c r="D304" s="8" t="n">
        <v>2.97</v>
      </c>
      <c r="E304" s="8" t="n">
        <v>83</v>
      </c>
      <c r="F304" s="8" t="n">
        <v>77.44</v>
      </c>
      <c r="G304" s="8" t="n">
        <v>69.95</v>
      </c>
      <c r="H304" s="8" t="n">
        <v>264.600006</v>
      </c>
      <c r="I304" s="8" t="n">
        <v>899.219971</v>
      </c>
      <c r="J304" s="8" t="n">
        <v>53.014385</v>
      </c>
      <c r="L304" s="9">
        <f>LN(B304/B303)</f>
        <v/>
      </c>
      <c r="M304" s="9">
        <f>$M$1*(C304-C303)</f>
        <v/>
      </c>
      <c r="N304" s="9">
        <f>$N$1*(D304-D303)</f>
        <v/>
      </c>
      <c r="O304" s="9">
        <f>$O$1*LN(E304/E303)</f>
        <v/>
      </c>
      <c r="P304" s="9">
        <f>$P$1*LN(F304/F303)</f>
        <v/>
      </c>
      <c r="Q304" s="9">
        <f>$Q$1*(G304-G303)</f>
        <v/>
      </c>
      <c r="R304" s="9">
        <f>$R$1*(H304-H303)</f>
        <v/>
      </c>
      <c r="S304" s="9">
        <f>$S$1*LN(I304/I303)</f>
        <v/>
      </c>
      <c r="T304" s="9">
        <f>$T$1*LN(J304/J303)</f>
        <v/>
      </c>
      <c r="U304" s="9">
        <f>$W$12+$W$4*M304+$W$5*N304+$W$6*O304+$W$7*P304+$W$8*Q304+$W$9*R304+$W$10*S304+$W$11*T304</f>
        <v/>
      </c>
      <c r="AA304" s="10">
        <f>INDEX(LINEST(L45:L304,M45:T304,TRUE,TRUE),1,9)*52</f>
        <v/>
      </c>
      <c r="AB304" s="9">
        <f>INDEX(LINEST(L45:L304,M45:T304,TRUE,TRUE),1,8)</f>
        <v/>
      </c>
      <c r="AC304" s="9">
        <f>INDEX(LINEST(L45:L304,M45:T304,TRUE,TRUE),1,7)</f>
        <v/>
      </c>
      <c r="AD304" s="9">
        <f>INDEX(LINEST(L45:L304,M45:T304,TRUE,TRUE),1,6)</f>
        <v/>
      </c>
      <c r="AE304" s="9">
        <f>INDEX(LINEST(L45:L304,M45:T304,TRUE,TRUE),1,5)</f>
        <v/>
      </c>
      <c r="AF304" s="9">
        <f>INDEX(LINEST(L45:L304,M45:T304,TRUE,TRUE),1,4)</f>
        <v/>
      </c>
      <c r="AG304" s="9">
        <f>INDEX(LINEST(L45:L304,M45:T304,TRUE,TRUE),1,3)</f>
        <v/>
      </c>
      <c r="AH304" s="9">
        <f>INDEX(LINEST(L45:L304,M45:T304,TRUE,TRUE),1,2)</f>
        <v/>
      </c>
      <c r="AI304" s="9">
        <f>INDEX(LINEST(L45:L304,M45:T304,TRUE,TRUE),1,1)</f>
        <v/>
      </c>
      <c r="AJ304" s="10">
        <f>INDEX(LINEST(L45:L304,M45:T304,TRUE,TRUE),3,1)</f>
        <v/>
      </c>
      <c r="AK304" s="9">
        <f>AA303/52+AB303*M304+AC303*N304+AD303*O304+AE303*P304+AF303*Q304+AG303*R304+AH303*S304+AI303*T304</f>
        <v/>
      </c>
      <c r="AL304" s="9">
        <f>AVERAGE(L44:L303)</f>
        <v/>
      </c>
    </row>
    <row r="305">
      <c r="A305" s="7" t="n">
        <v>39738</v>
      </c>
      <c r="B305" s="8" t="n">
        <v>784.5</v>
      </c>
      <c r="C305" s="8" t="n">
        <v>1.11</v>
      </c>
      <c r="D305" s="8" t="n">
        <v>2.87</v>
      </c>
      <c r="E305" s="8" t="n">
        <v>82.410004</v>
      </c>
      <c r="F305" s="8" t="n">
        <v>71.90000000000001</v>
      </c>
      <c r="G305" s="8" t="n">
        <v>70.33</v>
      </c>
      <c r="H305" s="8" t="n">
        <v>207.300003</v>
      </c>
      <c r="I305" s="8" t="n">
        <v>940.549988</v>
      </c>
      <c r="J305" s="8" t="n">
        <v>56.42672</v>
      </c>
      <c r="L305" s="9">
        <f>LN(B305/B304)</f>
        <v/>
      </c>
      <c r="M305" s="9">
        <f>$M$1*(C305-C304)</f>
        <v/>
      </c>
      <c r="N305" s="9">
        <f>$N$1*(D305-D304)</f>
        <v/>
      </c>
      <c r="O305" s="9">
        <f>$O$1*LN(E305/E304)</f>
        <v/>
      </c>
      <c r="P305" s="9">
        <f>$P$1*LN(F305/F304)</f>
        <v/>
      </c>
      <c r="Q305" s="9">
        <f>$Q$1*(G305-G304)</f>
        <v/>
      </c>
      <c r="R305" s="9">
        <f>$R$1*(H305-H304)</f>
        <v/>
      </c>
      <c r="S305" s="9">
        <f>$S$1*LN(I305/I304)</f>
        <v/>
      </c>
      <c r="T305" s="9">
        <f>$T$1*LN(J305/J304)</f>
        <v/>
      </c>
      <c r="U305" s="9">
        <f>$W$12+$W$4*M305+$W$5*N305+$W$6*O305+$W$7*P305+$W$8*Q305+$W$9*R305+$W$10*S305+$W$11*T305</f>
        <v/>
      </c>
      <c r="AA305" s="10">
        <f>INDEX(LINEST(L46:L305,M46:T305,TRUE,TRUE),1,9)*52</f>
        <v/>
      </c>
      <c r="AB305" s="9">
        <f>INDEX(LINEST(L46:L305,M46:T305,TRUE,TRUE),1,8)</f>
        <v/>
      </c>
      <c r="AC305" s="9">
        <f>INDEX(LINEST(L46:L305,M46:T305,TRUE,TRUE),1,7)</f>
        <v/>
      </c>
      <c r="AD305" s="9">
        <f>INDEX(LINEST(L46:L305,M46:T305,TRUE,TRUE),1,6)</f>
        <v/>
      </c>
      <c r="AE305" s="9">
        <f>INDEX(LINEST(L46:L305,M46:T305,TRUE,TRUE),1,5)</f>
        <v/>
      </c>
      <c r="AF305" s="9">
        <f>INDEX(LINEST(L46:L305,M46:T305,TRUE,TRUE),1,4)</f>
        <v/>
      </c>
      <c r="AG305" s="9">
        <f>INDEX(LINEST(L46:L305,M46:T305,TRUE,TRUE),1,3)</f>
        <v/>
      </c>
      <c r="AH305" s="9">
        <f>INDEX(LINEST(L46:L305,M46:T305,TRUE,TRUE),1,2)</f>
        <v/>
      </c>
      <c r="AI305" s="9">
        <f>INDEX(LINEST(L46:L305,M46:T305,TRUE,TRUE),1,1)</f>
        <v/>
      </c>
      <c r="AJ305" s="10">
        <f>INDEX(LINEST(L46:L305,M46:T305,TRUE,TRUE),3,1)</f>
        <v/>
      </c>
      <c r="AK305" s="9">
        <f>AA304/52+AB304*M305+AC304*N305+AD304*O305+AE304*P305+AF304*Q305+AG304*R305+AH304*S305+AI304*T305</f>
        <v/>
      </c>
      <c r="AL305" s="9">
        <f>AVERAGE(L45:L304)</f>
        <v/>
      </c>
    </row>
    <row r="306">
      <c r="A306" s="7" t="n">
        <v>39745</v>
      </c>
      <c r="B306" s="8" t="n">
        <v>712.5</v>
      </c>
      <c r="C306" s="8" t="n">
        <v>0.74</v>
      </c>
      <c r="D306" s="8" t="n">
        <v>3.02</v>
      </c>
      <c r="E306" s="8" t="n">
        <v>86.44000200000001</v>
      </c>
      <c r="F306" s="8" t="n">
        <v>63.34</v>
      </c>
      <c r="G306" s="8" t="n">
        <v>79.13</v>
      </c>
      <c r="H306" s="8" t="n">
        <v>239.399994</v>
      </c>
      <c r="I306" s="8" t="n">
        <v>876.77002</v>
      </c>
      <c r="J306" s="8" t="n">
        <v>57.092388</v>
      </c>
      <c r="L306" s="9">
        <f>LN(B306/B305)</f>
        <v/>
      </c>
      <c r="M306" s="9">
        <f>$M$1*(C306-C305)</f>
        <v/>
      </c>
      <c r="N306" s="9">
        <f>$N$1*(D306-D305)</f>
        <v/>
      </c>
      <c r="O306" s="9">
        <f>$O$1*LN(E306/E305)</f>
        <v/>
      </c>
      <c r="P306" s="9">
        <f>$P$1*LN(F306/F305)</f>
        <v/>
      </c>
      <c r="Q306" s="9">
        <f>$Q$1*(G306-G305)</f>
        <v/>
      </c>
      <c r="R306" s="9">
        <f>$R$1*(H306-H305)</f>
        <v/>
      </c>
      <c r="S306" s="9">
        <f>$S$1*LN(I306/I305)</f>
        <v/>
      </c>
      <c r="T306" s="9">
        <f>$T$1*LN(J306/J305)</f>
        <v/>
      </c>
      <c r="U306" s="9">
        <f>$W$12+$W$4*M306+$W$5*N306+$W$6*O306+$W$7*P306+$W$8*Q306+$W$9*R306+$W$10*S306+$W$11*T306</f>
        <v/>
      </c>
      <c r="AA306" s="10">
        <f>INDEX(LINEST(L47:L306,M47:T306,TRUE,TRUE),1,9)*52</f>
        <v/>
      </c>
      <c r="AB306" s="9">
        <f>INDEX(LINEST(L47:L306,M47:T306,TRUE,TRUE),1,8)</f>
        <v/>
      </c>
      <c r="AC306" s="9">
        <f>INDEX(LINEST(L47:L306,M47:T306,TRUE,TRUE),1,7)</f>
        <v/>
      </c>
      <c r="AD306" s="9">
        <f>INDEX(LINEST(L47:L306,M47:T306,TRUE,TRUE),1,6)</f>
        <v/>
      </c>
      <c r="AE306" s="9">
        <f>INDEX(LINEST(L47:L306,M47:T306,TRUE,TRUE),1,5)</f>
        <v/>
      </c>
      <c r="AF306" s="9">
        <f>INDEX(LINEST(L47:L306,M47:T306,TRUE,TRUE),1,4)</f>
        <v/>
      </c>
      <c r="AG306" s="9">
        <f>INDEX(LINEST(L47:L306,M47:T306,TRUE,TRUE),1,3)</f>
        <v/>
      </c>
      <c r="AH306" s="9">
        <f>INDEX(LINEST(L47:L306,M47:T306,TRUE,TRUE),1,2)</f>
        <v/>
      </c>
      <c r="AI306" s="9">
        <f>INDEX(LINEST(L47:L306,M47:T306,TRUE,TRUE),1,1)</f>
        <v/>
      </c>
      <c r="AJ306" s="10">
        <f>INDEX(LINEST(L47:L306,M47:T306,TRUE,TRUE),3,1)</f>
        <v/>
      </c>
      <c r="AK306" s="9">
        <f>AA305/52+AB305*M306+AC305*N306+AD305*O306+AE305*P306+AF305*Q306+AG305*R306+AH305*S306+AI305*T306</f>
        <v/>
      </c>
      <c r="AL306" s="9">
        <f>AVERAGE(L46:L305)</f>
        <v/>
      </c>
    </row>
    <row r="307">
      <c r="A307" s="7" t="n">
        <v>39752</v>
      </c>
      <c r="B307" s="8" t="n">
        <v>730.75</v>
      </c>
      <c r="C307" s="8" t="n">
        <v>0.87</v>
      </c>
      <c r="D307" s="8" t="n">
        <v>3.14</v>
      </c>
      <c r="E307" s="8" t="n">
        <v>85.629997</v>
      </c>
      <c r="F307" s="8" t="n">
        <v>68.09999999999999</v>
      </c>
      <c r="G307" s="8" t="n">
        <v>59.89</v>
      </c>
      <c r="H307" s="8" t="n">
        <v>207.199997</v>
      </c>
      <c r="I307" s="8" t="n">
        <v>968.75</v>
      </c>
      <c r="J307" s="8" t="n">
        <v>57.54818</v>
      </c>
      <c r="L307" s="9">
        <f>LN(B307/B306)</f>
        <v/>
      </c>
      <c r="M307" s="9">
        <f>$M$1*(C307-C306)</f>
        <v/>
      </c>
      <c r="N307" s="9">
        <f>$N$1*(D307-D306)</f>
        <v/>
      </c>
      <c r="O307" s="9">
        <f>$O$1*LN(E307/E306)</f>
        <v/>
      </c>
      <c r="P307" s="9">
        <f>$P$1*LN(F307/F306)</f>
        <v/>
      </c>
      <c r="Q307" s="9">
        <f>$Q$1*(G307-G306)</f>
        <v/>
      </c>
      <c r="R307" s="9">
        <f>$R$1*(H307-H306)</f>
        <v/>
      </c>
      <c r="S307" s="9">
        <f>$S$1*LN(I307/I306)</f>
        <v/>
      </c>
      <c r="T307" s="9">
        <f>$T$1*LN(J307/J306)</f>
        <v/>
      </c>
      <c r="U307" s="9">
        <f>$W$12+$W$4*M307+$W$5*N307+$W$6*O307+$W$7*P307+$W$8*Q307+$W$9*R307+$W$10*S307+$W$11*T307</f>
        <v/>
      </c>
      <c r="AA307" s="10">
        <f>INDEX(LINEST(L48:L307,M48:T307,TRUE,TRUE),1,9)*52</f>
        <v/>
      </c>
      <c r="AB307" s="9">
        <f>INDEX(LINEST(L48:L307,M48:T307,TRUE,TRUE),1,8)</f>
        <v/>
      </c>
      <c r="AC307" s="9">
        <f>INDEX(LINEST(L48:L307,M48:T307,TRUE,TRUE),1,7)</f>
        <v/>
      </c>
      <c r="AD307" s="9">
        <f>INDEX(LINEST(L48:L307,M48:T307,TRUE,TRUE),1,6)</f>
        <v/>
      </c>
      <c r="AE307" s="9">
        <f>INDEX(LINEST(L48:L307,M48:T307,TRUE,TRUE),1,5)</f>
        <v/>
      </c>
      <c r="AF307" s="9">
        <f>INDEX(LINEST(L48:L307,M48:T307,TRUE,TRUE),1,4)</f>
        <v/>
      </c>
      <c r="AG307" s="9">
        <f>INDEX(LINEST(L48:L307,M48:T307,TRUE,TRUE),1,3)</f>
        <v/>
      </c>
      <c r="AH307" s="9">
        <f>INDEX(LINEST(L48:L307,M48:T307,TRUE,TRUE),1,2)</f>
        <v/>
      </c>
      <c r="AI307" s="9">
        <f>INDEX(LINEST(L48:L307,M48:T307,TRUE,TRUE),1,1)</f>
        <v/>
      </c>
      <c r="AJ307" s="10">
        <f>INDEX(LINEST(L48:L307,M48:T307,TRUE,TRUE),3,1)</f>
        <v/>
      </c>
      <c r="AK307" s="9">
        <f>AA306/52+AB306*M307+AC306*N307+AD306*O307+AE306*P307+AF306*Q307+AG306*R307+AH306*S307+AI306*T307</f>
        <v/>
      </c>
      <c r="AL307" s="9">
        <f>AVERAGE(L47:L306)</f>
        <v/>
      </c>
    </row>
    <row r="308">
      <c r="A308" s="7" t="n">
        <v>39759</v>
      </c>
      <c r="B308" s="8" t="n">
        <v>735.25</v>
      </c>
      <c r="C308" s="8" t="n">
        <v>0.97</v>
      </c>
      <c r="D308" s="8" t="n">
        <v>2.86</v>
      </c>
      <c r="E308" s="8" t="n">
        <v>85.910004</v>
      </c>
      <c r="F308" s="8" t="n">
        <v>61.06</v>
      </c>
      <c r="G308" s="8" t="n">
        <v>56.1</v>
      </c>
      <c r="H308" s="8" t="n">
        <v>178.100006</v>
      </c>
      <c r="I308" s="8" t="n">
        <v>930.98999</v>
      </c>
      <c r="J308" s="8" t="n">
        <v>58.469563</v>
      </c>
      <c r="L308" s="9">
        <f>LN(B308/B307)</f>
        <v/>
      </c>
      <c r="M308" s="9">
        <f>$M$1*(C308-C307)</f>
        <v/>
      </c>
      <c r="N308" s="9">
        <f>$N$1*(D308-D307)</f>
        <v/>
      </c>
      <c r="O308" s="9">
        <f>$O$1*LN(E308/E307)</f>
        <v/>
      </c>
      <c r="P308" s="9">
        <f>$P$1*LN(F308/F307)</f>
        <v/>
      </c>
      <c r="Q308" s="9">
        <f>$Q$1*(G308-G307)</f>
        <v/>
      </c>
      <c r="R308" s="9">
        <f>$R$1*(H308-H307)</f>
        <v/>
      </c>
      <c r="S308" s="9">
        <f>$S$1*LN(I308/I307)</f>
        <v/>
      </c>
      <c r="T308" s="9">
        <f>$T$1*LN(J308/J307)</f>
        <v/>
      </c>
      <c r="U308" s="9">
        <f>$W$12+$W$4*M308+$W$5*N308+$W$6*O308+$W$7*P308+$W$8*Q308+$W$9*R308+$W$10*S308+$W$11*T308</f>
        <v/>
      </c>
      <c r="AA308" s="10">
        <f>INDEX(LINEST(L49:L308,M49:T308,TRUE,TRUE),1,9)*52</f>
        <v/>
      </c>
      <c r="AB308" s="9">
        <f>INDEX(LINEST(L49:L308,M49:T308,TRUE,TRUE),1,8)</f>
        <v/>
      </c>
      <c r="AC308" s="9">
        <f>INDEX(LINEST(L49:L308,M49:T308,TRUE,TRUE),1,7)</f>
        <v/>
      </c>
      <c r="AD308" s="9">
        <f>INDEX(LINEST(L49:L308,M49:T308,TRUE,TRUE),1,6)</f>
        <v/>
      </c>
      <c r="AE308" s="9">
        <f>INDEX(LINEST(L49:L308,M49:T308,TRUE,TRUE),1,5)</f>
        <v/>
      </c>
      <c r="AF308" s="9">
        <f>INDEX(LINEST(L49:L308,M49:T308,TRUE,TRUE),1,4)</f>
        <v/>
      </c>
      <c r="AG308" s="9">
        <f>INDEX(LINEST(L49:L308,M49:T308,TRUE,TRUE),1,3)</f>
        <v/>
      </c>
      <c r="AH308" s="9">
        <f>INDEX(LINEST(L49:L308,M49:T308,TRUE,TRUE),1,2)</f>
        <v/>
      </c>
      <c r="AI308" s="9">
        <f>INDEX(LINEST(L49:L308,M49:T308,TRUE,TRUE),1,1)</f>
        <v/>
      </c>
      <c r="AJ308" s="10">
        <f>INDEX(LINEST(L49:L308,M49:T308,TRUE,TRUE),3,1)</f>
        <v/>
      </c>
      <c r="AK308" s="9">
        <f>AA307/52+AB307*M308+AC307*N308+AD307*O308+AE307*P308+AF307*Q308+AG307*R308+AH307*S308+AI307*T308</f>
        <v/>
      </c>
      <c r="AL308" s="9">
        <f>AVERAGE(L48:L307)</f>
        <v/>
      </c>
    </row>
    <row r="309">
      <c r="A309" s="7" t="n">
        <v>39766</v>
      </c>
      <c r="B309" s="8" t="n">
        <v>747.5</v>
      </c>
      <c r="C309" s="8" t="n">
        <v>0.85</v>
      </c>
      <c r="D309" s="8" t="n">
        <v>2.87</v>
      </c>
      <c r="E309" s="8" t="n">
        <v>86.360001</v>
      </c>
      <c r="F309" s="8" t="n">
        <v>57.18</v>
      </c>
      <c r="G309" s="8" t="n">
        <v>66.31</v>
      </c>
      <c r="H309" s="8" t="n">
        <v>189.5</v>
      </c>
      <c r="I309" s="8" t="n">
        <v>873.289978</v>
      </c>
      <c r="J309" s="8" t="n">
        <v>58.403301</v>
      </c>
      <c r="L309" s="9">
        <f>LN(B309/B308)</f>
        <v/>
      </c>
      <c r="M309" s="9">
        <f>$M$1*(C309-C308)</f>
        <v/>
      </c>
      <c r="N309" s="9">
        <f>$N$1*(D309-D308)</f>
        <v/>
      </c>
      <c r="O309" s="9">
        <f>$O$1*LN(E309/E308)</f>
        <v/>
      </c>
      <c r="P309" s="9">
        <f>$P$1*LN(F309/F308)</f>
        <v/>
      </c>
      <c r="Q309" s="9">
        <f>$Q$1*(G309-G308)</f>
        <v/>
      </c>
      <c r="R309" s="9">
        <f>$R$1*(H309-H308)</f>
        <v/>
      </c>
      <c r="S309" s="9">
        <f>$S$1*LN(I309/I308)</f>
        <v/>
      </c>
      <c r="T309" s="9">
        <f>$T$1*LN(J309/J308)</f>
        <v/>
      </c>
      <c r="U309" s="9">
        <f>$W$12+$W$4*M309+$W$5*N309+$W$6*O309+$W$7*P309+$W$8*Q309+$W$9*R309+$W$10*S309+$W$11*T309</f>
        <v/>
      </c>
      <c r="AA309" s="10">
        <f>INDEX(LINEST(L50:L309,M50:T309,TRUE,TRUE),1,9)*52</f>
        <v/>
      </c>
      <c r="AB309" s="9">
        <f>INDEX(LINEST(L50:L309,M50:T309,TRUE,TRUE),1,8)</f>
        <v/>
      </c>
      <c r="AC309" s="9">
        <f>INDEX(LINEST(L50:L309,M50:T309,TRUE,TRUE),1,7)</f>
        <v/>
      </c>
      <c r="AD309" s="9">
        <f>INDEX(LINEST(L50:L309,M50:T309,TRUE,TRUE),1,6)</f>
        <v/>
      </c>
      <c r="AE309" s="9">
        <f>INDEX(LINEST(L50:L309,M50:T309,TRUE,TRUE),1,5)</f>
        <v/>
      </c>
      <c r="AF309" s="9">
        <f>INDEX(LINEST(L50:L309,M50:T309,TRUE,TRUE),1,4)</f>
        <v/>
      </c>
      <c r="AG309" s="9">
        <f>INDEX(LINEST(L50:L309,M50:T309,TRUE,TRUE),1,3)</f>
        <v/>
      </c>
      <c r="AH309" s="9">
        <f>INDEX(LINEST(L50:L309,M50:T309,TRUE,TRUE),1,2)</f>
        <v/>
      </c>
      <c r="AI309" s="9">
        <f>INDEX(LINEST(L50:L309,M50:T309,TRUE,TRUE),1,1)</f>
        <v/>
      </c>
      <c r="AJ309" s="10">
        <f>INDEX(LINEST(L50:L309,M50:T309,TRUE,TRUE),3,1)</f>
        <v/>
      </c>
      <c r="AK309" s="9">
        <f>AA308/52+AB308*M309+AC308*N309+AD308*O309+AE308*P309+AF308*Q309+AG308*R309+AH308*S309+AI308*T309</f>
        <v/>
      </c>
      <c r="AL309" s="9">
        <f>AVERAGE(L49:L308)</f>
        <v/>
      </c>
    </row>
    <row r="310">
      <c r="A310" s="7" t="n">
        <v>39773</v>
      </c>
      <c r="B310" s="8" t="n">
        <v>774.5</v>
      </c>
      <c r="C310" s="8" t="n">
        <v>0.05</v>
      </c>
      <c r="D310" s="8" t="n">
        <v>3.15</v>
      </c>
      <c r="E310" s="8" t="n">
        <v>88.19000200000001</v>
      </c>
      <c r="F310" s="8" t="n">
        <v>49.22</v>
      </c>
      <c r="G310" s="8" t="n">
        <v>72.67</v>
      </c>
      <c r="H310" s="8" t="n">
        <v>212.899994</v>
      </c>
      <c r="I310" s="8" t="n">
        <v>800.030029</v>
      </c>
      <c r="J310" s="8" t="n">
        <v>58.18652</v>
      </c>
      <c r="L310" s="9">
        <f>LN(B310/B309)</f>
        <v/>
      </c>
      <c r="M310" s="9">
        <f>$M$1*(C310-C309)</f>
        <v/>
      </c>
      <c r="N310" s="9">
        <f>$N$1*(D310-D309)</f>
        <v/>
      </c>
      <c r="O310" s="9">
        <f>$O$1*LN(E310/E309)</f>
        <v/>
      </c>
      <c r="P310" s="9">
        <f>$P$1*LN(F310/F309)</f>
        <v/>
      </c>
      <c r="Q310" s="9">
        <f>$Q$1*(G310-G309)</f>
        <v/>
      </c>
      <c r="R310" s="9">
        <f>$R$1*(H310-H309)</f>
        <v/>
      </c>
      <c r="S310" s="9">
        <f>$S$1*LN(I310/I309)</f>
        <v/>
      </c>
      <c r="T310" s="9">
        <f>$T$1*LN(J310/J309)</f>
        <v/>
      </c>
      <c r="U310" s="9">
        <f>$W$12+$W$4*M310+$W$5*N310+$W$6*O310+$W$7*P310+$W$8*Q310+$W$9*R310+$W$10*S310+$W$11*T310</f>
        <v/>
      </c>
      <c r="AA310" s="10">
        <f>INDEX(LINEST(L51:L310,M51:T310,TRUE,TRUE),1,9)*52</f>
        <v/>
      </c>
      <c r="AB310" s="9">
        <f>INDEX(LINEST(L51:L310,M51:T310,TRUE,TRUE),1,8)</f>
        <v/>
      </c>
      <c r="AC310" s="9">
        <f>INDEX(LINEST(L51:L310,M51:T310,TRUE,TRUE),1,7)</f>
        <v/>
      </c>
      <c r="AD310" s="9">
        <f>INDEX(LINEST(L51:L310,M51:T310,TRUE,TRUE),1,6)</f>
        <v/>
      </c>
      <c r="AE310" s="9">
        <f>INDEX(LINEST(L51:L310,M51:T310,TRUE,TRUE),1,5)</f>
        <v/>
      </c>
      <c r="AF310" s="9">
        <f>INDEX(LINEST(L51:L310,M51:T310,TRUE,TRUE),1,4)</f>
        <v/>
      </c>
      <c r="AG310" s="9">
        <f>INDEX(LINEST(L51:L310,M51:T310,TRUE,TRUE),1,3)</f>
        <v/>
      </c>
      <c r="AH310" s="9">
        <f>INDEX(LINEST(L51:L310,M51:T310,TRUE,TRUE),1,2)</f>
        <v/>
      </c>
      <c r="AI310" s="9">
        <f>INDEX(LINEST(L51:L310,M51:T310,TRUE,TRUE),1,1)</f>
        <v/>
      </c>
      <c r="AJ310" s="10">
        <f>INDEX(LINEST(L51:L310,M51:T310,TRUE,TRUE),3,1)</f>
        <v/>
      </c>
      <c r="AK310" s="9">
        <f>AA309/52+AB309*M310+AC309*N310+AD309*O310+AE309*P310+AF309*Q310+AG309*R310+AH309*S310+AI309*T310</f>
        <v/>
      </c>
      <c r="AL310" s="9">
        <f>AVERAGE(L50:L309)</f>
        <v/>
      </c>
    </row>
    <row r="311">
      <c r="A311" s="7" t="n">
        <v>39780</v>
      </c>
      <c r="B311" s="8" t="n">
        <v>814.5</v>
      </c>
      <c r="C311" s="8" t="n">
        <v>0.33</v>
      </c>
      <c r="D311" s="8" t="n">
        <v>2.6</v>
      </c>
      <c r="E311" s="8" t="n">
        <v>86.519997</v>
      </c>
      <c r="F311" s="8" t="n">
        <v>55.21</v>
      </c>
      <c r="G311" s="8" t="n">
        <v>55.84</v>
      </c>
      <c r="H311" s="8" t="n">
        <v>214</v>
      </c>
      <c r="I311" s="8" t="n">
        <v>896.23999</v>
      </c>
      <c r="J311" s="8" t="n">
        <v>59.288601</v>
      </c>
      <c r="L311" s="9">
        <f>LN(B311/B310)</f>
        <v/>
      </c>
      <c r="M311" s="9">
        <f>$M$1*(C311-C310)</f>
        <v/>
      </c>
      <c r="N311" s="9">
        <f>$N$1*(D311-D310)</f>
        <v/>
      </c>
      <c r="O311" s="9">
        <f>$O$1*LN(E311/E310)</f>
        <v/>
      </c>
      <c r="P311" s="9">
        <f>$P$1*LN(F311/F310)</f>
        <v/>
      </c>
      <c r="Q311" s="9">
        <f>$Q$1*(G311-G310)</f>
        <v/>
      </c>
      <c r="R311" s="9">
        <f>$R$1*(H311-H310)</f>
        <v/>
      </c>
      <c r="S311" s="9">
        <f>$S$1*LN(I311/I310)</f>
        <v/>
      </c>
      <c r="T311" s="9">
        <f>$T$1*LN(J311/J310)</f>
        <v/>
      </c>
      <c r="U311" s="9">
        <f>$W$12+$W$4*M311+$W$5*N311+$W$6*O311+$W$7*P311+$W$8*Q311+$W$9*R311+$W$10*S311+$W$11*T311</f>
        <v/>
      </c>
      <c r="AA311" s="10">
        <f>INDEX(LINEST(L52:L311,M52:T311,TRUE,TRUE),1,9)*52</f>
        <v/>
      </c>
      <c r="AB311" s="9">
        <f>INDEX(LINEST(L52:L311,M52:T311,TRUE,TRUE),1,8)</f>
        <v/>
      </c>
      <c r="AC311" s="9">
        <f>INDEX(LINEST(L52:L311,M52:T311,TRUE,TRUE),1,7)</f>
        <v/>
      </c>
      <c r="AD311" s="9">
        <f>INDEX(LINEST(L52:L311,M52:T311,TRUE,TRUE),1,6)</f>
        <v/>
      </c>
      <c r="AE311" s="9">
        <f>INDEX(LINEST(L52:L311,M52:T311,TRUE,TRUE),1,5)</f>
        <v/>
      </c>
      <c r="AF311" s="9">
        <f>INDEX(LINEST(L52:L311,M52:T311,TRUE,TRUE),1,4)</f>
        <v/>
      </c>
      <c r="AG311" s="9">
        <f>INDEX(LINEST(L52:L311,M52:T311,TRUE,TRUE),1,3)</f>
        <v/>
      </c>
      <c r="AH311" s="9">
        <f>INDEX(LINEST(L52:L311,M52:T311,TRUE,TRUE),1,2)</f>
        <v/>
      </c>
      <c r="AI311" s="9">
        <f>INDEX(LINEST(L52:L311,M52:T311,TRUE,TRUE),1,1)</f>
        <v/>
      </c>
      <c r="AJ311" s="10">
        <f>INDEX(LINEST(L52:L311,M52:T311,TRUE,TRUE),3,1)</f>
        <v/>
      </c>
      <c r="AK311" s="9">
        <f>AA310/52+AB310*M311+AC310*N311+AD310*O311+AE310*P311+AF310*Q311+AG310*R311+AH310*S311+AI310*T311</f>
        <v/>
      </c>
      <c r="AL311" s="9">
        <f>AVERAGE(L51:L310)</f>
        <v/>
      </c>
    </row>
    <row r="312">
      <c r="A312" s="7" t="n">
        <v>39787</v>
      </c>
      <c r="B312" s="8" t="n">
        <v>749</v>
      </c>
      <c r="C312" s="8" t="n">
        <v>0.44</v>
      </c>
      <c r="D312" s="8" t="n">
        <v>2.23</v>
      </c>
      <c r="E312" s="8" t="n">
        <v>87.120003</v>
      </c>
      <c r="F312" s="8" t="n">
        <v>41.01</v>
      </c>
      <c r="G312" s="8" t="n">
        <v>59.93</v>
      </c>
      <c r="H312" s="8" t="n">
        <v>216.399994</v>
      </c>
      <c r="I312" s="8" t="n">
        <v>876.070007</v>
      </c>
      <c r="J312" s="8" t="n">
        <v>60.058407</v>
      </c>
      <c r="L312" s="9">
        <f>LN(B312/B311)</f>
        <v/>
      </c>
      <c r="M312" s="9">
        <f>$M$1*(C312-C311)</f>
        <v/>
      </c>
      <c r="N312" s="9">
        <f>$N$1*(D312-D311)</f>
        <v/>
      </c>
      <c r="O312" s="9">
        <f>$O$1*LN(E312/E311)</f>
        <v/>
      </c>
      <c r="P312" s="9">
        <f>$P$1*LN(F312/F311)</f>
        <v/>
      </c>
      <c r="Q312" s="9">
        <f>$Q$1*(G312-G311)</f>
        <v/>
      </c>
      <c r="R312" s="9">
        <f>$R$1*(H312-H311)</f>
        <v/>
      </c>
      <c r="S312" s="9">
        <f>$S$1*LN(I312/I311)</f>
        <v/>
      </c>
      <c r="T312" s="9">
        <f>$T$1*LN(J312/J311)</f>
        <v/>
      </c>
      <c r="U312" s="9">
        <f>$W$12+$W$4*M312+$W$5*N312+$W$6*O312+$W$7*P312+$W$8*Q312+$W$9*R312+$W$10*S312+$W$11*T312</f>
        <v/>
      </c>
      <c r="AA312" s="10">
        <f>INDEX(LINEST(L53:L312,M53:T312,TRUE,TRUE),1,9)*52</f>
        <v/>
      </c>
      <c r="AB312" s="9">
        <f>INDEX(LINEST(L53:L312,M53:T312,TRUE,TRUE),1,8)</f>
        <v/>
      </c>
      <c r="AC312" s="9">
        <f>INDEX(LINEST(L53:L312,M53:T312,TRUE,TRUE),1,7)</f>
        <v/>
      </c>
      <c r="AD312" s="9">
        <f>INDEX(LINEST(L53:L312,M53:T312,TRUE,TRUE),1,6)</f>
        <v/>
      </c>
      <c r="AE312" s="9">
        <f>INDEX(LINEST(L53:L312,M53:T312,TRUE,TRUE),1,5)</f>
        <v/>
      </c>
      <c r="AF312" s="9">
        <f>INDEX(LINEST(L53:L312,M53:T312,TRUE,TRUE),1,4)</f>
        <v/>
      </c>
      <c r="AG312" s="9">
        <f>INDEX(LINEST(L53:L312,M53:T312,TRUE,TRUE),1,3)</f>
        <v/>
      </c>
      <c r="AH312" s="9">
        <f>INDEX(LINEST(L53:L312,M53:T312,TRUE,TRUE),1,2)</f>
        <v/>
      </c>
      <c r="AI312" s="9">
        <f>INDEX(LINEST(L53:L312,M53:T312,TRUE,TRUE),1,1)</f>
        <v/>
      </c>
      <c r="AJ312" s="10">
        <f>INDEX(LINEST(L53:L312,M53:T312,TRUE,TRUE),3,1)</f>
        <v/>
      </c>
      <c r="AK312" s="9">
        <f>AA311/52+AB311*M312+AC311*N312+AD311*O312+AE311*P312+AF311*Q312+AG311*R312+AH311*S312+AI311*T312</f>
        <v/>
      </c>
      <c r="AL312" s="9">
        <f>AVERAGE(L52:L311)</f>
        <v/>
      </c>
    </row>
    <row r="313">
      <c r="A313" s="7" t="n">
        <v>39794</v>
      </c>
      <c r="B313" s="8" t="n">
        <v>826.5</v>
      </c>
      <c r="C313" s="8" t="n">
        <v>0.17</v>
      </c>
      <c r="D313" s="8" t="n">
        <v>2.43</v>
      </c>
      <c r="E313" s="8" t="n">
        <v>83.639999</v>
      </c>
      <c r="F313" s="8" t="n">
        <v>46.27</v>
      </c>
      <c r="G313" s="8" t="n">
        <v>54.28</v>
      </c>
      <c r="H313" s="8" t="n">
        <v>222.699997</v>
      </c>
      <c r="I313" s="8" t="n">
        <v>879.72998</v>
      </c>
      <c r="J313" s="8" t="n">
        <v>60.765884</v>
      </c>
      <c r="L313" s="9">
        <f>LN(B313/B312)</f>
        <v/>
      </c>
      <c r="M313" s="9">
        <f>$M$1*(C313-C312)</f>
        <v/>
      </c>
      <c r="N313" s="9">
        <f>$N$1*(D313-D312)</f>
        <v/>
      </c>
      <c r="O313" s="9">
        <f>$O$1*LN(E313/E312)</f>
        <v/>
      </c>
      <c r="P313" s="9">
        <f>$P$1*LN(F313/F312)</f>
        <v/>
      </c>
      <c r="Q313" s="9">
        <f>$Q$1*(G313-G312)</f>
        <v/>
      </c>
      <c r="R313" s="9">
        <f>$R$1*(H313-H312)</f>
        <v/>
      </c>
      <c r="S313" s="9">
        <f>$S$1*LN(I313/I312)</f>
        <v/>
      </c>
      <c r="T313" s="9">
        <f>$T$1*LN(J313/J312)</f>
        <v/>
      </c>
      <c r="U313" s="9">
        <f>$W$12+$W$4*M313+$W$5*N313+$W$6*O313+$W$7*P313+$W$8*Q313+$W$9*R313+$W$10*S313+$W$11*T313</f>
        <v/>
      </c>
      <c r="AA313" s="10">
        <f>INDEX(LINEST(L54:L313,M54:T313,TRUE,TRUE),1,9)*52</f>
        <v/>
      </c>
      <c r="AB313" s="9">
        <f>INDEX(LINEST(L54:L313,M54:T313,TRUE,TRUE),1,8)</f>
        <v/>
      </c>
      <c r="AC313" s="9">
        <f>INDEX(LINEST(L54:L313,M54:T313,TRUE,TRUE),1,7)</f>
        <v/>
      </c>
      <c r="AD313" s="9">
        <f>INDEX(LINEST(L54:L313,M54:T313,TRUE,TRUE),1,6)</f>
        <v/>
      </c>
      <c r="AE313" s="9">
        <f>INDEX(LINEST(L54:L313,M54:T313,TRUE,TRUE),1,5)</f>
        <v/>
      </c>
      <c r="AF313" s="9">
        <f>INDEX(LINEST(L54:L313,M54:T313,TRUE,TRUE),1,4)</f>
        <v/>
      </c>
      <c r="AG313" s="9">
        <f>INDEX(LINEST(L54:L313,M54:T313,TRUE,TRUE),1,3)</f>
        <v/>
      </c>
      <c r="AH313" s="9">
        <f>INDEX(LINEST(L54:L313,M54:T313,TRUE,TRUE),1,2)</f>
        <v/>
      </c>
      <c r="AI313" s="9">
        <f>INDEX(LINEST(L54:L313,M54:T313,TRUE,TRUE),1,1)</f>
        <v/>
      </c>
      <c r="AJ313" s="10">
        <f>INDEX(LINEST(L54:L313,M54:T313,TRUE,TRUE),3,1)</f>
        <v/>
      </c>
      <c r="AK313" s="9">
        <f>AA312/52+AB312*M313+AC312*N313+AD312*O313+AE312*P313+AF312*Q313+AG312*R313+AH312*S313+AI312*T313</f>
        <v/>
      </c>
      <c r="AL313" s="9">
        <f>AVERAGE(L53:L312)</f>
        <v/>
      </c>
    </row>
    <row r="314">
      <c r="A314" s="7" t="n">
        <v>39801</v>
      </c>
      <c r="B314" s="8" t="n">
        <v>835.75</v>
      </c>
      <c r="C314" s="8" t="n">
        <v>0.15</v>
      </c>
      <c r="D314" s="8" t="n">
        <v>1.98</v>
      </c>
      <c r="E314" s="8" t="n">
        <v>81.300003</v>
      </c>
      <c r="F314" s="8" t="n">
        <v>33.17</v>
      </c>
      <c r="G314" s="8" t="n">
        <v>44.93</v>
      </c>
      <c r="H314" s="8" t="n">
        <v>195.800003</v>
      </c>
      <c r="I314" s="8" t="n">
        <v>887.880005</v>
      </c>
      <c r="J314" s="8" t="n">
        <v>61.666855</v>
      </c>
      <c r="L314" s="9">
        <f>LN(B314/B313)</f>
        <v/>
      </c>
      <c r="M314" s="9">
        <f>$M$1*(C314-C313)</f>
        <v/>
      </c>
      <c r="N314" s="9">
        <f>$N$1*(D314-D313)</f>
        <v/>
      </c>
      <c r="O314" s="9">
        <f>$O$1*LN(E314/E313)</f>
        <v/>
      </c>
      <c r="P314" s="9">
        <f>$P$1*LN(F314/F313)</f>
        <v/>
      </c>
      <c r="Q314" s="9">
        <f>$Q$1*(G314-G313)</f>
        <v/>
      </c>
      <c r="R314" s="9">
        <f>$R$1*(H314-H313)</f>
        <v/>
      </c>
      <c r="S314" s="9">
        <f>$S$1*LN(I314/I313)</f>
        <v/>
      </c>
      <c r="T314" s="9">
        <f>$T$1*LN(J314/J313)</f>
        <v/>
      </c>
      <c r="U314" s="9">
        <f>$W$12+$W$4*M314+$W$5*N314+$W$6*O314+$W$7*P314+$W$8*Q314+$W$9*R314+$W$10*S314+$W$11*T314</f>
        <v/>
      </c>
      <c r="AA314" s="10">
        <f>INDEX(LINEST(L55:L314,M55:T314,TRUE,TRUE),1,9)*52</f>
        <v/>
      </c>
      <c r="AB314" s="9">
        <f>INDEX(LINEST(L55:L314,M55:T314,TRUE,TRUE),1,8)</f>
        <v/>
      </c>
      <c r="AC314" s="9">
        <f>INDEX(LINEST(L55:L314,M55:T314,TRUE,TRUE),1,7)</f>
        <v/>
      </c>
      <c r="AD314" s="9">
        <f>INDEX(LINEST(L55:L314,M55:T314,TRUE,TRUE),1,6)</f>
        <v/>
      </c>
      <c r="AE314" s="9">
        <f>INDEX(LINEST(L55:L314,M55:T314,TRUE,TRUE),1,5)</f>
        <v/>
      </c>
      <c r="AF314" s="9">
        <f>INDEX(LINEST(L55:L314,M55:T314,TRUE,TRUE),1,4)</f>
        <v/>
      </c>
      <c r="AG314" s="9">
        <f>INDEX(LINEST(L55:L314,M55:T314,TRUE,TRUE),1,3)</f>
        <v/>
      </c>
      <c r="AH314" s="9">
        <f>INDEX(LINEST(L55:L314,M55:T314,TRUE,TRUE),1,2)</f>
        <v/>
      </c>
      <c r="AI314" s="9">
        <f>INDEX(LINEST(L55:L314,M55:T314,TRUE,TRUE),1,1)</f>
        <v/>
      </c>
      <c r="AJ314" s="10">
        <f>INDEX(LINEST(L55:L314,M55:T314,TRUE,TRUE),3,1)</f>
        <v/>
      </c>
      <c r="AK314" s="9">
        <f>AA313/52+AB313*M314+AC313*N314+AD313*O314+AE313*P314+AF313*Q314+AG313*R314+AH313*S314+AI313*T314</f>
        <v/>
      </c>
      <c r="AL314" s="9">
        <f>AVERAGE(L54:L313)</f>
        <v/>
      </c>
    </row>
    <row r="315">
      <c r="A315" s="7" t="n">
        <v>39808</v>
      </c>
      <c r="B315" s="8" t="n">
        <v>843.5</v>
      </c>
      <c r="C315" s="8" t="n">
        <v>0.13</v>
      </c>
      <c r="D315" s="8" t="n">
        <v>2.03</v>
      </c>
      <c r="E315" s="8" t="n">
        <v>80.889999</v>
      </c>
      <c r="F315" s="8" t="n">
        <v>37.58</v>
      </c>
      <c r="G315" s="8" t="n">
        <v>43.38</v>
      </c>
      <c r="H315" s="8" t="n">
        <v>193.5</v>
      </c>
      <c r="I315" s="8" t="n">
        <v>872.799988</v>
      </c>
      <c r="J315" s="8" t="n">
        <v>62.688839</v>
      </c>
      <c r="L315" s="9">
        <f>LN(B315/B314)</f>
        <v/>
      </c>
      <c r="M315" s="9">
        <f>$M$1*(C315-C314)</f>
        <v/>
      </c>
      <c r="N315" s="9">
        <f>$N$1*(D315-D314)</f>
        <v/>
      </c>
      <c r="O315" s="9">
        <f>$O$1*LN(E315/E314)</f>
        <v/>
      </c>
      <c r="P315" s="9">
        <f>$P$1*LN(F315/F314)</f>
        <v/>
      </c>
      <c r="Q315" s="9">
        <f>$Q$1*(G315-G314)</f>
        <v/>
      </c>
      <c r="R315" s="9">
        <f>$R$1*(H315-H314)</f>
        <v/>
      </c>
      <c r="S315" s="9">
        <f>$S$1*LN(I315/I314)</f>
        <v/>
      </c>
      <c r="T315" s="9">
        <f>$T$1*LN(J315/J314)</f>
        <v/>
      </c>
      <c r="U315" s="9">
        <f>$W$12+$W$4*M315+$W$5*N315+$W$6*O315+$W$7*P315+$W$8*Q315+$W$9*R315+$W$10*S315+$W$11*T315</f>
        <v/>
      </c>
      <c r="AA315" s="10">
        <f>INDEX(LINEST(L56:L315,M56:T315,TRUE,TRUE),1,9)*52</f>
        <v/>
      </c>
      <c r="AB315" s="9">
        <f>INDEX(LINEST(L56:L315,M56:T315,TRUE,TRUE),1,8)</f>
        <v/>
      </c>
      <c r="AC315" s="9">
        <f>INDEX(LINEST(L56:L315,M56:T315,TRUE,TRUE),1,7)</f>
        <v/>
      </c>
      <c r="AD315" s="9">
        <f>INDEX(LINEST(L56:L315,M56:T315,TRUE,TRUE),1,6)</f>
        <v/>
      </c>
      <c r="AE315" s="9">
        <f>INDEX(LINEST(L56:L315,M56:T315,TRUE,TRUE),1,5)</f>
        <v/>
      </c>
      <c r="AF315" s="9">
        <f>INDEX(LINEST(L56:L315,M56:T315,TRUE,TRUE),1,4)</f>
        <v/>
      </c>
      <c r="AG315" s="9">
        <f>INDEX(LINEST(L56:L315,M56:T315,TRUE,TRUE),1,3)</f>
        <v/>
      </c>
      <c r="AH315" s="9">
        <f>INDEX(LINEST(L56:L315,M56:T315,TRUE,TRUE),1,2)</f>
        <v/>
      </c>
      <c r="AI315" s="9">
        <f>INDEX(LINEST(L56:L315,M56:T315,TRUE,TRUE),1,1)</f>
        <v/>
      </c>
      <c r="AJ315" s="10">
        <f>INDEX(LINEST(L56:L315,M56:T315,TRUE,TRUE),3,1)</f>
        <v/>
      </c>
      <c r="AK315" s="9">
        <f>AA314/52+AB314*M315+AC314*N315+AD314*O315+AE314*P315+AF314*Q315+AG314*R315+AH314*S315+AI314*T315</f>
        <v/>
      </c>
      <c r="AL315" s="9">
        <f>AVERAGE(L55:L314)</f>
        <v/>
      </c>
    </row>
    <row r="316">
      <c r="A316" s="7" t="n">
        <v>39815</v>
      </c>
      <c r="B316" s="8" t="n">
        <v>874.5</v>
      </c>
      <c r="C316" s="8" t="n">
        <v>0.17</v>
      </c>
      <c r="D316" s="8" t="n">
        <v>2.29</v>
      </c>
      <c r="E316" s="8" t="n">
        <v>81.839996</v>
      </c>
      <c r="F316" s="8" t="n">
        <v>46.17</v>
      </c>
      <c r="G316" s="8" t="n">
        <v>39.19</v>
      </c>
      <c r="H316" s="8" t="n">
        <v>183.100006</v>
      </c>
      <c r="I316" s="8" t="n">
        <v>931.799988</v>
      </c>
      <c r="J316" s="8" t="n">
        <v>62.844154</v>
      </c>
      <c r="L316" s="9">
        <f>LN(B316/B315)</f>
        <v/>
      </c>
      <c r="M316" s="9">
        <f>$M$1*(C316-C315)</f>
        <v/>
      </c>
      <c r="N316" s="9">
        <f>$N$1*(D316-D315)</f>
        <v/>
      </c>
      <c r="O316" s="9">
        <f>$O$1*LN(E316/E315)</f>
        <v/>
      </c>
      <c r="P316" s="9">
        <f>$P$1*LN(F316/F315)</f>
        <v/>
      </c>
      <c r="Q316" s="9">
        <f>$Q$1*(G316-G315)</f>
        <v/>
      </c>
      <c r="R316" s="9">
        <f>$R$1*(H316-H315)</f>
        <v/>
      </c>
      <c r="S316" s="9">
        <f>$S$1*LN(I316/I315)</f>
        <v/>
      </c>
      <c r="T316" s="9">
        <f>$T$1*LN(J316/J315)</f>
        <v/>
      </c>
      <c r="U316" s="9">
        <f>$W$12+$W$4*M316+$W$5*N316+$W$6*O316+$W$7*P316+$W$8*Q316+$W$9*R316+$W$10*S316+$W$11*T316</f>
        <v/>
      </c>
      <c r="AA316" s="10">
        <f>INDEX(LINEST(L57:L316,M57:T316,TRUE,TRUE),1,9)*52</f>
        <v/>
      </c>
      <c r="AB316" s="9">
        <f>INDEX(LINEST(L57:L316,M57:T316,TRUE,TRUE),1,8)</f>
        <v/>
      </c>
      <c r="AC316" s="9">
        <f>INDEX(LINEST(L57:L316,M57:T316,TRUE,TRUE),1,7)</f>
        <v/>
      </c>
      <c r="AD316" s="9">
        <f>INDEX(LINEST(L57:L316,M57:T316,TRUE,TRUE),1,6)</f>
        <v/>
      </c>
      <c r="AE316" s="9">
        <f>INDEX(LINEST(L57:L316,M57:T316,TRUE,TRUE),1,5)</f>
        <v/>
      </c>
      <c r="AF316" s="9">
        <f>INDEX(LINEST(L57:L316,M57:T316,TRUE,TRUE),1,4)</f>
        <v/>
      </c>
      <c r="AG316" s="9">
        <f>INDEX(LINEST(L57:L316,M57:T316,TRUE,TRUE),1,3)</f>
        <v/>
      </c>
      <c r="AH316" s="9">
        <f>INDEX(LINEST(L57:L316,M57:T316,TRUE,TRUE),1,2)</f>
        <v/>
      </c>
      <c r="AI316" s="9">
        <f>INDEX(LINEST(L57:L316,M57:T316,TRUE,TRUE),1,1)</f>
        <v/>
      </c>
      <c r="AJ316" s="10">
        <f>INDEX(LINEST(L57:L316,M57:T316,TRUE,TRUE),3,1)</f>
        <v/>
      </c>
      <c r="AK316" s="9">
        <f>AA315/52+AB315*M316+AC315*N316+AD315*O316+AE315*P316+AF315*Q316+AG315*R316+AH315*S316+AI315*T316</f>
        <v/>
      </c>
      <c r="AL316" s="9">
        <f>AVERAGE(L56:L315)</f>
        <v/>
      </c>
    </row>
    <row r="317">
      <c r="A317" s="7" t="n">
        <v>39822</v>
      </c>
      <c r="B317" s="8" t="n">
        <v>847.25</v>
      </c>
      <c r="C317" s="8" t="n">
        <v>0.5600000000000001</v>
      </c>
      <c r="D317" s="8" t="n">
        <v>1.87</v>
      </c>
      <c r="E317" s="8" t="n">
        <v>82.660004</v>
      </c>
      <c r="F317" s="8" t="n">
        <v>40.69</v>
      </c>
      <c r="G317" s="8" t="n">
        <v>42.82</v>
      </c>
      <c r="H317" s="8" t="n">
        <v>138</v>
      </c>
      <c r="I317" s="8" t="n">
        <v>890.349976</v>
      </c>
      <c r="J317" s="8" t="n">
        <v>62.212975</v>
      </c>
      <c r="L317" s="9">
        <f>LN(B317/B316)</f>
        <v/>
      </c>
      <c r="M317" s="9">
        <f>$M$1*(C317-C316)</f>
        <v/>
      </c>
      <c r="N317" s="9">
        <f>$N$1*(D317-D316)</f>
        <v/>
      </c>
      <c r="O317" s="9">
        <f>$O$1*LN(E317/E316)</f>
        <v/>
      </c>
      <c r="P317" s="9">
        <f>$P$1*LN(F317/F316)</f>
        <v/>
      </c>
      <c r="Q317" s="9">
        <f>$Q$1*(G317-G316)</f>
        <v/>
      </c>
      <c r="R317" s="9">
        <f>$R$1*(H317-H316)</f>
        <v/>
      </c>
      <c r="S317" s="9">
        <f>$S$1*LN(I317/I316)</f>
        <v/>
      </c>
      <c r="T317" s="9">
        <f>$T$1*LN(J317/J316)</f>
        <v/>
      </c>
      <c r="U317" s="9">
        <f>$W$12+$W$4*M317+$W$5*N317+$W$6*O317+$W$7*P317+$W$8*Q317+$W$9*R317+$W$10*S317+$W$11*T317</f>
        <v/>
      </c>
      <c r="AA317" s="10">
        <f>INDEX(LINEST(L58:L317,M58:T317,TRUE,TRUE),1,9)*52</f>
        <v/>
      </c>
      <c r="AB317" s="9">
        <f>INDEX(LINEST(L58:L317,M58:T317,TRUE,TRUE),1,8)</f>
        <v/>
      </c>
      <c r="AC317" s="9">
        <f>INDEX(LINEST(L58:L317,M58:T317,TRUE,TRUE),1,7)</f>
        <v/>
      </c>
      <c r="AD317" s="9">
        <f>INDEX(LINEST(L58:L317,M58:T317,TRUE,TRUE),1,6)</f>
        <v/>
      </c>
      <c r="AE317" s="9">
        <f>INDEX(LINEST(L58:L317,M58:T317,TRUE,TRUE),1,5)</f>
        <v/>
      </c>
      <c r="AF317" s="9">
        <f>INDEX(LINEST(L58:L317,M58:T317,TRUE,TRUE),1,4)</f>
        <v/>
      </c>
      <c r="AG317" s="9">
        <f>INDEX(LINEST(L58:L317,M58:T317,TRUE,TRUE),1,3)</f>
        <v/>
      </c>
      <c r="AH317" s="9">
        <f>INDEX(LINEST(L58:L317,M58:T317,TRUE,TRUE),1,2)</f>
        <v/>
      </c>
      <c r="AI317" s="9">
        <f>INDEX(LINEST(L58:L317,M58:T317,TRUE,TRUE),1,1)</f>
        <v/>
      </c>
      <c r="AJ317" s="10">
        <f>INDEX(LINEST(L58:L317,M58:T317,TRUE,TRUE),3,1)</f>
        <v/>
      </c>
      <c r="AK317" s="9">
        <f>AA316/52+AB316*M317+AC316*N317+AD316*O317+AE316*P317+AF316*Q317+AG316*R317+AH316*S317+AI316*T317</f>
        <v/>
      </c>
      <c r="AL317" s="9">
        <f>AVERAGE(L57:L316)</f>
        <v/>
      </c>
    </row>
    <row r="318">
      <c r="A318" s="7" t="n">
        <v>39829</v>
      </c>
      <c r="B318" s="8" t="n">
        <v>833.75</v>
      </c>
      <c r="C318" s="8" t="n">
        <v>0.55</v>
      </c>
      <c r="D318" s="8" t="n">
        <v>1.81</v>
      </c>
      <c r="E318" s="8" t="n">
        <v>84.209999</v>
      </c>
      <c r="F318" s="8" t="n">
        <v>35.38</v>
      </c>
      <c r="G318" s="8" t="n">
        <v>46.11</v>
      </c>
      <c r="H318" s="8" t="n">
        <v>126.900002</v>
      </c>
      <c r="I318" s="8" t="n">
        <v>850.119995</v>
      </c>
      <c r="J318" s="8" t="n">
        <v>62.874508</v>
      </c>
      <c r="L318" s="9">
        <f>LN(B318/B317)</f>
        <v/>
      </c>
      <c r="M318" s="9">
        <f>$M$1*(C318-C317)</f>
        <v/>
      </c>
      <c r="N318" s="9">
        <f>$N$1*(D318-D317)</f>
        <v/>
      </c>
      <c r="O318" s="9">
        <f>$O$1*LN(E318/E317)</f>
        <v/>
      </c>
      <c r="P318" s="9">
        <f>$P$1*LN(F318/F317)</f>
        <v/>
      </c>
      <c r="Q318" s="9">
        <f>$Q$1*(G318-G317)</f>
        <v/>
      </c>
      <c r="R318" s="9">
        <f>$R$1*(H318-H317)</f>
        <v/>
      </c>
      <c r="S318" s="9">
        <f>$S$1*LN(I318/I317)</f>
        <v/>
      </c>
      <c r="T318" s="9">
        <f>$T$1*LN(J318/J317)</f>
        <v/>
      </c>
      <c r="U318" s="9">
        <f>$W$12+$W$4*M318+$W$5*N318+$W$6*O318+$W$7*P318+$W$8*Q318+$W$9*R318+$W$10*S318+$W$11*T318</f>
        <v/>
      </c>
      <c r="AA318" s="10">
        <f>INDEX(LINEST(L59:L318,M59:T318,TRUE,TRUE),1,9)*52</f>
        <v/>
      </c>
      <c r="AB318" s="9">
        <f>INDEX(LINEST(L59:L318,M59:T318,TRUE,TRUE),1,8)</f>
        <v/>
      </c>
      <c r="AC318" s="9">
        <f>INDEX(LINEST(L59:L318,M59:T318,TRUE,TRUE),1,7)</f>
        <v/>
      </c>
      <c r="AD318" s="9">
        <f>INDEX(LINEST(L59:L318,M59:T318,TRUE,TRUE),1,6)</f>
        <v/>
      </c>
      <c r="AE318" s="9">
        <f>INDEX(LINEST(L59:L318,M59:T318,TRUE,TRUE),1,5)</f>
        <v/>
      </c>
      <c r="AF318" s="9">
        <f>INDEX(LINEST(L59:L318,M59:T318,TRUE,TRUE),1,4)</f>
        <v/>
      </c>
      <c r="AG318" s="9">
        <f>INDEX(LINEST(L59:L318,M59:T318,TRUE,TRUE),1,3)</f>
        <v/>
      </c>
      <c r="AH318" s="9">
        <f>INDEX(LINEST(L59:L318,M59:T318,TRUE,TRUE),1,2)</f>
        <v/>
      </c>
      <c r="AI318" s="9">
        <f>INDEX(LINEST(L59:L318,M59:T318,TRUE,TRUE),1,1)</f>
        <v/>
      </c>
      <c r="AJ318" s="10">
        <f>INDEX(LINEST(L59:L318,M59:T318,TRUE,TRUE),3,1)</f>
        <v/>
      </c>
      <c r="AK318" s="9">
        <f>AA317/52+AB317*M318+AC317*N318+AD317*O318+AE317*P318+AF317*Q318+AG317*R318+AH317*S318+AI317*T318</f>
        <v/>
      </c>
      <c r="AL318" s="9">
        <f>AVERAGE(L58:L317)</f>
        <v/>
      </c>
    </row>
    <row r="319">
      <c r="A319" s="7" t="n">
        <v>39836</v>
      </c>
      <c r="B319" s="8" t="n">
        <v>875.75</v>
      </c>
      <c r="C319" s="8" t="n">
        <v>0.72</v>
      </c>
      <c r="D319" s="8" t="n">
        <v>1.93</v>
      </c>
      <c r="E319" s="8" t="n">
        <v>85.610001</v>
      </c>
      <c r="F319" s="8" t="n">
        <v>45.12</v>
      </c>
      <c r="G319" s="8" t="n">
        <v>47.27</v>
      </c>
      <c r="H319" s="8" t="n">
        <v>155.300003</v>
      </c>
      <c r="I319" s="8" t="n">
        <v>831.950012</v>
      </c>
      <c r="J319" s="8" t="n">
        <v>61.854961</v>
      </c>
      <c r="L319" s="9">
        <f>LN(B319/B318)</f>
        <v/>
      </c>
      <c r="M319" s="9">
        <f>$M$1*(C319-C318)</f>
        <v/>
      </c>
      <c r="N319" s="9">
        <f>$N$1*(D319-D318)</f>
        <v/>
      </c>
      <c r="O319" s="9">
        <f>$O$1*LN(E319/E318)</f>
        <v/>
      </c>
      <c r="P319" s="9">
        <f>$P$1*LN(F319/F318)</f>
        <v/>
      </c>
      <c r="Q319" s="9">
        <f>$Q$1*(G319-G318)</f>
        <v/>
      </c>
      <c r="R319" s="9">
        <f>$R$1*(H319-H318)</f>
        <v/>
      </c>
      <c r="S319" s="9">
        <f>$S$1*LN(I319/I318)</f>
        <v/>
      </c>
      <c r="T319" s="9">
        <f>$T$1*LN(J319/J318)</f>
        <v/>
      </c>
      <c r="U319" s="9">
        <f>$W$12+$W$4*M319+$W$5*N319+$W$6*O319+$W$7*P319+$W$8*Q319+$W$9*R319+$W$10*S319+$W$11*T319</f>
        <v/>
      </c>
      <c r="AA319" s="10">
        <f>INDEX(LINEST(L60:L319,M60:T319,TRUE,TRUE),1,9)*52</f>
        <v/>
      </c>
      <c r="AB319" s="9">
        <f>INDEX(LINEST(L60:L319,M60:T319,TRUE,TRUE),1,8)</f>
        <v/>
      </c>
      <c r="AC319" s="9">
        <f>INDEX(LINEST(L60:L319,M60:T319,TRUE,TRUE),1,7)</f>
        <v/>
      </c>
      <c r="AD319" s="9">
        <f>INDEX(LINEST(L60:L319,M60:T319,TRUE,TRUE),1,6)</f>
        <v/>
      </c>
      <c r="AE319" s="9">
        <f>INDEX(LINEST(L60:L319,M60:T319,TRUE,TRUE),1,5)</f>
        <v/>
      </c>
      <c r="AF319" s="9">
        <f>INDEX(LINEST(L60:L319,M60:T319,TRUE,TRUE),1,4)</f>
        <v/>
      </c>
      <c r="AG319" s="9">
        <f>INDEX(LINEST(L60:L319,M60:T319,TRUE,TRUE),1,3)</f>
        <v/>
      </c>
      <c r="AH319" s="9">
        <f>INDEX(LINEST(L60:L319,M60:T319,TRUE,TRUE),1,2)</f>
        <v/>
      </c>
      <c r="AI319" s="9">
        <f>INDEX(LINEST(L60:L319,M60:T319,TRUE,TRUE),1,1)</f>
        <v/>
      </c>
      <c r="AJ319" s="10">
        <f>INDEX(LINEST(L60:L319,M60:T319,TRUE,TRUE),3,1)</f>
        <v/>
      </c>
      <c r="AK319" s="9">
        <f>AA318/52+AB318*M319+AC318*N319+AD318*O319+AE318*P319+AF318*Q319+AG318*R319+AH318*S319+AI318*T319</f>
        <v/>
      </c>
      <c r="AL319" s="9">
        <f>AVERAGE(L59:L318)</f>
        <v/>
      </c>
    </row>
    <row r="320">
      <c r="A320" s="7" t="n">
        <v>39843</v>
      </c>
      <c r="B320" s="8" t="n">
        <v>919.5</v>
      </c>
      <c r="C320" s="8" t="n">
        <v>1.14</v>
      </c>
      <c r="D320" s="8" t="n">
        <v>1.73</v>
      </c>
      <c r="E320" s="8" t="n">
        <v>86</v>
      </c>
      <c r="F320" s="8" t="n">
        <v>41.73</v>
      </c>
      <c r="G320" s="8" t="n">
        <v>44.84</v>
      </c>
      <c r="H320" s="8" t="n">
        <v>162.899994</v>
      </c>
      <c r="I320" s="8" t="n">
        <v>825.880005</v>
      </c>
      <c r="J320" s="8" t="n">
        <v>61.982361</v>
      </c>
      <c r="L320" s="9">
        <f>LN(B320/B319)</f>
        <v/>
      </c>
      <c r="M320" s="9">
        <f>$M$1*(C320-C319)</f>
        <v/>
      </c>
      <c r="N320" s="9">
        <f>$N$1*(D320-D319)</f>
        <v/>
      </c>
      <c r="O320" s="9">
        <f>$O$1*LN(E320/E319)</f>
        <v/>
      </c>
      <c r="P320" s="9">
        <f>$P$1*LN(F320/F319)</f>
        <v/>
      </c>
      <c r="Q320" s="9">
        <f>$Q$1*(G320-G319)</f>
        <v/>
      </c>
      <c r="R320" s="9">
        <f>$R$1*(H320-H319)</f>
        <v/>
      </c>
      <c r="S320" s="9">
        <f>$S$1*LN(I320/I319)</f>
        <v/>
      </c>
      <c r="T320" s="9">
        <f>$T$1*LN(J320/J319)</f>
        <v/>
      </c>
      <c r="U320" s="9">
        <f>$W$12+$W$4*M320+$W$5*N320+$W$6*O320+$W$7*P320+$W$8*Q320+$W$9*R320+$W$10*S320+$W$11*T320</f>
        <v/>
      </c>
      <c r="AA320" s="10">
        <f>INDEX(LINEST(L61:L320,M61:T320,TRUE,TRUE),1,9)*52</f>
        <v/>
      </c>
      <c r="AB320" s="9">
        <f>INDEX(LINEST(L61:L320,M61:T320,TRUE,TRUE),1,8)</f>
        <v/>
      </c>
      <c r="AC320" s="9">
        <f>INDEX(LINEST(L61:L320,M61:T320,TRUE,TRUE),1,7)</f>
        <v/>
      </c>
      <c r="AD320" s="9">
        <f>INDEX(LINEST(L61:L320,M61:T320,TRUE,TRUE),1,6)</f>
        <v/>
      </c>
      <c r="AE320" s="9">
        <f>INDEX(LINEST(L61:L320,M61:T320,TRUE,TRUE),1,5)</f>
        <v/>
      </c>
      <c r="AF320" s="9">
        <f>INDEX(LINEST(L61:L320,M61:T320,TRUE,TRUE),1,4)</f>
        <v/>
      </c>
      <c r="AG320" s="9">
        <f>INDEX(LINEST(L61:L320,M61:T320,TRUE,TRUE),1,3)</f>
        <v/>
      </c>
      <c r="AH320" s="9">
        <f>INDEX(LINEST(L61:L320,M61:T320,TRUE,TRUE),1,2)</f>
        <v/>
      </c>
      <c r="AI320" s="9">
        <f>INDEX(LINEST(L61:L320,M61:T320,TRUE,TRUE),1,1)</f>
        <v/>
      </c>
      <c r="AJ320" s="10">
        <f>INDEX(LINEST(L61:L320,M61:T320,TRUE,TRUE),3,1)</f>
        <v/>
      </c>
      <c r="AK320" s="9">
        <f>AA319/52+AB319*M320+AC319*N320+AD319*O320+AE319*P320+AF319*Q320+AG319*R320+AH319*S320+AI319*T320</f>
        <v/>
      </c>
      <c r="AL320" s="9">
        <f>AVERAGE(L60:L319)</f>
        <v/>
      </c>
    </row>
    <row r="321">
      <c r="A321" s="7" t="n">
        <v>39850</v>
      </c>
      <c r="B321" s="8" t="n">
        <v>913</v>
      </c>
      <c r="C321" s="8" t="n">
        <v>1.23</v>
      </c>
      <c r="D321" s="8" t="n">
        <v>1.82</v>
      </c>
      <c r="E321" s="8" t="n">
        <v>85.349998</v>
      </c>
      <c r="F321" s="8" t="n">
        <v>40.24</v>
      </c>
      <c r="G321" s="8" t="n">
        <v>43.37</v>
      </c>
      <c r="H321" s="8" t="n">
        <v>182.100006</v>
      </c>
      <c r="I321" s="8" t="n">
        <v>868.599976</v>
      </c>
      <c r="J321" s="8" t="n">
        <v>61.48658</v>
      </c>
      <c r="L321" s="9">
        <f>LN(B321/B320)</f>
        <v/>
      </c>
      <c r="M321" s="9">
        <f>$M$1*(C321-C320)</f>
        <v/>
      </c>
      <c r="N321" s="9">
        <f>$N$1*(D321-D320)</f>
        <v/>
      </c>
      <c r="O321" s="9">
        <f>$O$1*LN(E321/E320)</f>
        <v/>
      </c>
      <c r="P321" s="9">
        <f>$P$1*LN(F321/F320)</f>
        <v/>
      </c>
      <c r="Q321" s="9">
        <f>$Q$1*(G321-G320)</f>
        <v/>
      </c>
      <c r="R321" s="9">
        <f>$R$1*(H321-H320)</f>
        <v/>
      </c>
      <c r="S321" s="9">
        <f>$S$1*LN(I321/I320)</f>
        <v/>
      </c>
      <c r="T321" s="9">
        <f>$T$1*LN(J321/J320)</f>
        <v/>
      </c>
      <c r="U321" s="9">
        <f>$W$12+$W$4*M321+$W$5*N321+$W$6*O321+$W$7*P321+$W$8*Q321+$W$9*R321+$W$10*S321+$W$11*T321</f>
        <v/>
      </c>
      <c r="AA321" s="10">
        <f>INDEX(LINEST(L62:L321,M62:T321,TRUE,TRUE),1,9)*52</f>
        <v/>
      </c>
      <c r="AB321" s="9">
        <f>INDEX(LINEST(L62:L321,M62:T321,TRUE,TRUE),1,8)</f>
        <v/>
      </c>
      <c r="AC321" s="9">
        <f>INDEX(LINEST(L62:L321,M62:T321,TRUE,TRUE),1,7)</f>
        <v/>
      </c>
      <c r="AD321" s="9">
        <f>INDEX(LINEST(L62:L321,M62:T321,TRUE,TRUE),1,6)</f>
        <v/>
      </c>
      <c r="AE321" s="9">
        <f>INDEX(LINEST(L62:L321,M62:T321,TRUE,TRUE),1,5)</f>
        <v/>
      </c>
      <c r="AF321" s="9">
        <f>INDEX(LINEST(L62:L321,M62:T321,TRUE,TRUE),1,4)</f>
        <v/>
      </c>
      <c r="AG321" s="9">
        <f>INDEX(LINEST(L62:L321,M62:T321,TRUE,TRUE),1,3)</f>
        <v/>
      </c>
      <c r="AH321" s="9">
        <f>INDEX(LINEST(L62:L321,M62:T321,TRUE,TRUE),1,2)</f>
        <v/>
      </c>
      <c r="AI321" s="9">
        <f>INDEX(LINEST(L62:L321,M62:T321,TRUE,TRUE),1,1)</f>
        <v/>
      </c>
      <c r="AJ321" s="10">
        <f>INDEX(LINEST(L62:L321,M62:T321,TRUE,TRUE),3,1)</f>
        <v/>
      </c>
      <c r="AK321" s="9">
        <f>AA320/52+AB320*M321+AC320*N321+AD320*O321+AE320*P321+AF320*Q321+AG320*R321+AH320*S321+AI320*T321</f>
        <v/>
      </c>
      <c r="AL321" s="9">
        <f>AVERAGE(L61:L320)</f>
        <v/>
      </c>
    </row>
    <row r="322">
      <c r="A322" s="7" t="n">
        <v>39857</v>
      </c>
      <c r="B322" s="8" t="n">
        <v>935.5</v>
      </c>
      <c r="C322" s="8" t="n">
        <v>1.21</v>
      </c>
      <c r="D322" s="8" t="n">
        <v>1.68</v>
      </c>
      <c r="E322" s="8" t="n">
        <v>86.040001</v>
      </c>
      <c r="F322" s="8" t="n">
        <v>37.63</v>
      </c>
      <c r="G322" s="8" t="n">
        <v>42.93</v>
      </c>
      <c r="H322" s="8" t="n">
        <v>158.699997</v>
      </c>
      <c r="I322" s="8" t="n">
        <v>826.840027</v>
      </c>
      <c r="J322" s="8" t="n">
        <v>61.998165</v>
      </c>
      <c r="L322" s="9">
        <f>LN(B322/B321)</f>
        <v/>
      </c>
      <c r="M322" s="9">
        <f>$M$1*(C322-C321)</f>
        <v/>
      </c>
      <c r="N322" s="9">
        <f>$N$1*(D322-D321)</f>
        <v/>
      </c>
      <c r="O322" s="9">
        <f>$O$1*LN(E322/E321)</f>
        <v/>
      </c>
      <c r="P322" s="9">
        <f>$P$1*LN(F322/F321)</f>
        <v/>
      </c>
      <c r="Q322" s="9">
        <f>$Q$1*(G322-G321)</f>
        <v/>
      </c>
      <c r="R322" s="9">
        <f>$R$1*(H322-H321)</f>
        <v/>
      </c>
      <c r="S322" s="9">
        <f>$S$1*LN(I322/I321)</f>
        <v/>
      </c>
      <c r="T322" s="9">
        <f>$T$1*LN(J322/J321)</f>
        <v/>
      </c>
      <c r="U322" s="9">
        <f>$W$12+$W$4*M322+$W$5*N322+$W$6*O322+$W$7*P322+$W$8*Q322+$W$9*R322+$W$10*S322+$W$11*T322</f>
        <v/>
      </c>
      <c r="AA322" s="10">
        <f>INDEX(LINEST(L63:L322,M63:T322,TRUE,TRUE),1,9)*52</f>
        <v/>
      </c>
      <c r="AB322" s="9">
        <f>INDEX(LINEST(L63:L322,M63:T322,TRUE,TRUE),1,8)</f>
        <v/>
      </c>
      <c r="AC322" s="9">
        <f>INDEX(LINEST(L63:L322,M63:T322,TRUE,TRUE),1,7)</f>
        <v/>
      </c>
      <c r="AD322" s="9">
        <f>INDEX(LINEST(L63:L322,M63:T322,TRUE,TRUE),1,6)</f>
        <v/>
      </c>
      <c r="AE322" s="9">
        <f>INDEX(LINEST(L63:L322,M63:T322,TRUE,TRUE),1,5)</f>
        <v/>
      </c>
      <c r="AF322" s="9">
        <f>INDEX(LINEST(L63:L322,M63:T322,TRUE,TRUE),1,4)</f>
        <v/>
      </c>
      <c r="AG322" s="9">
        <f>INDEX(LINEST(L63:L322,M63:T322,TRUE,TRUE),1,3)</f>
        <v/>
      </c>
      <c r="AH322" s="9">
        <f>INDEX(LINEST(L63:L322,M63:T322,TRUE,TRUE),1,2)</f>
        <v/>
      </c>
      <c r="AI322" s="9">
        <f>INDEX(LINEST(L63:L322,M63:T322,TRUE,TRUE),1,1)</f>
        <v/>
      </c>
      <c r="AJ322" s="10">
        <f>INDEX(LINEST(L63:L322,M63:T322,TRUE,TRUE),3,1)</f>
        <v/>
      </c>
      <c r="AK322" s="9">
        <f>AA321/52+AB321*M322+AC321*N322+AD321*O322+AE321*P322+AF321*Q322+AG321*R322+AH321*S322+AI321*T322</f>
        <v/>
      </c>
      <c r="AL322" s="9">
        <f>AVERAGE(L62:L321)</f>
        <v/>
      </c>
    </row>
    <row r="323">
      <c r="A323" s="7" t="n">
        <v>39864</v>
      </c>
      <c r="B323" s="8" t="n">
        <v>989</v>
      </c>
      <c r="C323" s="8" t="n">
        <v>1.11</v>
      </c>
      <c r="D323" s="8" t="n">
        <v>1.67</v>
      </c>
      <c r="E323" s="8" t="n">
        <v>86.489998</v>
      </c>
      <c r="F323" s="8" t="n">
        <v>39.35</v>
      </c>
      <c r="G323" s="8" t="n">
        <v>49.3</v>
      </c>
      <c r="H323" s="8" t="n">
        <v>165.5</v>
      </c>
      <c r="I323" s="8" t="n">
        <v>770.049988</v>
      </c>
      <c r="J323" s="8" t="n">
        <v>61.504887</v>
      </c>
      <c r="L323" s="9">
        <f>LN(B323/B322)</f>
        <v/>
      </c>
      <c r="M323" s="9">
        <f>$M$1*(C323-C322)</f>
        <v/>
      </c>
      <c r="N323" s="9">
        <f>$N$1*(D323-D322)</f>
        <v/>
      </c>
      <c r="O323" s="9">
        <f>$O$1*LN(E323/E322)</f>
        <v/>
      </c>
      <c r="P323" s="9">
        <f>$P$1*LN(F323/F322)</f>
        <v/>
      </c>
      <c r="Q323" s="9">
        <f>$Q$1*(G323-G322)</f>
        <v/>
      </c>
      <c r="R323" s="9">
        <f>$R$1*(H323-H322)</f>
        <v/>
      </c>
      <c r="S323" s="9">
        <f>$S$1*LN(I323/I322)</f>
        <v/>
      </c>
      <c r="T323" s="9">
        <f>$T$1*LN(J323/J322)</f>
        <v/>
      </c>
      <c r="U323" s="9">
        <f>$W$12+$W$4*M323+$W$5*N323+$W$6*O323+$W$7*P323+$W$8*Q323+$W$9*R323+$W$10*S323+$W$11*T323</f>
        <v/>
      </c>
      <c r="AA323" s="10">
        <f>INDEX(LINEST(L64:L323,M64:T323,TRUE,TRUE),1,9)*52</f>
        <v/>
      </c>
      <c r="AB323" s="9">
        <f>INDEX(LINEST(L64:L323,M64:T323,TRUE,TRUE),1,8)</f>
        <v/>
      </c>
      <c r="AC323" s="9">
        <f>INDEX(LINEST(L64:L323,M64:T323,TRUE,TRUE),1,7)</f>
        <v/>
      </c>
      <c r="AD323" s="9">
        <f>INDEX(LINEST(L64:L323,M64:T323,TRUE,TRUE),1,6)</f>
        <v/>
      </c>
      <c r="AE323" s="9">
        <f>INDEX(LINEST(L64:L323,M64:T323,TRUE,TRUE),1,5)</f>
        <v/>
      </c>
      <c r="AF323" s="9">
        <f>INDEX(LINEST(L64:L323,M64:T323,TRUE,TRUE),1,4)</f>
        <v/>
      </c>
      <c r="AG323" s="9">
        <f>INDEX(LINEST(L64:L323,M64:T323,TRUE,TRUE),1,3)</f>
        <v/>
      </c>
      <c r="AH323" s="9">
        <f>INDEX(LINEST(L64:L323,M64:T323,TRUE,TRUE),1,2)</f>
        <v/>
      </c>
      <c r="AI323" s="9">
        <f>INDEX(LINEST(L64:L323,M64:T323,TRUE,TRUE),1,1)</f>
        <v/>
      </c>
      <c r="AJ323" s="10">
        <f>INDEX(LINEST(L64:L323,M64:T323,TRUE,TRUE),3,1)</f>
        <v/>
      </c>
      <c r="AK323" s="9">
        <f>AA322/52+AB322*M323+AC322*N323+AD322*O323+AE322*P323+AF322*Q323+AG322*R323+AH322*S323+AI322*T323</f>
        <v/>
      </c>
      <c r="AL323" s="9">
        <f>AVERAGE(L63:L322)</f>
        <v/>
      </c>
    </row>
    <row r="324">
      <c r="A324" s="7" t="n">
        <v>39871</v>
      </c>
      <c r="B324" s="8" t="n">
        <v>952</v>
      </c>
      <c r="C324" s="8" t="n">
        <v>0.96</v>
      </c>
      <c r="D324" s="8" t="n">
        <v>2.06</v>
      </c>
      <c r="E324" s="8" t="n">
        <v>88.010002</v>
      </c>
      <c r="F324" s="8" t="n">
        <v>44.15</v>
      </c>
      <c r="G324" s="8" t="n">
        <v>46.35</v>
      </c>
      <c r="H324" s="8" t="n">
        <v>166.600006</v>
      </c>
      <c r="I324" s="8" t="n">
        <v>735.090027</v>
      </c>
      <c r="J324" s="8" t="n">
        <v>61.328178</v>
      </c>
      <c r="L324" s="9">
        <f>LN(B324/B323)</f>
        <v/>
      </c>
      <c r="M324" s="9">
        <f>$M$1*(C324-C323)</f>
        <v/>
      </c>
      <c r="N324" s="9">
        <f>$N$1*(D324-D323)</f>
        <v/>
      </c>
      <c r="O324" s="9">
        <f>$O$1*LN(E324/E323)</f>
        <v/>
      </c>
      <c r="P324" s="9">
        <f>$P$1*LN(F324/F323)</f>
        <v/>
      </c>
      <c r="Q324" s="9">
        <f>$Q$1*(G324-G323)</f>
        <v/>
      </c>
      <c r="R324" s="9">
        <f>$R$1*(H324-H323)</f>
        <v/>
      </c>
      <c r="S324" s="9">
        <f>$S$1*LN(I324/I323)</f>
        <v/>
      </c>
      <c r="T324" s="9">
        <f>$T$1*LN(J324/J323)</f>
        <v/>
      </c>
      <c r="U324" s="9">
        <f>$W$12+$W$4*M324+$W$5*N324+$W$6*O324+$W$7*P324+$W$8*Q324+$W$9*R324+$W$10*S324+$W$11*T324</f>
        <v/>
      </c>
      <c r="AA324" s="10">
        <f>INDEX(LINEST(L65:L324,M65:T324,TRUE,TRUE),1,9)*52</f>
        <v/>
      </c>
      <c r="AB324" s="9">
        <f>INDEX(LINEST(L65:L324,M65:T324,TRUE,TRUE),1,8)</f>
        <v/>
      </c>
      <c r="AC324" s="9">
        <f>INDEX(LINEST(L65:L324,M65:T324,TRUE,TRUE),1,7)</f>
        <v/>
      </c>
      <c r="AD324" s="9">
        <f>INDEX(LINEST(L65:L324,M65:T324,TRUE,TRUE),1,6)</f>
        <v/>
      </c>
      <c r="AE324" s="9">
        <f>INDEX(LINEST(L65:L324,M65:T324,TRUE,TRUE),1,5)</f>
        <v/>
      </c>
      <c r="AF324" s="9">
        <f>INDEX(LINEST(L65:L324,M65:T324,TRUE,TRUE),1,4)</f>
        <v/>
      </c>
      <c r="AG324" s="9">
        <f>INDEX(LINEST(L65:L324,M65:T324,TRUE,TRUE),1,3)</f>
        <v/>
      </c>
      <c r="AH324" s="9">
        <f>INDEX(LINEST(L65:L324,M65:T324,TRUE,TRUE),1,2)</f>
        <v/>
      </c>
      <c r="AI324" s="9">
        <f>INDEX(LINEST(L65:L324,M65:T324,TRUE,TRUE),1,1)</f>
        <v/>
      </c>
      <c r="AJ324" s="10">
        <f>INDEX(LINEST(L65:L324,M65:T324,TRUE,TRUE),3,1)</f>
        <v/>
      </c>
      <c r="AK324" s="9">
        <f>AA323/52+AB323*M324+AC323*N324+AD323*O324+AE323*P324+AF323*Q324+AG323*R324+AH323*S324+AI323*T324</f>
        <v/>
      </c>
      <c r="AL324" s="9">
        <f>AVERAGE(L64:L323)</f>
        <v/>
      </c>
    </row>
    <row r="325">
      <c r="A325" s="7" t="n">
        <v>39878</v>
      </c>
      <c r="B325" s="8" t="n">
        <v>936</v>
      </c>
      <c r="C325" s="8" t="n">
        <v>0.8100000000000001</v>
      </c>
      <c r="D325" s="8" t="n">
        <v>2.02</v>
      </c>
      <c r="E325" s="8" t="n">
        <v>88.510002</v>
      </c>
      <c r="F325" s="8" t="n">
        <v>45.43</v>
      </c>
      <c r="G325" s="8" t="n">
        <v>49.33</v>
      </c>
      <c r="H325" s="8" t="n">
        <v>159.199997</v>
      </c>
      <c r="I325" s="8" t="n">
        <v>683.380005</v>
      </c>
      <c r="J325" s="8" t="n">
        <v>61.534142</v>
      </c>
      <c r="L325" s="9">
        <f>LN(B325/B324)</f>
        <v/>
      </c>
      <c r="M325" s="9">
        <f>$M$1*(C325-C324)</f>
        <v/>
      </c>
      <c r="N325" s="9">
        <f>$N$1*(D325-D324)</f>
        <v/>
      </c>
      <c r="O325" s="9">
        <f>$O$1*LN(E325/E324)</f>
        <v/>
      </c>
      <c r="P325" s="9">
        <f>$P$1*LN(F325/F324)</f>
        <v/>
      </c>
      <c r="Q325" s="9">
        <f>$Q$1*(G325-G324)</f>
        <v/>
      </c>
      <c r="R325" s="9">
        <f>$R$1*(H325-H324)</f>
        <v/>
      </c>
      <c r="S325" s="9">
        <f>$S$1*LN(I325/I324)</f>
        <v/>
      </c>
      <c r="T325" s="9">
        <f>$T$1*LN(J325/J324)</f>
        <v/>
      </c>
      <c r="U325" s="9">
        <f>$W$12+$W$4*M325+$W$5*N325+$W$6*O325+$W$7*P325+$W$8*Q325+$W$9*R325+$W$10*S325+$W$11*T325</f>
        <v/>
      </c>
      <c r="AA325" s="10">
        <f>INDEX(LINEST(L66:L325,M66:T325,TRUE,TRUE),1,9)*52</f>
        <v/>
      </c>
      <c r="AB325" s="9">
        <f>INDEX(LINEST(L66:L325,M66:T325,TRUE,TRUE),1,8)</f>
        <v/>
      </c>
      <c r="AC325" s="9">
        <f>INDEX(LINEST(L66:L325,M66:T325,TRUE,TRUE),1,7)</f>
        <v/>
      </c>
      <c r="AD325" s="9">
        <f>INDEX(LINEST(L66:L325,M66:T325,TRUE,TRUE),1,6)</f>
        <v/>
      </c>
      <c r="AE325" s="9">
        <f>INDEX(LINEST(L66:L325,M66:T325,TRUE,TRUE),1,5)</f>
        <v/>
      </c>
      <c r="AF325" s="9">
        <f>INDEX(LINEST(L66:L325,M66:T325,TRUE,TRUE),1,4)</f>
        <v/>
      </c>
      <c r="AG325" s="9">
        <f>INDEX(LINEST(L66:L325,M66:T325,TRUE,TRUE),1,3)</f>
        <v/>
      </c>
      <c r="AH325" s="9">
        <f>INDEX(LINEST(L66:L325,M66:T325,TRUE,TRUE),1,2)</f>
        <v/>
      </c>
      <c r="AI325" s="9">
        <f>INDEX(LINEST(L66:L325,M66:T325,TRUE,TRUE),1,1)</f>
        <v/>
      </c>
      <c r="AJ325" s="10">
        <f>INDEX(LINEST(L66:L325,M66:T325,TRUE,TRUE),3,1)</f>
        <v/>
      </c>
      <c r="AK325" s="9">
        <f>AA324/52+AB324*M325+AC324*N325+AD324*O325+AE324*P325+AF324*Q325+AG324*R325+AH324*S325+AI324*T325</f>
        <v/>
      </c>
      <c r="AL325" s="9">
        <f>AVERAGE(L65:L324)</f>
        <v/>
      </c>
    </row>
    <row r="326">
      <c r="A326" s="7" t="n">
        <v>39885</v>
      </c>
      <c r="B326" s="8" t="n">
        <v>928</v>
      </c>
      <c r="C326" s="8" t="n">
        <v>1.02</v>
      </c>
      <c r="D326" s="8" t="n">
        <v>1.87</v>
      </c>
      <c r="E326" s="8" t="n">
        <v>87.43000000000001</v>
      </c>
      <c r="F326" s="8" t="n">
        <v>46.22</v>
      </c>
      <c r="G326" s="8" t="n">
        <v>42.36</v>
      </c>
      <c r="H326" s="8" t="n">
        <v>143.800003</v>
      </c>
      <c r="I326" s="8" t="n">
        <v>756.549988</v>
      </c>
      <c r="J326" s="8" t="n">
        <v>61.515823</v>
      </c>
      <c r="L326" s="9">
        <f>LN(B326/B325)</f>
        <v/>
      </c>
      <c r="M326" s="9">
        <f>$M$1*(C326-C325)</f>
        <v/>
      </c>
      <c r="N326" s="9">
        <f>$N$1*(D326-D325)</f>
        <v/>
      </c>
      <c r="O326" s="9">
        <f>$O$1*LN(E326/E325)</f>
        <v/>
      </c>
      <c r="P326" s="9">
        <f>$P$1*LN(F326/F325)</f>
        <v/>
      </c>
      <c r="Q326" s="9">
        <f>$Q$1*(G326-G325)</f>
        <v/>
      </c>
      <c r="R326" s="9">
        <f>$R$1*(H326-H325)</f>
        <v/>
      </c>
      <c r="S326" s="9">
        <f>$S$1*LN(I326/I325)</f>
        <v/>
      </c>
      <c r="T326" s="9">
        <f>$T$1*LN(J326/J325)</f>
        <v/>
      </c>
      <c r="U326" s="9">
        <f>$W$12+$W$4*M326+$W$5*N326+$W$6*O326+$W$7*P326+$W$8*Q326+$W$9*R326+$W$10*S326+$W$11*T326</f>
        <v/>
      </c>
      <c r="AA326" s="10">
        <f>INDEX(LINEST(L67:L326,M67:T326,TRUE,TRUE),1,9)*52</f>
        <v/>
      </c>
      <c r="AB326" s="9">
        <f>INDEX(LINEST(L67:L326,M67:T326,TRUE,TRUE),1,8)</f>
        <v/>
      </c>
      <c r="AC326" s="9">
        <f>INDEX(LINEST(L67:L326,M67:T326,TRUE,TRUE),1,7)</f>
        <v/>
      </c>
      <c r="AD326" s="9">
        <f>INDEX(LINEST(L67:L326,M67:T326,TRUE,TRUE),1,6)</f>
        <v/>
      </c>
      <c r="AE326" s="9">
        <f>INDEX(LINEST(L67:L326,M67:T326,TRUE,TRUE),1,5)</f>
        <v/>
      </c>
      <c r="AF326" s="9">
        <f>INDEX(LINEST(L67:L326,M67:T326,TRUE,TRUE),1,4)</f>
        <v/>
      </c>
      <c r="AG326" s="9">
        <f>INDEX(LINEST(L67:L326,M67:T326,TRUE,TRUE),1,3)</f>
        <v/>
      </c>
      <c r="AH326" s="9">
        <f>INDEX(LINEST(L67:L326,M67:T326,TRUE,TRUE),1,2)</f>
        <v/>
      </c>
      <c r="AI326" s="9">
        <f>INDEX(LINEST(L67:L326,M67:T326,TRUE,TRUE),1,1)</f>
        <v/>
      </c>
      <c r="AJ326" s="10">
        <f>INDEX(LINEST(L67:L326,M67:T326,TRUE,TRUE),3,1)</f>
        <v/>
      </c>
      <c r="AK326" s="9">
        <f>AA325/52+AB325*M326+AC325*N326+AD325*O326+AE325*P326+AF325*Q326+AG325*R326+AH325*S326+AI325*T326</f>
        <v/>
      </c>
      <c r="AL326" s="9">
        <f>AVERAGE(L66:L325)</f>
        <v/>
      </c>
    </row>
    <row r="327">
      <c r="A327" s="7" t="n">
        <v>39892</v>
      </c>
      <c r="B327" s="8" t="n">
        <v>954</v>
      </c>
      <c r="C327" s="8" t="n">
        <v>1.22</v>
      </c>
      <c r="D327" s="8" t="n">
        <v>1.43</v>
      </c>
      <c r="E327" s="8" t="n">
        <v>83.839996</v>
      </c>
      <c r="F327" s="8" t="n">
        <v>51.55</v>
      </c>
      <c r="G327" s="8" t="n">
        <v>45.89</v>
      </c>
      <c r="H327" s="8" t="n">
        <v>124</v>
      </c>
      <c r="I327" s="8" t="n">
        <v>768.539978</v>
      </c>
      <c r="J327" s="8" t="n">
        <v>61.919067</v>
      </c>
      <c r="L327" s="9">
        <f>LN(B327/B326)</f>
        <v/>
      </c>
      <c r="M327" s="9">
        <f>$M$1*(C327-C326)</f>
        <v/>
      </c>
      <c r="N327" s="9">
        <f>$N$1*(D327-D326)</f>
        <v/>
      </c>
      <c r="O327" s="9">
        <f>$O$1*LN(E327/E326)</f>
        <v/>
      </c>
      <c r="P327" s="9">
        <f>$P$1*LN(F327/F326)</f>
        <v/>
      </c>
      <c r="Q327" s="9">
        <f>$Q$1*(G327-G326)</f>
        <v/>
      </c>
      <c r="R327" s="9">
        <f>$R$1*(H327-H326)</f>
        <v/>
      </c>
      <c r="S327" s="9">
        <f>$S$1*LN(I327/I326)</f>
        <v/>
      </c>
      <c r="T327" s="9">
        <f>$T$1*LN(J327/J326)</f>
        <v/>
      </c>
      <c r="U327" s="9">
        <f>$W$12+$W$4*M327+$W$5*N327+$W$6*O327+$W$7*P327+$W$8*Q327+$W$9*R327+$W$10*S327+$W$11*T327</f>
        <v/>
      </c>
      <c r="AA327" s="10">
        <f>INDEX(LINEST(L68:L327,M68:T327,TRUE,TRUE),1,9)*52</f>
        <v/>
      </c>
      <c r="AB327" s="9">
        <f>INDEX(LINEST(L68:L327,M68:T327,TRUE,TRUE),1,8)</f>
        <v/>
      </c>
      <c r="AC327" s="9">
        <f>INDEX(LINEST(L68:L327,M68:T327,TRUE,TRUE),1,7)</f>
        <v/>
      </c>
      <c r="AD327" s="9">
        <f>INDEX(LINEST(L68:L327,M68:T327,TRUE,TRUE),1,6)</f>
        <v/>
      </c>
      <c r="AE327" s="9">
        <f>INDEX(LINEST(L68:L327,M68:T327,TRUE,TRUE),1,5)</f>
        <v/>
      </c>
      <c r="AF327" s="9">
        <f>INDEX(LINEST(L68:L327,M68:T327,TRUE,TRUE),1,4)</f>
        <v/>
      </c>
      <c r="AG327" s="9">
        <f>INDEX(LINEST(L68:L327,M68:T327,TRUE,TRUE),1,3)</f>
        <v/>
      </c>
      <c r="AH327" s="9">
        <f>INDEX(LINEST(L68:L327,M68:T327,TRUE,TRUE),1,2)</f>
        <v/>
      </c>
      <c r="AI327" s="9">
        <f>INDEX(LINEST(L68:L327,M68:T327,TRUE,TRUE),1,1)</f>
        <v/>
      </c>
      <c r="AJ327" s="10">
        <f>INDEX(LINEST(L68:L327,M68:T327,TRUE,TRUE),3,1)</f>
        <v/>
      </c>
      <c r="AK327" s="9">
        <f>AA326/52+AB326*M327+AC326*N327+AD326*O327+AE326*P327+AF326*Q327+AG326*R327+AH326*S327+AI326*T327</f>
        <v/>
      </c>
      <c r="AL327" s="9">
        <f>AVERAGE(L67:L326)</f>
        <v/>
      </c>
    </row>
    <row r="328">
      <c r="A328" s="7" t="n">
        <v>39899</v>
      </c>
      <c r="B328" s="8" t="n">
        <v>924</v>
      </c>
      <c r="C328" s="8" t="n">
        <v>1.4</v>
      </c>
      <c r="D328" s="8" t="n">
        <v>1.38</v>
      </c>
      <c r="E328" s="8" t="n">
        <v>85.110001</v>
      </c>
      <c r="F328" s="8" t="n">
        <v>52.41</v>
      </c>
      <c r="G328" s="8" t="n">
        <v>41.04</v>
      </c>
      <c r="H328" s="8" t="n">
        <v>117.900002</v>
      </c>
      <c r="I328" s="8" t="n">
        <v>815.940002</v>
      </c>
      <c r="J328" s="8" t="n">
        <v>61.399696</v>
      </c>
      <c r="L328" s="9">
        <f>LN(B328/B327)</f>
        <v/>
      </c>
      <c r="M328" s="9">
        <f>$M$1*(C328-C327)</f>
        <v/>
      </c>
      <c r="N328" s="9">
        <f>$N$1*(D328-D327)</f>
        <v/>
      </c>
      <c r="O328" s="9">
        <f>$O$1*LN(E328/E327)</f>
        <v/>
      </c>
      <c r="P328" s="9">
        <f>$P$1*LN(F328/F327)</f>
        <v/>
      </c>
      <c r="Q328" s="9">
        <f>$Q$1*(G328-G327)</f>
        <v/>
      </c>
      <c r="R328" s="9">
        <f>$R$1*(H328-H327)</f>
        <v/>
      </c>
      <c r="S328" s="9">
        <f>$S$1*LN(I328/I327)</f>
        <v/>
      </c>
      <c r="T328" s="9">
        <f>$T$1*LN(J328/J327)</f>
        <v/>
      </c>
      <c r="U328" s="9">
        <f>$W$12+$W$4*M328+$W$5*N328+$W$6*O328+$W$7*P328+$W$8*Q328+$W$9*R328+$W$10*S328+$W$11*T328</f>
        <v/>
      </c>
      <c r="AA328" s="10">
        <f>INDEX(LINEST(L69:L328,M69:T328,TRUE,TRUE),1,9)*52</f>
        <v/>
      </c>
      <c r="AB328" s="9">
        <f>INDEX(LINEST(L69:L328,M69:T328,TRUE,TRUE),1,8)</f>
        <v/>
      </c>
      <c r="AC328" s="9">
        <f>INDEX(LINEST(L69:L328,M69:T328,TRUE,TRUE),1,7)</f>
        <v/>
      </c>
      <c r="AD328" s="9">
        <f>INDEX(LINEST(L69:L328,M69:T328,TRUE,TRUE),1,6)</f>
        <v/>
      </c>
      <c r="AE328" s="9">
        <f>INDEX(LINEST(L69:L328,M69:T328,TRUE,TRUE),1,5)</f>
        <v/>
      </c>
      <c r="AF328" s="9">
        <f>INDEX(LINEST(L69:L328,M69:T328,TRUE,TRUE),1,4)</f>
        <v/>
      </c>
      <c r="AG328" s="9">
        <f>INDEX(LINEST(L69:L328,M69:T328,TRUE,TRUE),1,3)</f>
        <v/>
      </c>
      <c r="AH328" s="9">
        <f>INDEX(LINEST(L69:L328,M69:T328,TRUE,TRUE),1,2)</f>
        <v/>
      </c>
      <c r="AI328" s="9">
        <f>INDEX(LINEST(L69:L328,M69:T328,TRUE,TRUE),1,1)</f>
        <v/>
      </c>
      <c r="AJ328" s="10">
        <f>INDEX(LINEST(L69:L328,M69:T328,TRUE,TRUE),3,1)</f>
        <v/>
      </c>
      <c r="AK328" s="9">
        <f>AA327/52+AB327*M328+AC327*N328+AD327*O328+AE327*P328+AF327*Q328+AG327*R328+AH327*S328+AI327*T328</f>
        <v/>
      </c>
      <c r="AL328" s="9">
        <f>AVERAGE(L68:L327)</f>
        <v/>
      </c>
    </row>
    <row r="329">
      <c r="A329" s="7" t="n">
        <v>39906</v>
      </c>
      <c r="B329" s="8" t="n">
        <v>905</v>
      </c>
      <c r="C329" s="8" t="n">
        <v>1.38</v>
      </c>
      <c r="D329" s="8" t="n">
        <v>1.53</v>
      </c>
      <c r="E329" s="8" t="n">
        <v>84.16999800000001</v>
      </c>
      <c r="F329" s="8" t="n">
        <v>52.52</v>
      </c>
      <c r="G329" s="8" t="n">
        <v>39.7</v>
      </c>
      <c r="H329" s="8" t="n">
        <v>119.699997</v>
      </c>
      <c r="I329" s="8" t="n">
        <v>842.5</v>
      </c>
      <c r="J329" s="8" t="n">
        <v>61.576042</v>
      </c>
      <c r="L329" s="9">
        <f>LN(B329/B328)</f>
        <v/>
      </c>
      <c r="M329" s="9">
        <f>$M$1*(C329-C328)</f>
        <v/>
      </c>
      <c r="N329" s="9">
        <f>$N$1*(D329-D328)</f>
        <v/>
      </c>
      <c r="O329" s="9">
        <f>$O$1*LN(E329/E328)</f>
        <v/>
      </c>
      <c r="P329" s="9">
        <f>$P$1*LN(F329/F328)</f>
        <v/>
      </c>
      <c r="Q329" s="9">
        <f>$Q$1*(G329-G328)</f>
        <v/>
      </c>
      <c r="R329" s="9">
        <f>$R$1*(H329-H328)</f>
        <v/>
      </c>
      <c r="S329" s="9">
        <f>$S$1*LN(I329/I328)</f>
        <v/>
      </c>
      <c r="T329" s="9">
        <f>$T$1*LN(J329/J328)</f>
        <v/>
      </c>
      <c r="U329" s="9">
        <f>$W$12+$W$4*M329+$W$5*N329+$W$6*O329+$W$7*P329+$W$8*Q329+$W$9*R329+$W$10*S329+$W$11*T329</f>
        <v/>
      </c>
      <c r="AA329" s="10">
        <f>INDEX(LINEST(L70:L329,M70:T329,TRUE,TRUE),1,9)*52</f>
        <v/>
      </c>
      <c r="AB329" s="9">
        <f>INDEX(LINEST(L70:L329,M70:T329,TRUE,TRUE),1,8)</f>
        <v/>
      </c>
      <c r="AC329" s="9">
        <f>INDEX(LINEST(L70:L329,M70:T329,TRUE,TRUE),1,7)</f>
        <v/>
      </c>
      <c r="AD329" s="9">
        <f>INDEX(LINEST(L70:L329,M70:T329,TRUE,TRUE),1,6)</f>
        <v/>
      </c>
      <c r="AE329" s="9">
        <f>INDEX(LINEST(L70:L329,M70:T329,TRUE,TRUE),1,5)</f>
        <v/>
      </c>
      <c r="AF329" s="9">
        <f>INDEX(LINEST(L70:L329,M70:T329,TRUE,TRUE),1,4)</f>
        <v/>
      </c>
      <c r="AG329" s="9">
        <f>INDEX(LINEST(L70:L329,M70:T329,TRUE,TRUE),1,3)</f>
        <v/>
      </c>
      <c r="AH329" s="9">
        <f>INDEX(LINEST(L70:L329,M70:T329,TRUE,TRUE),1,2)</f>
        <v/>
      </c>
      <c r="AI329" s="9">
        <f>INDEX(LINEST(L70:L329,M70:T329,TRUE,TRUE),1,1)</f>
        <v/>
      </c>
      <c r="AJ329" s="10">
        <f>INDEX(LINEST(L70:L329,M70:T329,TRUE,TRUE),3,1)</f>
        <v/>
      </c>
      <c r="AK329" s="9">
        <f>AA328/52+AB328*M329+AC328*N329+AD328*O329+AE328*P329+AF328*Q329+AG328*R329+AH328*S329+AI328*T329</f>
        <v/>
      </c>
      <c r="AL329" s="9">
        <f>AVERAGE(L69:L328)</f>
        <v/>
      </c>
    </row>
    <row r="330">
      <c r="A330" s="7" t="n">
        <v>39913</v>
      </c>
      <c r="B330" s="8" t="n">
        <v>880.5</v>
      </c>
      <c r="C330" s="8" t="n">
        <v>1.34</v>
      </c>
      <c r="D330" s="8" t="n">
        <v>1.62</v>
      </c>
      <c r="E330" s="8" t="n">
        <v>85.790001</v>
      </c>
      <c r="F330" s="8" t="n">
        <v>52.24</v>
      </c>
      <c r="G330" s="8" t="n">
        <v>36.53</v>
      </c>
      <c r="H330" s="8" t="n">
        <v>119.699997</v>
      </c>
      <c r="I330" s="8" t="n">
        <v>856.559998</v>
      </c>
      <c r="J330" s="8" t="n">
        <v>61.576042</v>
      </c>
      <c r="L330" s="9">
        <f>LN(B330/B329)</f>
        <v/>
      </c>
      <c r="M330" s="9">
        <f>$M$1*(C330-C329)</f>
        <v/>
      </c>
      <c r="N330" s="9">
        <f>$N$1*(D330-D329)</f>
        <v/>
      </c>
      <c r="O330" s="9">
        <f>$O$1*LN(E330/E329)</f>
        <v/>
      </c>
      <c r="P330" s="9">
        <f>$P$1*LN(F330/F329)</f>
        <v/>
      </c>
      <c r="Q330" s="9">
        <f>$Q$1*(G330-G329)</f>
        <v/>
      </c>
      <c r="R330" s="9">
        <f>$R$1*(H330-H329)</f>
        <v/>
      </c>
      <c r="S330" s="9">
        <f>$S$1*LN(I330/I329)</f>
        <v/>
      </c>
      <c r="T330" s="9">
        <f>$T$1*LN(J330/J329)</f>
        <v/>
      </c>
      <c r="U330" s="9">
        <f>$W$12+$W$4*M330+$W$5*N330+$W$6*O330+$W$7*P330+$W$8*Q330+$W$9*R330+$W$10*S330+$W$11*T330</f>
        <v/>
      </c>
      <c r="AA330" s="10">
        <f>INDEX(LINEST(L71:L330,M71:T330,TRUE,TRUE),1,9)*52</f>
        <v/>
      </c>
      <c r="AB330" s="9">
        <f>INDEX(LINEST(L71:L330,M71:T330,TRUE,TRUE),1,8)</f>
        <v/>
      </c>
      <c r="AC330" s="9">
        <f>INDEX(LINEST(L71:L330,M71:T330,TRUE,TRUE),1,7)</f>
        <v/>
      </c>
      <c r="AD330" s="9">
        <f>INDEX(LINEST(L71:L330,M71:T330,TRUE,TRUE),1,6)</f>
        <v/>
      </c>
      <c r="AE330" s="9">
        <f>INDEX(LINEST(L71:L330,M71:T330,TRUE,TRUE),1,5)</f>
        <v/>
      </c>
      <c r="AF330" s="9">
        <f>INDEX(LINEST(L71:L330,M71:T330,TRUE,TRUE),1,4)</f>
        <v/>
      </c>
      <c r="AG330" s="9">
        <f>INDEX(LINEST(L71:L330,M71:T330,TRUE,TRUE),1,3)</f>
        <v/>
      </c>
      <c r="AH330" s="9">
        <f>INDEX(LINEST(L71:L330,M71:T330,TRUE,TRUE),1,2)</f>
        <v/>
      </c>
      <c r="AI330" s="9">
        <f>INDEX(LINEST(L71:L330,M71:T330,TRUE,TRUE),1,1)</f>
        <v/>
      </c>
      <c r="AJ330" s="10">
        <f>INDEX(LINEST(L71:L330,M71:T330,TRUE,TRUE),3,1)</f>
        <v/>
      </c>
      <c r="AK330" s="9">
        <f>AA329/52+AB329*M330+AC329*N330+AD329*O330+AE329*P330+AF329*Q330+AG329*R330+AH329*S330+AI329*T330</f>
        <v/>
      </c>
      <c r="AL330" s="9">
        <f>AVERAGE(L70:L329)</f>
        <v/>
      </c>
    </row>
    <row r="331">
      <c r="A331" s="7" t="n">
        <v>39920</v>
      </c>
      <c r="B331" s="8" t="n">
        <v>870.5</v>
      </c>
      <c r="C331" s="8" t="n">
        <v>1.28</v>
      </c>
      <c r="D331" s="8" t="n">
        <v>1.7</v>
      </c>
      <c r="E331" s="8" t="n">
        <v>85.980003</v>
      </c>
      <c r="F331" s="8" t="n">
        <v>50.36</v>
      </c>
      <c r="G331" s="8" t="n">
        <v>33.94</v>
      </c>
      <c r="H331" s="8" t="n">
        <v>115.800003</v>
      </c>
      <c r="I331" s="8" t="n">
        <v>869.599976</v>
      </c>
      <c r="J331" s="8" t="n">
        <v>61.729351</v>
      </c>
      <c r="L331" s="9">
        <f>LN(B331/B330)</f>
        <v/>
      </c>
      <c r="M331" s="9">
        <f>$M$1*(C331-C330)</f>
        <v/>
      </c>
      <c r="N331" s="9">
        <f>$N$1*(D331-D330)</f>
        <v/>
      </c>
      <c r="O331" s="9">
        <f>$O$1*LN(E331/E330)</f>
        <v/>
      </c>
      <c r="P331" s="9">
        <f>$P$1*LN(F331/F330)</f>
        <v/>
      </c>
      <c r="Q331" s="9">
        <f>$Q$1*(G331-G330)</f>
        <v/>
      </c>
      <c r="R331" s="9">
        <f>$R$1*(H331-H330)</f>
        <v/>
      </c>
      <c r="S331" s="9">
        <f>$S$1*LN(I331/I330)</f>
        <v/>
      </c>
      <c r="T331" s="9">
        <f>$T$1*LN(J331/J330)</f>
        <v/>
      </c>
      <c r="U331" s="9">
        <f>$W$12+$W$4*M331+$W$5*N331+$W$6*O331+$W$7*P331+$W$8*Q331+$W$9*R331+$W$10*S331+$W$11*T331</f>
        <v/>
      </c>
      <c r="AA331" s="10">
        <f>INDEX(LINEST(L72:L331,M72:T331,TRUE,TRUE),1,9)*52</f>
        <v/>
      </c>
      <c r="AB331" s="9">
        <f>INDEX(LINEST(L72:L331,M72:T331,TRUE,TRUE),1,8)</f>
        <v/>
      </c>
      <c r="AC331" s="9">
        <f>INDEX(LINEST(L72:L331,M72:T331,TRUE,TRUE),1,7)</f>
        <v/>
      </c>
      <c r="AD331" s="9">
        <f>INDEX(LINEST(L72:L331,M72:T331,TRUE,TRUE),1,6)</f>
        <v/>
      </c>
      <c r="AE331" s="9">
        <f>INDEX(LINEST(L72:L331,M72:T331,TRUE,TRUE),1,5)</f>
        <v/>
      </c>
      <c r="AF331" s="9">
        <f>INDEX(LINEST(L72:L331,M72:T331,TRUE,TRUE),1,4)</f>
        <v/>
      </c>
      <c r="AG331" s="9">
        <f>INDEX(LINEST(L72:L331,M72:T331,TRUE,TRUE),1,3)</f>
        <v/>
      </c>
      <c r="AH331" s="9">
        <f>INDEX(LINEST(L72:L331,M72:T331,TRUE,TRUE),1,2)</f>
        <v/>
      </c>
      <c r="AI331" s="9">
        <f>INDEX(LINEST(L72:L331,M72:T331,TRUE,TRUE),1,1)</f>
        <v/>
      </c>
      <c r="AJ331" s="10">
        <f>INDEX(LINEST(L72:L331,M72:T331,TRUE,TRUE),3,1)</f>
        <v/>
      </c>
      <c r="AK331" s="9">
        <f>AA330/52+AB330*M331+AC330*N331+AD330*O331+AE330*P331+AF330*Q331+AG330*R331+AH330*S331+AI330*T331</f>
        <v/>
      </c>
      <c r="AL331" s="9">
        <f>AVERAGE(L71:L330)</f>
        <v/>
      </c>
    </row>
    <row r="332">
      <c r="A332" s="7" t="n">
        <v>39927</v>
      </c>
      <c r="B332" s="8" t="n">
        <v>907.5</v>
      </c>
      <c r="C332" s="8" t="n">
        <v>1.5</v>
      </c>
      <c r="D332" s="8" t="n">
        <v>1.53</v>
      </c>
      <c r="E332" s="8" t="n">
        <v>84.709999</v>
      </c>
      <c r="F332" s="8" t="n">
        <v>50.65</v>
      </c>
      <c r="G332" s="8" t="n">
        <v>36.82</v>
      </c>
      <c r="H332" s="8" t="n">
        <v>125.800003</v>
      </c>
      <c r="I332" s="8" t="n">
        <v>866.22998</v>
      </c>
      <c r="J332" s="8" t="n">
        <v>62.201519</v>
      </c>
      <c r="L332" s="9">
        <f>LN(B332/B331)</f>
        <v/>
      </c>
      <c r="M332" s="9">
        <f>$M$1*(C332-C331)</f>
        <v/>
      </c>
      <c r="N332" s="9">
        <f>$N$1*(D332-D331)</f>
        <v/>
      </c>
      <c r="O332" s="9">
        <f>$O$1*LN(E332/E331)</f>
        <v/>
      </c>
      <c r="P332" s="9">
        <f>$P$1*LN(F332/F331)</f>
        <v/>
      </c>
      <c r="Q332" s="9">
        <f>$Q$1*(G332-G331)</f>
        <v/>
      </c>
      <c r="R332" s="9">
        <f>$R$1*(H332-H331)</f>
        <v/>
      </c>
      <c r="S332" s="9">
        <f>$S$1*LN(I332/I331)</f>
        <v/>
      </c>
      <c r="T332" s="9">
        <f>$T$1*LN(J332/J331)</f>
        <v/>
      </c>
      <c r="U332" s="9">
        <f>$W$12+$W$4*M332+$W$5*N332+$W$6*O332+$W$7*P332+$W$8*Q332+$W$9*R332+$W$10*S332+$W$11*T332</f>
        <v/>
      </c>
      <c r="AA332" s="10">
        <f>INDEX(LINEST(L73:L332,M73:T332,TRUE,TRUE),1,9)*52</f>
        <v/>
      </c>
      <c r="AB332" s="9">
        <f>INDEX(LINEST(L73:L332,M73:T332,TRUE,TRUE),1,8)</f>
        <v/>
      </c>
      <c r="AC332" s="9">
        <f>INDEX(LINEST(L73:L332,M73:T332,TRUE,TRUE),1,7)</f>
        <v/>
      </c>
      <c r="AD332" s="9">
        <f>INDEX(LINEST(L73:L332,M73:T332,TRUE,TRUE),1,6)</f>
        <v/>
      </c>
      <c r="AE332" s="9">
        <f>INDEX(LINEST(L73:L332,M73:T332,TRUE,TRUE),1,5)</f>
        <v/>
      </c>
      <c r="AF332" s="9">
        <f>INDEX(LINEST(L73:L332,M73:T332,TRUE,TRUE),1,4)</f>
        <v/>
      </c>
      <c r="AG332" s="9">
        <f>INDEX(LINEST(L73:L332,M73:T332,TRUE,TRUE),1,3)</f>
        <v/>
      </c>
      <c r="AH332" s="9">
        <f>INDEX(LINEST(L73:L332,M73:T332,TRUE,TRUE),1,2)</f>
        <v/>
      </c>
      <c r="AI332" s="9">
        <f>INDEX(LINEST(L73:L332,M73:T332,TRUE,TRUE),1,1)</f>
        <v/>
      </c>
      <c r="AJ332" s="10">
        <f>INDEX(LINEST(L73:L332,M73:T332,TRUE,TRUE),3,1)</f>
        <v/>
      </c>
      <c r="AK332" s="9">
        <f>AA331/52+AB331*M332+AC331*N332+AD331*O332+AE331*P332+AF331*Q332+AG331*R332+AH331*S332+AI331*T332</f>
        <v/>
      </c>
      <c r="AL332" s="9">
        <f>AVERAGE(L72:L331)</f>
        <v/>
      </c>
    </row>
    <row r="333">
      <c r="A333" s="7" t="n">
        <v>39934</v>
      </c>
      <c r="B333" s="8" t="n">
        <v>884.5</v>
      </c>
      <c r="C333" s="8" t="n">
        <v>1.41</v>
      </c>
      <c r="D333" s="8" t="n">
        <v>1.8</v>
      </c>
      <c r="E333" s="8" t="n">
        <v>84.550003</v>
      </c>
      <c r="F333" s="8" t="n">
        <v>52.18</v>
      </c>
      <c r="G333" s="8" t="n">
        <v>35.3</v>
      </c>
      <c r="H333" s="8" t="n">
        <v>129.199997</v>
      </c>
      <c r="I333" s="8" t="n">
        <v>877.52002</v>
      </c>
      <c r="J333" s="8" t="n">
        <v>62.083591</v>
      </c>
      <c r="L333" s="9">
        <f>LN(B333/B332)</f>
        <v/>
      </c>
      <c r="M333" s="9">
        <f>$M$1*(C333-C332)</f>
        <v/>
      </c>
      <c r="N333" s="9">
        <f>$N$1*(D333-D332)</f>
        <v/>
      </c>
      <c r="O333" s="9">
        <f>$O$1*LN(E333/E332)</f>
        <v/>
      </c>
      <c r="P333" s="9">
        <f>$P$1*LN(F333/F332)</f>
        <v/>
      </c>
      <c r="Q333" s="9">
        <f>$Q$1*(G333-G332)</f>
        <v/>
      </c>
      <c r="R333" s="9">
        <f>$R$1*(H333-H332)</f>
        <v/>
      </c>
      <c r="S333" s="9">
        <f>$S$1*LN(I333/I332)</f>
        <v/>
      </c>
      <c r="T333" s="9">
        <f>$T$1*LN(J333/J332)</f>
        <v/>
      </c>
      <c r="U333" s="9">
        <f>$W$12+$W$4*M333+$W$5*N333+$W$6*O333+$W$7*P333+$W$8*Q333+$W$9*R333+$W$10*S333+$W$11*T333</f>
        <v/>
      </c>
      <c r="AA333" s="10">
        <f>INDEX(LINEST(L74:L333,M74:T333,TRUE,TRUE),1,9)*52</f>
        <v/>
      </c>
      <c r="AB333" s="9">
        <f>INDEX(LINEST(L74:L333,M74:T333,TRUE,TRUE),1,8)</f>
        <v/>
      </c>
      <c r="AC333" s="9">
        <f>INDEX(LINEST(L74:L333,M74:T333,TRUE,TRUE),1,7)</f>
        <v/>
      </c>
      <c r="AD333" s="9">
        <f>INDEX(LINEST(L74:L333,M74:T333,TRUE,TRUE),1,6)</f>
        <v/>
      </c>
      <c r="AE333" s="9">
        <f>INDEX(LINEST(L74:L333,M74:T333,TRUE,TRUE),1,5)</f>
        <v/>
      </c>
      <c r="AF333" s="9">
        <f>INDEX(LINEST(L74:L333,M74:T333,TRUE,TRUE),1,4)</f>
        <v/>
      </c>
      <c r="AG333" s="9">
        <f>INDEX(LINEST(L74:L333,M74:T333,TRUE,TRUE),1,3)</f>
        <v/>
      </c>
      <c r="AH333" s="9">
        <f>INDEX(LINEST(L74:L333,M74:T333,TRUE,TRUE),1,2)</f>
        <v/>
      </c>
      <c r="AI333" s="9">
        <f>INDEX(LINEST(L74:L333,M74:T333,TRUE,TRUE),1,1)</f>
        <v/>
      </c>
      <c r="AJ333" s="10">
        <f>INDEX(LINEST(L74:L333,M74:T333,TRUE,TRUE),3,1)</f>
        <v/>
      </c>
      <c r="AK333" s="9">
        <f>AA332/52+AB332*M333+AC332*N333+AD332*O333+AE332*P333+AF332*Q333+AG332*R333+AH332*S333+AI332*T333</f>
        <v/>
      </c>
      <c r="AL333" s="9">
        <f>AVERAGE(L73:L332)</f>
        <v/>
      </c>
    </row>
    <row r="334">
      <c r="A334" s="7" t="n">
        <v>39941</v>
      </c>
      <c r="B334" s="8" t="n">
        <v>907</v>
      </c>
      <c r="C334" s="8" t="n">
        <v>1.52</v>
      </c>
      <c r="D334" s="8" t="n">
        <v>1.77</v>
      </c>
      <c r="E334" s="8" t="n">
        <v>82.529999</v>
      </c>
      <c r="F334" s="8" t="n">
        <v>58.58</v>
      </c>
      <c r="G334" s="8" t="n">
        <v>32.05</v>
      </c>
      <c r="H334" s="8" t="n">
        <v>130.5</v>
      </c>
      <c r="I334" s="8" t="n">
        <v>929.22998</v>
      </c>
      <c r="J334" s="8" t="n">
        <v>62.243542</v>
      </c>
      <c r="L334" s="9">
        <f>LN(B334/B333)</f>
        <v/>
      </c>
      <c r="M334" s="9">
        <f>$M$1*(C334-C333)</f>
        <v/>
      </c>
      <c r="N334" s="9">
        <f>$N$1*(D334-D333)</f>
        <v/>
      </c>
      <c r="O334" s="9">
        <f>$O$1*LN(E334/E333)</f>
        <v/>
      </c>
      <c r="P334" s="9">
        <f>$P$1*LN(F334/F333)</f>
        <v/>
      </c>
      <c r="Q334" s="9">
        <f>$Q$1*(G334-G333)</f>
        <v/>
      </c>
      <c r="R334" s="9">
        <f>$R$1*(H334-H333)</f>
        <v/>
      </c>
      <c r="S334" s="9">
        <f>$S$1*LN(I334/I333)</f>
        <v/>
      </c>
      <c r="T334" s="9">
        <f>$T$1*LN(J334/J333)</f>
        <v/>
      </c>
      <c r="U334" s="9">
        <f>$W$12+$W$4*M334+$W$5*N334+$W$6*O334+$W$7*P334+$W$8*Q334+$W$9*R334+$W$10*S334+$W$11*T334</f>
        <v/>
      </c>
      <c r="AA334" s="10">
        <f>INDEX(LINEST(L75:L334,M75:T334,TRUE,TRUE),1,9)*52</f>
        <v/>
      </c>
      <c r="AB334" s="9">
        <f>INDEX(LINEST(L75:L334,M75:T334,TRUE,TRUE),1,8)</f>
        <v/>
      </c>
      <c r="AC334" s="9">
        <f>INDEX(LINEST(L75:L334,M75:T334,TRUE,TRUE),1,7)</f>
        <v/>
      </c>
      <c r="AD334" s="9">
        <f>INDEX(LINEST(L75:L334,M75:T334,TRUE,TRUE),1,6)</f>
        <v/>
      </c>
      <c r="AE334" s="9">
        <f>INDEX(LINEST(L75:L334,M75:T334,TRUE,TRUE),1,5)</f>
        <v/>
      </c>
      <c r="AF334" s="9">
        <f>INDEX(LINEST(L75:L334,M75:T334,TRUE,TRUE),1,4)</f>
        <v/>
      </c>
      <c r="AG334" s="9">
        <f>INDEX(LINEST(L75:L334,M75:T334,TRUE,TRUE),1,3)</f>
        <v/>
      </c>
      <c r="AH334" s="9">
        <f>INDEX(LINEST(L75:L334,M75:T334,TRUE,TRUE),1,2)</f>
        <v/>
      </c>
      <c r="AI334" s="9">
        <f>INDEX(LINEST(L75:L334,M75:T334,TRUE,TRUE),1,1)</f>
        <v/>
      </c>
      <c r="AJ334" s="10">
        <f>INDEX(LINEST(L75:L334,M75:T334,TRUE,TRUE),3,1)</f>
        <v/>
      </c>
      <c r="AK334" s="9">
        <f>AA333/52+AB333*M334+AC333*N334+AD333*O334+AE333*P334+AF333*Q334+AG333*R334+AH333*S334+AI333*T334</f>
        <v/>
      </c>
      <c r="AL334" s="9">
        <f>AVERAGE(L74:L333)</f>
        <v/>
      </c>
    </row>
    <row r="335">
      <c r="A335" s="7" t="n">
        <v>39948</v>
      </c>
      <c r="B335" s="8" t="n">
        <v>929.5</v>
      </c>
      <c r="C335" s="8" t="n">
        <v>1.48</v>
      </c>
      <c r="D335" s="8" t="n">
        <v>1.66</v>
      </c>
      <c r="E335" s="8" t="n">
        <v>83.019997</v>
      </c>
      <c r="F335" s="8" t="n">
        <v>56.52</v>
      </c>
      <c r="G335" s="8" t="n">
        <v>33.12</v>
      </c>
      <c r="H335" s="8" t="n">
        <v>122.300003</v>
      </c>
      <c r="I335" s="8" t="n">
        <v>882.880005</v>
      </c>
      <c r="J335" s="8" t="n">
        <v>62.864841</v>
      </c>
      <c r="L335" s="9">
        <f>LN(B335/B334)</f>
        <v/>
      </c>
      <c r="M335" s="9">
        <f>$M$1*(C335-C334)</f>
        <v/>
      </c>
      <c r="N335" s="9">
        <f>$N$1*(D335-D334)</f>
        <v/>
      </c>
      <c r="O335" s="9">
        <f>$O$1*LN(E335/E334)</f>
        <v/>
      </c>
      <c r="P335" s="9">
        <f>$P$1*LN(F335/F334)</f>
        <v/>
      </c>
      <c r="Q335" s="9">
        <f>$Q$1*(G335-G334)</f>
        <v/>
      </c>
      <c r="R335" s="9">
        <f>$R$1*(H335-H334)</f>
        <v/>
      </c>
      <c r="S335" s="9">
        <f>$S$1*LN(I335/I334)</f>
        <v/>
      </c>
      <c r="T335" s="9">
        <f>$T$1*LN(J335/J334)</f>
        <v/>
      </c>
      <c r="U335" s="9">
        <f>$W$12+$W$4*M335+$W$5*N335+$W$6*O335+$W$7*P335+$W$8*Q335+$W$9*R335+$W$10*S335+$W$11*T335</f>
        <v/>
      </c>
      <c r="AA335" s="10">
        <f>INDEX(LINEST(L76:L335,M76:T335,TRUE,TRUE),1,9)*52</f>
        <v/>
      </c>
      <c r="AB335" s="9">
        <f>INDEX(LINEST(L76:L335,M76:T335,TRUE,TRUE),1,8)</f>
        <v/>
      </c>
      <c r="AC335" s="9">
        <f>INDEX(LINEST(L76:L335,M76:T335,TRUE,TRUE),1,7)</f>
        <v/>
      </c>
      <c r="AD335" s="9">
        <f>INDEX(LINEST(L76:L335,M76:T335,TRUE,TRUE),1,6)</f>
        <v/>
      </c>
      <c r="AE335" s="9">
        <f>INDEX(LINEST(L76:L335,M76:T335,TRUE,TRUE),1,5)</f>
        <v/>
      </c>
      <c r="AF335" s="9">
        <f>INDEX(LINEST(L76:L335,M76:T335,TRUE,TRUE),1,4)</f>
        <v/>
      </c>
      <c r="AG335" s="9">
        <f>INDEX(LINEST(L76:L335,M76:T335,TRUE,TRUE),1,3)</f>
        <v/>
      </c>
      <c r="AH335" s="9">
        <f>INDEX(LINEST(L76:L335,M76:T335,TRUE,TRUE),1,2)</f>
        <v/>
      </c>
      <c r="AI335" s="9">
        <f>INDEX(LINEST(L76:L335,M76:T335,TRUE,TRUE),1,1)</f>
        <v/>
      </c>
      <c r="AJ335" s="10">
        <f>INDEX(LINEST(L76:L335,M76:T335,TRUE,TRUE),3,1)</f>
        <v/>
      </c>
      <c r="AK335" s="9">
        <f>AA334/52+AB334*M335+AC334*N335+AD334*O335+AE334*P335+AF334*Q335+AG334*R335+AH334*S335+AI334*T335</f>
        <v/>
      </c>
      <c r="AL335" s="9">
        <f>AVERAGE(L75:L334)</f>
        <v/>
      </c>
    </row>
    <row r="336">
      <c r="A336" s="7" t="n">
        <v>39955</v>
      </c>
      <c r="B336" s="8" t="n">
        <v>959.75</v>
      </c>
      <c r="C336" s="8" t="n">
        <v>1.73</v>
      </c>
      <c r="D336" s="8" t="n">
        <v>1.72</v>
      </c>
      <c r="E336" s="8" t="n">
        <v>79.959999</v>
      </c>
      <c r="F336" s="8" t="n">
        <v>61.15</v>
      </c>
      <c r="G336" s="8" t="n">
        <v>32.63</v>
      </c>
      <c r="H336" s="8" t="n">
        <v>147.199997</v>
      </c>
      <c r="I336" s="8" t="n">
        <v>887</v>
      </c>
      <c r="J336" s="8" t="n">
        <v>62.563435</v>
      </c>
      <c r="L336" s="9">
        <f>LN(B336/B335)</f>
        <v/>
      </c>
      <c r="M336" s="9">
        <f>$M$1*(C336-C335)</f>
        <v/>
      </c>
      <c r="N336" s="9">
        <f>$N$1*(D336-D335)</f>
        <v/>
      </c>
      <c r="O336" s="9">
        <f>$O$1*LN(E336/E335)</f>
        <v/>
      </c>
      <c r="P336" s="9">
        <f>$P$1*LN(F336/F335)</f>
        <v/>
      </c>
      <c r="Q336" s="9">
        <f>$Q$1*(G336-G335)</f>
        <v/>
      </c>
      <c r="R336" s="9">
        <f>$R$1*(H336-H335)</f>
        <v/>
      </c>
      <c r="S336" s="9">
        <f>$S$1*LN(I336/I335)</f>
        <v/>
      </c>
      <c r="T336" s="9">
        <f>$T$1*LN(J336/J335)</f>
        <v/>
      </c>
      <c r="U336" s="9">
        <f>$W$12+$W$4*M336+$W$5*N336+$W$6*O336+$W$7*P336+$W$8*Q336+$W$9*R336+$W$10*S336+$W$11*T336</f>
        <v/>
      </c>
      <c r="AA336" s="10">
        <f>INDEX(LINEST(L77:L336,M77:T336,TRUE,TRUE),1,9)*52</f>
        <v/>
      </c>
      <c r="AB336" s="9">
        <f>INDEX(LINEST(L77:L336,M77:T336,TRUE,TRUE),1,8)</f>
        <v/>
      </c>
      <c r="AC336" s="9">
        <f>INDEX(LINEST(L77:L336,M77:T336,TRUE,TRUE),1,7)</f>
        <v/>
      </c>
      <c r="AD336" s="9">
        <f>INDEX(LINEST(L77:L336,M77:T336,TRUE,TRUE),1,6)</f>
        <v/>
      </c>
      <c r="AE336" s="9">
        <f>INDEX(LINEST(L77:L336,M77:T336,TRUE,TRUE),1,5)</f>
        <v/>
      </c>
      <c r="AF336" s="9">
        <f>INDEX(LINEST(L77:L336,M77:T336,TRUE,TRUE),1,4)</f>
        <v/>
      </c>
      <c r="AG336" s="9">
        <f>INDEX(LINEST(L77:L336,M77:T336,TRUE,TRUE),1,3)</f>
        <v/>
      </c>
      <c r="AH336" s="9">
        <f>INDEX(LINEST(L77:L336,M77:T336,TRUE,TRUE),1,2)</f>
        <v/>
      </c>
      <c r="AI336" s="9">
        <f>INDEX(LINEST(L77:L336,M77:T336,TRUE,TRUE),1,1)</f>
        <v/>
      </c>
      <c r="AJ336" s="10">
        <f>INDEX(LINEST(L77:L336,M77:T336,TRUE,TRUE),3,1)</f>
        <v/>
      </c>
      <c r="AK336" s="9">
        <f>AA335/52+AB335*M336+AC335*N336+AD335*O336+AE335*P336+AF335*Q336+AG335*R336+AH335*S336+AI335*T336</f>
        <v/>
      </c>
      <c r="AL336" s="9">
        <f>AVERAGE(L76:L335)</f>
        <v/>
      </c>
    </row>
    <row r="337">
      <c r="A337" s="7" t="n">
        <v>39962</v>
      </c>
      <c r="B337" s="8" t="n">
        <v>975.5</v>
      </c>
      <c r="C337" s="8" t="n">
        <v>1.8</v>
      </c>
      <c r="D337" s="8" t="n">
        <v>1.67</v>
      </c>
      <c r="E337" s="8" t="n">
        <v>80.43000000000001</v>
      </c>
      <c r="F337" s="8" t="n">
        <v>66.31</v>
      </c>
      <c r="G337" s="8" t="n">
        <v>28.92</v>
      </c>
      <c r="H337" s="8" t="n">
        <v>165.399994</v>
      </c>
      <c r="I337" s="8" t="n">
        <v>919.1400149999999</v>
      </c>
      <c r="J337" s="8" t="n">
        <v>62.766438</v>
      </c>
      <c r="L337" s="9">
        <f>LN(B337/B336)</f>
        <v/>
      </c>
      <c r="M337" s="9">
        <f>$M$1*(C337-C336)</f>
        <v/>
      </c>
      <c r="N337" s="9">
        <f>$N$1*(D337-D336)</f>
        <v/>
      </c>
      <c r="O337" s="9">
        <f>$O$1*LN(E337/E336)</f>
        <v/>
      </c>
      <c r="P337" s="9">
        <f>$P$1*LN(F337/F336)</f>
        <v/>
      </c>
      <c r="Q337" s="9">
        <f>$Q$1*(G337-G336)</f>
        <v/>
      </c>
      <c r="R337" s="9">
        <f>$R$1*(H337-H336)</f>
        <v/>
      </c>
      <c r="S337" s="9">
        <f>$S$1*LN(I337/I336)</f>
        <v/>
      </c>
      <c r="T337" s="9">
        <f>$T$1*LN(J337/J336)</f>
        <v/>
      </c>
      <c r="U337" s="9">
        <f>$W$12+$W$4*M337+$W$5*N337+$W$6*O337+$W$7*P337+$W$8*Q337+$W$9*R337+$W$10*S337+$W$11*T337</f>
        <v/>
      </c>
      <c r="AA337" s="10">
        <f>INDEX(LINEST(L78:L337,M78:T337,TRUE,TRUE),1,9)*52</f>
        <v/>
      </c>
      <c r="AB337" s="9">
        <f>INDEX(LINEST(L78:L337,M78:T337,TRUE,TRUE),1,8)</f>
        <v/>
      </c>
      <c r="AC337" s="9">
        <f>INDEX(LINEST(L78:L337,M78:T337,TRUE,TRUE),1,7)</f>
        <v/>
      </c>
      <c r="AD337" s="9">
        <f>INDEX(LINEST(L78:L337,M78:T337,TRUE,TRUE),1,6)</f>
        <v/>
      </c>
      <c r="AE337" s="9">
        <f>INDEX(LINEST(L78:L337,M78:T337,TRUE,TRUE),1,5)</f>
        <v/>
      </c>
      <c r="AF337" s="9">
        <f>INDEX(LINEST(L78:L337,M78:T337,TRUE,TRUE),1,4)</f>
        <v/>
      </c>
      <c r="AG337" s="9">
        <f>INDEX(LINEST(L78:L337,M78:T337,TRUE,TRUE),1,3)</f>
        <v/>
      </c>
      <c r="AH337" s="9">
        <f>INDEX(LINEST(L78:L337,M78:T337,TRUE,TRUE),1,2)</f>
        <v/>
      </c>
      <c r="AI337" s="9">
        <f>INDEX(LINEST(L78:L337,M78:T337,TRUE,TRUE),1,1)</f>
        <v/>
      </c>
      <c r="AJ337" s="10">
        <f>INDEX(LINEST(L78:L337,M78:T337,TRUE,TRUE),3,1)</f>
        <v/>
      </c>
      <c r="AK337" s="9">
        <f>AA336/52+AB336*M337+AC336*N337+AD336*O337+AE336*P337+AF336*Q337+AG336*R337+AH336*S337+AI336*T337</f>
        <v/>
      </c>
      <c r="AL337" s="9">
        <f>AVERAGE(L77:L336)</f>
        <v/>
      </c>
    </row>
    <row r="338">
      <c r="A338" s="7" t="n">
        <v>39969</v>
      </c>
      <c r="B338" s="8" t="n">
        <v>962</v>
      </c>
      <c r="C338" s="8" t="n">
        <v>1.96</v>
      </c>
      <c r="D338" s="8" t="n">
        <v>1.88</v>
      </c>
      <c r="E338" s="8" t="n">
        <v>80.66999800000001</v>
      </c>
      <c r="F338" s="8" t="n">
        <v>68.43000000000001</v>
      </c>
      <c r="G338" s="8" t="n">
        <v>29.62</v>
      </c>
      <c r="H338" s="8" t="n">
        <v>183.399994</v>
      </c>
      <c r="I338" s="8" t="n">
        <v>940.090027</v>
      </c>
      <c r="J338" s="8" t="n">
        <v>61.747124</v>
      </c>
      <c r="L338" s="9">
        <f>LN(B338/B337)</f>
        <v/>
      </c>
      <c r="M338" s="9">
        <f>$M$1*(C338-C337)</f>
        <v/>
      </c>
      <c r="N338" s="9">
        <f>$N$1*(D338-D337)</f>
        <v/>
      </c>
      <c r="O338" s="9">
        <f>$O$1*LN(E338/E337)</f>
        <v/>
      </c>
      <c r="P338" s="9">
        <f>$P$1*LN(F338/F337)</f>
        <v/>
      </c>
      <c r="Q338" s="9">
        <f>$Q$1*(G338-G337)</f>
        <v/>
      </c>
      <c r="R338" s="9">
        <f>$R$1*(H338-H337)</f>
        <v/>
      </c>
      <c r="S338" s="9">
        <f>$S$1*LN(I338/I337)</f>
        <v/>
      </c>
      <c r="T338" s="9">
        <f>$T$1*LN(J338/J337)</f>
        <v/>
      </c>
      <c r="U338" s="9">
        <f>$W$12+$W$4*M338+$W$5*N338+$W$6*O338+$W$7*P338+$W$8*Q338+$W$9*R338+$W$10*S338+$W$11*T338</f>
        <v/>
      </c>
      <c r="AA338" s="10">
        <f>INDEX(LINEST(L79:L338,M79:T338,TRUE,TRUE),1,9)*52</f>
        <v/>
      </c>
      <c r="AB338" s="9">
        <f>INDEX(LINEST(L79:L338,M79:T338,TRUE,TRUE),1,8)</f>
        <v/>
      </c>
      <c r="AC338" s="9">
        <f>INDEX(LINEST(L79:L338,M79:T338,TRUE,TRUE),1,7)</f>
        <v/>
      </c>
      <c r="AD338" s="9">
        <f>INDEX(LINEST(L79:L338,M79:T338,TRUE,TRUE),1,6)</f>
        <v/>
      </c>
      <c r="AE338" s="9">
        <f>INDEX(LINEST(L79:L338,M79:T338,TRUE,TRUE),1,5)</f>
        <v/>
      </c>
      <c r="AF338" s="9">
        <f>INDEX(LINEST(L79:L338,M79:T338,TRUE,TRUE),1,4)</f>
        <v/>
      </c>
      <c r="AG338" s="9">
        <f>INDEX(LINEST(L79:L338,M79:T338,TRUE,TRUE),1,3)</f>
        <v/>
      </c>
      <c r="AH338" s="9">
        <f>INDEX(LINEST(L79:L338,M79:T338,TRUE,TRUE),1,2)</f>
        <v/>
      </c>
      <c r="AI338" s="9">
        <f>INDEX(LINEST(L79:L338,M79:T338,TRUE,TRUE),1,1)</f>
        <v/>
      </c>
      <c r="AJ338" s="10">
        <f>INDEX(LINEST(L79:L338,M79:T338,TRUE,TRUE),3,1)</f>
        <v/>
      </c>
      <c r="AK338" s="9">
        <f>AA337/52+AB337*M338+AC337*N338+AD337*O338+AE337*P338+AF337*Q338+AG337*R338+AH337*S338+AI337*T338</f>
        <v/>
      </c>
      <c r="AL338" s="9">
        <f>AVERAGE(L78:L337)</f>
        <v/>
      </c>
    </row>
    <row r="339">
      <c r="A339" s="7" t="n">
        <v>39976</v>
      </c>
      <c r="B339" s="8" t="n">
        <v>937.25</v>
      </c>
      <c r="C339" s="8" t="n">
        <v>1.9</v>
      </c>
      <c r="D339" s="8" t="n">
        <v>1.91</v>
      </c>
      <c r="E339" s="8" t="n">
        <v>80.139999</v>
      </c>
      <c r="F339" s="8" t="n">
        <v>72.13</v>
      </c>
      <c r="G339" s="8" t="n">
        <v>28.15</v>
      </c>
      <c r="H339" s="8" t="n">
        <v>171.800003</v>
      </c>
      <c r="I339" s="8" t="n">
        <v>946.210022</v>
      </c>
      <c r="J339" s="8" t="n">
        <v>62.203667</v>
      </c>
      <c r="L339" s="9">
        <f>LN(B339/B338)</f>
        <v/>
      </c>
      <c r="M339" s="9">
        <f>$M$1*(C339-C338)</f>
        <v/>
      </c>
      <c r="N339" s="9">
        <f>$N$1*(D339-D338)</f>
        <v/>
      </c>
      <c r="O339" s="9">
        <f>$O$1*LN(E339/E338)</f>
        <v/>
      </c>
      <c r="P339" s="9">
        <f>$P$1*LN(F339/F338)</f>
        <v/>
      </c>
      <c r="Q339" s="9">
        <f>$Q$1*(G339-G338)</f>
        <v/>
      </c>
      <c r="R339" s="9">
        <f>$R$1*(H339-H338)</f>
        <v/>
      </c>
      <c r="S339" s="9">
        <f>$S$1*LN(I339/I338)</f>
        <v/>
      </c>
      <c r="T339" s="9">
        <f>$T$1*LN(J339/J338)</f>
        <v/>
      </c>
      <c r="U339" s="9">
        <f>$W$12+$W$4*M339+$W$5*N339+$W$6*O339+$W$7*P339+$W$8*Q339+$W$9*R339+$W$10*S339+$W$11*T339</f>
        <v/>
      </c>
      <c r="AA339" s="10">
        <f>INDEX(LINEST(L80:L339,M80:T339,TRUE,TRUE),1,9)*52</f>
        <v/>
      </c>
      <c r="AB339" s="9">
        <f>INDEX(LINEST(L80:L339,M80:T339,TRUE,TRUE),1,8)</f>
        <v/>
      </c>
      <c r="AC339" s="9">
        <f>INDEX(LINEST(L80:L339,M80:T339,TRUE,TRUE),1,7)</f>
        <v/>
      </c>
      <c r="AD339" s="9">
        <f>INDEX(LINEST(L80:L339,M80:T339,TRUE,TRUE),1,6)</f>
        <v/>
      </c>
      <c r="AE339" s="9">
        <f>INDEX(LINEST(L80:L339,M80:T339,TRUE,TRUE),1,5)</f>
        <v/>
      </c>
      <c r="AF339" s="9">
        <f>INDEX(LINEST(L80:L339,M80:T339,TRUE,TRUE),1,4)</f>
        <v/>
      </c>
      <c r="AG339" s="9">
        <f>INDEX(LINEST(L80:L339,M80:T339,TRUE,TRUE),1,3)</f>
        <v/>
      </c>
      <c r="AH339" s="9">
        <f>INDEX(LINEST(L80:L339,M80:T339,TRUE,TRUE),1,2)</f>
        <v/>
      </c>
      <c r="AI339" s="9">
        <f>INDEX(LINEST(L80:L339,M80:T339,TRUE,TRUE),1,1)</f>
        <v/>
      </c>
      <c r="AJ339" s="10">
        <f>INDEX(LINEST(L80:L339,M80:T339,TRUE,TRUE),3,1)</f>
        <v/>
      </c>
      <c r="AK339" s="9">
        <f>AA338/52+AB338*M339+AC338*N339+AD338*O339+AE338*P339+AF338*Q339+AG338*R339+AH338*S339+AI338*T339</f>
        <v/>
      </c>
      <c r="AL339" s="9">
        <f>AVERAGE(L79:L338)</f>
        <v/>
      </c>
    </row>
    <row r="340">
      <c r="A340" s="7" t="n">
        <v>39983</v>
      </c>
      <c r="B340" s="8" t="n">
        <v>935.25</v>
      </c>
      <c r="C340" s="8" t="n">
        <v>1.88</v>
      </c>
      <c r="D340" s="8" t="n">
        <v>1.91</v>
      </c>
      <c r="E340" s="8" t="n">
        <v>80.260002</v>
      </c>
      <c r="F340" s="8" t="n">
        <v>69.59999999999999</v>
      </c>
      <c r="G340" s="8" t="n">
        <v>27.99</v>
      </c>
      <c r="H340" s="8" t="n">
        <v>182.300003</v>
      </c>
      <c r="I340" s="8" t="n">
        <v>921.22998</v>
      </c>
      <c r="J340" s="8" t="n">
        <v>62.469063</v>
      </c>
      <c r="L340" s="9">
        <f>LN(B340/B339)</f>
        <v/>
      </c>
      <c r="M340" s="9">
        <f>$M$1*(C340-C339)</f>
        <v/>
      </c>
      <c r="N340" s="9">
        <f>$N$1*(D340-D339)</f>
        <v/>
      </c>
      <c r="O340" s="9">
        <f>$O$1*LN(E340/E339)</f>
        <v/>
      </c>
      <c r="P340" s="9">
        <f>$P$1*LN(F340/F339)</f>
        <v/>
      </c>
      <c r="Q340" s="9">
        <f>$Q$1*(G340-G339)</f>
        <v/>
      </c>
      <c r="R340" s="9">
        <f>$R$1*(H340-H339)</f>
        <v/>
      </c>
      <c r="S340" s="9">
        <f>$S$1*LN(I340/I339)</f>
        <v/>
      </c>
      <c r="T340" s="9">
        <f>$T$1*LN(J340/J339)</f>
        <v/>
      </c>
      <c r="U340" s="9">
        <f>$W$12+$W$4*M340+$W$5*N340+$W$6*O340+$W$7*P340+$W$8*Q340+$W$9*R340+$W$10*S340+$W$11*T340</f>
        <v/>
      </c>
      <c r="AA340" s="10">
        <f>INDEX(LINEST(L81:L340,M81:T340,TRUE,TRUE),1,9)*52</f>
        <v/>
      </c>
      <c r="AB340" s="9">
        <f>INDEX(LINEST(L81:L340,M81:T340,TRUE,TRUE),1,8)</f>
        <v/>
      </c>
      <c r="AC340" s="9">
        <f>INDEX(LINEST(L81:L340,M81:T340,TRUE,TRUE),1,7)</f>
        <v/>
      </c>
      <c r="AD340" s="9">
        <f>INDEX(LINEST(L81:L340,M81:T340,TRUE,TRUE),1,6)</f>
        <v/>
      </c>
      <c r="AE340" s="9">
        <f>INDEX(LINEST(L81:L340,M81:T340,TRUE,TRUE),1,5)</f>
        <v/>
      </c>
      <c r="AF340" s="9">
        <f>INDEX(LINEST(L81:L340,M81:T340,TRUE,TRUE),1,4)</f>
        <v/>
      </c>
      <c r="AG340" s="9">
        <f>INDEX(LINEST(L81:L340,M81:T340,TRUE,TRUE),1,3)</f>
        <v/>
      </c>
      <c r="AH340" s="9">
        <f>INDEX(LINEST(L81:L340,M81:T340,TRUE,TRUE),1,2)</f>
        <v/>
      </c>
      <c r="AI340" s="9">
        <f>INDEX(LINEST(L81:L340,M81:T340,TRUE,TRUE),1,1)</f>
        <v/>
      </c>
      <c r="AJ340" s="10">
        <f>INDEX(LINEST(L81:L340,M81:T340,TRUE,TRUE),3,1)</f>
        <v/>
      </c>
      <c r="AK340" s="9">
        <f>AA339/52+AB339*M340+AC339*N340+AD339*O340+AE339*P340+AF339*Q340+AG339*R340+AH339*S340+AI339*T340</f>
        <v/>
      </c>
      <c r="AL340" s="9">
        <f>AVERAGE(L80:L339)</f>
        <v/>
      </c>
    </row>
    <row r="341">
      <c r="A341" s="7" t="n">
        <v>39990</v>
      </c>
      <c r="B341" s="8" t="n">
        <v>942</v>
      </c>
      <c r="C341" s="8" t="n">
        <v>1.67</v>
      </c>
      <c r="D341" s="8" t="n">
        <v>1.85</v>
      </c>
      <c r="E341" s="8" t="n">
        <v>79.879997</v>
      </c>
      <c r="F341" s="8" t="n">
        <v>69.16</v>
      </c>
      <c r="G341" s="8" t="n">
        <v>25.93</v>
      </c>
      <c r="H341" s="8" t="n">
        <v>159</v>
      </c>
      <c r="I341" s="8" t="n">
        <v>918.900024</v>
      </c>
      <c r="J341" s="8" t="n">
        <v>63.073746</v>
      </c>
      <c r="L341" s="9">
        <f>LN(B341/B340)</f>
        <v/>
      </c>
      <c r="M341" s="9">
        <f>$M$1*(C341-C340)</f>
        <v/>
      </c>
      <c r="N341" s="9">
        <f>$N$1*(D341-D340)</f>
        <v/>
      </c>
      <c r="O341" s="9">
        <f>$O$1*LN(E341/E340)</f>
        <v/>
      </c>
      <c r="P341" s="9">
        <f>$P$1*LN(F341/F340)</f>
        <v/>
      </c>
      <c r="Q341" s="9">
        <f>$Q$1*(G341-G340)</f>
        <v/>
      </c>
      <c r="R341" s="9">
        <f>$R$1*(H341-H340)</f>
        <v/>
      </c>
      <c r="S341" s="9">
        <f>$S$1*LN(I341/I340)</f>
        <v/>
      </c>
      <c r="T341" s="9">
        <f>$T$1*LN(J341/J340)</f>
        <v/>
      </c>
      <c r="U341" s="9">
        <f>$W$12+$W$4*M341+$W$5*N341+$W$6*O341+$W$7*P341+$W$8*Q341+$W$9*R341+$W$10*S341+$W$11*T341</f>
        <v/>
      </c>
      <c r="AA341" s="10">
        <f>INDEX(LINEST(L82:L341,M82:T341,TRUE,TRUE),1,9)*52</f>
        <v/>
      </c>
      <c r="AB341" s="9">
        <f>INDEX(LINEST(L82:L341,M82:T341,TRUE,TRUE),1,8)</f>
        <v/>
      </c>
      <c r="AC341" s="9">
        <f>INDEX(LINEST(L82:L341,M82:T341,TRUE,TRUE),1,7)</f>
        <v/>
      </c>
      <c r="AD341" s="9">
        <f>INDEX(LINEST(L82:L341,M82:T341,TRUE,TRUE),1,6)</f>
        <v/>
      </c>
      <c r="AE341" s="9">
        <f>INDEX(LINEST(L82:L341,M82:T341,TRUE,TRUE),1,5)</f>
        <v/>
      </c>
      <c r="AF341" s="9">
        <f>INDEX(LINEST(L82:L341,M82:T341,TRUE,TRUE),1,4)</f>
        <v/>
      </c>
      <c r="AG341" s="9">
        <f>INDEX(LINEST(L82:L341,M82:T341,TRUE,TRUE),1,3)</f>
        <v/>
      </c>
      <c r="AH341" s="9">
        <f>INDEX(LINEST(L82:L341,M82:T341,TRUE,TRUE),1,2)</f>
        <v/>
      </c>
      <c r="AI341" s="9">
        <f>INDEX(LINEST(L82:L341,M82:T341,TRUE,TRUE),1,1)</f>
        <v/>
      </c>
      <c r="AJ341" s="10">
        <f>INDEX(LINEST(L82:L341,M82:T341,TRUE,TRUE),3,1)</f>
        <v/>
      </c>
      <c r="AK341" s="9">
        <f>AA340/52+AB340*M341+AC340*N341+AD340*O341+AE340*P341+AF340*Q341+AG340*R341+AH340*S341+AI340*T341</f>
        <v/>
      </c>
      <c r="AL341" s="9">
        <f>AVERAGE(L81:L340)</f>
        <v/>
      </c>
    </row>
    <row r="342">
      <c r="A342" s="7" t="n">
        <v>39997</v>
      </c>
      <c r="B342" s="8" t="n">
        <v>932.5</v>
      </c>
      <c r="C342" s="8" t="n">
        <v>1.64</v>
      </c>
      <c r="D342" s="8" t="n">
        <v>1.87</v>
      </c>
      <c r="E342" s="8" t="n">
        <v>80.150002</v>
      </c>
      <c r="F342" s="8" t="n">
        <v>66.68000000000001</v>
      </c>
      <c r="G342" s="8" t="n">
        <v>27.95</v>
      </c>
      <c r="H342" s="8" t="n">
        <v>149.100006</v>
      </c>
      <c r="I342" s="8" t="n">
        <v>896.419983</v>
      </c>
      <c r="J342" s="8" t="n">
        <v>63.155586</v>
      </c>
      <c r="L342" s="9">
        <f>LN(B342/B341)</f>
        <v/>
      </c>
      <c r="M342" s="9">
        <f>$M$1*(C342-C341)</f>
        <v/>
      </c>
      <c r="N342" s="9">
        <f>$N$1*(D342-D341)</f>
        <v/>
      </c>
      <c r="O342" s="9">
        <f>$O$1*LN(E342/E341)</f>
        <v/>
      </c>
      <c r="P342" s="9">
        <f>$P$1*LN(F342/F341)</f>
        <v/>
      </c>
      <c r="Q342" s="9">
        <f>$Q$1*(G342-G341)</f>
        <v/>
      </c>
      <c r="R342" s="9">
        <f>$R$1*(H342-H341)</f>
        <v/>
      </c>
      <c r="S342" s="9">
        <f>$S$1*LN(I342/I341)</f>
        <v/>
      </c>
      <c r="T342" s="9">
        <f>$T$1*LN(J342/J341)</f>
        <v/>
      </c>
      <c r="U342" s="9">
        <f>$W$12+$W$4*M342+$W$5*N342+$W$6*O342+$W$7*P342+$W$8*Q342+$W$9*R342+$W$10*S342+$W$11*T342</f>
        <v/>
      </c>
      <c r="AA342" s="10">
        <f>INDEX(LINEST(L83:L342,M83:T342,TRUE,TRUE),1,9)*52</f>
        <v/>
      </c>
      <c r="AB342" s="9">
        <f>INDEX(LINEST(L83:L342,M83:T342,TRUE,TRUE),1,8)</f>
        <v/>
      </c>
      <c r="AC342" s="9">
        <f>INDEX(LINEST(L83:L342,M83:T342,TRUE,TRUE),1,7)</f>
        <v/>
      </c>
      <c r="AD342" s="9">
        <f>INDEX(LINEST(L83:L342,M83:T342,TRUE,TRUE),1,6)</f>
        <v/>
      </c>
      <c r="AE342" s="9">
        <f>INDEX(LINEST(L83:L342,M83:T342,TRUE,TRUE),1,5)</f>
        <v/>
      </c>
      <c r="AF342" s="9">
        <f>INDEX(LINEST(L83:L342,M83:T342,TRUE,TRUE),1,4)</f>
        <v/>
      </c>
      <c r="AG342" s="9">
        <f>INDEX(LINEST(L83:L342,M83:T342,TRUE,TRUE),1,3)</f>
        <v/>
      </c>
      <c r="AH342" s="9">
        <f>INDEX(LINEST(L83:L342,M83:T342,TRUE,TRUE),1,2)</f>
        <v/>
      </c>
      <c r="AI342" s="9">
        <f>INDEX(LINEST(L83:L342,M83:T342,TRUE,TRUE),1,1)</f>
        <v/>
      </c>
      <c r="AJ342" s="10">
        <f>INDEX(LINEST(L83:L342,M83:T342,TRUE,TRUE),3,1)</f>
        <v/>
      </c>
      <c r="AK342" s="9">
        <f>AA341/52+AB341*M342+AC341*N342+AD341*O342+AE341*P342+AF341*Q342+AG341*R342+AH341*S342+AI341*T342</f>
        <v/>
      </c>
      <c r="AL342" s="9">
        <f>AVERAGE(L82:L341)</f>
        <v/>
      </c>
    </row>
    <row r="343">
      <c r="A343" s="7" t="n">
        <v>40004</v>
      </c>
      <c r="B343" s="8" t="n">
        <v>913</v>
      </c>
      <c r="C343" s="8" t="n">
        <v>1.52</v>
      </c>
      <c r="D343" s="8" t="n">
        <v>1.8</v>
      </c>
      <c r="E343" s="8" t="n">
        <v>80.230003</v>
      </c>
      <c r="F343" s="8" t="n">
        <v>59.93</v>
      </c>
      <c r="G343" s="8" t="n">
        <v>29.02</v>
      </c>
      <c r="H343" s="8" t="n">
        <v>135.899994</v>
      </c>
      <c r="I343" s="8" t="n">
        <v>879.130005</v>
      </c>
      <c r="J343" s="8" t="n">
        <v>63.69426</v>
      </c>
      <c r="L343" s="9">
        <f>LN(B343/B342)</f>
        <v/>
      </c>
      <c r="M343" s="9">
        <f>$M$1*(C343-C342)</f>
        <v/>
      </c>
      <c r="N343" s="9">
        <f>$N$1*(D343-D342)</f>
        <v/>
      </c>
      <c r="O343" s="9">
        <f>$O$1*LN(E343/E342)</f>
        <v/>
      </c>
      <c r="P343" s="9">
        <f>$P$1*LN(F343/F342)</f>
        <v/>
      </c>
      <c r="Q343" s="9">
        <f>$Q$1*(G343-G342)</f>
        <v/>
      </c>
      <c r="R343" s="9">
        <f>$R$1*(H343-H342)</f>
        <v/>
      </c>
      <c r="S343" s="9">
        <f>$S$1*LN(I343/I342)</f>
        <v/>
      </c>
      <c r="T343" s="9">
        <f>$T$1*LN(J343/J342)</f>
        <v/>
      </c>
      <c r="U343" s="9">
        <f>$W$12+$W$4*M343+$W$5*N343+$W$6*O343+$W$7*P343+$W$8*Q343+$W$9*R343+$W$10*S343+$W$11*T343</f>
        <v/>
      </c>
      <c r="AA343" s="10">
        <f>INDEX(LINEST(L84:L343,M84:T343,TRUE,TRUE),1,9)*52</f>
        <v/>
      </c>
      <c r="AB343" s="9">
        <f>INDEX(LINEST(L84:L343,M84:T343,TRUE,TRUE),1,8)</f>
        <v/>
      </c>
      <c r="AC343" s="9">
        <f>INDEX(LINEST(L84:L343,M84:T343,TRUE,TRUE),1,7)</f>
        <v/>
      </c>
      <c r="AD343" s="9">
        <f>INDEX(LINEST(L84:L343,M84:T343,TRUE,TRUE),1,6)</f>
        <v/>
      </c>
      <c r="AE343" s="9">
        <f>INDEX(LINEST(L84:L343,M84:T343,TRUE,TRUE),1,5)</f>
        <v/>
      </c>
      <c r="AF343" s="9">
        <f>INDEX(LINEST(L84:L343,M84:T343,TRUE,TRUE),1,4)</f>
        <v/>
      </c>
      <c r="AG343" s="9">
        <f>INDEX(LINEST(L84:L343,M84:T343,TRUE,TRUE),1,3)</f>
        <v/>
      </c>
      <c r="AH343" s="9">
        <f>INDEX(LINEST(L84:L343,M84:T343,TRUE,TRUE),1,2)</f>
        <v/>
      </c>
      <c r="AI343" s="9">
        <f>INDEX(LINEST(L84:L343,M84:T343,TRUE,TRUE),1,1)</f>
        <v/>
      </c>
      <c r="AJ343" s="10">
        <f>INDEX(LINEST(L84:L343,M84:T343,TRUE,TRUE),3,1)</f>
        <v/>
      </c>
      <c r="AK343" s="9">
        <f>AA342/52+AB342*M343+AC342*N343+AD342*O343+AE342*P343+AF342*Q343+AG342*R343+AH342*S343+AI342*T343</f>
        <v/>
      </c>
      <c r="AL343" s="9">
        <f>AVERAGE(L83:L342)</f>
        <v/>
      </c>
    </row>
    <row r="344">
      <c r="A344" s="7" t="n">
        <v>40011</v>
      </c>
      <c r="B344" s="8" t="n">
        <v>937.5</v>
      </c>
      <c r="C344" s="8" t="n">
        <v>1.86</v>
      </c>
      <c r="D344" s="8" t="n">
        <v>1.81</v>
      </c>
      <c r="E344" s="8" t="n">
        <v>79.349998</v>
      </c>
      <c r="F344" s="8" t="n">
        <v>63.56</v>
      </c>
      <c r="G344" s="8" t="n">
        <v>24.34</v>
      </c>
      <c r="H344" s="8" t="n">
        <v>156.300003</v>
      </c>
      <c r="I344" s="8" t="n">
        <v>940.380005</v>
      </c>
      <c r="J344" s="8" t="n">
        <v>63.254635</v>
      </c>
      <c r="L344" s="9">
        <f>LN(B344/B343)</f>
        <v/>
      </c>
      <c r="M344" s="9">
        <f>$M$1*(C344-C343)</f>
        <v/>
      </c>
      <c r="N344" s="9">
        <f>$N$1*(D344-D343)</f>
        <v/>
      </c>
      <c r="O344" s="9">
        <f>$O$1*LN(E344/E343)</f>
        <v/>
      </c>
      <c r="P344" s="9">
        <f>$P$1*LN(F344/F343)</f>
        <v/>
      </c>
      <c r="Q344" s="9">
        <f>$Q$1*(G344-G343)</f>
        <v/>
      </c>
      <c r="R344" s="9">
        <f>$R$1*(H344-H343)</f>
        <v/>
      </c>
      <c r="S344" s="9">
        <f>$S$1*LN(I344/I343)</f>
        <v/>
      </c>
      <c r="T344" s="9">
        <f>$T$1*LN(J344/J343)</f>
        <v/>
      </c>
      <c r="U344" s="9">
        <f>$W$12+$W$4*M344+$W$5*N344+$W$6*O344+$W$7*P344+$W$8*Q344+$W$9*R344+$W$10*S344+$W$11*T344</f>
        <v/>
      </c>
      <c r="AA344" s="10">
        <f>INDEX(LINEST(L85:L344,M85:T344,TRUE,TRUE),1,9)*52</f>
        <v/>
      </c>
      <c r="AB344" s="9">
        <f>INDEX(LINEST(L85:L344,M85:T344,TRUE,TRUE),1,8)</f>
        <v/>
      </c>
      <c r="AC344" s="9">
        <f>INDEX(LINEST(L85:L344,M85:T344,TRUE,TRUE),1,7)</f>
        <v/>
      </c>
      <c r="AD344" s="9">
        <f>INDEX(LINEST(L85:L344,M85:T344,TRUE,TRUE),1,6)</f>
        <v/>
      </c>
      <c r="AE344" s="9">
        <f>INDEX(LINEST(L85:L344,M85:T344,TRUE,TRUE),1,5)</f>
        <v/>
      </c>
      <c r="AF344" s="9">
        <f>INDEX(LINEST(L85:L344,M85:T344,TRUE,TRUE),1,4)</f>
        <v/>
      </c>
      <c r="AG344" s="9">
        <f>INDEX(LINEST(L85:L344,M85:T344,TRUE,TRUE),1,3)</f>
        <v/>
      </c>
      <c r="AH344" s="9">
        <f>INDEX(LINEST(L85:L344,M85:T344,TRUE,TRUE),1,2)</f>
        <v/>
      </c>
      <c r="AI344" s="9">
        <f>INDEX(LINEST(L85:L344,M85:T344,TRUE,TRUE),1,1)</f>
        <v/>
      </c>
      <c r="AJ344" s="10">
        <f>INDEX(LINEST(L85:L344,M85:T344,TRUE,TRUE),3,1)</f>
        <v/>
      </c>
      <c r="AK344" s="9">
        <f>AA343/52+AB343*M344+AC343*N344+AD343*O344+AE343*P344+AF343*Q344+AG343*R344+AH343*S344+AI343*T344</f>
        <v/>
      </c>
      <c r="AL344" s="9">
        <f>AVERAGE(L84:L343)</f>
        <v/>
      </c>
    </row>
    <row r="345">
      <c r="A345" s="7" t="n">
        <v>40018</v>
      </c>
      <c r="B345" s="8" t="n">
        <v>951.5</v>
      </c>
      <c r="C345" s="8" t="n">
        <v>1.89</v>
      </c>
      <c r="D345" s="8" t="n">
        <v>1.81</v>
      </c>
      <c r="E345" s="8" t="n">
        <v>78.75</v>
      </c>
      <c r="F345" s="8" t="n">
        <v>66.95999999999999</v>
      </c>
      <c r="G345" s="8" t="n">
        <v>23.09</v>
      </c>
      <c r="H345" s="8" t="n">
        <v>143.600006</v>
      </c>
      <c r="I345" s="8" t="n">
        <v>979.26001</v>
      </c>
      <c r="J345" s="8" t="n">
        <v>63.390896</v>
      </c>
      <c r="L345" s="9">
        <f>LN(B345/B344)</f>
        <v/>
      </c>
      <c r="M345" s="9">
        <f>$M$1*(C345-C344)</f>
        <v/>
      </c>
      <c r="N345" s="9">
        <f>$N$1*(D345-D344)</f>
        <v/>
      </c>
      <c r="O345" s="9">
        <f>$O$1*LN(E345/E344)</f>
        <v/>
      </c>
      <c r="P345" s="9">
        <f>$P$1*LN(F345/F344)</f>
        <v/>
      </c>
      <c r="Q345" s="9">
        <f>$Q$1*(G345-G344)</f>
        <v/>
      </c>
      <c r="R345" s="9">
        <f>$R$1*(H345-H344)</f>
        <v/>
      </c>
      <c r="S345" s="9">
        <f>$S$1*LN(I345/I344)</f>
        <v/>
      </c>
      <c r="T345" s="9">
        <f>$T$1*LN(J345/J344)</f>
        <v/>
      </c>
      <c r="U345" s="9">
        <f>$W$12+$W$4*M345+$W$5*N345+$W$6*O345+$W$7*P345+$W$8*Q345+$W$9*R345+$W$10*S345+$W$11*T345</f>
        <v/>
      </c>
      <c r="AA345" s="10">
        <f>INDEX(LINEST(L86:L345,M86:T345,TRUE,TRUE),1,9)*52</f>
        <v/>
      </c>
      <c r="AB345" s="9">
        <f>INDEX(LINEST(L86:L345,M86:T345,TRUE,TRUE),1,8)</f>
        <v/>
      </c>
      <c r="AC345" s="9">
        <f>INDEX(LINEST(L86:L345,M86:T345,TRUE,TRUE),1,7)</f>
        <v/>
      </c>
      <c r="AD345" s="9">
        <f>INDEX(LINEST(L86:L345,M86:T345,TRUE,TRUE),1,6)</f>
        <v/>
      </c>
      <c r="AE345" s="9">
        <f>INDEX(LINEST(L86:L345,M86:T345,TRUE,TRUE),1,5)</f>
        <v/>
      </c>
      <c r="AF345" s="9">
        <f>INDEX(LINEST(L86:L345,M86:T345,TRUE,TRUE),1,4)</f>
        <v/>
      </c>
      <c r="AG345" s="9">
        <f>INDEX(LINEST(L86:L345,M86:T345,TRUE,TRUE),1,3)</f>
        <v/>
      </c>
      <c r="AH345" s="9">
        <f>INDEX(LINEST(L86:L345,M86:T345,TRUE,TRUE),1,2)</f>
        <v/>
      </c>
      <c r="AI345" s="9">
        <f>INDEX(LINEST(L86:L345,M86:T345,TRUE,TRUE),1,1)</f>
        <v/>
      </c>
      <c r="AJ345" s="10">
        <f>INDEX(LINEST(L86:L345,M86:T345,TRUE,TRUE),3,1)</f>
        <v/>
      </c>
      <c r="AK345" s="9">
        <f>AA344/52+AB344*M345+AC344*N345+AD344*O345+AE344*P345+AF344*Q345+AG344*R345+AH344*S345+AI344*T345</f>
        <v/>
      </c>
      <c r="AL345" s="9">
        <f>AVERAGE(L85:L344)</f>
        <v/>
      </c>
    </row>
    <row r="346">
      <c r="A346" s="7" t="n">
        <v>40025</v>
      </c>
      <c r="B346" s="8" t="n">
        <v>939</v>
      </c>
      <c r="C346" s="8" t="n">
        <v>1.81</v>
      </c>
      <c r="D346" s="8" t="n">
        <v>1.71</v>
      </c>
      <c r="E346" s="8" t="n">
        <v>78.349998</v>
      </c>
      <c r="F346" s="8" t="n">
        <v>69.26000000000001</v>
      </c>
      <c r="G346" s="8" t="n">
        <v>25.92</v>
      </c>
      <c r="H346" s="8" t="n">
        <v>138.5</v>
      </c>
      <c r="I346" s="8" t="n">
        <v>987.47998</v>
      </c>
      <c r="J346" s="8" t="n">
        <v>63.830391</v>
      </c>
      <c r="L346" s="9">
        <f>LN(B346/B345)</f>
        <v/>
      </c>
      <c r="M346" s="9">
        <f>$M$1*(C346-C345)</f>
        <v/>
      </c>
      <c r="N346" s="9">
        <f>$N$1*(D346-D345)</f>
        <v/>
      </c>
      <c r="O346" s="9">
        <f>$O$1*LN(E346/E345)</f>
        <v/>
      </c>
      <c r="P346" s="9">
        <f>$P$1*LN(F346/F345)</f>
        <v/>
      </c>
      <c r="Q346" s="9">
        <f>$Q$1*(G346-G345)</f>
        <v/>
      </c>
      <c r="R346" s="9">
        <f>$R$1*(H346-H345)</f>
        <v/>
      </c>
      <c r="S346" s="9">
        <f>$S$1*LN(I346/I345)</f>
        <v/>
      </c>
      <c r="T346" s="9">
        <f>$T$1*LN(J346/J345)</f>
        <v/>
      </c>
      <c r="U346" s="9">
        <f>$W$12+$W$4*M346+$W$5*N346+$W$6*O346+$W$7*P346+$W$8*Q346+$W$9*R346+$W$10*S346+$W$11*T346</f>
        <v/>
      </c>
      <c r="AA346" s="10">
        <f>INDEX(LINEST(L87:L346,M87:T346,TRUE,TRUE),1,9)*52</f>
        <v/>
      </c>
      <c r="AB346" s="9">
        <f>INDEX(LINEST(L87:L346,M87:T346,TRUE,TRUE),1,8)</f>
        <v/>
      </c>
      <c r="AC346" s="9">
        <f>INDEX(LINEST(L87:L346,M87:T346,TRUE,TRUE),1,7)</f>
        <v/>
      </c>
      <c r="AD346" s="9">
        <f>INDEX(LINEST(L87:L346,M87:T346,TRUE,TRUE),1,6)</f>
        <v/>
      </c>
      <c r="AE346" s="9">
        <f>INDEX(LINEST(L87:L346,M87:T346,TRUE,TRUE),1,5)</f>
        <v/>
      </c>
      <c r="AF346" s="9">
        <f>INDEX(LINEST(L87:L346,M87:T346,TRUE,TRUE),1,4)</f>
        <v/>
      </c>
      <c r="AG346" s="9">
        <f>INDEX(LINEST(L87:L346,M87:T346,TRUE,TRUE),1,3)</f>
        <v/>
      </c>
      <c r="AH346" s="9">
        <f>INDEX(LINEST(L87:L346,M87:T346,TRUE,TRUE),1,2)</f>
        <v/>
      </c>
      <c r="AI346" s="9">
        <f>INDEX(LINEST(L87:L346,M87:T346,TRUE,TRUE),1,1)</f>
        <v/>
      </c>
      <c r="AJ346" s="10">
        <f>INDEX(LINEST(L87:L346,M87:T346,TRUE,TRUE),3,1)</f>
        <v/>
      </c>
      <c r="AK346" s="9">
        <f>AA345/52+AB345*M346+AC345*N346+AD345*O346+AE345*P346+AF345*Q346+AG345*R346+AH345*S346+AI345*T346</f>
        <v/>
      </c>
      <c r="AL346" s="9">
        <f>AVERAGE(L86:L345)</f>
        <v/>
      </c>
    </row>
    <row r="347">
      <c r="A347" s="7" t="n">
        <v>40032</v>
      </c>
      <c r="B347" s="8" t="n">
        <v>956</v>
      </c>
      <c r="C347" s="8" t="n">
        <v>2.01</v>
      </c>
      <c r="D347" s="8" t="n">
        <v>1.88</v>
      </c>
      <c r="E347" s="8" t="n">
        <v>78.970001</v>
      </c>
      <c r="F347" s="8" t="n">
        <v>70.97</v>
      </c>
      <c r="G347" s="8" t="n">
        <v>24.76</v>
      </c>
      <c r="H347" s="8" t="n">
        <v>153.399994</v>
      </c>
      <c r="I347" s="8" t="n">
        <v>1010.47998</v>
      </c>
      <c r="J347" s="8" t="n">
        <v>63.099968</v>
      </c>
      <c r="L347" s="9">
        <f>LN(B347/B346)</f>
        <v/>
      </c>
      <c r="M347" s="9">
        <f>$M$1*(C347-C346)</f>
        <v/>
      </c>
      <c r="N347" s="9">
        <f>$N$1*(D347-D346)</f>
        <v/>
      </c>
      <c r="O347" s="9">
        <f>$O$1*LN(E347/E346)</f>
        <v/>
      </c>
      <c r="P347" s="9">
        <f>$P$1*LN(F347/F346)</f>
        <v/>
      </c>
      <c r="Q347" s="9">
        <f>$Q$1*(G347-G346)</f>
        <v/>
      </c>
      <c r="R347" s="9">
        <f>$R$1*(H347-H346)</f>
        <v/>
      </c>
      <c r="S347" s="9">
        <f>$S$1*LN(I347/I346)</f>
        <v/>
      </c>
      <c r="T347" s="9">
        <f>$T$1*LN(J347/J346)</f>
        <v/>
      </c>
      <c r="U347" s="9">
        <f>$W$12+$W$4*M347+$W$5*N347+$W$6*O347+$W$7*P347+$W$8*Q347+$W$9*R347+$W$10*S347+$W$11*T347</f>
        <v/>
      </c>
      <c r="AA347" s="10">
        <f>INDEX(LINEST(L88:L347,M88:T347,TRUE,TRUE),1,9)*52</f>
        <v/>
      </c>
      <c r="AB347" s="9">
        <f>INDEX(LINEST(L88:L347,M88:T347,TRUE,TRUE),1,8)</f>
        <v/>
      </c>
      <c r="AC347" s="9">
        <f>INDEX(LINEST(L88:L347,M88:T347,TRUE,TRUE),1,7)</f>
        <v/>
      </c>
      <c r="AD347" s="9">
        <f>INDEX(LINEST(L88:L347,M88:T347,TRUE,TRUE),1,6)</f>
        <v/>
      </c>
      <c r="AE347" s="9">
        <f>INDEX(LINEST(L88:L347,M88:T347,TRUE,TRUE),1,5)</f>
        <v/>
      </c>
      <c r="AF347" s="9">
        <f>INDEX(LINEST(L88:L347,M88:T347,TRUE,TRUE),1,4)</f>
        <v/>
      </c>
      <c r="AG347" s="9">
        <f>INDEX(LINEST(L88:L347,M88:T347,TRUE,TRUE),1,3)</f>
        <v/>
      </c>
      <c r="AH347" s="9">
        <f>INDEX(LINEST(L88:L347,M88:T347,TRUE,TRUE),1,2)</f>
        <v/>
      </c>
      <c r="AI347" s="9">
        <f>INDEX(LINEST(L88:L347,M88:T347,TRUE,TRUE),1,1)</f>
        <v/>
      </c>
      <c r="AJ347" s="10">
        <f>INDEX(LINEST(L88:L347,M88:T347,TRUE,TRUE),3,1)</f>
        <v/>
      </c>
      <c r="AK347" s="9">
        <f>AA346/52+AB346*M347+AC346*N347+AD346*O347+AE346*P347+AF346*Q347+AG346*R347+AH346*S347+AI346*T347</f>
        <v/>
      </c>
      <c r="AL347" s="9">
        <f>AVERAGE(L87:L346)</f>
        <v/>
      </c>
    </row>
    <row r="348">
      <c r="A348" s="7" t="n">
        <v>40039</v>
      </c>
      <c r="B348" s="8" t="n">
        <v>953.5</v>
      </c>
      <c r="C348" s="8" t="n">
        <v>1.7</v>
      </c>
      <c r="D348" s="8" t="n">
        <v>1.85</v>
      </c>
      <c r="E348" s="8" t="n">
        <v>78.889999</v>
      </c>
      <c r="F348" s="8" t="n">
        <v>67.51000000000001</v>
      </c>
      <c r="G348" s="8" t="n">
        <v>24.27</v>
      </c>
      <c r="H348" s="8" t="n">
        <v>144.699997</v>
      </c>
      <c r="I348" s="8" t="n">
        <v>1004.090027</v>
      </c>
      <c r="J348" s="8" t="n">
        <v>64.05650300000001</v>
      </c>
      <c r="L348" s="9">
        <f>LN(B348/B347)</f>
        <v/>
      </c>
      <c r="M348" s="9">
        <f>$M$1*(C348-C347)</f>
        <v/>
      </c>
      <c r="N348" s="9">
        <f>$N$1*(D348-D347)</f>
        <v/>
      </c>
      <c r="O348" s="9">
        <f>$O$1*LN(E348/E347)</f>
        <v/>
      </c>
      <c r="P348" s="9">
        <f>$P$1*LN(F348/F347)</f>
        <v/>
      </c>
      <c r="Q348" s="9">
        <f>$Q$1*(G348-G347)</f>
        <v/>
      </c>
      <c r="R348" s="9">
        <f>$R$1*(H348-H347)</f>
        <v/>
      </c>
      <c r="S348" s="9">
        <f>$S$1*LN(I348/I347)</f>
        <v/>
      </c>
      <c r="T348" s="9">
        <f>$T$1*LN(J348/J347)</f>
        <v/>
      </c>
      <c r="U348" s="9">
        <f>$W$12+$W$4*M348+$W$5*N348+$W$6*O348+$W$7*P348+$W$8*Q348+$W$9*R348+$W$10*S348+$W$11*T348</f>
        <v/>
      </c>
      <c r="AA348" s="10">
        <f>INDEX(LINEST(L89:L348,M89:T348,TRUE,TRUE),1,9)*52</f>
        <v/>
      </c>
      <c r="AB348" s="9">
        <f>INDEX(LINEST(L89:L348,M89:T348,TRUE,TRUE),1,8)</f>
        <v/>
      </c>
      <c r="AC348" s="9">
        <f>INDEX(LINEST(L89:L348,M89:T348,TRUE,TRUE),1,7)</f>
        <v/>
      </c>
      <c r="AD348" s="9">
        <f>INDEX(LINEST(L89:L348,M89:T348,TRUE,TRUE),1,6)</f>
        <v/>
      </c>
      <c r="AE348" s="9">
        <f>INDEX(LINEST(L89:L348,M89:T348,TRUE,TRUE),1,5)</f>
        <v/>
      </c>
      <c r="AF348" s="9">
        <f>INDEX(LINEST(L89:L348,M89:T348,TRUE,TRUE),1,4)</f>
        <v/>
      </c>
      <c r="AG348" s="9">
        <f>INDEX(LINEST(L89:L348,M89:T348,TRUE,TRUE),1,3)</f>
        <v/>
      </c>
      <c r="AH348" s="9">
        <f>INDEX(LINEST(L89:L348,M89:T348,TRUE,TRUE),1,2)</f>
        <v/>
      </c>
      <c r="AI348" s="9">
        <f>INDEX(LINEST(L89:L348,M89:T348,TRUE,TRUE),1,1)</f>
        <v/>
      </c>
      <c r="AJ348" s="10">
        <f>INDEX(LINEST(L89:L348,M89:T348,TRUE,TRUE),3,1)</f>
        <v/>
      </c>
      <c r="AK348" s="9">
        <f>AA347/52+AB347*M348+AC347*N348+AD347*O348+AE347*P348+AF347*Q348+AG347*R348+AH347*S348+AI347*T348</f>
        <v/>
      </c>
      <c r="AL348" s="9">
        <f>AVERAGE(L88:L347)</f>
        <v/>
      </c>
    </row>
    <row r="349">
      <c r="A349" s="7" t="n">
        <v>40046</v>
      </c>
      <c r="B349" s="8" t="n">
        <v>952.5</v>
      </c>
      <c r="C349" s="8" t="n">
        <v>1.87</v>
      </c>
      <c r="D349" s="8" t="n">
        <v>1.69</v>
      </c>
      <c r="E349" s="8" t="n">
        <v>78.040001</v>
      </c>
      <c r="F349" s="8" t="n">
        <v>73.12</v>
      </c>
      <c r="G349" s="8" t="n">
        <v>25.01</v>
      </c>
      <c r="H349" s="8" t="n">
        <v>132.300003</v>
      </c>
      <c r="I349" s="8" t="n">
        <v>1026.130005</v>
      </c>
      <c r="J349" s="8" t="n">
        <v>63.975815</v>
      </c>
      <c r="L349" s="9">
        <f>LN(B349/B348)</f>
        <v/>
      </c>
      <c r="M349" s="9">
        <f>$M$1*(C349-C348)</f>
        <v/>
      </c>
      <c r="N349" s="9">
        <f>$N$1*(D349-D348)</f>
        <v/>
      </c>
      <c r="O349" s="9">
        <f>$O$1*LN(E349/E348)</f>
        <v/>
      </c>
      <c r="P349" s="9">
        <f>$P$1*LN(F349/F348)</f>
        <v/>
      </c>
      <c r="Q349" s="9">
        <f>$Q$1*(G349-G348)</f>
        <v/>
      </c>
      <c r="R349" s="9">
        <f>$R$1*(H349-H348)</f>
        <v/>
      </c>
      <c r="S349" s="9">
        <f>$S$1*LN(I349/I348)</f>
        <v/>
      </c>
      <c r="T349" s="9">
        <f>$T$1*LN(J349/J348)</f>
        <v/>
      </c>
      <c r="U349" s="9">
        <f>$W$12+$W$4*M349+$W$5*N349+$W$6*O349+$W$7*P349+$W$8*Q349+$W$9*R349+$W$10*S349+$W$11*T349</f>
        <v/>
      </c>
      <c r="AA349" s="10">
        <f>INDEX(LINEST(L90:L349,M90:T349,TRUE,TRUE),1,9)*52</f>
        <v/>
      </c>
      <c r="AB349" s="9">
        <f>INDEX(LINEST(L90:L349,M90:T349,TRUE,TRUE),1,8)</f>
        <v/>
      </c>
      <c r="AC349" s="9">
        <f>INDEX(LINEST(L90:L349,M90:T349,TRUE,TRUE),1,7)</f>
        <v/>
      </c>
      <c r="AD349" s="9">
        <f>INDEX(LINEST(L90:L349,M90:T349,TRUE,TRUE),1,6)</f>
        <v/>
      </c>
      <c r="AE349" s="9">
        <f>INDEX(LINEST(L90:L349,M90:T349,TRUE,TRUE),1,5)</f>
        <v/>
      </c>
      <c r="AF349" s="9">
        <f>INDEX(LINEST(L90:L349,M90:T349,TRUE,TRUE),1,4)</f>
        <v/>
      </c>
      <c r="AG349" s="9">
        <f>INDEX(LINEST(L90:L349,M90:T349,TRUE,TRUE),1,3)</f>
        <v/>
      </c>
      <c r="AH349" s="9">
        <f>INDEX(LINEST(L90:L349,M90:T349,TRUE,TRUE),1,2)</f>
        <v/>
      </c>
      <c r="AI349" s="9">
        <f>INDEX(LINEST(L90:L349,M90:T349,TRUE,TRUE),1,1)</f>
        <v/>
      </c>
      <c r="AJ349" s="10">
        <f>INDEX(LINEST(L90:L349,M90:T349,TRUE,TRUE),3,1)</f>
        <v/>
      </c>
      <c r="AK349" s="9">
        <f>AA348/52+AB348*M349+AC348*N349+AD348*O349+AE348*P349+AF348*Q349+AG348*R349+AH348*S349+AI348*T349</f>
        <v/>
      </c>
      <c r="AL349" s="9">
        <f>AVERAGE(L89:L348)</f>
        <v/>
      </c>
    </row>
    <row r="350">
      <c r="A350" s="7" t="n">
        <v>40053</v>
      </c>
      <c r="B350" s="8" t="n">
        <v>955.5</v>
      </c>
      <c r="C350" s="8" t="n">
        <v>1.7</v>
      </c>
      <c r="D350" s="8" t="n">
        <v>1.76</v>
      </c>
      <c r="E350" s="8" t="n">
        <v>78.370003</v>
      </c>
      <c r="F350" s="8" t="n">
        <v>72.72</v>
      </c>
      <c r="G350" s="8" t="n">
        <v>24.76</v>
      </c>
      <c r="H350" s="8" t="n">
        <v>129.100006</v>
      </c>
      <c r="I350" s="8" t="n">
        <v>1028.930054</v>
      </c>
      <c r="J350" s="8" t="n">
        <v>64.342201</v>
      </c>
      <c r="L350" s="9">
        <f>LN(B350/B349)</f>
        <v/>
      </c>
      <c r="M350" s="9">
        <f>$M$1*(C350-C349)</f>
        <v/>
      </c>
      <c r="N350" s="9">
        <f>$N$1*(D350-D349)</f>
        <v/>
      </c>
      <c r="O350" s="9">
        <f>$O$1*LN(E350/E349)</f>
        <v/>
      </c>
      <c r="P350" s="9">
        <f>$P$1*LN(F350/F349)</f>
        <v/>
      </c>
      <c r="Q350" s="9">
        <f>$Q$1*(G350-G349)</f>
        <v/>
      </c>
      <c r="R350" s="9">
        <f>$R$1*(H350-H349)</f>
        <v/>
      </c>
      <c r="S350" s="9">
        <f>$S$1*LN(I350/I349)</f>
        <v/>
      </c>
      <c r="T350" s="9">
        <f>$T$1*LN(J350/J349)</f>
        <v/>
      </c>
      <c r="U350" s="9">
        <f>$W$12+$W$4*M350+$W$5*N350+$W$6*O350+$W$7*P350+$W$8*Q350+$W$9*R350+$W$10*S350+$W$11*T350</f>
        <v/>
      </c>
      <c r="AA350" s="10">
        <f>INDEX(LINEST(L91:L350,M91:T350,TRUE,TRUE),1,9)*52</f>
        <v/>
      </c>
      <c r="AB350" s="9">
        <f>INDEX(LINEST(L91:L350,M91:T350,TRUE,TRUE),1,8)</f>
        <v/>
      </c>
      <c r="AC350" s="9">
        <f>INDEX(LINEST(L91:L350,M91:T350,TRUE,TRUE),1,7)</f>
        <v/>
      </c>
      <c r="AD350" s="9">
        <f>INDEX(LINEST(L91:L350,M91:T350,TRUE,TRUE),1,6)</f>
        <v/>
      </c>
      <c r="AE350" s="9">
        <f>INDEX(LINEST(L91:L350,M91:T350,TRUE,TRUE),1,5)</f>
        <v/>
      </c>
      <c r="AF350" s="9">
        <f>INDEX(LINEST(L91:L350,M91:T350,TRUE,TRUE),1,4)</f>
        <v/>
      </c>
      <c r="AG350" s="9">
        <f>INDEX(LINEST(L91:L350,M91:T350,TRUE,TRUE),1,3)</f>
        <v/>
      </c>
      <c r="AH350" s="9">
        <f>INDEX(LINEST(L91:L350,M91:T350,TRUE,TRUE),1,2)</f>
        <v/>
      </c>
      <c r="AI350" s="9">
        <f>INDEX(LINEST(L91:L350,M91:T350,TRUE,TRUE),1,1)</f>
        <v/>
      </c>
      <c r="AJ350" s="10">
        <f>INDEX(LINEST(L91:L350,M91:T350,TRUE,TRUE),3,1)</f>
        <v/>
      </c>
      <c r="AK350" s="9">
        <f>AA349/52+AB349*M350+AC349*N350+AD349*O350+AE349*P350+AF349*Q350+AG349*R350+AH349*S350+AI349*T350</f>
        <v/>
      </c>
      <c r="AL350" s="9">
        <f>AVERAGE(L90:L349)</f>
        <v/>
      </c>
    </row>
    <row r="351">
      <c r="A351" s="7" t="n">
        <v>40060</v>
      </c>
      <c r="B351" s="8" t="n">
        <v>989</v>
      </c>
      <c r="C351" s="8" t="n">
        <v>1.75</v>
      </c>
      <c r="D351" s="8" t="n">
        <v>1.7</v>
      </c>
      <c r="E351" s="8" t="n">
        <v>78.139999</v>
      </c>
      <c r="F351" s="8" t="n">
        <v>67.95</v>
      </c>
      <c r="G351" s="8" t="n">
        <v>25.26</v>
      </c>
      <c r="H351" s="8" t="n">
        <v>127.599998</v>
      </c>
      <c r="I351" s="8" t="n">
        <v>1016.400024</v>
      </c>
      <c r="J351" s="8" t="n">
        <v>64.598114</v>
      </c>
      <c r="L351" s="9">
        <f>LN(B351/B350)</f>
        <v/>
      </c>
      <c r="M351" s="9">
        <f>$M$1*(C351-C350)</f>
        <v/>
      </c>
      <c r="N351" s="9">
        <f>$N$1*(D351-D350)</f>
        <v/>
      </c>
      <c r="O351" s="9">
        <f>$O$1*LN(E351/E350)</f>
        <v/>
      </c>
      <c r="P351" s="9">
        <f>$P$1*LN(F351/F350)</f>
        <v/>
      </c>
      <c r="Q351" s="9">
        <f>$Q$1*(G351-G350)</f>
        <v/>
      </c>
      <c r="R351" s="9">
        <f>$R$1*(H351-H350)</f>
        <v/>
      </c>
      <c r="S351" s="9">
        <f>$S$1*LN(I351/I350)</f>
        <v/>
      </c>
      <c r="T351" s="9">
        <f>$T$1*LN(J351/J350)</f>
        <v/>
      </c>
      <c r="U351" s="9">
        <f>$W$12+$W$4*M351+$W$5*N351+$W$6*O351+$W$7*P351+$W$8*Q351+$W$9*R351+$W$10*S351+$W$11*T351</f>
        <v/>
      </c>
      <c r="AA351" s="10">
        <f>INDEX(LINEST(L92:L351,M92:T351,TRUE,TRUE),1,9)*52</f>
        <v/>
      </c>
      <c r="AB351" s="9">
        <f>INDEX(LINEST(L92:L351,M92:T351,TRUE,TRUE),1,8)</f>
        <v/>
      </c>
      <c r="AC351" s="9">
        <f>INDEX(LINEST(L92:L351,M92:T351,TRUE,TRUE),1,7)</f>
        <v/>
      </c>
      <c r="AD351" s="9">
        <f>INDEX(LINEST(L92:L351,M92:T351,TRUE,TRUE),1,6)</f>
        <v/>
      </c>
      <c r="AE351" s="9">
        <f>INDEX(LINEST(L92:L351,M92:T351,TRUE,TRUE),1,5)</f>
        <v/>
      </c>
      <c r="AF351" s="9">
        <f>INDEX(LINEST(L92:L351,M92:T351,TRUE,TRUE),1,4)</f>
        <v/>
      </c>
      <c r="AG351" s="9">
        <f>INDEX(LINEST(L92:L351,M92:T351,TRUE,TRUE),1,3)</f>
        <v/>
      </c>
      <c r="AH351" s="9">
        <f>INDEX(LINEST(L92:L351,M92:T351,TRUE,TRUE),1,2)</f>
        <v/>
      </c>
      <c r="AI351" s="9">
        <f>INDEX(LINEST(L92:L351,M92:T351,TRUE,TRUE),1,1)</f>
        <v/>
      </c>
      <c r="AJ351" s="10">
        <f>INDEX(LINEST(L92:L351,M92:T351,TRUE,TRUE),3,1)</f>
        <v/>
      </c>
      <c r="AK351" s="9">
        <f>AA350/52+AB350*M351+AC350*N351+AD350*O351+AE350*P351+AF350*Q351+AG350*R351+AH350*S351+AI350*T351</f>
        <v/>
      </c>
      <c r="AL351" s="9">
        <f>AVERAGE(L91:L350)</f>
        <v/>
      </c>
    </row>
    <row r="352">
      <c r="A352" s="7" t="n">
        <v>40067</v>
      </c>
      <c r="B352" s="8" t="n">
        <v>1008.25</v>
      </c>
      <c r="C352" s="8" t="n">
        <v>1.75</v>
      </c>
      <c r="D352" s="8" t="n">
        <v>1.59</v>
      </c>
      <c r="E352" s="8" t="n">
        <v>76.610001</v>
      </c>
      <c r="F352" s="8" t="n">
        <v>69.34</v>
      </c>
      <c r="G352" s="8" t="n">
        <v>24.15</v>
      </c>
      <c r="H352" s="8" t="n">
        <v>114.699997</v>
      </c>
      <c r="I352" s="8" t="n">
        <v>1042.72998</v>
      </c>
      <c r="J352" s="8" t="n">
        <v>64.953232</v>
      </c>
      <c r="L352" s="9">
        <f>LN(B352/B351)</f>
        <v/>
      </c>
      <c r="M352" s="9">
        <f>$M$1*(C352-C351)</f>
        <v/>
      </c>
      <c r="N352" s="9">
        <f>$N$1*(D352-D351)</f>
        <v/>
      </c>
      <c r="O352" s="9">
        <f>$O$1*LN(E352/E351)</f>
        <v/>
      </c>
      <c r="P352" s="9">
        <f>$P$1*LN(F352/F351)</f>
        <v/>
      </c>
      <c r="Q352" s="9">
        <f>$Q$1*(G352-G351)</f>
        <v/>
      </c>
      <c r="R352" s="9">
        <f>$R$1*(H352-H351)</f>
        <v/>
      </c>
      <c r="S352" s="9">
        <f>$S$1*LN(I352/I351)</f>
        <v/>
      </c>
      <c r="T352" s="9">
        <f>$T$1*LN(J352/J351)</f>
        <v/>
      </c>
      <c r="U352" s="9">
        <f>$W$12+$W$4*M352+$W$5*N352+$W$6*O352+$W$7*P352+$W$8*Q352+$W$9*R352+$W$10*S352+$W$11*T352</f>
        <v/>
      </c>
      <c r="AA352" s="10">
        <f>INDEX(LINEST(L93:L352,M93:T352,TRUE,TRUE),1,9)*52</f>
        <v/>
      </c>
      <c r="AB352" s="9">
        <f>INDEX(LINEST(L93:L352,M93:T352,TRUE,TRUE),1,8)</f>
        <v/>
      </c>
      <c r="AC352" s="9">
        <f>INDEX(LINEST(L93:L352,M93:T352,TRUE,TRUE),1,7)</f>
        <v/>
      </c>
      <c r="AD352" s="9">
        <f>INDEX(LINEST(L93:L352,M93:T352,TRUE,TRUE),1,6)</f>
        <v/>
      </c>
      <c r="AE352" s="9">
        <f>INDEX(LINEST(L93:L352,M93:T352,TRUE,TRUE),1,5)</f>
        <v/>
      </c>
      <c r="AF352" s="9">
        <f>INDEX(LINEST(L93:L352,M93:T352,TRUE,TRUE),1,4)</f>
        <v/>
      </c>
      <c r="AG352" s="9">
        <f>INDEX(LINEST(L93:L352,M93:T352,TRUE,TRUE),1,3)</f>
        <v/>
      </c>
      <c r="AH352" s="9">
        <f>INDEX(LINEST(L93:L352,M93:T352,TRUE,TRUE),1,2)</f>
        <v/>
      </c>
      <c r="AI352" s="9">
        <f>INDEX(LINEST(L93:L352,M93:T352,TRUE,TRUE),1,1)</f>
        <v/>
      </c>
      <c r="AJ352" s="10">
        <f>INDEX(LINEST(L93:L352,M93:T352,TRUE,TRUE),3,1)</f>
        <v/>
      </c>
      <c r="AK352" s="9">
        <f>AA351/52+AB351*M352+AC351*N352+AD351*O352+AE351*P352+AF351*Q352+AG351*R352+AH351*S352+AI351*T352</f>
        <v/>
      </c>
      <c r="AL352" s="9">
        <f>AVERAGE(L92:L351)</f>
        <v/>
      </c>
    </row>
    <row r="353">
      <c r="A353" s="7" t="n">
        <v>40074</v>
      </c>
      <c r="B353" s="8" t="n">
        <v>1012</v>
      </c>
      <c r="C353" s="8" t="n">
        <v>1.81</v>
      </c>
      <c r="D353" s="8" t="n">
        <v>1.68</v>
      </c>
      <c r="E353" s="8" t="n">
        <v>76.43000000000001</v>
      </c>
      <c r="F353" s="8" t="n">
        <v>71.95</v>
      </c>
      <c r="G353" s="8" t="n">
        <v>23.92</v>
      </c>
      <c r="H353" s="8" t="n">
        <v>121.400002</v>
      </c>
      <c r="I353" s="8" t="n">
        <v>1068.300049</v>
      </c>
      <c r="J353" s="8" t="n">
        <v>64.953232</v>
      </c>
      <c r="L353" s="9">
        <f>LN(B353/B352)</f>
        <v/>
      </c>
      <c r="M353" s="9">
        <f>$M$1*(C353-C352)</f>
        <v/>
      </c>
      <c r="N353" s="9">
        <f>$N$1*(D353-D352)</f>
        <v/>
      </c>
      <c r="O353" s="9">
        <f>$O$1*LN(E353/E352)</f>
        <v/>
      </c>
      <c r="P353" s="9">
        <f>$P$1*LN(F353/F352)</f>
        <v/>
      </c>
      <c r="Q353" s="9">
        <f>$Q$1*(G353-G352)</f>
        <v/>
      </c>
      <c r="R353" s="9">
        <f>$R$1*(H353-H352)</f>
        <v/>
      </c>
      <c r="S353" s="9">
        <f>$S$1*LN(I353/I352)</f>
        <v/>
      </c>
      <c r="T353" s="9">
        <f>$T$1*LN(J353/J352)</f>
        <v/>
      </c>
      <c r="U353" s="9">
        <f>$W$12+$W$4*M353+$W$5*N353+$W$6*O353+$W$7*P353+$W$8*Q353+$W$9*R353+$W$10*S353+$W$11*T353</f>
        <v/>
      </c>
      <c r="AA353" s="10">
        <f>INDEX(LINEST(L94:L353,M94:T353,TRUE,TRUE),1,9)*52</f>
        <v/>
      </c>
      <c r="AB353" s="9">
        <f>INDEX(LINEST(L94:L353,M94:T353,TRUE,TRUE),1,8)</f>
        <v/>
      </c>
      <c r="AC353" s="9">
        <f>INDEX(LINEST(L94:L353,M94:T353,TRUE,TRUE),1,7)</f>
        <v/>
      </c>
      <c r="AD353" s="9">
        <f>INDEX(LINEST(L94:L353,M94:T353,TRUE,TRUE),1,6)</f>
        <v/>
      </c>
      <c r="AE353" s="9">
        <f>INDEX(LINEST(L94:L353,M94:T353,TRUE,TRUE),1,5)</f>
        <v/>
      </c>
      <c r="AF353" s="9">
        <f>INDEX(LINEST(L94:L353,M94:T353,TRUE,TRUE),1,4)</f>
        <v/>
      </c>
      <c r="AG353" s="9">
        <f>INDEX(LINEST(L94:L353,M94:T353,TRUE,TRUE),1,3)</f>
        <v/>
      </c>
      <c r="AH353" s="9">
        <f>INDEX(LINEST(L94:L353,M94:T353,TRUE,TRUE),1,2)</f>
        <v/>
      </c>
      <c r="AI353" s="9">
        <f>INDEX(LINEST(L94:L353,M94:T353,TRUE,TRUE),1,1)</f>
        <v/>
      </c>
      <c r="AJ353" s="10">
        <f>INDEX(LINEST(L94:L353,M94:T353,TRUE,TRUE),3,1)</f>
        <v/>
      </c>
      <c r="AK353" s="9">
        <f>AA352/52+AB352*M353+AC352*N353+AD352*O353+AE352*P353+AF352*Q353+AG352*R353+AH352*S353+AI352*T353</f>
        <v/>
      </c>
      <c r="AL353" s="9">
        <f>AVERAGE(L93:L352)</f>
        <v/>
      </c>
    </row>
    <row r="354">
      <c r="A354" s="7" t="n">
        <v>40081</v>
      </c>
      <c r="B354" s="8" t="n">
        <v>991.5</v>
      </c>
      <c r="C354" s="8" t="n">
        <v>1.74</v>
      </c>
      <c r="D354" s="8" t="n">
        <v>1.6</v>
      </c>
      <c r="E354" s="8" t="n">
        <v>76.80999799999999</v>
      </c>
      <c r="F354" s="8" t="n">
        <v>65.91</v>
      </c>
      <c r="G354" s="8" t="n">
        <v>25.61</v>
      </c>
      <c r="H354" s="8" t="n">
        <v>110.699997</v>
      </c>
      <c r="I354" s="8" t="n">
        <v>1044.380005</v>
      </c>
      <c r="J354" s="8" t="n">
        <v>65.295959</v>
      </c>
      <c r="L354" s="9">
        <f>LN(B354/B353)</f>
        <v/>
      </c>
      <c r="M354" s="9">
        <f>$M$1*(C354-C353)</f>
        <v/>
      </c>
      <c r="N354" s="9">
        <f>$N$1*(D354-D353)</f>
        <v/>
      </c>
      <c r="O354" s="9">
        <f>$O$1*LN(E354/E353)</f>
        <v/>
      </c>
      <c r="P354" s="9">
        <f>$P$1*LN(F354/F353)</f>
        <v/>
      </c>
      <c r="Q354" s="9">
        <f>$Q$1*(G354-G353)</f>
        <v/>
      </c>
      <c r="R354" s="9">
        <f>$R$1*(H354-H353)</f>
        <v/>
      </c>
      <c r="S354" s="9">
        <f>$S$1*LN(I354/I353)</f>
        <v/>
      </c>
      <c r="T354" s="9">
        <f>$T$1*LN(J354/J353)</f>
        <v/>
      </c>
      <c r="U354" s="9">
        <f>$W$12+$W$4*M354+$W$5*N354+$W$6*O354+$W$7*P354+$W$8*Q354+$W$9*R354+$W$10*S354+$W$11*T354</f>
        <v/>
      </c>
      <c r="AA354" s="10">
        <f>INDEX(LINEST(L95:L354,M95:T354,TRUE,TRUE),1,9)*52</f>
        <v/>
      </c>
      <c r="AB354" s="9">
        <f>INDEX(LINEST(L95:L354,M95:T354,TRUE,TRUE),1,8)</f>
        <v/>
      </c>
      <c r="AC354" s="9">
        <f>INDEX(LINEST(L95:L354,M95:T354,TRUE,TRUE),1,7)</f>
        <v/>
      </c>
      <c r="AD354" s="9">
        <f>INDEX(LINEST(L95:L354,M95:T354,TRUE,TRUE),1,6)</f>
        <v/>
      </c>
      <c r="AE354" s="9">
        <f>INDEX(LINEST(L95:L354,M95:T354,TRUE,TRUE),1,5)</f>
        <v/>
      </c>
      <c r="AF354" s="9">
        <f>INDEX(LINEST(L95:L354,M95:T354,TRUE,TRUE),1,4)</f>
        <v/>
      </c>
      <c r="AG354" s="9">
        <f>INDEX(LINEST(L95:L354,M95:T354,TRUE,TRUE),1,3)</f>
        <v/>
      </c>
      <c r="AH354" s="9">
        <f>INDEX(LINEST(L95:L354,M95:T354,TRUE,TRUE),1,2)</f>
        <v/>
      </c>
      <c r="AI354" s="9">
        <f>INDEX(LINEST(L95:L354,M95:T354,TRUE,TRUE),1,1)</f>
        <v/>
      </c>
      <c r="AJ354" s="10">
        <f>INDEX(LINEST(L95:L354,M95:T354,TRUE,TRUE),3,1)</f>
        <v/>
      </c>
      <c r="AK354" s="9">
        <f>AA353/52+AB353*M354+AC353*N354+AD353*O354+AE353*P354+AF353*Q354+AG353*R354+AH353*S354+AI353*T354</f>
        <v/>
      </c>
      <c r="AL354" s="9">
        <f>AVERAGE(L94:L353)</f>
        <v/>
      </c>
    </row>
    <row r="355">
      <c r="A355" s="7" t="n">
        <v>40088</v>
      </c>
      <c r="B355" s="8" t="n">
        <v>1003.5</v>
      </c>
      <c r="C355" s="8" t="n">
        <v>1.7</v>
      </c>
      <c r="D355" s="8" t="n">
        <v>1.54</v>
      </c>
      <c r="E355" s="8" t="n">
        <v>77</v>
      </c>
      <c r="F355" s="8" t="n">
        <v>69.8</v>
      </c>
      <c r="G355" s="8" t="n">
        <v>28.68</v>
      </c>
      <c r="H355" s="8" t="n">
        <v>107.800003</v>
      </c>
      <c r="I355" s="8" t="n">
        <v>1025.209961</v>
      </c>
      <c r="J355" s="8" t="n">
        <v>65.403198</v>
      </c>
      <c r="L355" s="9">
        <f>LN(B355/B354)</f>
        <v/>
      </c>
      <c r="M355" s="9">
        <f>$M$1*(C355-C354)</f>
        <v/>
      </c>
      <c r="N355" s="9">
        <f>$N$1*(D355-D354)</f>
        <v/>
      </c>
      <c r="O355" s="9">
        <f>$O$1*LN(E355/E354)</f>
        <v/>
      </c>
      <c r="P355" s="9">
        <f>$P$1*LN(F355/F354)</f>
        <v/>
      </c>
      <c r="Q355" s="9">
        <f>$Q$1*(G355-G354)</f>
        <v/>
      </c>
      <c r="R355" s="9">
        <f>$R$1*(H355-H354)</f>
        <v/>
      </c>
      <c r="S355" s="9">
        <f>$S$1*LN(I355/I354)</f>
        <v/>
      </c>
      <c r="T355" s="9">
        <f>$T$1*LN(J355/J354)</f>
        <v/>
      </c>
      <c r="U355" s="9">
        <f>$W$12+$W$4*M355+$W$5*N355+$W$6*O355+$W$7*P355+$W$8*Q355+$W$9*R355+$W$10*S355+$W$11*T355</f>
        <v/>
      </c>
      <c r="AA355" s="10">
        <f>INDEX(LINEST(L96:L355,M96:T355,TRUE,TRUE),1,9)*52</f>
        <v/>
      </c>
      <c r="AB355" s="9">
        <f>INDEX(LINEST(L96:L355,M96:T355,TRUE,TRUE),1,8)</f>
        <v/>
      </c>
      <c r="AC355" s="9">
        <f>INDEX(LINEST(L96:L355,M96:T355,TRUE,TRUE),1,7)</f>
        <v/>
      </c>
      <c r="AD355" s="9">
        <f>INDEX(LINEST(L96:L355,M96:T355,TRUE,TRUE),1,6)</f>
        <v/>
      </c>
      <c r="AE355" s="9">
        <f>INDEX(LINEST(L96:L355,M96:T355,TRUE,TRUE),1,5)</f>
        <v/>
      </c>
      <c r="AF355" s="9">
        <f>INDEX(LINEST(L96:L355,M96:T355,TRUE,TRUE),1,4)</f>
        <v/>
      </c>
      <c r="AG355" s="9">
        <f>INDEX(LINEST(L96:L355,M96:T355,TRUE,TRUE),1,3)</f>
        <v/>
      </c>
      <c r="AH355" s="9">
        <f>INDEX(LINEST(L96:L355,M96:T355,TRUE,TRUE),1,2)</f>
        <v/>
      </c>
      <c r="AI355" s="9">
        <f>INDEX(LINEST(L96:L355,M96:T355,TRUE,TRUE),1,1)</f>
        <v/>
      </c>
      <c r="AJ355" s="10">
        <f>INDEX(LINEST(L96:L355,M96:T355,TRUE,TRUE),3,1)</f>
        <v/>
      </c>
      <c r="AK355" s="9">
        <f>AA354/52+AB354*M355+AC354*N355+AD354*O355+AE354*P355+AF354*Q355+AG354*R355+AH354*S355+AI354*T355</f>
        <v/>
      </c>
      <c r="AL355" s="9">
        <f>AVERAGE(L95:L354)</f>
        <v/>
      </c>
    </row>
    <row r="356">
      <c r="A356" s="7" t="n">
        <v>40095</v>
      </c>
      <c r="B356" s="8" t="n">
        <v>1051.5</v>
      </c>
      <c r="C356" s="8" t="n">
        <v>1.84</v>
      </c>
      <c r="D356" s="8" t="n">
        <v>1.56</v>
      </c>
      <c r="E356" s="8" t="n">
        <v>76.43000000000001</v>
      </c>
      <c r="F356" s="8" t="n">
        <v>71.75</v>
      </c>
      <c r="G356" s="8" t="n">
        <v>23.12</v>
      </c>
      <c r="H356" s="8" t="n">
        <v>114.699997</v>
      </c>
      <c r="I356" s="8" t="n">
        <v>1071.48999</v>
      </c>
      <c r="J356" s="8" t="n">
        <v>65.11567700000001</v>
      </c>
      <c r="L356" s="9">
        <f>LN(B356/B355)</f>
        <v/>
      </c>
      <c r="M356" s="9">
        <f>$M$1*(C356-C355)</f>
        <v/>
      </c>
      <c r="N356" s="9">
        <f>$N$1*(D356-D355)</f>
        <v/>
      </c>
      <c r="O356" s="9">
        <f>$O$1*LN(E356/E355)</f>
        <v/>
      </c>
      <c r="P356" s="9">
        <f>$P$1*LN(F356/F355)</f>
        <v/>
      </c>
      <c r="Q356" s="9">
        <f>$Q$1*(G356-G355)</f>
        <v/>
      </c>
      <c r="R356" s="9">
        <f>$R$1*(H356-H355)</f>
        <v/>
      </c>
      <c r="S356" s="9">
        <f>$S$1*LN(I356/I355)</f>
        <v/>
      </c>
      <c r="T356" s="9">
        <f>$T$1*LN(J356/J355)</f>
        <v/>
      </c>
      <c r="U356" s="9">
        <f>$W$12+$W$4*M356+$W$5*N356+$W$6*O356+$W$7*P356+$W$8*Q356+$W$9*R356+$W$10*S356+$W$11*T356</f>
        <v/>
      </c>
      <c r="AA356" s="10">
        <f>INDEX(LINEST(L97:L356,M97:T356,TRUE,TRUE),1,9)*52</f>
        <v/>
      </c>
      <c r="AB356" s="9">
        <f>INDEX(LINEST(L97:L356,M97:T356,TRUE,TRUE),1,8)</f>
        <v/>
      </c>
      <c r="AC356" s="9">
        <f>INDEX(LINEST(L97:L356,M97:T356,TRUE,TRUE),1,7)</f>
        <v/>
      </c>
      <c r="AD356" s="9">
        <f>INDEX(LINEST(L97:L356,M97:T356,TRUE,TRUE),1,6)</f>
        <v/>
      </c>
      <c r="AE356" s="9">
        <f>INDEX(LINEST(L97:L356,M97:T356,TRUE,TRUE),1,5)</f>
        <v/>
      </c>
      <c r="AF356" s="9">
        <f>INDEX(LINEST(L97:L356,M97:T356,TRUE,TRUE),1,4)</f>
        <v/>
      </c>
      <c r="AG356" s="9">
        <f>INDEX(LINEST(L97:L356,M97:T356,TRUE,TRUE),1,3)</f>
        <v/>
      </c>
      <c r="AH356" s="9">
        <f>INDEX(LINEST(L97:L356,M97:T356,TRUE,TRUE),1,2)</f>
        <v/>
      </c>
      <c r="AI356" s="9">
        <f>INDEX(LINEST(L97:L356,M97:T356,TRUE,TRUE),1,1)</f>
        <v/>
      </c>
      <c r="AJ356" s="10">
        <f>INDEX(LINEST(L97:L356,M97:T356,TRUE,TRUE),3,1)</f>
        <v/>
      </c>
      <c r="AK356" s="9">
        <f>AA355/52+AB355*M356+AC355*N356+AD355*O356+AE355*P356+AF355*Q356+AG355*R356+AH355*S356+AI355*T356</f>
        <v/>
      </c>
      <c r="AL356" s="9">
        <f>AVERAGE(L96:L355)</f>
        <v/>
      </c>
    </row>
    <row r="357">
      <c r="A357" s="7" t="n">
        <v>40102</v>
      </c>
      <c r="B357" s="8" t="n">
        <v>1047.5</v>
      </c>
      <c r="C357" s="8" t="n">
        <v>1.98</v>
      </c>
      <c r="D357" s="8" t="n">
        <v>1.45</v>
      </c>
      <c r="E357" s="8" t="n">
        <v>75.599998</v>
      </c>
      <c r="F357" s="8" t="n">
        <v>78.54000000000001</v>
      </c>
      <c r="G357" s="8" t="n">
        <v>21.43</v>
      </c>
      <c r="H357" s="8" t="n">
        <v>117.400002</v>
      </c>
      <c r="I357" s="8" t="n">
        <v>1087.680054</v>
      </c>
      <c r="J357" s="8" t="n">
        <v>65.165688</v>
      </c>
      <c r="L357" s="9">
        <f>LN(B357/B356)</f>
        <v/>
      </c>
      <c r="M357" s="9">
        <f>$M$1*(C357-C356)</f>
        <v/>
      </c>
      <c r="N357" s="9">
        <f>$N$1*(D357-D356)</f>
        <v/>
      </c>
      <c r="O357" s="9">
        <f>$O$1*LN(E357/E356)</f>
        <v/>
      </c>
      <c r="P357" s="9">
        <f>$P$1*LN(F357/F356)</f>
        <v/>
      </c>
      <c r="Q357" s="9">
        <f>$Q$1*(G357-G356)</f>
        <v/>
      </c>
      <c r="R357" s="9">
        <f>$R$1*(H357-H356)</f>
        <v/>
      </c>
      <c r="S357" s="9">
        <f>$S$1*LN(I357/I356)</f>
        <v/>
      </c>
      <c r="T357" s="9">
        <f>$T$1*LN(J357/J356)</f>
        <v/>
      </c>
      <c r="U357" s="9">
        <f>$W$12+$W$4*M357+$W$5*N357+$W$6*O357+$W$7*P357+$W$8*Q357+$W$9*R357+$W$10*S357+$W$11*T357</f>
        <v/>
      </c>
      <c r="AA357" s="10">
        <f>INDEX(LINEST(L98:L357,M98:T357,TRUE,TRUE),1,9)*52</f>
        <v/>
      </c>
      <c r="AB357" s="9">
        <f>INDEX(LINEST(L98:L357,M98:T357,TRUE,TRUE),1,8)</f>
        <v/>
      </c>
      <c r="AC357" s="9">
        <f>INDEX(LINEST(L98:L357,M98:T357,TRUE,TRUE),1,7)</f>
        <v/>
      </c>
      <c r="AD357" s="9">
        <f>INDEX(LINEST(L98:L357,M98:T357,TRUE,TRUE),1,6)</f>
        <v/>
      </c>
      <c r="AE357" s="9">
        <f>INDEX(LINEST(L98:L357,M98:T357,TRUE,TRUE),1,5)</f>
        <v/>
      </c>
      <c r="AF357" s="9">
        <f>INDEX(LINEST(L98:L357,M98:T357,TRUE,TRUE),1,4)</f>
        <v/>
      </c>
      <c r="AG357" s="9">
        <f>INDEX(LINEST(L98:L357,M98:T357,TRUE,TRUE),1,3)</f>
        <v/>
      </c>
      <c r="AH357" s="9">
        <f>INDEX(LINEST(L98:L357,M98:T357,TRUE,TRUE),1,2)</f>
        <v/>
      </c>
      <c r="AI357" s="9">
        <f>INDEX(LINEST(L98:L357,M98:T357,TRUE,TRUE),1,1)</f>
        <v/>
      </c>
      <c r="AJ357" s="10">
        <f>INDEX(LINEST(L98:L357,M98:T357,TRUE,TRUE),3,1)</f>
        <v/>
      </c>
      <c r="AK357" s="9">
        <f>AA356/52+AB356*M357+AC356*N357+AD356*O357+AE356*P357+AF356*Q357+AG356*R357+AH356*S357+AI356*T357</f>
        <v/>
      </c>
      <c r="AL357" s="9">
        <f>AVERAGE(L97:L356)</f>
        <v/>
      </c>
    </row>
    <row r="358">
      <c r="A358" s="7" t="n">
        <v>40109</v>
      </c>
      <c r="B358" s="8" t="n">
        <v>1061.75</v>
      </c>
      <c r="C358" s="8" t="n">
        <v>2</v>
      </c>
      <c r="D358" s="8" t="n">
        <v>1.51</v>
      </c>
      <c r="E358" s="8" t="n">
        <v>75.470001</v>
      </c>
      <c r="F358" s="8" t="n">
        <v>80.11</v>
      </c>
      <c r="G358" s="8" t="n">
        <v>22.27</v>
      </c>
      <c r="H358" s="8" t="n">
        <v>113.400002</v>
      </c>
      <c r="I358" s="8" t="n">
        <v>1079.599976</v>
      </c>
      <c r="J358" s="8" t="n">
        <v>65.22817999999999</v>
      </c>
      <c r="L358" s="9">
        <f>LN(B358/B357)</f>
        <v/>
      </c>
      <c r="M358" s="9">
        <f>$M$1*(C358-C357)</f>
        <v/>
      </c>
      <c r="N358" s="9">
        <f>$N$1*(D358-D357)</f>
        <v/>
      </c>
      <c r="O358" s="9">
        <f>$O$1*LN(E358/E357)</f>
        <v/>
      </c>
      <c r="P358" s="9">
        <f>$P$1*LN(F358/F357)</f>
        <v/>
      </c>
      <c r="Q358" s="9">
        <f>$Q$1*(G358-G357)</f>
        <v/>
      </c>
      <c r="R358" s="9">
        <f>$R$1*(H358-H357)</f>
        <v/>
      </c>
      <c r="S358" s="9">
        <f>$S$1*LN(I358/I357)</f>
        <v/>
      </c>
      <c r="T358" s="9">
        <f>$T$1*LN(J358/J357)</f>
        <v/>
      </c>
      <c r="U358" s="9">
        <f>$W$12+$W$4*M358+$W$5*N358+$W$6*O358+$W$7*P358+$W$8*Q358+$W$9*R358+$W$10*S358+$W$11*T358</f>
        <v/>
      </c>
      <c r="AA358" s="10">
        <f>INDEX(LINEST(L99:L358,M99:T358,TRUE,TRUE),1,9)*52</f>
        <v/>
      </c>
      <c r="AB358" s="9">
        <f>INDEX(LINEST(L99:L358,M99:T358,TRUE,TRUE),1,8)</f>
        <v/>
      </c>
      <c r="AC358" s="9">
        <f>INDEX(LINEST(L99:L358,M99:T358,TRUE,TRUE),1,7)</f>
        <v/>
      </c>
      <c r="AD358" s="9">
        <f>INDEX(LINEST(L99:L358,M99:T358,TRUE,TRUE),1,6)</f>
        <v/>
      </c>
      <c r="AE358" s="9">
        <f>INDEX(LINEST(L99:L358,M99:T358,TRUE,TRUE),1,5)</f>
        <v/>
      </c>
      <c r="AF358" s="9">
        <f>INDEX(LINEST(L99:L358,M99:T358,TRUE,TRUE),1,4)</f>
        <v/>
      </c>
      <c r="AG358" s="9">
        <f>INDEX(LINEST(L99:L358,M99:T358,TRUE,TRUE),1,3)</f>
        <v/>
      </c>
      <c r="AH358" s="9">
        <f>INDEX(LINEST(L99:L358,M99:T358,TRUE,TRUE),1,2)</f>
        <v/>
      </c>
      <c r="AI358" s="9">
        <f>INDEX(LINEST(L99:L358,M99:T358,TRUE,TRUE),1,1)</f>
        <v/>
      </c>
      <c r="AJ358" s="10">
        <f>INDEX(LINEST(L99:L358,M99:T358,TRUE,TRUE),3,1)</f>
        <v/>
      </c>
      <c r="AK358" s="9">
        <f>AA357/52+AB357*M358+AC357*N358+AD357*O358+AE357*P358+AF357*Q358+AG357*R358+AH357*S358+AI357*T358</f>
        <v/>
      </c>
      <c r="AL358" s="9">
        <f>AVERAGE(L98:L357)</f>
        <v/>
      </c>
    </row>
    <row r="359">
      <c r="A359" s="7" t="n">
        <v>40116</v>
      </c>
      <c r="B359" s="8" t="n">
        <v>1040</v>
      </c>
      <c r="C359" s="8" t="n">
        <v>2</v>
      </c>
      <c r="D359" s="8" t="n">
        <v>1.41</v>
      </c>
      <c r="E359" s="8" t="n">
        <v>76.300003</v>
      </c>
      <c r="F359" s="8" t="n">
        <v>77.04000000000001</v>
      </c>
      <c r="G359" s="8" t="n">
        <v>30.69</v>
      </c>
      <c r="H359" s="8" t="n">
        <v>113.5</v>
      </c>
      <c r="I359" s="8" t="n">
        <v>1036.189941</v>
      </c>
      <c r="J359" s="8" t="n">
        <v>65.522018</v>
      </c>
      <c r="L359" s="9">
        <f>LN(B359/B358)</f>
        <v/>
      </c>
      <c r="M359" s="9">
        <f>$M$1*(C359-C358)</f>
        <v/>
      </c>
      <c r="N359" s="9">
        <f>$N$1*(D359-D358)</f>
        <v/>
      </c>
      <c r="O359" s="9">
        <f>$O$1*LN(E359/E358)</f>
        <v/>
      </c>
      <c r="P359" s="9">
        <f>$P$1*LN(F359/F358)</f>
        <v/>
      </c>
      <c r="Q359" s="9">
        <f>$Q$1*(G359-G358)</f>
        <v/>
      </c>
      <c r="R359" s="9">
        <f>$R$1*(H359-H358)</f>
        <v/>
      </c>
      <c r="S359" s="9">
        <f>$S$1*LN(I359/I358)</f>
        <v/>
      </c>
      <c r="T359" s="9">
        <f>$T$1*LN(J359/J358)</f>
        <v/>
      </c>
      <c r="U359" s="9">
        <f>$W$12+$W$4*M359+$W$5*N359+$W$6*O359+$W$7*P359+$W$8*Q359+$W$9*R359+$W$10*S359+$W$11*T359</f>
        <v/>
      </c>
      <c r="AA359" s="10">
        <f>INDEX(LINEST(L100:L359,M100:T359,TRUE,TRUE),1,9)*52</f>
        <v/>
      </c>
      <c r="AB359" s="9">
        <f>INDEX(LINEST(L100:L359,M100:T359,TRUE,TRUE),1,8)</f>
        <v/>
      </c>
      <c r="AC359" s="9">
        <f>INDEX(LINEST(L100:L359,M100:T359,TRUE,TRUE),1,7)</f>
        <v/>
      </c>
      <c r="AD359" s="9">
        <f>INDEX(LINEST(L100:L359,M100:T359,TRUE,TRUE),1,6)</f>
        <v/>
      </c>
      <c r="AE359" s="9">
        <f>INDEX(LINEST(L100:L359,M100:T359,TRUE,TRUE),1,5)</f>
        <v/>
      </c>
      <c r="AF359" s="9">
        <f>INDEX(LINEST(L100:L359,M100:T359,TRUE,TRUE),1,4)</f>
        <v/>
      </c>
      <c r="AG359" s="9">
        <f>INDEX(LINEST(L100:L359,M100:T359,TRUE,TRUE),1,3)</f>
        <v/>
      </c>
      <c r="AH359" s="9">
        <f>INDEX(LINEST(L100:L359,M100:T359,TRUE,TRUE),1,2)</f>
        <v/>
      </c>
      <c r="AI359" s="9">
        <f>INDEX(LINEST(L100:L359,M100:T359,TRUE,TRUE),1,1)</f>
        <v/>
      </c>
      <c r="AJ359" s="10">
        <f>INDEX(LINEST(L100:L359,M100:T359,TRUE,TRUE),3,1)</f>
        <v/>
      </c>
      <c r="AK359" s="9">
        <f>AA358/52+AB358*M359+AC358*N359+AD358*O359+AE358*P359+AF358*Q359+AG358*R359+AH358*S359+AI358*T359</f>
        <v/>
      </c>
      <c r="AL359" s="9">
        <f>AVERAGE(L99:L358)</f>
        <v/>
      </c>
    </row>
    <row r="360">
      <c r="A360" s="7" t="n">
        <v>40123</v>
      </c>
      <c r="B360" s="8" t="n">
        <v>1096.75</v>
      </c>
      <c r="C360" s="8" t="n">
        <v>2.17</v>
      </c>
      <c r="D360" s="8" t="n">
        <v>1.37</v>
      </c>
      <c r="E360" s="8" t="n">
        <v>75.81999999999999</v>
      </c>
      <c r="F360" s="8" t="n">
        <v>77.40000000000001</v>
      </c>
      <c r="G360" s="8" t="n">
        <v>24.19</v>
      </c>
      <c r="H360" s="8" t="n">
        <v>105</v>
      </c>
      <c r="I360" s="8" t="n">
        <v>1069.300049</v>
      </c>
      <c r="J360" s="8" t="n">
        <v>65.44924899999999</v>
      </c>
      <c r="L360" s="9">
        <f>LN(B360/B359)</f>
        <v/>
      </c>
      <c r="M360" s="9">
        <f>$M$1*(C360-C359)</f>
        <v/>
      </c>
      <c r="N360" s="9">
        <f>$N$1*(D360-D359)</f>
        <v/>
      </c>
      <c r="O360" s="9">
        <f>$O$1*LN(E360/E359)</f>
        <v/>
      </c>
      <c r="P360" s="9">
        <f>$P$1*LN(F360/F359)</f>
        <v/>
      </c>
      <c r="Q360" s="9">
        <f>$Q$1*(G360-G359)</f>
        <v/>
      </c>
      <c r="R360" s="9">
        <f>$R$1*(H360-H359)</f>
        <v/>
      </c>
      <c r="S360" s="9">
        <f>$S$1*LN(I360/I359)</f>
        <v/>
      </c>
      <c r="T360" s="9">
        <f>$T$1*LN(J360/J359)</f>
        <v/>
      </c>
      <c r="U360" s="9">
        <f>$W$12+$W$4*M360+$W$5*N360+$W$6*O360+$W$7*P360+$W$8*Q360+$W$9*R360+$W$10*S360+$W$11*T360</f>
        <v/>
      </c>
      <c r="AA360" s="10">
        <f>INDEX(LINEST(L101:L360,M101:T360,TRUE,TRUE),1,9)*52</f>
        <v/>
      </c>
      <c r="AB360" s="9">
        <f>INDEX(LINEST(L101:L360,M101:T360,TRUE,TRUE),1,8)</f>
        <v/>
      </c>
      <c r="AC360" s="9">
        <f>INDEX(LINEST(L101:L360,M101:T360,TRUE,TRUE),1,7)</f>
        <v/>
      </c>
      <c r="AD360" s="9">
        <f>INDEX(LINEST(L101:L360,M101:T360,TRUE,TRUE),1,6)</f>
        <v/>
      </c>
      <c r="AE360" s="9">
        <f>INDEX(LINEST(L101:L360,M101:T360,TRUE,TRUE),1,5)</f>
        <v/>
      </c>
      <c r="AF360" s="9">
        <f>INDEX(LINEST(L101:L360,M101:T360,TRUE,TRUE),1,4)</f>
        <v/>
      </c>
      <c r="AG360" s="9">
        <f>INDEX(LINEST(L101:L360,M101:T360,TRUE,TRUE),1,3)</f>
        <v/>
      </c>
      <c r="AH360" s="9">
        <f>INDEX(LINEST(L101:L360,M101:T360,TRUE,TRUE),1,2)</f>
        <v/>
      </c>
      <c r="AI360" s="9">
        <f>INDEX(LINEST(L101:L360,M101:T360,TRUE,TRUE),1,1)</f>
        <v/>
      </c>
      <c r="AJ360" s="10">
        <f>INDEX(LINEST(L101:L360,M101:T360,TRUE,TRUE),3,1)</f>
        <v/>
      </c>
      <c r="AK360" s="9">
        <f>AA359/52+AB359*M360+AC359*N360+AD359*O360+AE359*P360+AF359*Q360+AG359*R360+AH359*S360+AI359*T360</f>
        <v/>
      </c>
      <c r="AL360" s="9">
        <f>AVERAGE(L100:L359)</f>
        <v/>
      </c>
    </row>
    <row r="361">
      <c r="A361" s="7" t="n">
        <v>40130</v>
      </c>
      <c r="B361" s="8" t="n">
        <v>1104</v>
      </c>
      <c r="C361" s="8" t="n">
        <v>2.12</v>
      </c>
      <c r="D361" s="8" t="n">
        <v>1.31</v>
      </c>
      <c r="E361" s="8" t="n">
        <v>75.33000199999999</v>
      </c>
      <c r="F361" s="8" t="n">
        <v>76.34</v>
      </c>
      <c r="G361" s="8" t="n">
        <v>23.36</v>
      </c>
      <c r="H361" s="8" t="n">
        <v>97.199997</v>
      </c>
      <c r="I361" s="8" t="n">
        <v>1093.47998</v>
      </c>
      <c r="J361" s="8" t="n">
        <v>65.78164700000001</v>
      </c>
      <c r="L361" s="9">
        <f>LN(B361/B360)</f>
        <v/>
      </c>
      <c r="M361" s="9">
        <f>$M$1*(C361-C360)</f>
        <v/>
      </c>
      <c r="N361" s="9">
        <f>$N$1*(D361-D360)</f>
        <v/>
      </c>
      <c r="O361" s="9">
        <f>$O$1*LN(E361/E360)</f>
        <v/>
      </c>
      <c r="P361" s="9">
        <f>$P$1*LN(F361/F360)</f>
        <v/>
      </c>
      <c r="Q361" s="9">
        <f>$Q$1*(G361-G360)</f>
        <v/>
      </c>
      <c r="R361" s="9">
        <f>$R$1*(H361-H360)</f>
        <v/>
      </c>
      <c r="S361" s="9">
        <f>$S$1*LN(I361/I360)</f>
        <v/>
      </c>
      <c r="T361" s="9">
        <f>$T$1*LN(J361/J360)</f>
        <v/>
      </c>
      <c r="U361" s="9">
        <f>$W$12+$W$4*M361+$W$5*N361+$W$6*O361+$W$7*P361+$W$8*Q361+$W$9*R361+$W$10*S361+$W$11*T361</f>
        <v/>
      </c>
      <c r="AA361" s="10">
        <f>INDEX(LINEST(L102:L361,M102:T361,TRUE,TRUE),1,9)*52</f>
        <v/>
      </c>
      <c r="AB361" s="9">
        <f>INDEX(LINEST(L102:L361,M102:T361,TRUE,TRUE),1,8)</f>
        <v/>
      </c>
      <c r="AC361" s="9">
        <f>INDEX(LINEST(L102:L361,M102:T361,TRUE,TRUE),1,7)</f>
        <v/>
      </c>
      <c r="AD361" s="9">
        <f>INDEX(LINEST(L102:L361,M102:T361,TRUE,TRUE),1,6)</f>
        <v/>
      </c>
      <c r="AE361" s="9">
        <f>INDEX(LINEST(L102:L361,M102:T361,TRUE,TRUE),1,5)</f>
        <v/>
      </c>
      <c r="AF361" s="9">
        <f>INDEX(LINEST(L102:L361,M102:T361,TRUE,TRUE),1,4)</f>
        <v/>
      </c>
      <c r="AG361" s="9">
        <f>INDEX(LINEST(L102:L361,M102:T361,TRUE,TRUE),1,3)</f>
        <v/>
      </c>
      <c r="AH361" s="9">
        <f>INDEX(LINEST(L102:L361,M102:T361,TRUE,TRUE),1,2)</f>
        <v/>
      </c>
      <c r="AI361" s="9">
        <f>INDEX(LINEST(L102:L361,M102:T361,TRUE,TRUE),1,1)</f>
        <v/>
      </c>
      <c r="AJ361" s="10">
        <f>INDEX(LINEST(L102:L361,M102:T361,TRUE,TRUE),3,1)</f>
        <v/>
      </c>
      <c r="AK361" s="9">
        <f>AA360/52+AB360*M361+AC360*N361+AD360*O361+AE360*P361+AF360*Q361+AG360*R361+AH360*S361+AI360*T361</f>
        <v/>
      </c>
      <c r="AL361" s="9">
        <f>AVERAGE(L101:L360)</f>
        <v/>
      </c>
    </row>
    <row r="362">
      <c r="A362" s="7" t="n">
        <v>40137</v>
      </c>
      <c r="B362" s="8" t="n">
        <v>1140</v>
      </c>
      <c r="C362" s="8" t="n">
        <v>2.15</v>
      </c>
      <c r="D362" s="8" t="n">
        <v>1.21</v>
      </c>
      <c r="E362" s="8" t="n">
        <v>75.660004</v>
      </c>
      <c r="F362" s="8" t="n">
        <v>76.83</v>
      </c>
      <c r="G362" s="8" t="n">
        <v>22.19</v>
      </c>
      <c r="H362" s="8" t="n">
        <v>87.300003</v>
      </c>
      <c r="I362" s="8" t="n">
        <v>1091.380005</v>
      </c>
      <c r="J362" s="8" t="n">
        <v>65.95098900000001</v>
      </c>
      <c r="L362" s="9">
        <f>LN(B362/B361)</f>
        <v/>
      </c>
      <c r="M362" s="9">
        <f>$M$1*(C362-C361)</f>
        <v/>
      </c>
      <c r="N362" s="9">
        <f>$N$1*(D362-D361)</f>
        <v/>
      </c>
      <c r="O362" s="9">
        <f>$O$1*LN(E362/E361)</f>
        <v/>
      </c>
      <c r="P362" s="9">
        <f>$P$1*LN(F362/F361)</f>
        <v/>
      </c>
      <c r="Q362" s="9">
        <f>$Q$1*(G362-G361)</f>
        <v/>
      </c>
      <c r="R362" s="9">
        <f>$R$1*(H362-H361)</f>
        <v/>
      </c>
      <c r="S362" s="9">
        <f>$S$1*LN(I362/I361)</f>
        <v/>
      </c>
      <c r="T362" s="9">
        <f>$T$1*LN(J362/J361)</f>
        <v/>
      </c>
      <c r="U362" s="9">
        <f>$W$12+$W$4*M362+$W$5*N362+$W$6*O362+$W$7*P362+$W$8*Q362+$W$9*R362+$W$10*S362+$W$11*T362</f>
        <v/>
      </c>
      <c r="AA362" s="10">
        <f>INDEX(LINEST(L103:L362,M103:T362,TRUE,TRUE),1,9)*52</f>
        <v/>
      </c>
      <c r="AB362" s="9">
        <f>INDEX(LINEST(L103:L362,M103:T362,TRUE,TRUE),1,8)</f>
        <v/>
      </c>
      <c r="AC362" s="9">
        <f>INDEX(LINEST(L103:L362,M103:T362,TRUE,TRUE),1,7)</f>
        <v/>
      </c>
      <c r="AD362" s="9">
        <f>INDEX(LINEST(L103:L362,M103:T362,TRUE,TRUE),1,6)</f>
        <v/>
      </c>
      <c r="AE362" s="9">
        <f>INDEX(LINEST(L103:L362,M103:T362,TRUE,TRUE),1,5)</f>
        <v/>
      </c>
      <c r="AF362" s="9">
        <f>INDEX(LINEST(L103:L362,M103:T362,TRUE,TRUE),1,4)</f>
        <v/>
      </c>
      <c r="AG362" s="9">
        <f>INDEX(LINEST(L103:L362,M103:T362,TRUE,TRUE),1,3)</f>
        <v/>
      </c>
      <c r="AH362" s="9">
        <f>INDEX(LINEST(L103:L362,M103:T362,TRUE,TRUE),1,2)</f>
        <v/>
      </c>
      <c r="AI362" s="9">
        <f>INDEX(LINEST(L103:L362,M103:T362,TRUE,TRUE),1,1)</f>
        <v/>
      </c>
      <c r="AJ362" s="10">
        <f>INDEX(LINEST(L103:L362,M103:T362,TRUE,TRUE),3,1)</f>
        <v/>
      </c>
      <c r="AK362" s="9">
        <f>AA361/52+AB361*M362+AC361*N362+AD361*O362+AE361*P362+AF361*Q362+AG361*R362+AH361*S362+AI361*T362</f>
        <v/>
      </c>
      <c r="AL362" s="9">
        <f>AVERAGE(L102:L361)</f>
        <v/>
      </c>
    </row>
    <row r="363">
      <c r="A363" s="7" t="n">
        <v>40144</v>
      </c>
      <c r="B363" s="8" t="n">
        <v>1166.5</v>
      </c>
      <c r="C363" s="8" t="n">
        <v>2.06</v>
      </c>
      <c r="D363" s="8" t="n">
        <v>1.15</v>
      </c>
      <c r="E363" s="8" t="n">
        <v>75</v>
      </c>
      <c r="F363" s="8" t="n">
        <v>75.95</v>
      </c>
      <c r="G363" s="8" t="n">
        <v>24.85</v>
      </c>
      <c r="H363" s="8" t="n">
        <v>88.900002</v>
      </c>
      <c r="I363" s="8" t="n">
        <v>1091.48999</v>
      </c>
      <c r="J363" s="8" t="n">
        <v>66.25196099999999</v>
      </c>
      <c r="L363" s="9">
        <f>LN(B363/B362)</f>
        <v/>
      </c>
      <c r="M363" s="9">
        <f>$M$1*(C363-C362)</f>
        <v/>
      </c>
      <c r="N363" s="9">
        <f>$N$1*(D363-D362)</f>
        <v/>
      </c>
      <c r="O363" s="9">
        <f>$O$1*LN(E363/E362)</f>
        <v/>
      </c>
      <c r="P363" s="9">
        <f>$P$1*LN(F363/F362)</f>
        <v/>
      </c>
      <c r="Q363" s="9">
        <f>$Q$1*(G363-G362)</f>
        <v/>
      </c>
      <c r="R363" s="9">
        <f>$R$1*(H363-H362)</f>
        <v/>
      </c>
      <c r="S363" s="9">
        <f>$S$1*LN(I363/I362)</f>
        <v/>
      </c>
      <c r="T363" s="9">
        <f>$T$1*LN(J363/J362)</f>
        <v/>
      </c>
      <c r="U363" s="9">
        <f>$W$12+$W$4*M363+$W$5*N363+$W$6*O363+$W$7*P363+$W$8*Q363+$W$9*R363+$W$10*S363+$W$11*T363</f>
        <v/>
      </c>
      <c r="AA363" s="10">
        <f>INDEX(LINEST(L104:L363,M104:T363,TRUE,TRUE),1,9)*52</f>
        <v/>
      </c>
      <c r="AB363" s="9">
        <f>INDEX(LINEST(L104:L363,M104:T363,TRUE,TRUE),1,8)</f>
        <v/>
      </c>
      <c r="AC363" s="9">
        <f>INDEX(LINEST(L104:L363,M104:T363,TRUE,TRUE),1,7)</f>
        <v/>
      </c>
      <c r="AD363" s="9">
        <f>INDEX(LINEST(L104:L363,M104:T363,TRUE,TRUE),1,6)</f>
        <v/>
      </c>
      <c r="AE363" s="9">
        <f>INDEX(LINEST(L104:L363,M104:T363,TRUE,TRUE),1,5)</f>
        <v/>
      </c>
      <c r="AF363" s="9">
        <f>INDEX(LINEST(L104:L363,M104:T363,TRUE,TRUE),1,4)</f>
        <v/>
      </c>
      <c r="AG363" s="9">
        <f>INDEX(LINEST(L104:L363,M104:T363,TRUE,TRUE),1,3)</f>
        <v/>
      </c>
      <c r="AH363" s="9">
        <f>INDEX(LINEST(L104:L363,M104:T363,TRUE,TRUE),1,2)</f>
        <v/>
      </c>
      <c r="AI363" s="9">
        <f>INDEX(LINEST(L104:L363,M104:T363,TRUE,TRUE),1,1)</f>
        <v/>
      </c>
      <c r="AJ363" s="10">
        <f>INDEX(LINEST(L104:L363,M104:T363,TRUE,TRUE),3,1)</f>
        <v/>
      </c>
      <c r="AK363" s="9">
        <f>AA362/52+AB362*M363+AC362*N363+AD362*O363+AE362*P363+AF362*Q363+AG362*R363+AH362*S363+AI362*T363</f>
        <v/>
      </c>
      <c r="AL363" s="9">
        <f>AVERAGE(L103:L362)</f>
        <v/>
      </c>
    </row>
    <row r="364">
      <c r="A364" s="7" t="n">
        <v>40151</v>
      </c>
      <c r="B364" s="8" t="n">
        <v>1190.25</v>
      </c>
      <c r="C364" s="8" t="n">
        <v>2.14</v>
      </c>
      <c r="D364" s="8" t="n">
        <v>1.34</v>
      </c>
      <c r="E364" s="8" t="n">
        <v>75.910004</v>
      </c>
      <c r="F364" s="8" t="n">
        <v>75.41</v>
      </c>
      <c r="G364" s="8" t="n">
        <v>21.25</v>
      </c>
      <c r="H364" s="8" t="n">
        <v>95.300003</v>
      </c>
      <c r="I364" s="8" t="n">
        <v>1105.97998</v>
      </c>
      <c r="J364" s="8" t="n">
        <v>65.951492</v>
      </c>
      <c r="L364" s="9">
        <f>LN(B364/B363)</f>
        <v/>
      </c>
      <c r="M364" s="9">
        <f>$M$1*(C364-C363)</f>
        <v/>
      </c>
      <c r="N364" s="9">
        <f>$N$1*(D364-D363)</f>
        <v/>
      </c>
      <c r="O364" s="9">
        <f>$O$1*LN(E364/E363)</f>
        <v/>
      </c>
      <c r="P364" s="9">
        <f>$P$1*LN(F364/F363)</f>
        <v/>
      </c>
      <c r="Q364" s="9">
        <f>$Q$1*(G364-G363)</f>
        <v/>
      </c>
      <c r="R364" s="9">
        <f>$R$1*(H364-H363)</f>
        <v/>
      </c>
      <c r="S364" s="9">
        <f>$S$1*LN(I364/I363)</f>
        <v/>
      </c>
      <c r="T364" s="9">
        <f>$T$1*LN(J364/J363)</f>
        <v/>
      </c>
      <c r="U364" s="9">
        <f>$W$12+$W$4*M364+$W$5*N364+$W$6*O364+$W$7*P364+$W$8*Q364+$W$9*R364+$W$10*S364+$W$11*T364</f>
        <v/>
      </c>
      <c r="AA364" s="10">
        <f>INDEX(LINEST(L105:L364,M105:T364,TRUE,TRUE),1,9)*52</f>
        <v/>
      </c>
      <c r="AB364" s="9">
        <f>INDEX(LINEST(L105:L364,M105:T364,TRUE,TRUE),1,8)</f>
        <v/>
      </c>
      <c r="AC364" s="9">
        <f>INDEX(LINEST(L105:L364,M105:T364,TRUE,TRUE),1,7)</f>
        <v/>
      </c>
      <c r="AD364" s="9">
        <f>INDEX(LINEST(L105:L364,M105:T364,TRUE,TRUE),1,6)</f>
        <v/>
      </c>
      <c r="AE364" s="9">
        <f>INDEX(LINEST(L105:L364,M105:T364,TRUE,TRUE),1,5)</f>
        <v/>
      </c>
      <c r="AF364" s="9">
        <f>INDEX(LINEST(L105:L364,M105:T364,TRUE,TRUE),1,4)</f>
        <v/>
      </c>
      <c r="AG364" s="9">
        <f>INDEX(LINEST(L105:L364,M105:T364,TRUE,TRUE),1,3)</f>
        <v/>
      </c>
      <c r="AH364" s="9">
        <f>INDEX(LINEST(L105:L364,M105:T364,TRUE,TRUE),1,2)</f>
        <v/>
      </c>
      <c r="AI364" s="9">
        <f>INDEX(LINEST(L105:L364,M105:T364,TRUE,TRUE),1,1)</f>
        <v/>
      </c>
      <c r="AJ364" s="10">
        <f>INDEX(LINEST(L105:L364,M105:T364,TRUE,TRUE),3,1)</f>
        <v/>
      </c>
      <c r="AK364" s="9">
        <f>AA363/52+AB363*M364+AC363*N364+AD363*O364+AE363*P364+AF363*Q364+AG363*R364+AH363*S364+AI363*T364</f>
        <v/>
      </c>
      <c r="AL364" s="9">
        <f>AVERAGE(L104:L363)</f>
        <v/>
      </c>
    </row>
    <row r="365">
      <c r="A365" s="7" t="n">
        <v>40158</v>
      </c>
      <c r="B365" s="8" t="n">
        <v>1124</v>
      </c>
      <c r="C365" s="8" t="n">
        <v>2.14</v>
      </c>
      <c r="D365" s="8" t="n">
        <v>1.41</v>
      </c>
      <c r="E365" s="8" t="n">
        <v>76.56999999999999</v>
      </c>
      <c r="F365" s="8" t="n">
        <v>69.86</v>
      </c>
      <c r="G365" s="8" t="n">
        <v>21.59</v>
      </c>
      <c r="H365" s="8" t="n">
        <v>94</v>
      </c>
      <c r="I365" s="8" t="n">
        <v>1106.410034</v>
      </c>
      <c r="J365" s="8" t="n">
        <v>65.825615</v>
      </c>
      <c r="L365" s="9">
        <f>LN(B365/B364)</f>
        <v/>
      </c>
      <c r="M365" s="9">
        <f>$M$1*(C365-C364)</f>
        <v/>
      </c>
      <c r="N365" s="9">
        <f>$N$1*(D365-D364)</f>
        <v/>
      </c>
      <c r="O365" s="9">
        <f>$O$1*LN(E365/E364)</f>
        <v/>
      </c>
      <c r="P365" s="9">
        <f>$P$1*LN(F365/F364)</f>
        <v/>
      </c>
      <c r="Q365" s="9">
        <f>$Q$1*(G365-G364)</f>
        <v/>
      </c>
      <c r="R365" s="9">
        <f>$R$1*(H365-H364)</f>
        <v/>
      </c>
      <c r="S365" s="9">
        <f>$S$1*LN(I365/I364)</f>
        <v/>
      </c>
      <c r="T365" s="9">
        <f>$T$1*LN(J365/J364)</f>
        <v/>
      </c>
      <c r="U365" s="9">
        <f>$W$12+$W$4*M365+$W$5*N365+$W$6*O365+$W$7*P365+$W$8*Q365+$W$9*R365+$W$10*S365+$W$11*T365</f>
        <v/>
      </c>
      <c r="AA365" s="10">
        <f>INDEX(LINEST(L106:L365,M106:T365,TRUE,TRUE),1,9)*52</f>
        <v/>
      </c>
      <c r="AB365" s="9">
        <f>INDEX(LINEST(L106:L365,M106:T365,TRUE,TRUE),1,8)</f>
        <v/>
      </c>
      <c r="AC365" s="9">
        <f>INDEX(LINEST(L106:L365,M106:T365,TRUE,TRUE),1,7)</f>
        <v/>
      </c>
      <c r="AD365" s="9">
        <f>INDEX(LINEST(L106:L365,M106:T365,TRUE,TRUE),1,6)</f>
        <v/>
      </c>
      <c r="AE365" s="9">
        <f>INDEX(LINEST(L106:L365,M106:T365,TRUE,TRUE),1,5)</f>
        <v/>
      </c>
      <c r="AF365" s="9">
        <f>INDEX(LINEST(L106:L365,M106:T365,TRUE,TRUE),1,4)</f>
        <v/>
      </c>
      <c r="AG365" s="9">
        <f>INDEX(LINEST(L106:L365,M106:T365,TRUE,TRUE),1,3)</f>
        <v/>
      </c>
      <c r="AH365" s="9">
        <f>INDEX(LINEST(L106:L365,M106:T365,TRUE,TRUE),1,2)</f>
        <v/>
      </c>
      <c r="AI365" s="9">
        <f>INDEX(LINEST(L106:L365,M106:T365,TRUE,TRUE),1,1)</f>
        <v/>
      </c>
      <c r="AJ365" s="10">
        <f>INDEX(LINEST(L106:L365,M106:T365,TRUE,TRUE),3,1)</f>
        <v/>
      </c>
      <c r="AK365" s="9">
        <f>AA364/52+AB364*M365+AC364*N365+AD364*O365+AE364*P365+AF364*Q365+AG364*R365+AH364*S365+AI364*T365</f>
        <v/>
      </c>
      <c r="AL365" s="9">
        <f>AVERAGE(L105:L364)</f>
        <v/>
      </c>
    </row>
    <row r="366">
      <c r="A366" s="7" t="n">
        <v>40165</v>
      </c>
      <c r="B366" s="8" t="n">
        <v>1104.5</v>
      </c>
      <c r="C366" s="8" t="n">
        <v>2.24</v>
      </c>
      <c r="D366" s="8" t="n">
        <v>1.31</v>
      </c>
      <c r="E366" s="8" t="n">
        <v>77.81999999999999</v>
      </c>
      <c r="F366" s="8" t="n">
        <v>73.3</v>
      </c>
      <c r="G366" s="8" t="n">
        <v>21.68</v>
      </c>
      <c r="H366" s="8" t="n">
        <v>93.800003</v>
      </c>
      <c r="I366" s="8" t="n">
        <v>1102.469971</v>
      </c>
      <c r="J366" s="8" t="n">
        <v>65.90743999999999</v>
      </c>
      <c r="L366" s="9">
        <f>LN(B366/B365)</f>
        <v/>
      </c>
      <c r="M366" s="9">
        <f>$M$1*(C366-C365)</f>
        <v/>
      </c>
      <c r="N366" s="9">
        <f>$N$1*(D366-D365)</f>
        <v/>
      </c>
      <c r="O366" s="9">
        <f>$O$1*LN(E366/E365)</f>
        <v/>
      </c>
      <c r="P366" s="9">
        <f>$P$1*LN(F366/F365)</f>
        <v/>
      </c>
      <c r="Q366" s="9">
        <f>$Q$1*(G366-G365)</f>
        <v/>
      </c>
      <c r="R366" s="9">
        <f>$R$1*(H366-H365)</f>
        <v/>
      </c>
      <c r="S366" s="9">
        <f>$S$1*LN(I366/I365)</f>
        <v/>
      </c>
      <c r="T366" s="9">
        <f>$T$1*LN(J366/J365)</f>
        <v/>
      </c>
      <c r="U366" s="9">
        <f>$W$12+$W$4*M366+$W$5*N366+$W$6*O366+$W$7*P366+$W$8*Q366+$W$9*R366+$W$10*S366+$W$11*T366</f>
        <v/>
      </c>
      <c r="AA366" s="10">
        <f>INDEX(LINEST(L107:L366,M107:T366,TRUE,TRUE),1,9)*52</f>
        <v/>
      </c>
      <c r="AB366" s="9">
        <f>INDEX(LINEST(L107:L366,M107:T366,TRUE,TRUE),1,8)</f>
        <v/>
      </c>
      <c r="AC366" s="9">
        <f>INDEX(LINEST(L107:L366,M107:T366,TRUE,TRUE),1,7)</f>
        <v/>
      </c>
      <c r="AD366" s="9">
        <f>INDEX(LINEST(L107:L366,M107:T366,TRUE,TRUE),1,6)</f>
        <v/>
      </c>
      <c r="AE366" s="9">
        <f>INDEX(LINEST(L107:L366,M107:T366,TRUE,TRUE),1,5)</f>
        <v/>
      </c>
      <c r="AF366" s="9">
        <f>INDEX(LINEST(L107:L366,M107:T366,TRUE,TRUE),1,4)</f>
        <v/>
      </c>
      <c r="AG366" s="9">
        <f>INDEX(LINEST(L107:L366,M107:T366,TRUE,TRUE),1,3)</f>
        <v/>
      </c>
      <c r="AH366" s="9">
        <f>INDEX(LINEST(L107:L366,M107:T366,TRUE,TRUE),1,2)</f>
        <v/>
      </c>
      <c r="AI366" s="9">
        <f>INDEX(LINEST(L107:L366,M107:T366,TRUE,TRUE),1,1)</f>
        <v/>
      </c>
      <c r="AJ366" s="10">
        <f>INDEX(LINEST(L107:L366,M107:T366,TRUE,TRUE),3,1)</f>
        <v/>
      </c>
      <c r="AK366" s="9">
        <f>AA365/52+AB365*M366+AC365*N366+AD365*O366+AE365*P366+AF365*Q366+AG365*R366+AH365*S366+AI365*T366</f>
        <v/>
      </c>
      <c r="AL366" s="9">
        <f>AVERAGE(L106:L365)</f>
        <v/>
      </c>
    </row>
    <row r="367">
      <c r="A367" s="7" t="n">
        <v>40172</v>
      </c>
      <c r="B367" s="8" t="n">
        <v>1085.25</v>
      </c>
      <c r="C367" s="8" t="n">
        <v>2.32</v>
      </c>
      <c r="D367" s="8" t="n">
        <v>1.5</v>
      </c>
      <c r="E367" s="8" t="n">
        <v>77.839996</v>
      </c>
      <c r="F367" s="8" t="n">
        <v>76.83</v>
      </c>
      <c r="G367" s="8" t="n">
        <v>19.47</v>
      </c>
      <c r="H367" s="8" t="n">
        <v>105</v>
      </c>
      <c r="I367" s="8" t="n">
        <v>1126.47998</v>
      </c>
      <c r="J367" s="8" t="n">
        <v>65.353745</v>
      </c>
      <c r="L367" s="9">
        <f>LN(B367/B366)</f>
        <v/>
      </c>
      <c r="M367" s="9">
        <f>$M$1*(C367-C366)</f>
        <v/>
      </c>
      <c r="N367" s="9">
        <f>$N$1*(D367-D366)</f>
        <v/>
      </c>
      <c r="O367" s="9">
        <f>$O$1*LN(E367/E366)</f>
        <v/>
      </c>
      <c r="P367" s="9">
        <f>$P$1*LN(F367/F366)</f>
        <v/>
      </c>
      <c r="Q367" s="9">
        <f>$Q$1*(G367-G366)</f>
        <v/>
      </c>
      <c r="R367" s="9">
        <f>$R$1*(H367-H366)</f>
        <v/>
      </c>
      <c r="S367" s="9">
        <f>$S$1*LN(I367/I366)</f>
        <v/>
      </c>
      <c r="T367" s="9">
        <f>$T$1*LN(J367/J366)</f>
        <v/>
      </c>
      <c r="U367" s="9">
        <f>$W$12+$W$4*M367+$W$5*N367+$W$6*O367+$W$7*P367+$W$8*Q367+$W$9*R367+$W$10*S367+$W$11*T367</f>
        <v/>
      </c>
      <c r="AA367" s="10">
        <f>INDEX(LINEST(L108:L367,M108:T367,TRUE,TRUE),1,9)*52</f>
        <v/>
      </c>
      <c r="AB367" s="9">
        <f>INDEX(LINEST(L108:L367,M108:T367,TRUE,TRUE),1,8)</f>
        <v/>
      </c>
      <c r="AC367" s="9">
        <f>INDEX(LINEST(L108:L367,M108:T367,TRUE,TRUE),1,7)</f>
        <v/>
      </c>
      <c r="AD367" s="9">
        <f>INDEX(LINEST(L108:L367,M108:T367,TRUE,TRUE),1,6)</f>
        <v/>
      </c>
      <c r="AE367" s="9">
        <f>INDEX(LINEST(L108:L367,M108:T367,TRUE,TRUE),1,5)</f>
        <v/>
      </c>
      <c r="AF367" s="9">
        <f>INDEX(LINEST(L108:L367,M108:T367,TRUE,TRUE),1,4)</f>
        <v/>
      </c>
      <c r="AG367" s="9">
        <f>INDEX(LINEST(L108:L367,M108:T367,TRUE,TRUE),1,3)</f>
        <v/>
      </c>
      <c r="AH367" s="9">
        <f>INDEX(LINEST(L108:L367,M108:T367,TRUE,TRUE),1,2)</f>
        <v/>
      </c>
      <c r="AI367" s="9">
        <f>INDEX(LINEST(L108:L367,M108:T367,TRUE,TRUE),1,1)</f>
        <v/>
      </c>
      <c r="AJ367" s="10">
        <f>INDEX(LINEST(L108:L367,M108:T367,TRUE,TRUE),3,1)</f>
        <v/>
      </c>
      <c r="AK367" s="9">
        <f>AA366/52+AB366*M367+AC366*N367+AD366*O367+AE366*P367+AF366*Q367+AG366*R367+AH366*S367+AI366*T367</f>
        <v/>
      </c>
      <c r="AL367" s="9">
        <f>AVERAGE(L107:L366)</f>
        <v/>
      </c>
    </row>
    <row r="368">
      <c r="A368" s="7" t="n">
        <v>40179</v>
      </c>
      <c r="B368" s="8" t="n">
        <v>1087.5</v>
      </c>
      <c r="C368" s="8" t="n">
        <v>2.37</v>
      </c>
      <c r="D368" s="8" t="n">
        <v>1.48</v>
      </c>
      <c r="E368" s="8" t="n">
        <v>77.860001</v>
      </c>
      <c r="F368" s="8" t="n">
        <v>79.39</v>
      </c>
      <c r="G368" s="8" t="n">
        <v>21.68</v>
      </c>
      <c r="H368" s="8" t="n">
        <v>107.5</v>
      </c>
      <c r="I368" s="8" t="n">
        <v>1115.099976</v>
      </c>
      <c r="J368" s="8" t="n">
        <v>65.116364</v>
      </c>
      <c r="L368" s="9">
        <f>LN(B368/B367)</f>
        <v/>
      </c>
      <c r="M368" s="9">
        <f>$M$1*(C368-C367)</f>
        <v/>
      </c>
      <c r="N368" s="9">
        <f>$N$1*(D368-D367)</f>
        <v/>
      </c>
      <c r="O368" s="9">
        <f>$O$1*LN(E368/E367)</f>
        <v/>
      </c>
      <c r="P368" s="9">
        <f>$P$1*LN(F368/F367)</f>
        <v/>
      </c>
      <c r="Q368" s="9">
        <f>$Q$1*(G368-G367)</f>
        <v/>
      </c>
      <c r="R368" s="9">
        <f>$R$1*(H368-H367)</f>
        <v/>
      </c>
      <c r="S368" s="9">
        <f>$S$1*LN(I368/I367)</f>
        <v/>
      </c>
      <c r="T368" s="9">
        <f>$T$1*LN(J368/J367)</f>
        <v/>
      </c>
      <c r="U368" s="9">
        <f>$W$12+$W$4*M368+$W$5*N368+$W$6*O368+$W$7*P368+$W$8*Q368+$W$9*R368+$W$10*S368+$W$11*T368</f>
        <v/>
      </c>
      <c r="AA368" s="10">
        <f>INDEX(LINEST(L109:L368,M109:T368,TRUE,TRUE),1,9)*52</f>
        <v/>
      </c>
      <c r="AB368" s="9">
        <f>INDEX(LINEST(L109:L368,M109:T368,TRUE,TRUE),1,8)</f>
        <v/>
      </c>
      <c r="AC368" s="9">
        <f>INDEX(LINEST(L109:L368,M109:T368,TRUE,TRUE),1,7)</f>
        <v/>
      </c>
      <c r="AD368" s="9">
        <f>INDEX(LINEST(L109:L368,M109:T368,TRUE,TRUE),1,6)</f>
        <v/>
      </c>
      <c r="AE368" s="9">
        <f>INDEX(LINEST(L109:L368,M109:T368,TRUE,TRUE),1,5)</f>
        <v/>
      </c>
      <c r="AF368" s="9">
        <f>INDEX(LINEST(L109:L368,M109:T368,TRUE,TRUE),1,4)</f>
        <v/>
      </c>
      <c r="AG368" s="9">
        <f>INDEX(LINEST(L109:L368,M109:T368,TRUE,TRUE),1,3)</f>
        <v/>
      </c>
      <c r="AH368" s="9">
        <f>INDEX(LINEST(L109:L368,M109:T368,TRUE,TRUE),1,2)</f>
        <v/>
      </c>
      <c r="AI368" s="9">
        <f>INDEX(LINEST(L109:L368,M109:T368,TRUE,TRUE),1,1)</f>
        <v/>
      </c>
      <c r="AJ368" s="10">
        <f>INDEX(LINEST(L109:L368,M109:T368,TRUE,TRUE),3,1)</f>
        <v/>
      </c>
      <c r="AK368" s="9">
        <f>AA367/52+AB367*M368+AC367*N368+AD367*O368+AE367*P368+AF367*Q368+AG367*R368+AH367*S368+AI367*T368</f>
        <v/>
      </c>
      <c r="AL368" s="9">
        <f>AVERAGE(L108:L367)</f>
        <v/>
      </c>
    </row>
    <row r="369">
      <c r="A369" s="7" t="n">
        <v>40186</v>
      </c>
      <c r="B369" s="8" t="n">
        <v>1126.75</v>
      </c>
      <c r="C369" s="8" t="n">
        <v>2.42</v>
      </c>
      <c r="D369" s="8" t="n">
        <v>1.41</v>
      </c>
      <c r="E369" s="8" t="n">
        <v>77.470001</v>
      </c>
      <c r="F369" s="8" t="n">
        <v>82.73999999999999</v>
      </c>
      <c r="G369" s="8" t="n">
        <v>18.13</v>
      </c>
      <c r="H369" s="8" t="n">
        <v>96.300003</v>
      </c>
      <c r="I369" s="8" t="n">
        <v>1144.97998</v>
      </c>
      <c r="J369" s="8" t="n">
        <v>65.412971</v>
      </c>
      <c r="L369" s="9">
        <f>LN(B369/B368)</f>
        <v/>
      </c>
      <c r="M369" s="9">
        <f>$M$1*(C369-C368)</f>
        <v/>
      </c>
      <c r="N369" s="9">
        <f>$N$1*(D369-D368)</f>
        <v/>
      </c>
      <c r="O369" s="9">
        <f>$O$1*LN(E369/E368)</f>
        <v/>
      </c>
      <c r="P369" s="9">
        <f>$P$1*LN(F369/F368)</f>
        <v/>
      </c>
      <c r="Q369" s="9">
        <f>$Q$1*(G369-G368)</f>
        <v/>
      </c>
      <c r="R369" s="9">
        <f>$R$1*(H369-H368)</f>
        <v/>
      </c>
      <c r="S369" s="9">
        <f>$S$1*LN(I369/I368)</f>
        <v/>
      </c>
      <c r="T369" s="9">
        <f>$T$1*LN(J369/J368)</f>
        <v/>
      </c>
      <c r="U369" s="9">
        <f>$W$12+$W$4*M369+$W$5*N369+$W$6*O369+$W$7*P369+$W$8*Q369+$W$9*R369+$W$10*S369+$W$11*T369</f>
        <v/>
      </c>
      <c r="AA369" s="10">
        <f>INDEX(LINEST(L110:L369,M110:T369,TRUE,TRUE),1,9)*52</f>
        <v/>
      </c>
      <c r="AB369" s="9">
        <f>INDEX(LINEST(L110:L369,M110:T369,TRUE,TRUE),1,8)</f>
        <v/>
      </c>
      <c r="AC369" s="9">
        <f>INDEX(LINEST(L110:L369,M110:T369,TRUE,TRUE),1,7)</f>
        <v/>
      </c>
      <c r="AD369" s="9">
        <f>INDEX(LINEST(L110:L369,M110:T369,TRUE,TRUE),1,6)</f>
        <v/>
      </c>
      <c r="AE369" s="9">
        <f>INDEX(LINEST(L110:L369,M110:T369,TRUE,TRUE),1,5)</f>
        <v/>
      </c>
      <c r="AF369" s="9">
        <f>INDEX(LINEST(L110:L369,M110:T369,TRUE,TRUE),1,4)</f>
        <v/>
      </c>
      <c r="AG369" s="9">
        <f>INDEX(LINEST(L110:L369,M110:T369,TRUE,TRUE),1,3)</f>
        <v/>
      </c>
      <c r="AH369" s="9">
        <f>INDEX(LINEST(L110:L369,M110:T369,TRUE,TRUE),1,2)</f>
        <v/>
      </c>
      <c r="AI369" s="9">
        <f>INDEX(LINEST(L110:L369,M110:T369,TRUE,TRUE),1,1)</f>
        <v/>
      </c>
      <c r="AJ369" s="10">
        <f>INDEX(LINEST(L110:L369,M110:T369,TRUE,TRUE),3,1)</f>
        <v/>
      </c>
      <c r="AK369" s="9">
        <f>AA368/52+AB368*M369+AC368*N369+AD368*O369+AE368*P369+AF368*Q369+AG368*R369+AH368*S369+AI368*T369</f>
        <v/>
      </c>
      <c r="AL369" s="9">
        <f>AVERAGE(L109:L368)</f>
        <v/>
      </c>
    </row>
    <row r="370">
      <c r="A370" s="7" t="n">
        <v>40193</v>
      </c>
      <c r="B370" s="8" t="n">
        <v>1128</v>
      </c>
      <c r="C370" s="8" t="n">
        <v>2.36</v>
      </c>
      <c r="D370" s="8" t="n">
        <v>1.34</v>
      </c>
      <c r="E370" s="8" t="n">
        <v>77.31999999999999</v>
      </c>
      <c r="F370" s="8" t="n">
        <v>77.95999999999999</v>
      </c>
      <c r="G370" s="8" t="n">
        <v>17.91</v>
      </c>
      <c r="H370" s="8" t="n">
        <v>89.800003</v>
      </c>
      <c r="I370" s="8" t="n">
        <v>1136.030029</v>
      </c>
      <c r="J370" s="8" t="n">
        <v>65.797882</v>
      </c>
      <c r="L370" s="9">
        <f>LN(B370/B369)</f>
        <v/>
      </c>
      <c r="M370" s="9">
        <f>$M$1*(C370-C369)</f>
        <v/>
      </c>
      <c r="N370" s="9">
        <f>$N$1*(D370-D369)</f>
        <v/>
      </c>
      <c r="O370" s="9">
        <f>$O$1*LN(E370/E369)</f>
        <v/>
      </c>
      <c r="P370" s="9">
        <f>$P$1*LN(F370/F369)</f>
        <v/>
      </c>
      <c r="Q370" s="9">
        <f>$Q$1*(G370-G369)</f>
        <v/>
      </c>
      <c r="R370" s="9">
        <f>$R$1*(H370-H369)</f>
        <v/>
      </c>
      <c r="S370" s="9">
        <f>$S$1*LN(I370/I369)</f>
        <v/>
      </c>
      <c r="T370" s="9">
        <f>$T$1*LN(J370/J369)</f>
        <v/>
      </c>
      <c r="U370" s="9">
        <f>$W$12+$W$4*M370+$W$5*N370+$W$6*O370+$W$7*P370+$W$8*Q370+$W$9*R370+$W$10*S370+$W$11*T370</f>
        <v/>
      </c>
      <c r="AA370" s="10">
        <f>INDEX(LINEST(L111:L370,M111:T370,TRUE,TRUE),1,9)*52</f>
        <v/>
      </c>
      <c r="AB370" s="9">
        <f>INDEX(LINEST(L111:L370,M111:T370,TRUE,TRUE),1,8)</f>
        <v/>
      </c>
      <c r="AC370" s="9">
        <f>INDEX(LINEST(L111:L370,M111:T370,TRUE,TRUE),1,7)</f>
        <v/>
      </c>
      <c r="AD370" s="9">
        <f>INDEX(LINEST(L111:L370,M111:T370,TRUE,TRUE),1,6)</f>
        <v/>
      </c>
      <c r="AE370" s="9">
        <f>INDEX(LINEST(L111:L370,M111:T370,TRUE,TRUE),1,5)</f>
        <v/>
      </c>
      <c r="AF370" s="9">
        <f>INDEX(LINEST(L111:L370,M111:T370,TRUE,TRUE),1,4)</f>
        <v/>
      </c>
      <c r="AG370" s="9">
        <f>INDEX(LINEST(L111:L370,M111:T370,TRUE,TRUE),1,3)</f>
        <v/>
      </c>
      <c r="AH370" s="9">
        <f>INDEX(LINEST(L111:L370,M111:T370,TRUE,TRUE),1,2)</f>
        <v/>
      </c>
      <c r="AI370" s="9">
        <f>INDEX(LINEST(L111:L370,M111:T370,TRUE,TRUE),1,1)</f>
        <v/>
      </c>
      <c r="AJ370" s="10">
        <f>INDEX(LINEST(L111:L370,M111:T370,TRUE,TRUE),3,1)</f>
        <v/>
      </c>
      <c r="AK370" s="9">
        <f>AA369/52+AB369*M370+AC369*N370+AD369*O370+AE369*P370+AF369*Q370+AG369*R370+AH369*S370+AI369*T370</f>
        <v/>
      </c>
      <c r="AL370" s="9">
        <f>AVERAGE(L110:L369)</f>
        <v/>
      </c>
    </row>
    <row r="371">
      <c r="A371" s="7" t="n">
        <v>40200</v>
      </c>
      <c r="B371" s="8" t="n">
        <v>1084</v>
      </c>
      <c r="C371" s="8" t="n">
        <v>2.31</v>
      </c>
      <c r="D371" s="8" t="n">
        <v>1.31</v>
      </c>
      <c r="E371" s="8" t="n">
        <v>78.279999</v>
      </c>
      <c r="F371" s="8" t="n">
        <v>74.25</v>
      </c>
      <c r="G371" s="8" t="n">
        <v>27.31</v>
      </c>
      <c r="H371" s="8" t="n">
        <v>88.300003</v>
      </c>
      <c r="I371" s="8" t="n">
        <v>1091.76001</v>
      </c>
      <c r="J371" s="8" t="n">
        <v>65.917816</v>
      </c>
      <c r="L371" s="9">
        <f>LN(B371/B370)</f>
        <v/>
      </c>
      <c r="M371" s="9">
        <f>$M$1*(C371-C370)</f>
        <v/>
      </c>
      <c r="N371" s="9">
        <f>$N$1*(D371-D370)</f>
        <v/>
      </c>
      <c r="O371" s="9">
        <f>$O$1*LN(E371/E370)</f>
        <v/>
      </c>
      <c r="P371" s="9">
        <f>$P$1*LN(F371/F370)</f>
        <v/>
      </c>
      <c r="Q371" s="9">
        <f>$Q$1*(G371-G370)</f>
        <v/>
      </c>
      <c r="R371" s="9">
        <f>$R$1*(H371-H370)</f>
        <v/>
      </c>
      <c r="S371" s="9">
        <f>$S$1*LN(I371/I370)</f>
        <v/>
      </c>
      <c r="T371" s="9">
        <f>$T$1*LN(J371/J370)</f>
        <v/>
      </c>
      <c r="U371" s="9">
        <f>$W$12+$W$4*M371+$W$5*N371+$W$6*O371+$W$7*P371+$W$8*Q371+$W$9*R371+$W$10*S371+$W$11*T371</f>
        <v/>
      </c>
      <c r="AA371" s="10">
        <f>INDEX(LINEST(L112:L371,M112:T371,TRUE,TRUE),1,9)*52</f>
        <v/>
      </c>
      <c r="AB371" s="9">
        <f>INDEX(LINEST(L112:L371,M112:T371,TRUE,TRUE),1,8)</f>
        <v/>
      </c>
      <c r="AC371" s="9">
        <f>INDEX(LINEST(L112:L371,M112:T371,TRUE,TRUE),1,7)</f>
        <v/>
      </c>
      <c r="AD371" s="9">
        <f>INDEX(LINEST(L112:L371,M112:T371,TRUE,TRUE),1,6)</f>
        <v/>
      </c>
      <c r="AE371" s="9">
        <f>INDEX(LINEST(L112:L371,M112:T371,TRUE,TRUE),1,5)</f>
        <v/>
      </c>
      <c r="AF371" s="9">
        <f>INDEX(LINEST(L112:L371,M112:T371,TRUE,TRUE),1,4)</f>
        <v/>
      </c>
      <c r="AG371" s="9">
        <f>INDEX(LINEST(L112:L371,M112:T371,TRUE,TRUE),1,3)</f>
        <v/>
      </c>
      <c r="AH371" s="9">
        <f>INDEX(LINEST(L112:L371,M112:T371,TRUE,TRUE),1,2)</f>
        <v/>
      </c>
      <c r="AI371" s="9">
        <f>INDEX(LINEST(L112:L371,M112:T371,TRUE,TRUE),1,1)</f>
        <v/>
      </c>
      <c r="AJ371" s="10">
        <f>INDEX(LINEST(L112:L371,M112:T371,TRUE,TRUE),3,1)</f>
        <v/>
      </c>
      <c r="AK371" s="9">
        <f>AA370/52+AB370*M371+AC370*N371+AD370*O371+AE370*P371+AF370*Q371+AG370*R371+AH370*S371+AI370*T371</f>
        <v/>
      </c>
      <c r="AL371" s="9">
        <f>AVERAGE(L111:L370)</f>
        <v/>
      </c>
    </row>
    <row r="372">
      <c r="A372" s="7" t="n">
        <v>40207</v>
      </c>
      <c r="B372" s="8" t="n">
        <v>1078.5</v>
      </c>
      <c r="C372" s="8" t="n">
        <v>2.33</v>
      </c>
      <c r="D372" s="8" t="n">
        <v>1.3</v>
      </c>
      <c r="E372" s="8" t="n">
        <v>79.459999</v>
      </c>
      <c r="F372" s="8" t="n">
        <v>72.84999999999999</v>
      </c>
      <c r="G372" s="8" t="n">
        <v>24.62</v>
      </c>
      <c r="H372" s="8" t="n">
        <v>86.300003</v>
      </c>
      <c r="I372" s="8" t="n">
        <v>1073.869995</v>
      </c>
      <c r="J372" s="8" t="n">
        <v>66.037689</v>
      </c>
      <c r="L372" s="9">
        <f>LN(B372/B371)</f>
        <v/>
      </c>
      <c r="M372" s="9">
        <f>$M$1*(C372-C371)</f>
        <v/>
      </c>
      <c r="N372" s="9">
        <f>$N$1*(D372-D371)</f>
        <v/>
      </c>
      <c r="O372" s="9">
        <f>$O$1*LN(E372/E371)</f>
        <v/>
      </c>
      <c r="P372" s="9">
        <f>$P$1*LN(F372/F371)</f>
        <v/>
      </c>
      <c r="Q372" s="9">
        <f>$Q$1*(G372-G371)</f>
        <v/>
      </c>
      <c r="R372" s="9">
        <f>$R$1*(H372-H371)</f>
        <v/>
      </c>
      <c r="S372" s="9">
        <f>$S$1*LN(I372/I371)</f>
        <v/>
      </c>
      <c r="T372" s="9">
        <f>$T$1*LN(J372/J371)</f>
        <v/>
      </c>
      <c r="U372" s="9">
        <f>$W$12+$W$4*M372+$W$5*N372+$W$6*O372+$W$7*P372+$W$8*Q372+$W$9*R372+$W$10*S372+$W$11*T372</f>
        <v/>
      </c>
      <c r="AA372" s="10">
        <f>INDEX(LINEST(L113:L372,M113:T372,TRUE,TRUE),1,9)*52</f>
        <v/>
      </c>
      <c r="AB372" s="9">
        <f>INDEX(LINEST(L113:L372,M113:T372,TRUE,TRUE),1,8)</f>
        <v/>
      </c>
      <c r="AC372" s="9">
        <f>INDEX(LINEST(L113:L372,M113:T372,TRUE,TRUE),1,7)</f>
        <v/>
      </c>
      <c r="AD372" s="9">
        <f>INDEX(LINEST(L113:L372,M113:T372,TRUE,TRUE),1,6)</f>
        <v/>
      </c>
      <c r="AE372" s="9">
        <f>INDEX(LINEST(L113:L372,M113:T372,TRUE,TRUE),1,5)</f>
        <v/>
      </c>
      <c r="AF372" s="9">
        <f>INDEX(LINEST(L113:L372,M113:T372,TRUE,TRUE),1,4)</f>
        <v/>
      </c>
      <c r="AG372" s="9">
        <f>INDEX(LINEST(L113:L372,M113:T372,TRUE,TRUE),1,3)</f>
        <v/>
      </c>
      <c r="AH372" s="9">
        <f>INDEX(LINEST(L113:L372,M113:T372,TRUE,TRUE),1,2)</f>
        <v/>
      </c>
      <c r="AI372" s="9">
        <f>INDEX(LINEST(L113:L372,M113:T372,TRUE,TRUE),1,1)</f>
        <v/>
      </c>
      <c r="AJ372" s="10">
        <f>INDEX(LINEST(L113:L372,M113:T372,TRUE,TRUE),3,1)</f>
        <v/>
      </c>
      <c r="AK372" s="9">
        <f>AA371/52+AB371*M372+AC371*N372+AD371*O372+AE371*P372+AF371*Q372+AG371*R372+AH371*S372+AI371*T372</f>
        <v/>
      </c>
      <c r="AL372" s="9">
        <f>AVERAGE(L112:L371)</f>
        <v/>
      </c>
    </row>
    <row r="373">
      <c r="A373" s="7" t="n">
        <v>40214</v>
      </c>
      <c r="B373" s="8" t="n">
        <v>1058</v>
      </c>
      <c r="C373" s="8" t="n">
        <v>2.27</v>
      </c>
      <c r="D373" s="8" t="n">
        <v>1.32</v>
      </c>
      <c r="E373" s="8" t="n">
        <v>80.44000200000001</v>
      </c>
      <c r="F373" s="8" t="n">
        <v>71.15000000000001</v>
      </c>
      <c r="G373" s="8" t="n">
        <v>26.11</v>
      </c>
      <c r="H373" s="8" t="n">
        <v>89.099998</v>
      </c>
      <c r="I373" s="8" t="n">
        <v>1066.189941</v>
      </c>
      <c r="J373" s="8" t="n">
        <v>66.08641799999999</v>
      </c>
      <c r="L373" s="9">
        <f>LN(B373/B372)</f>
        <v/>
      </c>
      <c r="M373" s="9">
        <f>$M$1*(C373-C372)</f>
        <v/>
      </c>
      <c r="N373" s="9">
        <f>$N$1*(D373-D372)</f>
        <v/>
      </c>
      <c r="O373" s="9">
        <f>$O$1*LN(E373/E372)</f>
        <v/>
      </c>
      <c r="P373" s="9">
        <f>$P$1*LN(F373/F372)</f>
        <v/>
      </c>
      <c r="Q373" s="9">
        <f>$Q$1*(G373-G372)</f>
        <v/>
      </c>
      <c r="R373" s="9">
        <f>$R$1*(H373-H372)</f>
        <v/>
      </c>
      <c r="S373" s="9">
        <f>$S$1*LN(I373/I372)</f>
        <v/>
      </c>
      <c r="T373" s="9">
        <f>$T$1*LN(J373/J372)</f>
        <v/>
      </c>
      <c r="U373" s="9">
        <f>$W$12+$W$4*M373+$W$5*N373+$W$6*O373+$W$7*P373+$W$8*Q373+$W$9*R373+$W$10*S373+$W$11*T373</f>
        <v/>
      </c>
      <c r="AA373" s="10">
        <f>INDEX(LINEST(L114:L373,M114:T373,TRUE,TRUE),1,9)*52</f>
        <v/>
      </c>
      <c r="AB373" s="9">
        <f>INDEX(LINEST(L114:L373,M114:T373,TRUE,TRUE),1,8)</f>
        <v/>
      </c>
      <c r="AC373" s="9">
        <f>INDEX(LINEST(L114:L373,M114:T373,TRUE,TRUE),1,7)</f>
        <v/>
      </c>
      <c r="AD373" s="9">
        <f>INDEX(LINEST(L114:L373,M114:T373,TRUE,TRUE),1,6)</f>
        <v/>
      </c>
      <c r="AE373" s="9">
        <f>INDEX(LINEST(L114:L373,M114:T373,TRUE,TRUE),1,5)</f>
        <v/>
      </c>
      <c r="AF373" s="9">
        <f>INDEX(LINEST(L114:L373,M114:T373,TRUE,TRUE),1,4)</f>
        <v/>
      </c>
      <c r="AG373" s="9">
        <f>INDEX(LINEST(L114:L373,M114:T373,TRUE,TRUE),1,3)</f>
        <v/>
      </c>
      <c r="AH373" s="9">
        <f>INDEX(LINEST(L114:L373,M114:T373,TRUE,TRUE),1,2)</f>
        <v/>
      </c>
      <c r="AI373" s="9">
        <f>INDEX(LINEST(L114:L373,M114:T373,TRUE,TRUE),1,1)</f>
        <v/>
      </c>
      <c r="AJ373" s="10">
        <f>INDEX(LINEST(L114:L373,M114:T373,TRUE,TRUE),3,1)</f>
        <v/>
      </c>
      <c r="AK373" s="9">
        <f>AA372/52+AB372*M373+AC372*N373+AD372*O373+AE372*P373+AF372*Q373+AG372*R373+AH372*S373+AI372*T373</f>
        <v/>
      </c>
      <c r="AL373" s="9">
        <f>AVERAGE(L113:L372)</f>
        <v/>
      </c>
    </row>
    <row r="374">
      <c r="A374" s="7" t="n">
        <v>40221</v>
      </c>
      <c r="B374" s="8" t="n">
        <v>1082</v>
      </c>
      <c r="C374" s="8" t="n">
        <v>2.23</v>
      </c>
      <c r="D374" s="8" t="n">
        <v>1.46</v>
      </c>
      <c r="E374" s="8" t="n">
        <v>80.31999999999999</v>
      </c>
      <c r="F374" s="8" t="n">
        <v>74.11</v>
      </c>
      <c r="G374" s="8" t="n">
        <v>22.73</v>
      </c>
      <c r="H374" s="8" t="n">
        <v>87</v>
      </c>
      <c r="I374" s="8" t="n">
        <v>1075.51001</v>
      </c>
      <c r="J374" s="8" t="n">
        <v>65.845856</v>
      </c>
      <c r="L374" s="9">
        <f>LN(B374/B373)</f>
        <v/>
      </c>
      <c r="M374" s="9">
        <f>$M$1*(C374-C373)</f>
        <v/>
      </c>
      <c r="N374" s="9">
        <f>$N$1*(D374-D373)</f>
        <v/>
      </c>
      <c r="O374" s="9">
        <f>$O$1*LN(E374/E373)</f>
        <v/>
      </c>
      <c r="P374" s="9">
        <f>$P$1*LN(F374/F373)</f>
        <v/>
      </c>
      <c r="Q374" s="9">
        <f>$Q$1*(G374-G373)</f>
        <v/>
      </c>
      <c r="R374" s="9">
        <f>$R$1*(H374-H373)</f>
        <v/>
      </c>
      <c r="S374" s="9">
        <f>$S$1*LN(I374/I373)</f>
        <v/>
      </c>
      <c r="T374" s="9">
        <f>$T$1*LN(J374/J373)</f>
        <v/>
      </c>
      <c r="U374" s="9">
        <f>$W$12+$W$4*M374+$W$5*N374+$W$6*O374+$W$7*P374+$W$8*Q374+$W$9*R374+$W$10*S374+$W$11*T374</f>
        <v/>
      </c>
      <c r="AA374" s="10">
        <f>INDEX(LINEST(L115:L374,M115:T374,TRUE,TRUE),1,9)*52</f>
        <v/>
      </c>
      <c r="AB374" s="9">
        <f>INDEX(LINEST(L115:L374,M115:T374,TRUE,TRUE),1,8)</f>
        <v/>
      </c>
      <c r="AC374" s="9">
        <f>INDEX(LINEST(L115:L374,M115:T374,TRUE,TRUE),1,7)</f>
        <v/>
      </c>
      <c r="AD374" s="9">
        <f>INDEX(LINEST(L115:L374,M115:T374,TRUE,TRUE),1,6)</f>
        <v/>
      </c>
      <c r="AE374" s="9">
        <f>INDEX(LINEST(L115:L374,M115:T374,TRUE,TRUE),1,5)</f>
        <v/>
      </c>
      <c r="AF374" s="9">
        <f>INDEX(LINEST(L115:L374,M115:T374,TRUE,TRUE),1,4)</f>
        <v/>
      </c>
      <c r="AG374" s="9">
        <f>INDEX(LINEST(L115:L374,M115:T374,TRUE,TRUE),1,3)</f>
        <v/>
      </c>
      <c r="AH374" s="9">
        <f>INDEX(LINEST(L115:L374,M115:T374,TRUE,TRUE),1,2)</f>
        <v/>
      </c>
      <c r="AI374" s="9">
        <f>INDEX(LINEST(L115:L374,M115:T374,TRUE,TRUE),1,1)</f>
        <v/>
      </c>
      <c r="AJ374" s="10">
        <f>INDEX(LINEST(L115:L374,M115:T374,TRUE,TRUE),3,1)</f>
        <v/>
      </c>
      <c r="AK374" s="9">
        <f>AA373/52+AB373*M374+AC373*N374+AD373*O374+AE373*P374+AF373*Q374+AG373*R374+AH373*S374+AI373*T374</f>
        <v/>
      </c>
      <c r="AL374" s="9">
        <f>AVERAGE(L114:L373)</f>
        <v/>
      </c>
    </row>
    <row r="375">
      <c r="A375" s="7" t="n">
        <v>40228</v>
      </c>
      <c r="B375" s="8" t="n">
        <v>1112.75</v>
      </c>
      <c r="C375" s="8" t="n">
        <v>2.26</v>
      </c>
      <c r="D375" s="8" t="n">
        <v>1.52</v>
      </c>
      <c r="E375" s="8" t="n">
        <v>80.639999</v>
      </c>
      <c r="F375" s="8" t="n">
        <v>79.77</v>
      </c>
      <c r="G375" s="8" t="n">
        <v>20.02</v>
      </c>
      <c r="H375" s="8" t="n">
        <v>84.900002</v>
      </c>
      <c r="I375" s="8" t="n">
        <v>1109.170044</v>
      </c>
      <c r="J375" s="8" t="n">
        <v>65.833191</v>
      </c>
      <c r="L375" s="9">
        <f>LN(B375/B374)</f>
        <v/>
      </c>
      <c r="M375" s="9">
        <f>$M$1*(C375-C374)</f>
        <v/>
      </c>
      <c r="N375" s="9">
        <f>$N$1*(D375-D374)</f>
        <v/>
      </c>
      <c r="O375" s="9">
        <f>$O$1*LN(E375/E374)</f>
        <v/>
      </c>
      <c r="P375" s="9">
        <f>$P$1*LN(F375/F374)</f>
        <v/>
      </c>
      <c r="Q375" s="9">
        <f>$Q$1*(G375-G374)</f>
        <v/>
      </c>
      <c r="R375" s="9">
        <f>$R$1*(H375-H374)</f>
        <v/>
      </c>
      <c r="S375" s="9">
        <f>$S$1*LN(I375/I374)</f>
        <v/>
      </c>
      <c r="T375" s="9">
        <f>$T$1*LN(J375/J374)</f>
        <v/>
      </c>
      <c r="U375" s="9">
        <f>$W$12+$W$4*M375+$W$5*N375+$W$6*O375+$W$7*P375+$W$8*Q375+$W$9*R375+$W$10*S375+$W$11*T375</f>
        <v/>
      </c>
      <c r="AA375" s="10">
        <f>INDEX(LINEST(L116:L375,M116:T375,TRUE,TRUE),1,9)*52</f>
        <v/>
      </c>
      <c r="AB375" s="9">
        <f>INDEX(LINEST(L116:L375,M116:T375,TRUE,TRUE),1,8)</f>
        <v/>
      </c>
      <c r="AC375" s="9">
        <f>INDEX(LINEST(L116:L375,M116:T375,TRUE,TRUE),1,7)</f>
        <v/>
      </c>
      <c r="AD375" s="9">
        <f>INDEX(LINEST(L116:L375,M116:T375,TRUE,TRUE),1,6)</f>
        <v/>
      </c>
      <c r="AE375" s="9">
        <f>INDEX(LINEST(L116:L375,M116:T375,TRUE,TRUE),1,5)</f>
        <v/>
      </c>
      <c r="AF375" s="9">
        <f>INDEX(LINEST(L116:L375,M116:T375,TRUE,TRUE),1,4)</f>
        <v/>
      </c>
      <c r="AG375" s="9">
        <f>INDEX(LINEST(L116:L375,M116:T375,TRUE,TRUE),1,3)</f>
        <v/>
      </c>
      <c r="AH375" s="9">
        <f>INDEX(LINEST(L116:L375,M116:T375,TRUE,TRUE),1,2)</f>
        <v/>
      </c>
      <c r="AI375" s="9">
        <f>INDEX(LINEST(L116:L375,M116:T375,TRUE,TRUE),1,1)</f>
        <v/>
      </c>
      <c r="AJ375" s="10">
        <f>INDEX(LINEST(L116:L375,M116:T375,TRUE,TRUE),3,1)</f>
        <v/>
      </c>
      <c r="AK375" s="9">
        <f>AA374/52+AB374*M375+AC374*N375+AD374*O375+AE374*P375+AF374*Q375+AG374*R375+AH374*S375+AI374*T375</f>
        <v/>
      </c>
      <c r="AL375" s="9">
        <f>AVERAGE(L115:L374)</f>
        <v/>
      </c>
    </row>
    <row r="376">
      <c r="A376" s="7" t="n">
        <v>40235</v>
      </c>
      <c r="B376" s="8" t="n">
        <v>1108.25</v>
      </c>
      <c r="C376" s="8" t="n">
        <v>2.13</v>
      </c>
      <c r="D376" s="8" t="n">
        <v>1.48</v>
      </c>
      <c r="E376" s="8" t="n">
        <v>80.360001</v>
      </c>
      <c r="F376" s="8" t="n">
        <v>79.72</v>
      </c>
      <c r="G376" s="8" t="n">
        <v>19.5</v>
      </c>
      <c r="H376" s="8" t="n">
        <v>81.199997</v>
      </c>
      <c r="I376" s="8" t="n">
        <v>1104.48999</v>
      </c>
      <c r="J376" s="8" t="n">
        <v>66.16873200000001</v>
      </c>
      <c r="L376" s="9">
        <f>LN(B376/B375)</f>
        <v/>
      </c>
      <c r="M376" s="9">
        <f>$M$1*(C376-C375)</f>
        <v/>
      </c>
      <c r="N376" s="9">
        <f>$N$1*(D376-D375)</f>
        <v/>
      </c>
      <c r="O376" s="9">
        <f>$O$1*LN(E376/E375)</f>
        <v/>
      </c>
      <c r="P376" s="9">
        <f>$P$1*LN(F376/F375)</f>
        <v/>
      </c>
      <c r="Q376" s="9">
        <f>$Q$1*(G376-G375)</f>
        <v/>
      </c>
      <c r="R376" s="9">
        <f>$R$1*(H376-H375)</f>
        <v/>
      </c>
      <c r="S376" s="9">
        <f>$S$1*LN(I376/I375)</f>
        <v/>
      </c>
      <c r="T376" s="9">
        <f>$T$1*LN(J376/J375)</f>
        <v/>
      </c>
      <c r="U376" s="9">
        <f>$W$12+$W$4*M376+$W$5*N376+$W$6*O376+$W$7*P376+$W$8*Q376+$W$9*R376+$W$10*S376+$W$11*T376</f>
        <v/>
      </c>
      <c r="AA376" s="10">
        <f>INDEX(LINEST(L117:L376,M117:T376,TRUE,TRUE),1,9)*52</f>
        <v/>
      </c>
      <c r="AB376" s="9">
        <f>INDEX(LINEST(L117:L376,M117:T376,TRUE,TRUE),1,8)</f>
        <v/>
      </c>
      <c r="AC376" s="9">
        <f>INDEX(LINEST(L117:L376,M117:T376,TRUE,TRUE),1,7)</f>
        <v/>
      </c>
      <c r="AD376" s="9">
        <f>INDEX(LINEST(L117:L376,M117:T376,TRUE,TRUE),1,6)</f>
        <v/>
      </c>
      <c r="AE376" s="9">
        <f>INDEX(LINEST(L117:L376,M117:T376,TRUE,TRUE),1,5)</f>
        <v/>
      </c>
      <c r="AF376" s="9">
        <f>INDEX(LINEST(L117:L376,M117:T376,TRUE,TRUE),1,4)</f>
        <v/>
      </c>
      <c r="AG376" s="9">
        <f>INDEX(LINEST(L117:L376,M117:T376,TRUE,TRUE),1,3)</f>
        <v/>
      </c>
      <c r="AH376" s="9">
        <f>INDEX(LINEST(L117:L376,M117:T376,TRUE,TRUE),1,2)</f>
        <v/>
      </c>
      <c r="AI376" s="9">
        <f>INDEX(LINEST(L117:L376,M117:T376,TRUE,TRUE),1,1)</f>
        <v/>
      </c>
      <c r="AJ376" s="10">
        <f>INDEX(LINEST(L117:L376,M117:T376,TRUE,TRUE),3,1)</f>
        <v/>
      </c>
      <c r="AK376" s="9">
        <f>AA375/52+AB375*M376+AC375*N376+AD375*O376+AE375*P376+AF375*Q376+AG375*R376+AH375*S376+AI375*T376</f>
        <v/>
      </c>
      <c r="AL376" s="9">
        <f>AVERAGE(L116:L375)</f>
        <v/>
      </c>
    </row>
    <row r="377">
      <c r="A377" s="7" t="n">
        <v>40242</v>
      </c>
      <c r="B377" s="8" t="n">
        <v>1135</v>
      </c>
      <c r="C377" s="8" t="n">
        <v>2.21</v>
      </c>
      <c r="D377" s="8" t="n">
        <v>1.48</v>
      </c>
      <c r="E377" s="8" t="n">
        <v>80.43000000000001</v>
      </c>
      <c r="F377" s="8" t="n">
        <v>81.5</v>
      </c>
      <c r="G377" s="8" t="n">
        <v>17.42</v>
      </c>
      <c r="H377" s="8" t="n">
        <v>78.900002</v>
      </c>
      <c r="I377" s="8" t="n">
        <v>1138.699951</v>
      </c>
      <c r="J377" s="8" t="n">
        <v>66.284988</v>
      </c>
      <c r="L377" s="9">
        <f>LN(B377/B376)</f>
        <v/>
      </c>
      <c r="M377" s="9">
        <f>$M$1*(C377-C376)</f>
        <v/>
      </c>
      <c r="N377" s="9">
        <f>$N$1*(D377-D376)</f>
        <v/>
      </c>
      <c r="O377" s="9">
        <f>$O$1*LN(E377/E376)</f>
        <v/>
      </c>
      <c r="P377" s="9">
        <f>$P$1*LN(F377/F376)</f>
        <v/>
      </c>
      <c r="Q377" s="9">
        <f>$Q$1*(G377-G376)</f>
        <v/>
      </c>
      <c r="R377" s="9">
        <f>$R$1*(H377-H376)</f>
        <v/>
      </c>
      <c r="S377" s="9">
        <f>$S$1*LN(I377/I376)</f>
        <v/>
      </c>
      <c r="T377" s="9">
        <f>$T$1*LN(J377/J376)</f>
        <v/>
      </c>
      <c r="U377" s="9">
        <f>$W$12+$W$4*M377+$W$5*N377+$W$6*O377+$W$7*P377+$W$8*Q377+$W$9*R377+$W$10*S377+$W$11*T377</f>
        <v/>
      </c>
      <c r="AA377" s="10">
        <f>INDEX(LINEST(L118:L377,M118:T377,TRUE,TRUE),1,9)*52</f>
        <v/>
      </c>
      <c r="AB377" s="9">
        <f>INDEX(LINEST(L118:L377,M118:T377,TRUE,TRUE),1,8)</f>
        <v/>
      </c>
      <c r="AC377" s="9">
        <f>INDEX(LINEST(L118:L377,M118:T377,TRUE,TRUE),1,7)</f>
        <v/>
      </c>
      <c r="AD377" s="9">
        <f>INDEX(LINEST(L118:L377,M118:T377,TRUE,TRUE),1,6)</f>
        <v/>
      </c>
      <c r="AE377" s="9">
        <f>INDEX(LINEST(L118:L377,M118:T377,TRUE,TRUE),1,5)</f>
        <v/>
      </c>
      <c r="AF377" s="9">
        <f>INDEX(LINEST(L118:L377,M118:T377,TRUE,TRUE),1,4)</f>
        <v/>
      </c>
      <c r="AG377" s="9">
        <f>INDEX(LINEST(L118:L377,M118:T377,TRUE,TRUE),1,3)</f>
        <v/>
      </c>
      <c r="AH377" s="9">
        <f>INDEX(LINEST(L118:L377,M118:T377,TRUE,TRUE),1,2)</f>
        <v/>
      </c>
      <c r="AI377" s="9">
        <f>INDEX(LINEST(L118:L377,M118:T377,TRUE,TRUE),1,1)</f>
        <v/>
      </c>
      <c r="AJ377" s="10">
        <f>INDEX(LINEST(L118:L377,M118:T377,TRUE,TRUE),3,1)</f>
        <v/>
      </c>
      <c r="AK377" s="9">
        <f>AA376/52+AB376*M377+AC376*N377+AD376*O377+AE376*P377+AF376*Q377+AG376*R377+AH376*S377+AI376*T377</f>
        <v/>
      </c>
      <c r="AL377" s="9">
        <f>AVERAGE(L117:L376)</f>
        <v/>
      </c>
    </row>
    <row r="378">
      <c r="A378" s="7" t="n">
        <v>40249</v>
      </c>
      <c r="B378" s="8" t="n">
        <v>1106.25</v>
      </c>
      <c r="C378" s="8" t="n">
        <v>2.26</v>
      </c>
      <c r="D378" s="8" t="n">
        <v>1.45</v>
      </c>
      <c r="E378" s="8" t="n">
        <v>79.83000199999999</v>
      </c>
      <c r="F378" s="8" t="n">
        <v>81.26000000000001</v>
      </c>
      <c r="G378" s="8" t="n">
        <v>17.58</v>
      </c>
      <c r="H378" s="8" t="n">
        <v>76.400002</v>
      </c>
      <c r="I378" s="8" t="n">
        <v>1149.98999</v>
      </c>
      <c r="J378" s="8" t="n">
        <v>66.367462</v>
      </c>
      <c r="L378" s="9">
        <f>LN(B378/B377)</f>
        <v/>
      </c>
      <c r="M378" s="9">
        <f>$M$1*(C378-C377)</f>
        <v/>
      </c>
      <c r="N378" s="9">
        <f>$N$1*(D378-D377)</f>
        <v/>
      </c>
      <c r="O378" s="9">
        <f>$O$1*LN(E378/E377)</f>
        <v/>
      </c>
      <c r="P378" s="9">
        <f>$P$1*LN(F378/F377)</f>
        <v/>
      </c>
      <c r="Q378" s="9">
        <f>$Q$1*(G378-G377)</f>
        <v/>
      </c>
      <c r="R378" s="9">
        <f>$R$1*(H378-H377)</f>
        <v/>
      </c>
      <c r="S378" s="9">
        <f>$S$1*LN(I378/I377)</f>
        <v/>
      </c>
      <c r="T378" s="9">
        <f>$T$1*LN(J378/J377)</f>
        <v/>
      </c>
      <c r="U378" s="9">
        <f>$W$12+$W$4*M378+$W$5*N378+$W$6*O378+$W$7*P378+$W$8*Q378+$W$9*R378+$W$10*S378+$W$11*T378</f>
        <v/>
      </c>
      <c r="AA378" s="10">
        <f>INDEX(LINEST(L119:L378,M119:T378,TRUE,TRUE),1,9)*52</f>
        <v/>
      </c>
      <c r="AB378" s="9">
        <f>INDEX(LINEST(L119:L378,M119:T378,TRUE,TRUE),1,8)</f>
        <v/>
      </c>
      <c r="AC378" s="9">
        <f>INDEX(LINEST(L119:L378,M119:T378,TRUE,TRUE),1,7)</f>
        <v/>
      </c>
      <c r="AD378" s="9">
        <f>INDEX(LINEST(L119:L378,M119:T378,TRUE,TRUE),1,6)</f>
        <v/>
      </c>
      <c r="AE378" s="9">
        <f>INDEX(LINEST(L119:L378,M119:T378,TRUE,TRUE),1,5)</f>
        <v/>
      </c>
      <c r="AF378" s="9">
        <f>INDEX(LINEST(L119:L378,M119:T378,TRUE,TRUE),1,4)</f>
        <v/>
      </c>
      <c r="AG378" s="9">
        <f>INDEX(LINEST(L119:L378,M119:T378,TRUE,TRUE),1,3)</f>
        <v/>
      </c>
      <c r="AH378" s="9">
        <f>INDEX(LINEST(L119:L378,M119:T378,TRUE,TRUE),1,2)</f>
        <v/>
      </c>
      <c r="AI378" s="9">
        <f>INDEX(LINEST(L119:L378,M119:T378,TRUE,TRUE),1,1)</f>
        <v/>
      </c>
      <c r="AJ378" s="10">
        <f>INDEX(LINEST(L119:L378,M119:T378,TRUE,TRUE),3,1)</f>
        <v/>
      </c>
      <c r="AK378" s="9">
        <f>AA377/52+AB377*M378+AC377*N378+AD377*O378+AE377*P378+AF377*Q378+AG377*R378+AH377*S378+AI377*T378</f>
        <v/>
      </c>
      <c r="AL378" s="9">
        <f>AVERAGE(L118:L377)</f>
        <v/>
      </c>
    </row>
    <row r="379">
      <c r="A379" s="7" t="n">
        <v>40256</v>
      </c>
      <c r="B379" s="8" t="n">
        <v>1105.5</v>
      </c>
      <c r="C379" s="8" t="n">
        <v>2.2</v>
      </c>
      <c r="D379" s="8" t="n">
        <v>1.5</v>
      </c>
      <c r="E379" s="8" t="n">
        <v>80.720001</v>
      </c>
      <c r="F379" s="8" t="n">
        <v>80.58</v>
      </c>
      <c r="G379" s="8" t="n">
        <v>16.97</v>
      </c>
      <c r="H379" s="8" t="n">
        <v>79.400002</v>
      </c>
      <c r="I379" s="8" t="n">
        <v>1159.900024</v>
      </c>
      <c r="J379" s="8" t="n">
        <v>66.513451</v>
      </c>
      <c r="L379" s="9">
        <f>LN(B379/B378)</f>
        <v/>
      </c>
      <c r="M379" s="9">
        <f>$M$1*(C379-C378)</f>
        <v/>
      </c>
      <c r="N379" s="9">
        <f>$N$1*(D379-D378)</f>
        <v/>
      </c>
      <c r="O379" s="9">
        <f>$O$1*LN(E379/E378)</f>
        <v/>
      </c>
      <c r="P379" s="9">
        <f>$P$1*LN(F379/F378)</f>
        <v/>
      </c>
      <c r="Q379" s="9">
        <f>$Q$1*(G379-G378)</f>
        <v/>
      </c>
      <c r="R379" s="9">
        <f>$R$1*(H379-H378)</f>
        <v/>
      </c>
      <c r="S379" s="9">
        <f>$S$1*LN(I379/I378)</f>
        <v/>
      </c>
      <c r="T379" s="9">
        <f>$T$1*LN(J379/J378)</f>
        <v/>
      </c>
      <c r="U379" s="9">
        <f>$W$12+$W$4*M379+$W$5*N379+$W$6*O379+$W$7*P379+$W$8*Q379+$W$9*R379+$W$10*S379+$W$11*T379</f>
        <v/>
      </c>
      <c r="AA379" s="10">
        <f>INDEX(LINEST(L120:L379,M120:T379,TRUE,TRUE),1,9)*52</f>
        <v/>
      </c>
      <c r="AB379" s="9">
        <f>INDEX(LINEST(L120:L379,M120:T379,TRUE,TRUE),1,8)</f>
        <v/>
      </c>
      <c r="AC379" s="9">
        <f>INDEX(LINEST(L120:L379,M120:T379,TRUE,TRUE),1,7)</f>
        <v/>
      </c>
      <c r="AD379" s="9">
        <f>INDEX(LINEST(L120:L379,M120:T379,TRUE,TRUE),1,6)</f>
        <v/>
      </c>
      <c r="AE379" s="9">
        <f>INDEX(LINEST(L120:L379,M120:T379,TRUE,TRUE),1,5)</f>
        <v/>
      </c>
      <c r="AF379" s="9">
        <f>INDEX(LINEST(L120:L379,M120:T379,TRUE,TRUE),1,4)</f>
        <v/>
      </c>
      <c r="AG379" s="9">
        <f>INDEX(LINEST(L120:L379,M120:T379,TRUE,TRUE),1,3)</f>
        <v/>
      </c>
      <c r="AH379" s="9">
        <f>INDEX(LINEST(L120:L379,M120:T379,TRUE,TRUE),1,2)</f>
        <v/>
      </c>
      <c r="AI379" s="9">
        <f>INDEX(LINEST(L120:L379,M120:T379,TRUE,TRUE),1,1)</f>
        <v/>
      </c>
      <c r="AJ379" s="10">
        <f>INDEX(LINEST(L120:L379,M120:T379,TRUE,TRUE),3,1)</f>
        <v/>
      </c>
      <c r="AK379" s="9">
        <f>AA378/52+AB378*M379+AC378*N379+AD378*O379+AE378*P379+AF378*Q379+AG378*R379+AH378*S379+AI378*T379</f>
        <v/>
      </c>
      <c r="AL379" s="9">
        <f>AVERAGE(L119:L378)</f>
        <v/>
      </c>
    </row>
    <row r="380">
      <c r="A380" s="7" t="n">
        <v>40263</v>
      </c>
      <c r="B380" s="8" t="n">
        <v>1096.5</v>
      </c>
      <c r="C380" s="8" t="n">
        <v>2.24</v>
      </c>
      <c r="D380" s="8" t="n">
        <v>1.62</v>
      </c>
      <c r="E380" s="8" t="n">
        <v>81.68000000000001</v>
      </c>
      <c r="F380" s="8" t="n">
        <v>79.75</v>
      </c>
      <c r="G380" s="8" t="n">
        <v>17.77</v>
      </c>
      <c r="H380" s="8" t="n">
        <v>87.400002</v>
      </c>
      <c r="I380" s="8" t="n">
        <v>1166.589966</v>
      </c>
      <c r="J380" s="8" t="n">
        <v>66.176941</v>
      </c>
      <c r="L380" s="9">
        <f>LN(B380/B379)</f>
        <v/>
      </c>
      <c r="M380" s="9">
        <f>$M$1*(C380-C379)</f>
        <v/>
      </c>
      <c r="N380" s="9">
        <f>$N$1*(D380-D379)</f>
        <v/>
      </c>
      <c r="O380" s="9">
        <f>$O$1*LN(E380/E379)</f>
        <v/>
      </c>
      <c r="P380" s="9">
        <f>$P$1*LN(F380/F379)</f>
        <v/>
      </c>
      <c r="Q380" s="9">
        <f>$Q$1*(G380-G379)</f>
        <v/>
      </c>
      <c r="R380" s="9">
        <f>$R$1*(H380-H379)</f>
        <v/>
      </c>
      <c r="S380" s="9">
        <f>$S$1*LN(I380/I379)</f>
        <v/>
      </c>
      <c r="T380" s="9">
        <f>$T$1*LN(J380/J379)</f>
        <v/>
      </c>
      <c r="U380" s="9">
        <f>$W$12+$W$4*M380+$W$5*N380+$W$6*O380+$W$7*P380+$W$8*Q380+$W$9*R380+$W$10*S380+$W$11*T380</f>
        <v/>
      </c>
      <c r="AA380" s="10">
        <f>INDEX(LINEST(L121:L380,M121:T380,TRUE,TRUE),1,9)*52</f>
        <v/>
      </c>
      <c r="AB380" s="9">
        <f>INDEX(LINEST(L121:L380,M121:T380,TRUE,TRUE),1,8)</f>
        <v/>
      </c>
      <c r="AC380" s="9">
        <f>INDEX(LINEST(L121:L380,M121:T380,TRUE,TRUE),1,7)</f>
        <v/>
      </c>
      <c r="AD380" s="9">
        <f>INDEX(LINEST(L121:L380,M121:T380,TRUE,TRUE),1,6)</f>
        <v/>
      </c>
      <c r="AE380" s="9">
        <f>INDEX(LINEST(L121:L380,M121:T380,TRUE,TRUE),1,5)</f>
        <v/>
      </c>
      <c r="AF380" s="9">
        <f>INDEX(LINEST(L121:L380,M121:T380,TRUE,TRUE),1,4)</f>
        <v/>
      </c>
      <c r="AG380" s="9">
        <f>INDEX(LINEST(L121:L380,M121:T380,TRUE,TRUE),1,3)</f>
        <v/>
      </c>
      <c r="AH380" s="9">
        <f>INDEX(LINEST(L121:L380,M121:T380,TRUE,TRUE),1,2)</f>
        <v/>
      </c>
      <c r="AI380" s="9">
        <f>INDEX(LINEST(L121:L380,M121:T380,TRUE,TRUE),1,1)</f>
        <v/>
      </c>
      <c r="AJ380" s="10">
        <f>INDEX(LINEST(L121:L380,M121:T380,TRUE,TRUE),3,1)</f>
        <v/>
      </c>
      <c r="AK380" s="9">
        <f>AA379/52+AB379*M380+AC379*N380+AD379*O380+AE379*P380+AF379*Q380+AG379*R380+AH379*S380+AI379*T380</f>
        <v/>
      </c>
      <c r="AL380" s="9">
        <f>AVERAGE(L120:L379)</f>
        <v/>
      </c>
    </row>
    <row r="381">
      <c r="A381" s="7" t="n">
        <v>40270</v>
      </c>
      <c r="B381" s="8" t="n">
        <v>1123.5</v>
      </c>
      <c r="C381" s="8" t="n">
        <v>2.27</v>
      </c>
      <c r="D381" s="8" t="n">
        <v>1.69</v>
      </c>
      <c r="E381" s="8" t="n">
        <v>80.779999</v>
      </c>
      <c r="F381" s="8" t="n">
        <v>84.53</v>
      </c>
      <c r="G381" s="8" t="n">
        <v>17.47</v>
      </c>
      <c r="H381" s="8" t="n">
        <v>89.800003</v>
      </c>
      <c r="I381" s="8" t="n">
        <v>1178.099976</v>
      </c>
      <c r="J381" s="8" t="n">
        <v>66.13938899999999</v>
      </c>
      <c r="L381" s="9">
        <f>LN(B381/B380)</f>
        <v/>
      </c>
      <c r="M381" s="9">
        <f>$M$1*(C381-C380)</f>
        <v/>
      </c>
      <c r="N381" s="9">
        <f>$N$1*(D381-D380)</f>
        <v/>
      </c>
      <c r="O381" s="9">
        <f>$O$1*LN(E381/E380)</f>
        <v/>
      </c>
      <c r="P381" s="9">
        <f>$P$1*LN(F381/F380)</f>
        <v/>
      </c>
      <c r="Q381" s="9">
        <f>$Q$1*(G381-G380)</f>
        <v/>
      </c>
      <c r="R381" s="9">
        <f>$R$1*(H381-H380)</f>
        <v/>
      </c>
      <c r="S381" s="9">
        <f>$S$1*LN(I381/I380)</f>
        <v/>
      </c>
      <c r="T381" s="9">
        <f>$T$1*LN(J381/J380)</f>
        <v/>
      </c>
      <c r="U381" s="9">
        <f>$W$12+$W$4*M381+$W$5*N381+$W$6*O381+$W$7*P381+$W$8*Q381+$W$9*R381+$W$10*S381+$W$11*T381</f>
        <v/>
      </c>
      <c r="AA381" s="10">
        <f>INDEX(LINEST(L122:L381,M122:T381,TRUE,TRUE),1,9)*52</f>
        <v/>
      </c>
      <c r="AB381" s="9">
        <f>INDEX(LINEST(L122:L381,M122:T381,TRUE,TRUE),1,8)</f>
        <v/>
      </c>
      <c r="AC381" s="9">
        <f>INDEX(LINEST(L122:L381,M122:T381,TRUE,TRUE),1,7)</f>
        <v/>
      </c>
      <c r="AD381" s="9">
        <f>INDEX(LINEST(L122:L381,M122:T381,TRUE,TRUE),1,6)</f>
        <v/>
      </c>
      <c r="AE381" s="9">
        <f>INDEX(LINEST(L122:L381,M122:T381,TRUE,TRUE),1,5)</f>
        <v/>
      </c>
      <c r="AF381" s="9">
        <f>INDEX(LINEST(L122:L381,M122:T381,TRUE,TRUE),1,4)</f>
        <v/>
      </c>
      <c r="AG381" s="9">
        <f>INDEX(LINEST(L122:L381,M122:T381,TRUE,TRUE),1,3)</f>
        <v/>
      </c>
      <c r="AH381" s="9">
        <f>INDEX(LINEST(L122:L381,M122:T381,TRUE,TRUE),1,2)</f>
        <v/>
      </c>
      <c r="AI381" s="9">
        <f>INDEX(LINEST(L122:L381,M122:T381,TRUE,TRUE),1,1)</f>
        <v/>
      </c>
      <c r="AJ381" s="10">
        <f>INDEX(LINEST(L122:L381,M122:T381,TRUE,TRUE),3,1)</f>
        <v/>
      </c>
      <c r="AK381" s="9">
        <f>AA380/52+AB380*M381+AC380*N381+AD380*O381+AE380*P381+AF380*Q381+AG380*R381+AH380*S381+AI380*T381</f>
        <v/>
      </c>
      <c r="AL381" s="9">
        <f>AVERAGE(L121:L380)</f>
        <v/>
      </c>
    </row>
    <row r="382">
      <c r="A382" s="7" t="n">
        <v>40277</v>
      </c>
      <c r="B382" s="8" t="n">
        <v>1152.5</v>
      </c>
      <c r="C382" s="8" t="n">
        <v>2.34</v>
      </c>
      <c r="D382" s="8" t="n">
        <v>1.56</v>
      </c>
      <c r="E382" s="8" t="n">
        <v>81.089996</v>
      </c>
      <c r="F382" s="8" t="n">
        <v>84.59999999999999</v>
      </c>
      <c r="G382" s="8" t="n">
        <v>16.14</v>
      </c>
      <c r="H382" s="8" t="n">
        <v>89.800003</v>
      </c>
      <c r="I382" s="8" t="n">
        <v>1194.369995</v>
      </c>
      <c r="J382" s="8" t="n">
        <v>66.101219</v>
      </c>
      <c r="L382" s="9">
        <f>LN(B382/B381)</f>
        <v/>
      </c>
      <c r="M382" s="9">
        <f>$M$1*(C382-C381)</f>
        <v/>
      </c>
      <c r="N382" s="9">
        <f>$N$1*(D382-D381)</f>
        <v/>
      </c>
      <c r="O382" s="9">
        <f>$O$1*LN(E382/E381)</f>
        <v/>
      </c>
      <c r="P382" s="9">
        <f>$P$1*LN(F382/F381)</f>
        <v/>
      </c>
      <c r="Q382" s="9">
        <f>$Q$1*(G382-G381)</f>
        <v/>
      </c>
      <c r="R382" s="9">
        <f>$R$1*(H382-H381)</f>
        <v/>
      </c>
      <c r="S382" s="9">
        <f>$S$1*LN(I382/I381)</f>
        <v/>
      </c>
      <c r="T382" s="9">
        <f>$T$1*LN(J382/J381)</f>
        <v/>
      </c>
      <c r="U382" s="9">
        <f>$W$12+$W$4*M382+$W$5*N382+$W$6*O382+$W$7*P382+$W$8*Q382+$W$9*R382+$W$10*S382+$W$11*T382</f>
        <v/>
      </c>
      <c r="AA382" s="10">
        <f>INDEX(LINEST(L123:L382,M123:T382,TRUE,TRUE),1,9)*52</f>
        <v/>
      </c>
      <c r="AB382" s="9">
        <f>INDEX(LINEST(L123:L382,M123:T382,TRUE,TRUE),1,8)</f>
        <v/>
      </c>
      <c r="AC382" s="9">
        <f>INDEX(LINEST(L123:L382,M123:T382,TRUE,TRUE),1,7)</f>
        <v/>
      </c>
      <c r="AD382" s="9">
        <f>INDEX(LINEST(L123:L382,M123:T382,TRUE,TRUE),1,6)</f>
        <v/>
      </c>
      <c r="AE382" s="9">
        <f>INDEX(LINEST(L123:L382,M123:T382,TRUE,TRUE),1,5)</f>
        <v/>
      </c>
      <c r="AF382" s="9">
        <f>INDEX(LINEST(L123:L382,M123:T382,TRUE,TRUE),1,4)</f>
        <v/>
      </c>
      <c r="AG382" s="9">
        <f>INDEX(LINEST(L123:L382,M123:T382,TRUE,TRUE),1,3)</f>
        <v/>
      </c>
      <c r="AH382" s="9">
        <f>INDEX(LINEST(L123:L382,M123:T382,TRUE,TRUE),1,2)</f>
        <v/>
      </c>
      <c r="AI382" s="9">
        <f>INDEX(LINEST(L123:L382,M123:T382,TRUE,TRUE),1,1)</f>
        <v/>
      </c>
      <c r="AJ382" s="10">
        <f>INDEX(LINEST(L123:L382,M123:T382,TRUE,TRUE),3,1)</f>
        <v/>
      </c>
      <c r="AK382" s="9">
        <f>AA381/52+AB381*M382+AC381*N382+AD381*O382+AE381*P382+AF381*Q382+AG381*R382+AH381*S382+AI381*T382</f>
        <v/>
      </c>
      <c r="AL382" s="9">
        <f>AVERAGE(L122:L381)</f>
        <v/>
      </c>
    </row>
    <row r="383">
      <c r="A383" s="7" t="n">
        <v>40284</v>
      </c>
      <c r="B383" s="8" t="n">
        <v>1151.5</v>
      </c>
      <c r="C383" s="8" t="n">
        <v>2.33</v>
      </c>
      <c r="D383" s="8" t="n">
        <v>1.46</v>
      </c>
      <c r="E383" s="8" t="n">
        <v>80.81999999999999</v>
      </c>
      <c r="F383" s="8" t="n">
        <v>82.97</v>
      </c>
      <c r="G383" s="8" t="n">
        <v>18.36</v>
      </c>
      <c r="H383" s="8" t="n">
        <v>82.900002</v>
      </c>
      <c r="I383" s="8" t="n">
        <v>1192.130005</v>
      </c>
      <c r="J383" s="8" t="n">
        <v>66.508827</v>
      </c>
      <c r="L383" s="9">
        <f>LN(B383/B382)</f>
        <v/>
      </c>
      <c r="M383" s="9">
        <f>$M$1*(C383-C382)</f>
        <v/>
      </c>
      <c r="N383" s="9">
        <f>$N$1*(D383-D382)</f>
        <v/>
      </c>
      <c r="O383" s="9">
        <f>$O$1*LN(E383/E382)</f>
        <v/>
      </c>
      <c r="P383" s="9">
        <f>$P$1*LN(F383/F382)</f>
        <v/>
      </c>
      <c r="Q383" s="9">
        <f>$Q$1*(G383-G382)</f>
        <v/>
      </c>
      <c r="R383" s="9">
        <f>$R$1*(H383-H382)</f>
        <v/>
      </c>
      <c r="S383" s="9">
        <f>$S$1*LN(I383/I382)</f>
        <v/>
      </c>
      <c r="T383" s="9">
        <f>$T$1*LN(J383/J382)</f>
        <v/>
      </c>
      <c r="U383" s="9">
        <f>$W$12+$W$4*M383+$W$5*N383+$W$6*O383+$W$7*P383+$W$8*Q383+$W$9*R383+$W$10*S383+$W$11*T383</f>
        <v/>
      </c>
      <c r="AA383" s="10">
        <f>INDEX(LINEST(L124:L383,M124:T383,TRUE,TRUE),1,9)*52</f>
        <v/>
      </c>
      <c r="AB383" s="9">
        <f>INDEX(LINEST(L124:L383,M124:T383,TRUE,TRUE),1,8)</f>
        <v/>
      </c>
      <c r="AC383" s="9">
        <f>INDEX(LINEST(L124:L383,M124:T383,TRUE,TRUE),1,7)</f>
        <v/>
      </c>
      <c r="AD383" s="9">
        <f>INDEX(LINEST(L124:L383,M124:T383,TRUE,TRUE),1,6)</f>
        <v/>
      </c>
      <c r="AE383" s="9">
        <f>INDEX(LINEST(L124:L383,M124:T383,TRUE,TRUE),1,5)</f>
        <v/>
      </c>
      <c r="AF383" s="9">
        <f>INDEX(LINEST(L124:L383,M124:T383,TRUE,TRUE),1,4)</f>
        <v/>
      </c>
      <c r="AG383" s="9">
        <f>INDEX(LINEST(L124:L383,M124:T383,TRUE,TRUE),1,3)</f>
        <v/>
      </c>
      <c r="AH383" s="9">
        <f>INDEX(LINEST(L124:L383,M124:T383,TRUE,TRUE),1,2)</f>
        <v/>
      </c>
      <c r="AI383" s="9">
        <f>INDEX(LINEST(L124:L383,M124:T383,TRUE,TRUE),1,1)</f>
        <v/>
      </c>
      <c r="AJ383" s="10">
        <f>INDEX(LINEST(L124:L383,M124:T383,TRUE,TRUE),3,1)</f>
        <v/>
      </c>
      <c r="AK383" s="9">
        <f>AA382/52+AB382*M383+AC382*N383+AD382*O383+AE382*P383+AF382*Q383+AG382*R383+AH382*S383+AI382*T383</f>
        <v/>
      </c>
      <c r="AL383" s="9">
        <f>AVERAGE(L123:L382)</f>
        <v/>
      </c>
    </row>
    <row r="384">
      <c r="A384" s="7" t="n">
        <v>40291</v>
      </c>
      <c r="B384" s="8" t="n">
        <v>1139.5</v>
      </c>
      <c r="C384" s="8" t="n">
        <v>2.37</v>
      </c>
      <c r="D384" s="8" t="n">
        <v>1.47</v>
      </c>
      <c r="E384" s="8" t="n">
        <v>81.349998</v>
      </c>
      <c r="F384" s="8" t="n">
        <v>84.34</v>
      </c>
      <c r="G384" s="8" t="n">
        <v>16.62</v>
      </c>
      <c r="H384" s="8" t="n">
        <v>85.199997</v>
      </c>
      <c r="I384" s="8" t="n">
        <v>1217.280029</v>
      </c>
      <c r="J384" s="8" t="n">
        <v>66.394165</v>
      </c>
      <c r="L384" s="9">
        <f>LN(B384/B383)</f>
        <v/>
      </c>
      <c r="M384" s="9">
        <f>$M$1*(C384-C383)</f>
        <v/>
      </c>
      <c r="N384" s="9">
        <f>$N$1*(D384-D383)</f>
        <v/>
      </c>
      <c r="O384" s="9">
        <f>$O$1*LN(E384/E383)</f>
        <v/>
      </c>
      <c r="P384" s="9">
        <f>$P$1*LN(F384/F383)</f>
        <v/>
      </c>
      <c r="Q384" s="9">
        <f>$Q$1*(G384-G383)</f>
        <v/>
      </c>
      <c r="R384" s="9">
        <f>$R$1*(H384-H383)</f>
        <v/>
      </c>
      <c r="S384" s="9">
        <f>$S$1*LN(I384/I383)</f>
        <v/>
      </c>
      <c r="T384" s="9">
        <f>$T$1*LN(J384/J383)</f>
        <v/>
      </c>
      <c r="U384" s="9">
        <f>$W$12+$W$4*M384+$W$5*N384+$W$6*O384+$W$7*P384+$W$8*Q384+$W$9*R384+$W$10*S384+$W$11*T384</f>
        <v/>
      </c>
      <c r="AA384" s="10">
        <f>INDEX(LINEST(L125:L384,M125:T384,TRUE,TRUE),1,9)*52</f>
        <v/>
      </c>
      <c r="AB384" s="9">
        <f>INDEX(LINEST(L125:L384,M125:T384,TRUE,TRUE),1,8)</f>
        <v/>
      </c>
      <c r="AC384" s="9">
        <f>INDEX(LINEST(L125:L384,M125:T384,TRUE,TRUE),1,7)</f>
        <v/>
      </c>
      <c r="AD384" s="9">
        <f>INDEX(LINEST(L125:L384,M125:T384,TRUE,TRUE),1,6)</f>
        <v/>
      </c>
      <c r="AE384" s="9">
        <f>INDEX(LINEST(L125:L384,M125:T384,TRUE,TRUE),1,5)</f>
        <v/>
      </c>
      <c r="AF384" s="9">
        <f>INDEX(LINEST(L125:L384,M125:T384,TRUE,TRUE),1,4)</f>
        <v/>
      </c>
      <c r="AG384" s="9">
        <f>INDEX(LINEST(L125:L384,M125:T384,TRUE,TRUE),1,3)</f>
        <v/>
      </c>
      <c r="AH384" s="9">
        <f>INDEX(LINEST(L125:L384,M125:T384,TRUE,TRUE),1,2)</f>
        <v/>
      </c>
      <c r="AI384" s="9">
        <f>INDEX(LINEST(L125:L384,M125:T384,TRUE,TRUE),1,1)</f>
        <v/>
      </c>
      <c r="AJ384" s="10">
        <f>INDEX(LINEST(L125:L384,M125:T384,TRUE,TRUE),3,1)</f>
        <v/>
      </c>
      <c r="AK384" s="9">
        <f>AA383/52+AB383*M384+AC383*N384+AD383*O384+AE383*P384+AF383*Q384+AG383*R384+AH383*S384+AI383*T384</f>
        <v/>
      </c>
      <c r="AL384" s="9">
        <f>AVERAGE(L124:L383)</f>
        <v/>
      </c>
    </row>
    <row r="385">
      <c r="A385" s="7" t="n">
        <v>40298</v>
      </c>
      <c r="B385" s="8" t="n">
        <v>1179.25</v>
      </c>
      <c r="C385" s="8" t="n">
        <v>2.4</v>
      </c>
      <c r="D385" s="8" t="n">
        <v>1.29</v>
      </c>
      <c r="E385" s="8" t="n">
        <v>81.870003</v>
      </c>
      <c r="F385" s="8" t="n">
        <v>86.06999999999999</v>
      </c>
      <c r="G385" s="8" t="n">
        <v>22.05</v>
      </c>
      <c r="H385" s="8" t="n">
        <v>85.5</v>
      </c>
      <c r="I385" s="8" t="n">
        <v>1186.689941</v>
      </c>
      <c r="J385" s="8" t="n">
        <v>66.808228</v>
      </c>
      <c r="L385" s="9">
        <f>LN(B385/B384)</f>
        <v/>
      </c>
      <c r="M385" s="9">
        <f>$M$1*(C385-C384)</f>
        <v/>
      </c>
      <c r="N385" s="9">
        <f>$N$1*(D385-D384)</f>
        <v/>
      </c>
      <c r="O385" s="9">
        <f>$O$1*LN(E385/E384)</f>
        <v/>
      </c>
      <c r="P385" s="9">
        <f>$P$1*LN(F385/F384)</f>
        <v/>
      </c>
      <c r="Q385" s="9">
        <f>$Q$1*(G385-G384)</f>
        <v/>
      </c>
      <c r="R385" s="9">
        <f>$R$1*(H385-H384)</f>
        <v/>
      </c>
      <c r="S385" s="9">
        <f>$S$1*LN(I385/I384)</f>
        <v/>
      </c>
      <c r="T385" s="9">
        <f>$T$1*LN(J385/J384)</f>
        <v/>
      </c>
      <c r="U385" s="9">
        <f>$W$12+$W$4*M385+$W$5*N385+$W$6*O385+$W$7*P385+$W$8*Q385+$W$9*R385+$W$10*S385+$W$11*T385</f>
        <v/>
      </c>
      <c r="AA385" s="10">
        <f>INDEX(LINEST(L126:L385,M126:T385,TRUE,TRUE),1,9)*52</f>
        <v/>
      </c>
      <c r="AB385" s="9">
        <f>INDEX(LINEST(L126:L385,M126:T385,TRUE,TRUE),1,8)</f>
        <v/>
      </c>
      <c r="AC385" s="9">
        <f>INDEX(LINEST(L126:L385,M126:T385,TRUE,TRUE),1,7)</f>
        <v/>
      </c>
      <c r="AD385" s="9">
        <f>INDEX(LINEST(L126:L385,M126:T385,TRUE,TRUE),1,6)</f>
        <v/>
      </c>
      <c r="AE385" s="9">
        <f>INDEX(LINEST(L126:L385,M126:T385,TRUE,TRUE),1,5)</f>
        <v/>
      </c>
      <c r="AF385" s="9">
        <f>INDEX(LINEST(L126:L385,M126:T385,TRUE,TRUE),1,4)</f>
        <v/>
      </c>
      <c r="AG385" s="9">
        <f>INDEX(LINEST(L126:L385,M126:T385,TRUE,TRUE),1,3)</f>
        <v/>
      </c>
      <c r="AH385" s="9">
        <f>INDEX(LINEST(L126:L385,M126:T385,TRUE,TRUE),1,2)</f>
        <v/>
      </c>
      <c r="AI385" s="9">
        <f>INDEX(LINEST(L126:L385,M126:T385,TRUE,TRUE),1,1)</f>
        <v/>
      </c>
      <c r="AJ385" s="10">
        <f>INDEX(LINEST(L126:L385,M126:T385,TRUE,TRUE),3,1)</f>
        <v/>
      </c>
      <c r="AK385" s="9">
        <f>AA384/52+AB384*M385+AC384*N385+AD384*O385+AE384*P385+AF384*Q385+AG384*R385+AH384*S385+AI384*T385</f>
        <v/>
      </c>
      <c r="AL385" s="9">
        <f>AVERAGE(L125:L384)</f>
        <v/>
      </c>
    </row>
    <row r="386">
      <c r="A386" s="7" t="n">
        <v>40305</v>
      </c>
      <c r="B386" s="8" t="n">
        <v>1202.25</v>
      </c>
      <c r="C386" s="8" t="n">
        <v>2.15</v>
      </c>
      <c r="D386" s="8" t="n">
        <v>1.3</v>
      </c>
      <c r="E386" s="8" t="n">
        <v>84.449997</v>
      </c>
      <c r="F386" s="8" t="n">
        <v>75.09999999999999</v>
      </c>
      <c r="G386" s="8" t="n">
        <v>40.95</v>
      </c>
      <c r="H386" s="8" t="n">
        <v>112.599998</v>
      </c>
      <c r="I386" s="8" t="n">
        <v>1110.880005</v>
      </c>
      <c r="J386" s="8" t="n">
        <v>66.700935</v>
      </c>
      <c r="L386" s="9">
        <f>LN(B386/B385)</f>
        <v/>
      </c>
      <c r="M386" s="9">
        <f>$M$1*(C386-C385)</f>
        <v/>
      </c>
      <c r="N386" s="9">
        <f>$N$1*(D386-D385)</f>
        <v/>
      </c>
      <c r="O386" s="9">
        <f>$O$1*LN(E386/E385)</f>
        <v/>
      </c>
      <c r="P386" s="9">
        <f>$P$1*LN(F386/F385)</f>
        <v/>
      </c>
      <c r="Q386" s="9">
        <f>$Q$1*(G386-G385)</f>
        <v/>
      </c>
      <c r="R386" s="9">
        <f>$R$1*(H386-H385)</f>
        <v/>
      </c>
      <c r="S386" s="9">
        <f>$S$1*LN(I386/I385)</f>
        <v/>
      </c>
      <c r="T386" s="9">
        <f>$T$1*LN(J386/J385)</f>
        <v/>
      </c>
      <c r="U386" s="9">
        <f>$W$12+$W$4*M386+$W$5*N386+$W$6*O386+$W$7*P386+$W$8*Q386+$W$9*R386+$W$10*S386+$W$11*T386</f>
        <v/>
      </c>
      <c r="AA386" s="10">
        <f>INDEX(LINEST(L127:L386,M127:T386,TRUE,TRUE),1,9)*52</f>
        <v/>
      </c>
      <c r="AB386" s="9">
        <f>INDEX(LINEST(L127:L386,M127:T386,TRUE,TRUE),1,8)</f>
        <v/>
      </c>
      <c r="AC386" s="9">
        <f>INDEX(LINEST(L127:L386,M127:T386,TRUE,TRUE),1,7)</f>
        <v/>
      </c>
      <c r="AD386" s="9">
        <f>INDEX(LINEST(L127:L386,M127:T386,TRUE,TRUE),1,6)</f>
        <v/>
      </c>
      <c r="AE386" s="9">
        <f>INDEX(LINEST(L127:L386,M127:T386,TRUE,TRUE),1,5)</f>
        <v/>
      </c>
      <c r="AF386" s="9">
        <f>INDEX(LINEST(L127:L386,M127:T386,TRUE,TRUE),1,4)</f>
        <v/>
      </c>
      <c r="AG386" s="9">
        <f>INDEX(LINEST(L127:L386,M127:T386,TRUE,TRUE),1,3)</f>
        <v/>
      </c>
      <c r="AH386" s="9">
        <f>INDEX(LINEST(L127:L386,M127:T386,TRUE,TRUE),1,2)</f>
        <v/>
      </c>
      <c r="AI386" s="9">
        <f>INDEX(LINEST(L127:L386,M127:T386,TRUE,TRUE),1,1)</f>
        <v/>
      </c>
      <c r="AJ386" s="10">
        <f>INDEX(LINEST(L127:L386,M127:T386,TRUE,TRUE),3,1)</f>
        <v/>
      </c>
      <c r="AK386" s="9">
        <f>AA385/52+AB385*M386+AC385*N386+AD385*O386+AE385*P386+AF385*Q386+AG385*R386+AH385*S386+AI385*T386</f>
        <v/>
      </c>
      <c r="AL386" s="9">
        <f>AVERAGE(L126:L385)</f>
        <v/>
      </c>
    </row>
    <row r="387">
      <c r="A387" s="7" t="n">
        <v>40312</v>
      </c>
      <c r="B387" s="8" t="n">
        <v>1236.5</v>
      </c>
      <c r="C387" s="8" t="n">
        <v>2.18</v>
      </c>
      <c r="D387" s="8" t="n">
        <v>1.26</v>
      </c>
      <c r="E387" s="8" t="n">
        <v>86.099998</v>
      </c>
      <c r="F387" s="8" t="n">
        <v>71.61</v>
      </c>
      <c r="G387" s="8" t="n">
        <v>31.24</v>
      </c>
      <c r="H387" s="8" t="n">
        <v>99.800003</v>
      </c>
      <c r="I387" s="8" t="n">
        <v>1135.680054</v>
      </c>
      <c r="J387" s="8" t="n">
        <v>67.211952</v>
      </c>
      <c r="L387" s="9">
        <f>LN(B387/B386)</f>
        <v/>
      </c>
      <c r="M387" s="9">
        <f>$M$1*(C387-C386)</f>
        <v/>
      </c>
      <c r="N387" s="9">
        <f>$N$1*(D387-D386)</f>
        <v/>
      </c>
      <c r="O387" s="9">
        <f>$O$1*LN(E387/E386)</f>
        <v/>
      </c>
      <c r="P387" s="9">
        <f>$P$1*LN(F387/F386)</f>
        <v/>
      </c>
      <c r="Q387" s="9">
        <f>$Q$1*(G387-G386)</f>
        <v/>
      </c>
      <c r="R387" s="9">
        <f>$R$1*(H387-H386)</f>
        <v/>
      </c>
      <c r="S387" s="9">
        <f>$S$1*LN(I387/I386)</f>
        <v/>
      </c>
      <c r="T387" s="9">
        <f>$T$1*LN(J387/J386)</f>
        <v/>
      </c>
      <c r="U387" s="9">
        <f>$W$12+$W$4*M387+$W$5*N387+$W$6*O387+$W$7*P387+$W$8*Q387+$W$9*R387+$W$10*S387+$W$11*T387</f>
        <v/>
      </c>
      <c r="AA387" s="10">
        <f>INDEX(LINEST(L128:L387,M128:T387,TRUE,TRUE),1,9)*52</f>
        <v/>
      </c>
      <c r="AB387" s="9">
        <f>INDEX(LINEST(L128:L387,M128:T387,TRUE,TRUE),1,8)</f>
        <v/>
      </c>
      <c r="AC387" s="9">
        <f>INDEX(LINEST(L128:L387,M128:T387,TRUE,TRUE),1,7)</f>
        <v/>
      </c>
      <c r="AD387" s="9">
        <f>INDEX(LINEST(L128:L387,M128:T387,TRUE,TRUE),1,6)</f>
        <v/>
      </c>
      <c r="AE387" s="9">
        <f>INDEX(LINEST(L128:L387,M128:T387,TRUE,TRUE),1,5)</f>
        <v/>
      </c>
      <c r="AF387" s="9">
        <f>INDEX(LINEST(L128:L387,M128:T387,TRUE,TRUE),1,4)</f>
        <v/>
      </c>
      <c r="AG387" s="9">
        <f>INDEX(LINEST(L128:L387,M128:T387,TRUE,TRUE),1,3)</f>
        <v/>
      </c>
      <c r="AH387" s="9">
        <f>INDEX(LINEST(L128:L387,M128:T387,TRUE,TRUE),1,2)</f>
        <v/>
      </c>
      <c r="AI387" s="9">
        <f>INDEX(LINEST(L128:L387,M128:T387,TRUE,TRUE),1,1)</f>
        <v/>
      </c>
      <c r="AJ387" s="10">
        <f>INDEX(LINEST(L128:L387,M128:T387,TRUE,TRUE),3,1)</f>
        <v/>
      </c>
      <c r="AK387" s="9">
        <f>AA386/52+AB386*M387+AC386*N387+AD386*O387+AE386*P387+AF386*Q387+AG386*R387+AH386*S387+AI386*T387</f>
        <v/>
      </c>
      <c r="AL387" s="9">
        <f>AVERAGE(L127:L386)</f>
        <v/>
      </c>
    </row>
    <row r="388">
      <c r="A388" s="7" t="n">
        <v>40319</v>
      </c>
      <c r="B388" s="8" t="n">
        <v>1179.75</v>
      </c>
      <c r="C388" s="8" t="n">
        <v>1.87</v>
      </c>
      <c r="D388" s="8" t="n">
        <v>1.33</v>
      </c>
      <c r="E388" s="8" t="n">
        <v>85.370003</v>
      </c>
      <c r="F388" s="8" t="n">
        <v>68.03</v>
      </c>
      <c r="G388" s="8" t="n">
        <v>40.1</v>
      </c>
      <c r="H388" s="8" t="n">
        <v>108.699997</v>
      </c>
      <c r="I388" s="8" t="n">
        <v>1087.689941</v>
      </c>
      <c r="J388" s="8" t="n">
        <v>67.65271799999999</v>
      </c>
      <c r="L388" s="9">
        <f>LN(B388/B387)</f>
        <v/>
      </c>
      <c r="M388" s="9">
        <f>$M$1*(C388-C387)</f>
        <v/>
      </c>
      <c r="N388" s="9">
        <f>$N$1*(D388-D387)</f>
        <v/>
      </c>
      <c r="O388" s="9">
        <f>$O$1*LN(E388/E387)</f>
        <v/>
      </c>
      <c r="P388" s="9">
        <f>$P$1*LN(F388/F387)</f>
        <v/>
      </c>
      <c r="Q388" s="9">
        <f>$Q$1*(G388-G387)</f>
        <v/>
      </c>
      <c r="R388" s="9">
        <f>$R$1*(H388-H387)</f>
        <v/>
      </c>
      <c r="S388" s="9">
        <f>$S$1*LN(I388/I387)</f>
        <v/>
      </c>
      <c r="T388" s="9">
        <f>$T$1*LN(J388/J387)</f>
        <v/>
      </c>
      <c r="U388" s="9">
        <f>$W$12+$W$4*M388+$W$5*N388+$W$6*O388+$W$7*P388+$W$8*Q388+$W$9*R388+$W$10*S388+$W$11*T388</f>
        <v/>
      </c>
      <c r="AA388" s="10">
        <f>INDEX(LINEST(L129:L388,M129:T388,TRUE,TRUE),1,9)*52</f>
        <v/>
      </c>
      <c r="AB388" s="9">
        <f>INDEX(LINEST(L129:L388,M129:T388,TRUE,TRUE),1,8)</f>
        <v/>
      </c>
      <c r="AC388" s="9">
        <f>INDEX(LINEST(L129:L388,M129:T388,TRUE,TRUE),1,7)</f>
        <v/>
      </c>
      <c r="AD388" s="9">
        <f>INDEX(LINEST(L129:L388,M129:T388,TRUE,TRUE),1,6)</f>
        <v/>
      </c>
      <c r="AE388" s="9">
        <f>INDEX(LINEST(L129:L388,M129:T388,TRUE,TRUE),1,5)</f>
        <v/>
      </c>
      <c r="AF388" s="9">
        <f>INDEX(LINEST(L129:L388,M129:T388,TRUE,TRUE),1,4)</f>
        <v/>
      </c>
      <c r="AG388" s="9">
        <f>INDEX(LINEST(L129:L388,M129:T388,TRUE,TRUE),1,3)</f>
        <v/>
      </c>
      <c r="AH388" s="9">
        <f>INDEX(LINEST(L129:L388,M129:T388,TRUE,TRUE),1,2)</f>
        <v/>
      </c>
      <c r="AI388" s="9">
        <f>INDEX(LINEST(L129:L388,M129:T388,TRUE,TRUE),1,1)</f>
        <v/>
      </c>
      <c r="AJ388" s="10">
        <f>INDEX(LINEST(L129:L388,M129:T388,TRUE,TRUE),3,1)</f>
        <v/>
      </c>
      <c r="AK388" s="9">
        <f>AA387/52+AB387*M388+AC387*N388+AD387*O388+AE387*P388+AF387*Q388+AG387*R388+AH387*S388+AI387*T388</f>
        <v/>
      </c>
      <c r="AL388" s="9">
        <f>AVERAGE(L128:L387)</f>
        <v/>
      </c>
    </row>
    <row r="389">
      <c r="A389" s="7" t="n">
        <v>40326</v>
      </c>
      <c r="B389" s="8" t="n">
        <v>1207.5</v>
      </c>
      <c r="C389" s="8" t="n">
        <v>1.99</v>
      </c>
      <c r="D389" s="8" t="n">
        <v>1.32</v>
      </c>
      <c r="E389" s="8" t="n">
        <v>86.480003</v>
      </c>
      <c r="F389" s="8" t="n">
        <v>74</v>
      </c>
      <c r="G389" s="8" t="n">
        <v>32.07</v>
      </c>
      <c r="H389" s="8" t="n">
        <v>112.099998</v>
      </c>
      <c r="I389" s="8" t="n">
        <v>1089.410034</v>
      </c>
      <c r="J389" s="8" t="n">
        <v>67.531387</v>
      </c>
      <c r="L389" s="9">
        <f>LN(B389/B388)</f>
        <v/>
      </c>
      <c r="M389" s="9">
        <f>$M$1*(C389-C388)</f>
        <v/>
      </c>
      <c r="N389" s="9">
        <f>$N$1*(D389-D388)</f>
        <v/>
      </c>
      <c r="O389" s="9">
        <f>$O$1*LN(E389/E388)</f>
        <v/>
      </c>
      <c r="P389" s="9">
        <f>$P$1*LN(F389/F388)</f>
        <v/>
      </c>
      <c r="Q389" s="9">
        <f>$Q$1*(G389-G388)</f>
        <v/>
      </c>
      <c r="R389" s="9">
        <f>$R$1*(H389-H388)</f>
        <v/>
      </c>
      <c r="S389" s="9">
        <f>$S$1*LN(I389/I388)</f>
        <v/>
      </c>
      <c r="T389" s="9">
        <f>$T$1*LN(J389/J388)</f>
        <v/>
      </c>
      <c r="U389" s="9">
        <f>$W$12+$W$4*M389+$W$5*N389+$W$6*O389+$W$7*P389+$W$8*Q389+$W$9*R389+$W$10*S389+$W$11*T389</f>
        <v/>
      </c>
      <c r="AA389" s="10">
        <f>INDEX(LINEST(L130:L389,M130:T389,TRUE,TRUE),1,9)*52</f>
        <v/>
      </c>
      <c r="AB389" s="9">
        <f>INDEX(LINEST(L130:L389,M130:T389,TRUE,TRUE),1,8)</f>
        <v/>
      </c>
      <c r="AC389" s="9">
        <f>INDEX(LINEST(L130:L389,M130:T389,TRUE,TRUE),1,7)</f>
        <v/>
      </c>
      <c r="AD389" s="9">
        <f>INDEX(LINEST(L130:L389,M130:T389,TRUE,TRUE),1,6)</f>
        <v/>
      </c>
      <c r="AE389" s="9">
        <f>INDEX(LINEST(L130:L389,M130:T389,TRUE,TRUE),1,5)</f>
        <v/>
      </c>
      <c r="AF389" s="9">
        <f>INDEX(LINEST(L130:L389,M130:T389,TRUE,TRUE),1,4)</f>
        <v/>
      </c>
      <c r="AG389" s="9">
        <f>INDEX(LINEST(L130:L389,M130:T389,TRUE,TRUE),1,3)</f>
        <v/>
      </c>
      <c r="AH389" s="9">
        <f>INDEX(LINEST(L130:L389,M130:T389,TRUE,TRUE),1,2)</f>
        <v/>
      </c>
      <c r="AI389" s="9">
        <f>INDEX(LINEST(L130:L389,M130:T389,TRUE,TRUE),1,1)</f>
        <v/>
      </c>
      <c r="AJ389" s="10">
        <f>INDEX(LINEST(L130:L389,M130:T389,TRUE,TRUE),3,1)</f>
        <v/>
      </c>
      <c r="AK389" s="9">
        <f>AA388/52+AB388*M389+AC388*N389+AD388*O389+AE388*P389+AF388*Q389+AG388*R389+AH388*S389+AI388*T389</f>
        <v/>
      </c>
      <c r="AL389" s="9">
        <f>AVERAGE(L129:L388)</f>
        <v/>
      </c>
    </row>
    <row r="390">
      <c r="A390" s="7" t="n">
        <v>40333</v>
      </c>
      <c r="B390" s="8" t="n">
        <v>1203.5</v>
      </c>
      <c r="C390" s="8" t="n">
        <v>1.94</v>
      </c>
      <c r="D390" s="8" t="n">
        <v>1.26</v>
      </c>
      <c r="E390" s="8" t="n">
        <v>88.230003</v>
      </c>
      <c r="F390" s="8" t="n">
        <v>71.43000000000001</v>
      </c>
      <c r="G390" s="8" t="n">
        <v>35.48</v>
      </c>
      <c r="H390" s="8" t="n">
        <v>106.400002</v>
      </c>
      <c r="I390" s="8" t="n">
        <v>1064.880005</v>
      </c>
      <c r="J390" s="8" t="n">
        <v>67.713387</v>
      </c>
      <c r="L390" s="9">
        <f>LN(B390/B389)</f>
        <v/>
      </c>
      <c r="M390" s="9">
        <f>$M$1*(C390-C389)</f>
        <v/>
      </c>
      <c r="N390" s="9">
        <f>$N$1*(D390-D389)</f>
        <v/>
      </c>
      <c r="O390" s="9">
        <f>$O$1*LN(E390/E389)</f>
        <v/>
      </c>
      <c r="P390" s="9">
        <f>$P$1*LN(F390/F389)</f>
        <v/>
      </c>
      <c r="Q390" s="9">
        <f>$Q$1*(G390-G389)</f>
        <v/>
      </c>
      <c r="R390" s="9">
        <f>$R$1*(H390-H389)</f>
        <v/>
      </c>
      <c r="S390" s="9">
        <f>$S$1*LN(I390/I389)</f>
        <v/>
      </c>
      <c r="T390" s="9">
        <f>$T$1*LN(J390/J389)</f>
        <v/>
      </c>
      <c r="U390" s="9">
        <f>$W$12+$W$4*M390+$W$5*N390+$W$6*O390+$W$7*P390+$W$8*Q390+$W$9*R390+$W$10*S390+$W$11*T390</f>
        <v/>
      </c>
      <c r="AA390" s="10">
        <f>INDEX(LINEST(L131:L390,M131:T390,TRUE,TRUE),1,9)*52</f>
        <v/>
      </c>
      <c r="AB390" s="9">
        <f>INDEX(LINEST(L131:L390,M131:T390,TRUE,TRUE),1,8)</f>
        <v/>
      </c>
      <c r="AC390" s="9">
        <f>INDEX(LINEST(L131:L390,M131:T390,TRUE,TRUE),1,7)</f>
        <v/>
      </c>
      <c r="AD390" s="9">
        <f>INDEX(LINEST(L131:L390,M131:T390,TRUE,TRUE),1,6)</f>
        <v/>
      </c>
      <c r="AE390" s="9">
        <f>INDEX(LINEST(L131:L390,M131:T390,TRUE,TRUE),1,5)</f>
        <v/>
      </c>
      <c r="AF390" s="9">
        <f>INDEX(LINEST(L131:L390,M131:T390,TRUE,TRUE),1,4)</f>
        <v/>
      </c>
      <c r="AG390" s="9">
        <f>INDEX(LINEST(L131:L390,M131:T390,TRUE,TRUE),1,3)</f>
        <v/>
      </c>
      <c r="AH390" s="9">
        <f>INDEX(LINEST(L131:L390,M131:T390,TRUE,TRUE),1,2)</f>
        <v/>
      </c>
      <c r="AI390" s="9">
        <f>INDEX(LINEST(L131:L390,M131:T390,TRUE,TRUE),1,1)</f>
        <v/>
      </c>
      <c r="AJ390" s="10">
        <f>INDEX(LINEST(L131:L390,M131:T390,TRUE,TRUE),3,1)</f>
        <v/>
      </c>
      <c r="AK390" s="9">
        <f>AA389/52+AB389*M390+AC389*N390+AD389*O390+AE389*P390+AF389*Q390+AG389*R390+AH389*S390+AI389*T390</f>
        <v/>
      </c>
      <c r="AL390" s="9">
        <f>AVERAGE(L130:L389)</f>
        <v/>
      </c>
    </row>
    <row r="391">
      <c r="A391" s="7" t="n">
        <v>40340</v>
      </c>
      <c r="B391" s="8" t="n">
        <v>1220</v>
      </c>
      <c r="C391" s="8" t="n">
        <v>1.95</v>
      </c>
      <c r="D391" s="8" t="n">
        <v>1.29</v>
      </c>
      <c r="E391" s="8" t="n">
        <v>87.510002</v>
      </c>
      <c r="F391" s="8" t="n">
        <v>73.89</v>
      </c>
      <c r="G391" s="8" t="n">
        <v>28.79</v>
      </c>
      <c r="H391" s="8" t="n">
        <v>105.900002</v>
      </c>
      <c r="I391" s="8" t="n">
        <v>1091.599976</v>
      </c>
      <c r="J391" s="8" t="n">
        <v>67.706963</v>
      </c>
      <c r="L391" s="9">
        <f>LN(B391/B390)</f>
        <v/>
      </c>
      <c r="M391" s="9">
        <f>$M$1*(C391-C390)</f>
        <v/>
      </c>
      <c r="N391" s="9">
        <f>$N$1*(D391-D390)</f>
        <v/>
      </c>
      <c r="O391" s="9">
        <f>$O$1*LN(E391/E390)</f>
        <v/>
      </c>
      <c r="P391" s="9">
        <f>$P$1*LN(F391/F390)</f>
        <v/>
      </c>
      <c r="Q391" s="9">
        <f>$Q$1*(G391-G390)</f>
        <v/>
      </c>
      <c r="R391" s="9">
        <f>$R$1*(H391-H390)</f>
        <v/>
      </c>
      <c r="S391" s="9">
        <f>$S$1*LN(I391/I390)</f>
        <v/>
      </c>
      <c r="T391" s="9">
        <f>$T$1*LN(J391/J390)</f>
        <v/>
      </c>
      <c r="U391" s="9">
        <f>$W$12+$W$4*M391+$W$5*N391+$W$6*O391+$W$7*P391+$W$8*Q391+$W$9*R391+$W$10*S391+$W$11*T391</f>
        <v/>
      </c>
      <c r="AA391" s="10">
        <f>INDEX(LINEST(L132:L391,M132:T391,TRUE,TRUE),1,9)*52</f>
        <v/>
      </c>
      <c r="AB391" s="9">
        <f>INDEX(LINEST(L132:L391,M132:T391,TRUE,TRUE),1,8)</f>
        <v/>
      </c>
      <c r="AC391" s="9">
        <f>INDEX(LINEST(L132:L391,M132:T391,TRUE,TRUE),1,7)</f>
        <v/>
      </c>
      <c r="AD391" s="9">
        <f>INDEX(LINEST(L132:L391,M132:T391,TRUE,TRUE),1,6)</f>
        <v/>
      </c>
      <c r="AE391" s="9">
        <f>INDEX(LINEST(L132:L391,M132:T391,TRUE,TRUE),1,5)</f>
        <v/>
      </c>
      <c r="AF391" s="9">
        <f>INDEX(LINEST(L132:L391,M132:T391,TRUE,TRUE),1,4)</f>
        <v/>
      </c>
      <c r="AG391" s="9">
        <f>INDEX(LINEST(L132:L391,M132:T391,TRUE,TRUE),1,3)</f>
        <v/>
      </c>
      <c r="AH391" s="9">
        <f>INDEX(LINEST(L132:L391,M132:T391,TRUE,TRUE),1,2)</f>
        <v/>
      </c>
      <c r="AI391" s="9">
        <f>INDEX(LINEST(L132:L391,M132:T391,TRUE,TRUE),1,1)</f>
        <v/>
      </c>
      <c r="AJ391" s="10">
        <f>INDEX(LINEST(L132:L391,M132:T391,TRUE,TRUE),3,1)</f>
        <v/>
      </c>
      <c r="AK391" s="9">
        <f>AA390/52+AB390*M391+AC390*N391+AD390*O391+AE390*P391+AF390*Q391+AG390*R391+AH390*S391+AI390*T391</f>
        <v/>
      </c>
      <c r="AL391" s="9">
        <f>AVERAGE(L131:L390)</f>
        <v/>
      </c>
    </row>
    <row r="392">
      <c r="A392" s="7" t="n">
        <v>40347</v>
      </c>
      <c r="B392" s="8" t="n">
        <v>1256</v>
      </c>
      <c r="C392" s="8" t="n">
        <v>1.99</v>
      </c>
      <c r="D392" s="8" t="n">
        <v>1.25</v>
      </c>
      <c r="E392" s="8" t="n">
        <v>85.699997</v>
      </c>
      <c r="F392" s="8" t="n">
        <v>77.18000000000001</v>
      </c>
      <c r="G392" s="8" t="n">
        <v>23.95</v>
      </c>
      <c r="H392" s="8" t="n">
        <v>94.400002</v>
      </c>
      <c r="I392" s="8" t="n">
        <v>1117.51001</v>
      </c>
      <c r="J392" s="8" t="n">
        <v>67.95684799999999</v>
      </c>
      <c r="L392" s="9">
        <f>LN(B392/B391)</f>
        <v/>
      </c>
      <c r="M392" s="9">
        <f>$M$1*(C392-C391)</f>
        <v/>
      </c>
      <c r="N392" s="9">
        <f>$N$1*(D392-D391)</f>
        <v/>
      </c>
      <c r="O392" s="9">
        <f>$O$1*LN(E392/E391)</f>
        <v/>
      </c>
      <c r="P392" s="9">
        <f>$P$1*LN(F392/F391)</f>
        <v/>
      </c>
      <c r="Q392" s="9">
        <f>$Q$1*(G392-G391)</f>
        <v/>
      </c>
      <c r="R392" s="9">
        <f>$R$1*(H392-H391)</f>
        <v/>
      </c>
      <c r="S392" s="9">
        <f>$S$1*LN(I392/I391)</f>
        <v/>
      </c>
      <c r="T392" s="9">
        <f>$T$1*LN(J392/J391)</f>
        <v/>
      </c>
      <c r="U392" s="9">
        <f>$W$12+$W$4*M392+$W$5*N392+$W$6*O392+$W$7*P392+$W$8*Q392+$W$9*R392+$W$10*S392+$W$11*T392</f>
        <v/>
      </c>
      <c r="AA392" s="10">
        <f>INDEX(LINEST(L133:L392,M133:T392,TRUE,TRUE),1,9)*52</f>
        <v/>
      </c>
      <c r="AB392" s="9">
        <f>INDEX(LINEST(L133:L392,M133:T392,TRUE,TRUE),1,8)</f>
        <v/>
      </c>
      <c r="AC392" s="9">
        <f>INDEX(LINEST(L133:L392,M133:T392,TRUE,TRUE),1,7)</f>
        <v/>
      </c>
      <c r="AD392" s="9">
        <f>INDEX(LINEST(L133:L392,M133:T392,TRUE,TRUE),1,6)</f>
        <v/>
      </c>
      <c r="AE392" s="9">
        <f>INDEX(LINEST(L133:L392,M133:T392,TRUE,TRUE),1,5)</f>
        <v/>
      </c>
      <c r="AF392" s="9">
        <f>INDEX(LINEST(L133:L392,M133:T392,TRUE,TRUE),1,4)</f>
        <v/>
      </c>
      <c r="AG392" s="9">
        <f>INDEX(LINEST(L133:L392,M133:T392,TRUE,TRUE),1,3)</f>
        <v/>
      </c>
      <c r="AH392" s="9">
        <f>INDEX(LINEST(L133:L392,M133:T392,TRUE,TRUE),1,2)</f>
        <v/>
      </c>
      <c r="AI392" s="9">
        <f>INDEX(LINEST(L133:L392,M133:T392,TRUE,TRUE),1,1)</f>
        <v/>
      </c>
      <c r="AJ392" s="10">
        <f>INDEX(LINEST(L133:L392,M133:T392,TRUE,TRUE),3,1)</f>
        <v/>
      </c>
      <c r="AK392" s="9">
        <f>AA391/52+AB391*M392+AC391*N392+AD391*O392+AE391*P392+AF391*Q392+AG391*R392+AH391*S392+AI391*T392</f>
        <v/>
      </c>
      <c r="AL392" s="9">
        <f>AVERAGE(L132:L391)</f>
        <v/>
      </c>
    </row>
    <row r="393">
      <c r="A393" s="7" t="n">
        <v>40354</v>
      </c>
      <c r="B393" s="8" t="n">
        <v>1254</v>
      </c>
      <c r="C393" s="8" t="n">
        <v>1.91</v>
      </c>
      <c r="D393" s="8" t="n">
        <v>1.21</v>
      </c>
      <c r="E393" s="8" t="n">
        <v>85.30999799999999</v>
      </c>
      <c r="F393" s="8" t="n">
        <v>78.45</v>
      </c>
      <c r="G393" s="8" t="n">
        <v>28.53</v>
      </c>
      <c r="H393" s="8" t="n">
        <v>84.699997</v>
      </c>
      <c r="I393" s="8" t="n">
        <v>1076.76001</v>
      </c>
      <c r="J393" s="8" t="n">
        <v>68.386185</v>
      </c>
      <c r="L393" s="9">
        <f>LN(B393/B392)</f>
        <v/>
      </c>
      <c r="M393" s="9">
        <f>$M$1*(C393-C392)</f>
        <v/>
      </c>
      <c r="N393" s="9">
        <f>$N$1*(D393-D392)</f>
        <v/>
      </c>
      <c r="O393" s="9">
        <f>$O$1*LN(E393/E392)</f>
        <v/>
      </c>
      <c r="P393" s="9">
        <f>$P$1*LN(F393/F392)</f>
        <v/>
      </c>
      <c r="Q393" s="9">
        <f>$Q$1*(G393-G392)</f>
        <v/>
      </c>
      <c r="R393" s="9">
        <f>$R$1*(H393-H392)</f>
        <v/>
      </c>
      <c r="S393" s="9">
        <f>$S$1*LN(I393/I392)</f>
        <v/>
      </c>
      <c r="T393" s="9">
        <f>$T$1*LN(J393/J392)</f>
        <v/>
      </c>
      <c r="U393" s="9">
        <f>$W$12+$W$4*M393+$W$5*N393+$W$6*O393+$W$7*P393+$W$8*Q393+$W$9*R393+$W$10*S393+$W$11*T393</f>
        <v/>
      </c>
      <c r="AA393" s="10">
        <f>INDEX(LINEST(L134:L393,M134:T393,TRUE,TRUE),1,9)*52</f>
        <v/>
      </c>
      <c r="AB393" s="9">
        <f>INDEX(LINEST(L134:L393,M134:T393,TRUE,TRUE),1,8)</f>
        <v/>
      </c>
      <c r="AC393" s="9">
        <f>INDEX(LINEST(L134:L393,M134:T393,TRUE,TRUE),1,7)</f>
        <v/>
      </c>
      <c r="AD393" s="9">
        <f>INDEX(LINEST(L134:L393,M134:T393,TRUE,TRUE),1,6)</f>
        <v/>
      </c>
      <c r="AE393" s="9">
        <f>INDEX(LINEST(L134:L393,M134:T393,TRUE,TRUE),1,5)</f>
        <v/>
      </c>
      <c r="AF393" s="9">
        <f>INDEX(LINEST(L134:L393,M134:T393,TRUE,TRUE),1,4)</f>
        <v/>
      </c>
      <c r="AG393" s="9">
        <f>INDEX(LINEST(L134:L393,M134:T393,TRUE,TRUE),1,3)</f>
        <v/>
      </c>
      <c r="AH393" s="9">
        <f>INDEX(LINEST(L134:L393,M134:T393,TRUE,TRUE),1,2)</f>
        <v/>
      </c>
      <c r="AI393" s="9">
        <f>INDEX(LINEST(L134:L393,M134:T393,TRUE,TRUE),1,1)</f>
        <v/>
      </c>
      <c r="AJ393" s="10">
        <f>INDEX(LINEST(L134:L393,M134:T393,TRUE,TRUE),3,1)</f>
        <v/>
      </c>
      <c r="AK393" s="9">
        <f>AA392/52+AB392*M393+AC392*N393+AD392*O393+AE392*P393+AF392*Q393+AG392*R393+AH392*S393+AI392*T393</f>
        <v/>
      </c>
      <c r="AL393" s="9">
        <f>AVERAGE(L133:L392)</f>
        <v/>
      </c>
    </row>
    <row r="394">
      <c r="A394" s="7" t="n">
        <v>40361</v>
      </c>
      <c r="B394" s="8" t="n">
        <v>1201.5</v>
      </c>
      <c r="C394" s="8" t="n">
        <v>1.73</v>
      </c>
      <c r="D394" s="8" t="n">
        <v>1.27</v>
      </c>
      <c r="E394" s="8" t="n">
        <v>84.43000000000001</v>
      </c>
      <c r="F394" s="8" t="n">
        <v>72.06</v>
      </c>
      <c r="G394" s="8" t="n">
        <v>30.12</v>
      </c>
      <c r="H394" s="8" t="n">
        <v>88.199997</v>
      </c>
      <c r="I394" s="8" t="n">
        <v>1022.580017</v>
      </c>
      <c r="J394" s="8" t="n">
        <v>68.59343699999999</v>
      </c>
      <c r="L394" s="9">
        <f>LN(B394/B393)</f>
        <v/>
      </c>
      <c r="M394" s="9">
        <f>$M$1*(C394-C393)</f>
        <v/>
      </c>
      <c r="N394" s="9">
        <f>$N$1*(D394-D393)</f>
        <v/>
      </c>
      <c r="O394" s="9">
        <f>$O$1*LN(E394/E393)</f>
        <v/>
      </c>
      <c r="P394" s="9">
        <f>$P$1*LN(F394/F393)</f>
        <v/>
      </c>
      <c r="Q394" s="9">
        <f>$Q$1*(G394-G393)</f>
        <v/>
      </c>
      <c r="R394" s="9">
        <f>$R$1*(H394-H393)</f>
        <v/>
      </c>
      <c r="S394" s="9">
        <f>$S$1*LN(I394/I393)</f>
        <v/>
      </c>
      <c r="T394" s="9">
        <f>$T$1*LN(J394/J393)</f>
        <v/>
      </c>
      <c r="U394" s="9">
        <f>$W$12+$W$4*M394+$W$5*N394+$W$6*O394+$W$7*P394+$W$8*Q394+$W$9*R394+$W$10*S394+$W$11*T394</f>
        <v/>
      </c>
      <c r="AA394" s="10">
        <f>INDEX(LINEST(L135:L394,M135:T394,TRUE,TRUE),1,9)*52</f>
        <v/>
      </c>
      <c r="AB394" s="9">
        <f>INDEX(LINEST(L135:L394,M135:T394,TRUE,TRUE),1,8)</f>
        <v/>
      </c>
      <c r="AC394" s="9">
        <f>INDEX(LINEST(L135:L394,M135:T394,TRUE,TRUE),1,7)</f>
        <v/>
      </c>
      <c r="AD394" s="9">
        <f>INDEX(LINEST(L135:L394,M135:T394,TRUE,TRUE),1,6)</f>
        <v/>
      </c>
      <c r="AE394" s="9">
        <f>INDEX(LINEST(L135:L394,M135:T394,TRUE,TRUE),1,5)</f>
        <v/>
      </c>
      <c r="AF394" s="9">
        <f>INDEX(LINEST(L135:L394,M135:T394,TRUE,TRUE),1,4)</f>
        <v/>
      </c>
      <c r="AG394" s="9">
        <f>INDEX(LINEST(L135:L394,M135:T394,TRUE,TRUE),1,3)</f>
        <v/>
      </c>
      <c r="AH394" s="9">
        <f>INDEX(LINEST(L135:L394,M135:T394,TRUE,TRUE),1,2)</f>
        <v/>
      </c>
      <c r="AI394" s="9">
        <f>INDEX(LINEST(L135:L394,M135:T394,TRUE,TRUE),1,1)</f>
        <v/>
      </c>
      <c r="AJ394" s="10">
        <f>INDEX(LINEST(L135:L394,M135:T394,TRUE,TRUE),3,1)</f>
        <v/>
      </c>
      <c r="AK394" s="9">
        <f>AA393/52+AB393*M394+AC393*N394+AD393*O394+AE393*P394+AF393*Q394+AG393*R394+AH393*S394+AI393*T394</f>
        <v/>
      </c>
      <c r="AL394" s="9">
        <f>AVERAGE(L134:L393)</f>
        <v/>
      </c>
    </row>
    <row r="395">
      <c r="A395" s="7" t="n">
        <v>40368</v>
      </c>
      <c r="B395" s="8" t="n">
        <v>1208.75</v>
      </c>
      <c r="C395" s="8" t="n">
        <v>1.81</v>
      </c>
      <c r="D395" s="8" t="n">
        <v>1.26</v>
      </c>
      <c r="E395" s="8" t="n">
        <v>83.949997</v>
      </c>
      <c r="F395" s="8" t="n">
        <v>76.08</v>
      </c>
      <c r="G395" s="8" t="n">
        <v>24.98</v>
      </c>
      <c r="H395" s="8" t="n">
        <v>85.099998</v>
      </c>
      <c r="I395" s="8" t="n">
        <v>1077.959961</v>
      </c>
      <c r="J395" s="8" t="n">
        <v>68.59983099999999</v>
      </c>
      <c r="L395" s="9">
        <f>LN(B395/B394)</f>
        <v/>
      </c>
      <c r="M395" s="9">
        <f>$M$1*(C395-C394)</f>
        <v/>
      </c>
      <c r="N395" s="9">
        <f>$N$1*(D395-D394)</f>
        <v/>
      </c>
      <c r="O395" s="9">
        <f>$O$1*LN(E395/E394)</f>
        <v/>
      </c>
      <c r="P395" s="9">
        <f>$P$1*LN(F395/F394)</f>
        <v/>
      </c>
      <c r="Q395" s="9">
        <f>$Q$1*(G395-G394)</f>
        <v/>
      </c>
      <c r="R395" s="9">
        <f>$R$1*(H395-H394)</f>
        <v/>
      </c>
      <c r="S395" s="9">
        <f>$S$1*LN(I395/I394)</f>
        <v/>
      </c>
      <c r="T395" s="9">
        <f>$T$1*LN(J395/J394)</f>
        <v/>
      </c>
      <c r="U395" s="9">
        <f>$W$12+$W$4*M395+$W$5*N395+$W$6*O395+$W$7*P395+$W$8*Q395+$W$9*R395+$W$10*S395+$W$11*T395</f>
        <v/>
      </c>
      <c r="AA395" s="10">
        <f>INDEX(LINEST(L136:L395,M136:T395,TRUE,TRUE),1,9)*52</f>
        <v/>
      </c>
      <c r="AB395" s="9">
        <f>INDEX(LINEST(L136:L395,M136:T395,TRUE,TRUE),1,8)</f>
        <v/>
      </c>
      <c r="AC395" s="9">
        <f>INDEX(LINEST(L136:L395,M136:T395,TRUE,TRUE),1,7)</f>
        <v/>
      </c>
      <c r="AD395" s="9">
        <f>INDEX(LINEST(L136:L395,M136:T395,TRUE,TRUE),1,6)</f>
        <v/>
      </c>
      <c r="AE395" s="9">
        <f>INDEX(LINEST(L136:L395,M136:T395,TRUE,TRUE),1,5)</f>
        <v/>
      </c>
      <c r="AF395" s="9">
        <f>INDEX(LINEST(L136:L395,M136:T395,TRUE,TRUE),1,4)</f>
        <v/>
      </c>
      <c r="AG395" s="9">
        <f>INDEX(LINEST(L136:L395,M136:T395,TRUE,TRUE),1,3)</f>
        <v/>
      </c>
      <c r="AH395" s="9">
        <f>INDEX(LINEST(L136:L395,M136:T395,TRUE,TRUE),1,2)</f>
        <v/>
      </c>
      <c r="AI395" s="9">
        <f>INDEX(LINEST(L136:L395,M136:T395,TRUE,TRUE),1,1)</f>
        <v/>
      </c>
      <c r="AJ395" s="10">
        <f>INDEX(LINEST(L136:L395,M136:T395,TRUE,TRUE),3,1)</f>
        <v/>
      </c>
      <c r="AK395" s="9">
        <f>AA394/52+AB394*M395+AC394*N395+AD394*O395+AE394*P395+AF394*Q395+AG394*R395+AH394*S395+AI394*T395</f>
        <v/>
      </c>
      <c r="AL395" s="9">
        <f>AVERAGE(L135:L394)</f>
        <v/>
      </c>
    </row>
    <row r="396">
      <c r="A396" s="7" t="n">
        <v>40375</v>
      </c>
      <c r="B396" s="8" t="n">
        <v>1189.25</v>
      </c>
      <c r="C396" s="8" t="n">
        <v>1.71</v>
      </c>
      <c r="D396" s="8" t="n">
        <v>1.25</v>
      </c>
      <c r="E396" s="8" t="n">
        <v>82.489998</v>
      </c>
      <c r="F396" s="8" t="n">
        <v>75.95999999999999</v>
      </c>
      <c r="G396" s="8" t="n">
        <v>26.25</v>
      </c>
      <c r="H396" s="8" t="n">
        <v>81.199997</v>
      </c>
      <c r="I396" s="8" t="n">
        <v>1064.880005</v>
      </c>
      <c r="J396" s="8" t="n">
        <v>69.04330400000001</v>
      </c>
      <c r="L396" s="9">
        <f>LN(B396/B395)</f>
        <v/>
      </c>
      <c r="M396" s="9">
        <f>$M$1*(C396-C395)</f>
        <v/>
      </c>
      <c r="N396" s="9">
        <f>$N$1*(D396-D395)</f>
        <v/>
      </c>
      <c r="O396" s="9">
        <f>$O$1*LN(E396/E395)</f>
        <v/>
      </c>
      <c r="P396" s="9">
        <f>$P$1*LN(F396/F395)</f>
        <v/>
      </c>
      <c r="Q396" s="9">
        <f>$Q$1*(G396-G395)</f>
        <v/>
      </c>
      <c r="R396" s="9">
        <f>$R$1*(H396-H395)</f>
        <v/>
      </c>
      <c r="S396" s="9">
        <f>$S$1*LN(I396/I395)</f>
        <v/>
      </c>
      <c r="T396" s="9">
        <f>$T$1*LN(J396/J395)</f>
        <v/>
      </c>
      <c r="U396" s="9">
        <f>$W$12+$W$4*M396+$W$5*N396+$W$6*O396+$W$7*P396+$W$8*Q396+$W$9*R396+$W$10*S396+$W$11*T396</f>
        <v/>
      </c>
      <c r="AA396" s="10">
        <f>INDEX(LINEST(L137:L396,M137:T396,TRUE,TRUE),1,9)*52</f>
        <v/>
      </c>
      <c r="AB396" s="9">
        <f>INDEX(LINEST(L137:L396,M137:T396,TRUE,TRUE),1,8)</f>
        <v/>
      </c>
      <c r="AC396" s="9">
        <f>INDEX(LINEST(L137:L396,M137:T396,TRUE,TRUE),1,7)</f>
        <v/>
      </c>
      <c r="AD396" s="9">
        <f>INDEX(LINEST(L137:L396,M137:T396,TRUE,TRUE),1,6)</f>
        <v/>
      </c>
      <c r="AE396" s="9">
        <f>INDEX(LINEST(L137:L396,M137:T396,TRUE,TRUE),1,5)</f>
        <v/>
      </c>
      <c r="AF396" s="9">
        <f>INDEX(LINEST(L137:L396,M137:T396,TRUE,TRUE),1,4)</f>
        <v/>
      </c>
      <c r="AG396" s="9">
        <f>INDEX(LINEST(L137:L396,M137:T396,TRUE,TRUE),1,3)</f>
        <v/>
      </c>
      <c r="AH396" s="9">
        <f>INDEX(LINEST(L137:L396,M137:T396,TRUE,TRUE),1,2)</f>
        <v/>
      </c>
      <c r="AI396" s="9">
        <f>INDEX(LINEST(L137:L396,M137:T396,TRUE,TRUE),1,1)</f>
        <v/>
      </c>
      <c r="AJ396" s="10">
        <f>INDEX(LINEST(L137:L396,M137:T396,TRUE,TRUE),3,1)</f>
        <v/>
      </c>
      <c r="AK396" s="9">
        <f>AA395/52+AB395*M396+AC395*N396+AD395*O396+AE395*P396+AF395*Q396+AG395*R396+AH395*S396+AI395*T396</f>
        <v/>
      </c>
      <c r="AL396" s="9">
        <f>AVERAGE(L136:L395)</f>
        <v/>
      </c>
    </row>
    <row r="397">
      <c r="A397" s="7" t="n">
        <v>40382</v>
      </c>
      <c r="B397" s="8" t="n">
        <v>1190.5</v>
      </c>
      <c r="C397" s="8" t="n">
        <v>1.78</v>
      </c>
      <c r="D397" s="8" t="n">
        <v>1.24</v>
      </c>
      <c r="E397" s="8" t="n">
        <v>82.459999</v>
      </c>
      <c r="F397" s="8" t="n">
        <v>78.68000000000001</v>
      </c>
      <c r="G397" s="8" t="n">
        <v>23.47</v>
      </c>
      <c r="H397" s="8" t="n">
        <v>78.900002</v>
      </c>
      <c r="I397" s="8" t="n">
        <v>1102.660034</v>
      </c>
      <c r="J397" s="8" t="n">
        <v>69.04330400000001</v>
      </c>
      <c r="L397" s="9">
        <f>LN(B397/B396)</f>
        <v/>
      </c>
      <c r="M397" s="9">
        <f>$M$1*(C397-C396)</f>
        <v/>
      </c>
      <c r="N397" s="9">
        <f>$N$1*(D397-D396)</f>
        <v/>
      </c>
      <c r="O397" s="9">
        <f>$O$1*LN(E397/E396)</f>
        <v/>
      </c>
      <c r="P397" s="9">
        <f>$P$1*LN(F397/F396)</f>
        <v/>
      </c>
      <c r="Q397" s="9">
        <f>$Q$1*(G397-G396)</f>
        <v/>
      </c>
      <c r="R397" s="9">
        <f>$R$1*(H397-H396)</f>
        <v/>
      </c>
      <c r="S397" s="9">
        <f>$S$1*LN(I397/I396)</f>
        <v/>
      </c>
      <c r="T397" s="9">
        <f>$T$1*LN(J397/J396)</f>
        <v/>
      </c>
      <c r="U397" s="9">
        <f>$W$12+$W$4*M397+$W$5*N397+$W$6*O397+$W$7*P397+$W$8*Q397+$W$9*R397+$W$10*S397+$W$11*T397</f>
        <v/>
      </c>
      <c r="AA397" s="10">
        <f>INDEX(LINEST(L138:L397,M138:T397,TRUE,TRUE),1,9)*52</f>
        <v/>
      </c>
      <c r="AB397" s="9">
        <f>INDEX(LINEST(L138:L397,M138:T397,TRUE,TRUE),1,8)</f>
        <v/>
      </c>
      <c r="AC397" s="9">
        <f>INDEX(LINEST(L138:L397,M138:T397,TRUE,TRUE),1,7)</f>
        <v/>
      </c>
      <c r="AD397" s="9">
        <f>INDEX(LINEST(L138:L397,M138:T397,TRUE,TRUE),1,6)</f>
        <v/>
      </c>
      <c r="AE397" s="9">
        <f>INDEX(LINEST(L138:L397,M138:T397,TRUE,TRUE),1,5)</f>
        <v/>
      </c>
      <c r="AF397" s="9">
        <f>INDEX(LINEST(L138:L397,M138:T397,TRUE,TRUE),1,4)</f>
        <v/>
      </c>
      <c r="AG397" s="9">
        <f>INDEX(LINEST(L138:L397,M138:T397,TRUE,TRUE),1,3)</f>
        <v/>
      </c>
      <c r="AH397" s="9">
        <f>INDEX(LINEST(L138:L397,M138:T397,TRUE,TRUE),1,2)</f>
        <v/>
      </c>
      <c r="AI397" s="9">
        <f>INDEX(LINEST(L138:L397,M138:T397,TRUE,TRUE),1,1)</f>
        <v/>
      </c>
      <c r="AJ397" s="10">
        <f>INDEX(LINEST(L138:L397,M138:T397,TRUE,TRUE),3,1)</f>
        <v/>
      </c>
      <c r="AK397" s="9">
        <f>AA396/52+AB396*M397+AC396*N397+AD396*O397+AE396*P397+AF396*Q397+AG396*R397+AH396*S397+AI396*T397</f>
        <v/>
      </c>
      <c r="AL397" s="9">
        <f>AVERAGE(L137:L396)</f>
        <v/>
      </c>
    </row>
    <row r="398">
      <c r="A398" s="7" t="n">
        <v>40389</v>
      </c>
      <c r="B398" s="8" t="n">
        <v>1169</v>
      </c>
      <c r="C398" s="8" t="n">
        <v>1.8</v>
      </c>
      <c r="D398" s="8" t="n">
        <v>1.14</v>
      </c>
      <c r="E398" s="8" t="n">
        <v>81.540001</v>
      </c>
      <c r="F398" s="8" t="n">
        <v>78.84999999999999</v>
      </c>
      <c r="G398" s="8" t="n">
        <v>23.5</v>
      </c>
      <c r="H398" s="8" t="n">
        <v>78.199997</v>
      </c>
      <c r="I398" s="8" t="n">
        <v>1101.599976</v>
      </c>
      <c r="J398" s="8" t="n">
        <v>69.313248</v>
      </c>
      <c r="L398" s="9">
        <f>LN(B398/B397)</f>
        <v/>
      </c>
      <c r="M398" s="9">
        <f>$M$1*(C398-C397)</f>
        <v/>
      </c>
      <c r="N398" s="9">
        <f>$N$1*(D398-D397)</f>
        <v/>
      </c>
      <c r="O398" s="9">
        <f>$O$1*LN(E398/E397)</f>
        <v/>
      </c>
      <c r="P398" s="9">
        <f>$P$1*LN(F398/F397)</f>
        <v/>
      </c>
      <c r="Q398" s="9">
        <f>$Q$1*(G398-G397)</f>
        <v/>
      </c>
      <c r="R398" s="9">
        <f>$R$1*(H398-H397)</f>
        <v/>
      </c>
      <c r="S398" s="9">
        <f>$S$1*LN(I398/I397)</f>
        <v/>
      </c>
      <c r="T398" s="9">
        <f>$T$1*LN(J398/J397)</f>
        <v/>
      </c>
      <c r="U398" s="9">
        <f>$W$12+$W$4*M398+$W$5*N398+$W$6*O398+$W$7*P398+$W$8*Q398+$W$9*R398+$W$10*S398+$W$11*T398</f>
        <v/>
      </c>
      <c r="AA398" s="10">
        <f>INDEX(LINEST(L139:L398,M139:T398,TRUE,TRUE),1,9)*52</f>
        <v/>
      </c>
      <c r="AB398" s="9">
        <f>INDEX(LINEST(L139:L398,M139:T398,TRUE,TRUE),1,8)</f>
        <v/>
      </c>
      <c r="AC398" s="9">
        <f>INDEX(LINEST(L139:L398,M139:T398,TRUE,TRUE),1,7)</f>
        <v/>
      </c>
      <c r="AD398" s="9">
        <f>INDEX(LINEST(L139:L398,M139:T398,TRUE,TRUE),1,6)</f>
        <v/>
      </c>
      <c r="AE398" s="9">
        <f>INDEX(LINEST(L139:L398,M139:T398,TRUE,TRUE),1,5)</f>
        <v/>
      </c>
      <c r="AF398" s="9">
        <f>INDEX(LINEST(L139:L398,M139:T398,TRUE,TRUE),1,4)</f>
        <v/>
      </c>
      <c r="AG398" s="9">
        <f>INDEX(LINEST(L139:L398,M139:T398,TRUE,TRUE),1,3)</f>
        <v/>
      </c>
      <c r="AH398" s="9">
        <f>INDEX(LINEST(L139:L398,M139:T398,TRUE,TRUE),1,2)</f>
        <v/>
      </c>
      <c r="AI398" s="9">
        <f>INDEX(LINEST(L139:L398,M139:T398,TRUE,TRUE),1,1)</f>
        <v/>
      </c>
      <c r="AJ398" s="10">
        <f>INDEX(LINEST(L139:L398,M139:T398,TRUE,TRUE),3,1)</f>
        <v/>
      </c>
      <c r="AK398" s="9">
        <f>AA397/52+AB397*M398+AC397*N398+AD397*O398+AE397*P398+AF397*Q398+AG397*R398+AH397*S398+AI397*T398</f>
        <v/>
      </c>
      <c r="AL398" s="9">
        <f>AVERAGE(L138:L397)</f>
        <v/>
      </c>
    </row>
    <row r="399">
      <c r="A399" s="7" t="n">
        <v>40396</v>
      </c>
      <c r="B399" s="8" t="n">
        <v>1207.75</v>
      </c>
      <c r="C399" s="8" t="n">
        <v>1.82</v>
      </c>
      <c r="D399" s="8" t="n">
        <v>1.04</v>
      </c>
      <c r="E399" s="8" t="n">
        <v>80.410004</v>
      </c>
      <c r="F399" s="8" t="n">
        <v>80.67</v>
      </c>
      <c r="G399" s="8" t="n">
        <v>21.74</v>
      </c>
      <c r="H399" s="8" t="n">
        <v>80.400002</v>
      </c>
      <c r="I399" s="8" t="n">
        <v>1121.640015</v>
      </c>
      <c r="J399" s="8" t="n">
        <v>69.36090900000001</v>
      </c>
      <c r="L399" s="9">
        <f>LN(B399/B398)</f>
        <v/>
      </c>
      <c r="M399" s="9">
        <f>$M$1*(C399-C398)</f>
        <v/>
      </c>
      <c r="N399" s="9">
        <f>$N$1*(D399-D398)</f>
        <v/>
      </c>
      <c r="O399" s="9">
        <f>$O$1*LN(E399/E398)</f>
        <v/>
      </c>
      <c r="P399" s="9">
        <f>$P$1*LN(F399/F398)</f>
        <v/>
      </c>
      <c r="Q399" s="9">
        <f>$Q$1*(G399-G398)</f>
        <v/>
      </c>
      <c r="R399" s="9">
        <f>$R$1*(H399-H398)</f>
        <v/>
      </c>
      <c r="S399" s="9">
        <f>$S$1*LN(I399/I398)</f>
        <v/>
      </c>
      <c r="T399" s="9">
        <f>$T$1*LN(J399/J398)</f>
        <v/>
      </c>
      <c r="U399" s="9">
        <f>$W$12+$W$4*M399+$W$5*N399+$W$6*O399+$W$7*P399+$W$8*Q399+$W$9*R399+$W$10*S399+$W$11*T399</f>
        <v/>
      </c>
      <c r="AA399" s="10">
        <f>INDEX(LINEST(L140:L399,M140:T399,TRUE,TRUE),1,9)*52</f>
        <v/>
      </c>
      <c r="AB399" s="9">
        <f>INDEX(LINEST(L140:L399,M140:T399,TRUE,TRUE),1,8)</f>
        <v/>
      </c>
      <c r="AC399" s="9">
        <f>INDEX(LINEST(L140:L399,M140:T399,TRUE,TRUE),1,7)</f>
        <v/>
      </c>
      <c r="AD399" s="9">
        <f>INDEX(LINEST(L140:L399,M140:T399,TRUE,TRUE),1,6)</f>
        <v/>
      </c>
      <c r="AE399" s="9">
        <f>INDEX(LINEST(L140:L399,M140:T399,TRUE,TRUE),1,5)</f>
        <v/>
      </c>
      <c r="AF399" s="9">
        <f>INDEX(LINEST(L140:L399,M140:T399,TRUE,TRUE),1,4)</f>
        <v/>
      </c>
      <c r="AG399" s="9">
        <f>INDEX(LINEST(L140:L399,M140:T399,TRUE,TRUE),1,3)</f>
        <v/>
      </c>
      <c r="AH399" s="9">
        <f>INDEX(LINEST(L140:L399,M140:T399,TRUE,TRUE),1,2)</f>
        <v/>
      </c>
      <c r="AI399" s="9">
        <f>INDEX(LINEST(L140:L399,M140:T399,TRUE,TRUE),1,1)</f>
        <v/>
      </c>
      <c r="AJ399" s="10">
        <f>INDEX(LINEST(L140:L399,M140:T399,TRUE,TRUE),3,1)</f>
        <v/>
      </c>
      <c r="AK399" s="9">
        <f>AA398/52+AB398*M399+AC398*N399+AD398*O399+AE398*P399+AF398*Q399+AG398*R399+AH398*S399+AI398*T399</f>
        <v/>
      </c>
      <c r="AL399" s="9">
        <f>AVERAGE(L139:L398)</f>
        <v/>
      </c>
    </row>
    <row r="400">
      <c r="A400" s="7" t="n">
        <v>40403</v>
      </c>
      <c r="B400" s="8" t="n">
        <v>1214.25</v>
      </c>
      <c r="C400" s="8" t="n">
        <v>1.68</v>
      </c>
      <c r="D400" s="8" t="n">
        <v>1</v>
      </c>
      <c r="E400" s="8" t="n">
        <v>82.949997</v>
      </c>
      <c r="F400" s="8" t="n">
        <v>75.39</v>
      </c>
      <c r="G400" s="8" t="n">
        <v>26.24</v>
      </c>
      <c r="H400" s="8" t="n">
        <v>84.300003</v>
      </c>
      <c r="I400" s="8" t="n">
        <v>1079.25</v>
      </c>
      <c r="J400" s="8" t="n">
        <v>69.592911</v>
      </c>
      <c r="L400" s="9">
        <f>LN(B400/B399)</f>
        <v/>
      </c>
      <c r="M400" s="9">
        <f>$M$1*(C400-C399)</f>
        <v/>
      </c>
      <c r="N400" s="9">
        <f>$N$1*(D400-D399)</f>
        <v/>
      </c>
      <c r="O400" s="9">
        <f>$O$1*LN(E400/E399)</f>
        <v/>
      </c>
      <c r="P400" s="9">
        <f>$P$1*LN(F400/F399)</f>
        <v/>
      </c>
      <c r="Q400" s="9">
        <f>$Q$1*(G400-G399)</f>
        <v/>
      </c>
      <c r="R400" s="9">
        <f>$R$1*(H400-H399)</f>
        <v/>
      </c>
      <c r="S400" s="9">
        <f>$S$1*LN(I400/I399)</f>
        <v/>
      </c>
      <c r="T400" s="9">
        <f>$T$1*LN(J400/J399)</f>
        <v/>
      </c>
      <c r="U400" s="9">
        <f>$W$12+$W$4*M400+$W$5*N400+$W$6*O400+$W$7*P400+$W$8*Q400+$W$9*R400+$W$10*S400+$W$11*T400</f>
        <v/>
      </c>
      <c r="AA400" s="10">
        <f>INDEX(LINEST(L141:L400,M141:T400,TRUE,TRUE),1,9)*52</f>
        <v/>
      </c>
      <c r="AB400" s="9">
        <f>INDEX(LINEST(L141:L400,M141:T400,TRUE,TRUE),1,8)</f>
        <v/>
      </c>
      <c r="AC400" s="9">
        <f>INDEX(LINEST(L141:L400,M141:T400,TRUE,TRUE),1,7)</f>
        <v/>
      </c>
      <c r="AD400" s="9">
        <f>INDEX(LINEST(L141:L400,M141:T400,TRUE,TRUE),1,6)</f>
        <v/>
      </c>
      <c r="AE400" s="9">
        <f>INDEX(LINEST(L141:L400,M141:T400,TRUE,TRUE),1,5)</f>
        <v/>
      </c>
      <c r="AF400" s="9">
        <f>INDEX(LINEST(L141:L400,M141:T400,TRUE,TRUE),1,4)</f>
        <v/>
      </c>
      <c r="AG400" s="9">
        <f>INDEX(LINEST(L141:L400,M141:T400,TRUE,TRUE),1,3)</f>
        <v/>
      </c>
      <c r="AH400" s="9">
        <f>INDEX(LINEST(L141:L400,M141:T400,TRUE,TRUE),1,2)</f>
        <v/>
      </c>
      <c r="AI400" s="9">
        <f>INDEX(LINEST(L141:L400,M141:T400,TRUE,TRUE),1,1)</f>
        <v/>
      </c>
      <c r="AJ400" s="10">
        <f>INDEX(LINEST(L141:L400,M141:T400,TRUE,TRUE),3,1)</f>
        <v/>
      </c>
      <c r="AK400" s="9">
        <f>AA399/52+AB399*M400+AC399*N400+AD399*O400+AE399*P400+AF399*Q400+AG399*R400+AH399*S400+AI399*T400</f>
        <v/>
      </c>
      <c r="AL400" s="9">
        <f>AVERAGE(L140:L399)</f>
        <v/>
      </c>
    </row>
    <row r="401">
      <c r="A401" s="7" t="n">
        <v>40410</v>
      </c>
      <c r="B401" s="8" t="n">
        <v>1223.5</v>
      </c>
      <c r="C401" s="8" t="n">
        <v>1.57</v>
      </c>
      <c r="D401" s="8" t="n">
        <v>1.05</v>
      </c>
      <c r="E401" s="8" t="n">
        <v>83.05999799999999</v>
      </c>
      <c r="F401" s="8" t="n">
        <v>73.45</v>
      </c>
      <c r="G401" s="8" t="n">
        <v>25.49</v>
      </c>
      <c r="H401" s="8" t="n">
        <v>93.199997</v>
      </c>
      <c r="I401" s="8" t="n">
        <v>1071.689941</v>
      </c>
      <c r="J401" s="8" t="n">
        <v>69.792694</v>
      </c>
      <c r="L401" s="9">
        <f>LN(B401/B400)</f>
        <v/>
      </c>
      <c r="M401" s="9">
        <f>$M$1*(C401-C400)</f>
        <v/>
      </c>
      <c r="N401" s="9">
        <f>$N$1*(D401-D400)</f>
        <v/>
      </c>
      <c r="O401" s="9">
        <f>$O$1*LN(E401/E400)</f>
        <v/>
      </c>
      <c r="P401" s="9">
        <f>$P$1*LN(F401/F400)</f>
        <v/>
      </c>
      <c r="Q401" s="9">
        <f>$Q$1*(G401-G400)</f>
        <v/>
      </c>
      <c r="R401" s="9">
        <f>$R$1*(H401-H400)</f>
        <v/>
      </c>
      <c r="S401" s="9">
        <f>$S$1*LN(I401/I400)</f>
        <v/>
      </c>
      <c r="T401" s="9">
        <f>$T$1*LN(J401/J400)</f>
        <v/>
      </c>
      <c r="U401" s="9">
        <f>$W$12+$W$4*M401+$W$5*N401+$W$6*O401+$W$7*P401+$W$8*Q401+$W$9*R401+$W$10*S401+$W$11*T401</f>
        <v/>
      </c>
      <c r="AA401" s="10">
        <f>INDEX(LINEST(L142:L401,M142:T401,TRUE,TRUE),1,9)*52</f>
        <v/>
      </c>
      <c r="AB401" s="9">
        <f>INDEX(LINEST(L142:L401,M142:T401,TRUE,TRUE),1,8)</f>
        <v/>
      </c>
      <c r="AC401" s="9">
        <f>INDEX(LINEST(L142:L401,M142:T401,TRUE,TRUE),1,7)</f>
        <v/>
      </c>
      <c r="AD401" s="9">
        <f>INDEX(LINEST(L142:L401,M142:T401,TRUE,TRUE),1,6)</f>
        <v/>
      </c>
      <c r="AE401" s="9">
        <f>INDEX(LINEST(L142:L401,M142:T401,TRUE,TRUE),1,5)</f>
        <v/>
      </c>
      <c r="AF401" s="9">
        <f>INDEX(LINEST(L142:L401,M142:T401,TRUE,TRUE),1,4)</f>
        <v/>
      </c>
      <c r="AG401" s="9">
        <f>INDEX(LINEST(L142:L401,M142:T401,TRUE,TRUE),1,3)</f>
        <v/>
      </c>
      <c r="AH401" s="9">
        <f>INDEX(LINEST(L142:L401,M142:T401,TRUE,TRUE),1,2)</f>
        <v/>
      </c>
      <c r="AI401" s="9">
        <f>INDEX(LINEST(L142:L401,M142:T401,TRUE,TRUE),1,1)</f>
        <v/>
      </c>
      <c r="AJ401" s="10">
        <f>INDEX(LINEST(L142:L401,M142:T401,TRUE,TRUE),3,1)</f>
        <v/>
      </c>
      <c r="AK401" s="9">
        <f>AA400/52+AB400*M401+AC400*N401+AD400*O401+AE400*P401+AF400*Q401+AG400*R401+AH400*S401+AI400*T401</f>
        <v/>
      </c>
      <c r="AL401" s="9">
        <f>AVERAGE(L141:L400)</f>
        <v/>
      </c>
    </row>
    <row r="402">
      <c r="A402" s="7" t="n">
        <v>40417</v>
      </c>
      <c r="B402" s="8" t="n">
        <v>1235</v>
      </c>
      <c r="C402" s="8" t="n">
        <v>1.61</v>
      </c>
      <c r="D402" s="8" t="n">
        <v>1.05</v>
      </c>
      <c r="E402" s="8" t="n">
        <v>82.91999800000001</v>
      </c>
      <c r="F402" s="8" t="n">
        <v>75.17</v>
      </c>
      <c r="G402" s="8" t="n">
        <v>24.45</v>
      </c>
      <c r="H402" s="8" t="n">
        <v>109.199997</v>
      </c>
      <c r="I402" s="8" t="n">
        <v>1064.589966</v>
      </c>
      <c r="J402" s="8" t="n">
        <v>69.683121</v>
      </c>
      <c r="L402" s="9">
        <f>LN(B402/B401)</f>
        <v/>
      </c>
      <c r="M402" s="9">
        <f>$M$1*(C402-C401)</f>
        <v/>
      </c>
      <c r="N402" s="9">
        <f>$N$1*(D402-D401)</f>
        <v/>
      </c>
      <c r="O402" s="9">
        <f>$O$1*LN(E402/E401)</f>
        <v/>
      </c>
      <c r="P402" s="9">
        <f>$P$1*LN(F402/F401)</f>
        <v/>
      </c>
      <c r="Q402" s="9">
        <f>$Q$1*(G402-G401)</f>
        <v/>
      </c>
      <c r="R402" s="9">
        <f>$R$1*(H402-H401)</f>
        <v/>
      </c>
      <c r="S402" s="9">
        <f>$S$1*LN(I402/I401)</f>
        <v/>
      </c>
      <c r="T402" s="9">
        <f>$T$1*LN(J402/J401)</f>
        <v/>
      </c>
      <c r="U402" s="9">
        <f>$W$12+$W$4*M402+$W$5*N402+$W$6*O402+$W$7*P402+$W$8*Q402+$W$9*R402+$W$10*S402+$W$11*T402</f>
        <v/>
      </c>
      <c r="AA402" s="10">
        <f>INDEX(LINEST(L143:L402,M143:T402,TRUE,TRUE),1,9)*52</f>
        <v/>
      </c>
      <c r="AB402" s="9">
        <f>INDEX(LINEST(L143:L402,M143:T402,TRUE,TRUE),1,8)</f>
        <v/>
      </c>
      <c r="AC402" s="9">
        <f>INDEX(LINEST(L143:L402,M143:T402,TRUE,TRUE),1,7)</f>
        <v/>
      </c>
      <c r="AD402" s="9">
        <f>INDEX(LINEST(L143:L402,M143:T402,TRUE,TRUE),1,6)</f>
        <v/>
      </c>
      <c r="AE402" s="9">
        <f>INDEX(LINEST(L143:L402,M143:T402,TRUE,TRUE),1,5)</f>
        <v/>
      </c>
      <c r="AF402" s="9">
        <f>INDEX(LINEST(L143:L402,M143:T402,TRUE,TRUE),1,4)</f>
        <v/>
      </c>
      <c r="AG402" s="9">
        <f>INDEX(LINEST(L143:L402,M143:T402,TRUE,TRUE),1,3)</f>
        <v/>
      </c>
      <c r="AH402" s="9">
        <f>INDEX(LINEST(L143:L402,M143:T402,TRUE,TRUE),1,2)</f>
        <v/>
      </c>
      <c r="AI402" s="9">
        <f>INDEX(LINEST(L143:L402,M143:T402,TRUE,TRUE),1,1)</f>
        <v/>
      </c>
      <c r="AJ402" s="10">
        <f>INDEX(LINEST(L143:L402,M143:T402,TRUE,TRUE),3,1)</f>
        <v/>
      </c>
      <c r="AK402" s="9">
        <f>AA401/52+AB401*M402+AC401*N402+AD401*O402+AE401*P402+AF401*Q402+AG401*R402+AH401*S402+AI401*T402</f>
        <v/>
      </c>
      <c r="AL402" s="9">
        <f>AVERAGE(L142:L401)</f>
        <v/>
      </c>
    </row>
    <row r="403">
      <c r="A403" s="7" t="n">
        <v>40424</v>
      </c>
      <c r="B403" s="8" t="n">
        <v>1240.5</v>
      </c>
      <c r="C403" s="8" t="n">
        <v>1.62</v>
      </c>
      <c r="D403" s="8" t="n">
        <v>1.1</v>
      </c>
      <c r="E403" s="8" t="n">
        <v>83.099998</v>
      </c>
      <c r="F403" s="8" t="n">
        <v>74.52</v>
      </c>
      <c r="G403" s="8" t="n">
        <v>21.31</v>
      </c>
      <c r="H403" s="8" t="n">
        <v>95.300003</v>
      </c>
      <c r="I403" s="8" t="n">
        <v>1104.51001</v>
      </c>
      <c r="J403" s="8" t="n">
        <v>69.80321499999999</v>
      </c>
      <c r="L403" s="9">
        <f>LN(B403/B402)</f>
        <v/>
      </c>
      <c r="M403" s="9">
        <f>$M$1*(C403-C402)</f>
        <v/>
      </c>
      <c r="N403" s="9">
        <f>$N$1*(D403-D402)</f>
        <v/>
      </c>
      <c r="O403" s="9">
        <f>$O$1*LN(E403/E402)</f>
        <v/>
      </c>
      <c r="P403" s="9">
        <f>$P$1*LN(F403/F402)</f>
        <v/>
      </c>
      <c r="Q403" s="9">
        <f>$Q$1*(G403-G402)</f>
        <v/>
      </c>
      <c r="R403" s="9">
        <f>$R$1*(H403-H402)</f>
        <v/>
      </c>
      <c r="S403" s="9">
        <f>$S$1*LN(I403/I402)</f>
        <v/>
      </c>
      <c r="T403" s="9">
        <f>$T$1*LN(J403/J402)</f>
        <v/>
      </c>
      <c r="U403" s="9">
        <f>$W$12+$W$4*M403+$W$5*N403+$W$6*O403+$W$7*P403+$W$8*Q403+$W$9*R403+$W$10*S403+$W$11*T403</f>
        <v/>
      </c>
      <c r="AA403" s="10">
        <f>INDEX(LINEST(L144:L403,M144:T403,TRUE,TRUE),1,9)*52</f>
        <v/>
      </c>
      <c r="AB403" s="9">
        <f>INDEX(LINEST(L144:L403,M144:T403,TRUE,TRUE),1,8)</f>
        <v/>
      </c>
      <c r="AC403" s="9">
        <f>INDEX(LINEST(L144:L403,M144:T403,TRUE,TRUE),1,7)</f>
        <v/>
      </c>
      <c r="AD403" s="9">
        <f>INDEX(LINEST(L144:L403,M144:T403,TRUE,TRUE),1,6)</f>
        <v/>
      </c>
      <c r="AE403" s="9">
        <f>INDEX(LINEST(L144:L403,M144:T403,TRUE,TRUE),1,5)</f>
        <v/>
      </c>
      <c r="AF403" s="9">
        <f>INDEX(LINEST(L144:L403,M144:T403,TRUE,TRUE),1,4)</f>
        <v/>
      </c>
      <c r="AG403" s="9">
        <f>INDEX(LINEST(L144:L403,M144:T403,TRUE,TRUE),1,3)</f>
        <v/>
      </c>
      <c r="AH403" s="9">
        <f>INDEX(LINEST(L144:L403,M144:T403,TRUE,TRUE),1,2)</f>
        <v/>
      </c>
      <c r="AI403" s="9">
        <f>INDEX(LINEST(L144:L403,M144:T403,TRUE,TRUE),1,1)</f>
        <v/>
      </c>
      <c r="AJ403" s="10">
        <f>INDEX(LINEST(L144:L403,M144:T403,TRUE,TRUE),3,1)</f>
        <v/>
      </c>
      <c r="AK403" s="9">
        <f>AA402/52+AB402*M403+AC402*N403+AD402*O403+AE402*P403+AF402*Q403+AG402*R403+AH402*S403+AI402*T403</f>
        <v/>
      </c>
      <c r="AL403" s="9">
        <f>AVERAGE(L143:L402)</f>
        <v/>
      </c>
    </row>
    <row r="404">
      <c r="A404" s="7" t="n">
        <v>40431</v>
      </c>
      <c r="B404" s="8" t="n">
        <v>1246.5</v>
      </c>
      <c r="C404" s="8" t="n">
        <v>1.79</v>
      </c>
      <c r="D404" s="8" t="n">
        <v>1.02</v>
      </c>
      <c r="E404" s="8" t="n">
        <v>82.699997</v>
      </c>
      <c r="F404" s="8" t="n">
        <v>76.40000000000001</v>
      </c>
      <c r="G404" s="8" t="n">
        <v>21.99</v>
      </c>
      <c r="H404" s="8" t="n">
        <v>107.300003</v>
      </c>
      <c r="I404" s="8" t="n">
        <v>1109.550049</v>
      </c>
      <c r="J404" s="8" t="n">
        <v>69.467178</v>
      </c>
      <c r="L404" s="9">
        <f>LN(B404/B403)</f>
        <v/>
      </c>
      <c r="M404" s="9">
        <f>$M$1*(C404-C403)</f>
        <v/>
      </c>
      <c r="N404" s="9">
        <f>$N$1*(D404-D403)</f>
        <v/>
      </c>
      <c r="O404" s="9">
        <f>$O$1*LN(E404/E403)</f>
        <v/>
      </c>
      <c r="P404" s="9">
        <f>$P$1*LN(F404/F403)</f>
        <v/>
      </c>
      <c r="Q404" s="9">
        <f>$Q$1*(G404-G403)</f>
        <v/>
      </c>
      <c r="R404" s="9">
        <f>$R$1*(H404-H403)</f>
        <v/>
      </c>
      <c r="S404" s="9">
        <f>$S$1*LN(I404/I403)</f>
        <v/>
      </c>
      <c r="T404" s="9">
        <f>$T$1*LN(J404/J403)</f>
        <v/>
      </c>
      <c r="U404" s="9">
        <f>$W$12+$W$4*M404+$W$5*N404+$W$6*O404+$W$7*P404+$W$8*Q404+$W$9*R404+$W$10*S404+$W$11*T404</f>
        <v/>
      </c>
      <c r="AA404" s="10">
        <f>INDEX(LINEST(L145:L404,M145:T404,TRUE,TRUE),1,9)*52</f>
        <v/>
      </c>
      <c r="AB404" s="9">
        <f>INDEX(LINEST(L145:L404,M145:T404,TRUE,TRUE),1,8)</f>
        <v/>
      </c>
      <c r="AC404" s="9">
        <f>INDEX(LINEST(L145:L404,M145:T404,TRUE,TRUE),1,7)</f>
        <v/>
      </c>
      <c r="AD404" s="9">
        <f>INDEX(LINEST(L145:L404,M145:T404,TRUE,TRUE),1,6)</f>
        <v/>
      </c>
      <c r="AE404" s="9">
        <f>INDEX(LINEST(L145:L404,M145:T404,TRUE,TRUE),1,5)</f>
        <v/>
      </c>
      <c r="AF404" s="9">
        <f>INDEX(LINEST(L145:L404,M145:T404,TRUE,TRUE),1,4)</f>
        <v/>
      </c>
      <c r="AG404" s="9">
        <f>INDEX(LINEST(L145:L404,M145:T404,TRUE,TRUE),1,3)</f>
        <v/>
      </c>
      <c r="AH404" s="9">
        <f>INDEX(LINEST(L145:L404,M145:T404,TRUE,TRUE),1,2)</f>
        <v/>
      </c>
      <c r="AI404" s="9">
        <f>INDEX(LINEST(L145:L404,M145:T404,TRUE,TRUE),1,1)</f>
        <v/>
      </c>
      <c r="AJ404" s="10">
        <f>INDEX(LINEST(L145:L404,M145:T404,TRUE,TRUE),3,1)</f>
        <v/>
      </c>
      <c r="AK404" s="9">
        <f>AA403/52+AB403*M404+AC403*N404+AD403*O404+AE403*P404+AF403*Q404+AG403*R404+AH403*S404+AI403*T404</f>
        <v/>
      </c>
      <c r="AL404" s="9">
        <f>AVERAGE(L144:L403)</f>
        <v/>
      </c>
    </row>
    <row r="405">
      <c r="A405" s="7" t="n">
        <v>40438</v>
      </c>
      <c r="B405" s="8" t="n">
        <v>1274</v>
      </c>
      <c r="C405" s="8" t="n">
        <v>1.75</v>
      </c>
      <c r="D405" s="8" t="n">
        <v>1</v>
      </c>
      <c r="E405" s="8" t="n">
        <v>81.400002</v>
      </c>
      <c r="F405" s="8" t="n">
        <v>73.63</v>
      </c>
      <c r="G405" s="8" t="n">
        <v>22.01</v>
      </c>
      <c r="H405" s="8" t="n">
        <v>103.599998</v>
      </c>
      <c r="I405" s="8" t="n">
        <v>1125.589966</v>
      </c>
      <c r="J405" s="8" t="n">
        <v>69.7192</v>
      </c>
      <c r="L405" s="9">
        <f>LN(B405/B404)</f>
        <v/>
      </c>
      <c r="M405" s="9">
        <f>$M$1*(C405-C404)</f>
        <v/>
      </c>
      <c r="N405" s="9">
        <f>$N$1*(D405-D404)</f>
        <v/>
      </c>
      <c r="O405" s="9">
        <f>$O$1*LN(E405/E404)</f>
        <v/>
      </c>
      <c r="P405" s="9">
        <f>$P$1*LN(F405/F404)</f>
        <v/>
      </c>
      <c r="Q405" s="9">
        <f>$Q$1*(G405-G404)</f>
        <v/>
      </c>
      <c r="R405" s="9">
        <f>$R$1*(H405-H404)</f>
        <v/>
      </c>
      <c r="S405" s="9">
        <f>$S$1*LN(I405/I404)</f>
        <v/>
      </c>
      <c r="T405" s="9">
        <f>$T$1*LN(J405/J404)</f>
        <v/>
      </c>
      <c r="U405" s="9">
        <f>$W$12+$W$4*M405+$W$5*N405+$W$6*O405+$W$7*P405+$W$8*Q405+$W$9*R405+$W$10*S405+$W$11*T405</f>
        <v/>
      </c>
      <c r="AA405" s="10">
        <f>INDEX(LINEST(L146:L405,M146:T405,TRUE,TRUE),1,9)*52</f>
        <v/>
      </c>
      <c r="AB405" s="9">
        <f>INDEX(LINEST(L146:L405,M146:T405,TRUE,TRUE),1,8)</f>
        <v/>
      </c>
      <c r="AC405" s="9">
        <f>INDEX(LINEST(L146:L405,M146:T405,TRUE,TRUE),1,7)</f>
        <v/>
      </c>
      <c r="AD405" s="9">
        <f>INDEX(LINEST(L146:L405,M146:T405,TRUE,TRUE),1,6)</f>
        <v/>
      </c>
      <c r="AE405" s="9">
        <f>INDEX(LINEST(L146:L405,M146:T405,TRUE,TRUE),1,5)</f>
        <v/>
      </c>
      <c r="AF405" s="9">
        <f>INDEX(LINEST(L146:L405,M146:T405,TRUE,TRUE),1,4)</f>
        <v/>
      </c>
      <c r="AG405" s="9">
        <f>INDEX(LINEST(L146:L405,M146:T405,TRUE,TRUE),1,3)</f>
        <v/>
      </c>
      <c r="AH405" s="9">
        <f>INDEX(LINEST(L146:L405,M146:T405,TRUE,TRUE),1,2)</f>
        <v/>
      </c>
      <c r="AI405" s="9">
        <f>INDEX(LINEST(L146:L405,M146:T405,TRUE,TRUE),1,1)</f>
        <v/>
      </c>
      <c r="AJ405" s="10">
        <f>INDEX(LINEST(L146:L405,M146:T405,TRUE,TRUE),3,1)</f>
        <v/>
      </c>
      <c r="AK405" s="9">
        <f>AA404/52+AB404*M405+AC404*N405+AD404*O405+AE404*P405+AF404*Q405+AG404*R405+AH404*S405+AI404*T405</f>
        <v/>
      </c>
      <c r="AL405" s="9">
        <f>AVERAGE(L145:L404)</f>
        <v/>
      </c>
    </row>
    <row r="406">
      <c r="A406" s="7" t="n">
        <v>40445</v>
      </c>
      <c r="B406" s="8" t="n">
        <v>1297</v>
      </c>
      <c r="C406" s="8" t="n">
        <v>1.81</v>
      </c>
      <c r="D406" s="8" t="n">
        <v>0.8100000000000001</v>
      </c>
      <c r="E406" s="8" t="n">
        <v>79.389999</v>
      </c>
      <c r="F406" s="8" t="n">
        <v>74.63</v>
      </c>
      <c r="G406" s="8" t="n">
        <v>21.71</v>
      </c>
      <c r="H406" s="8" t="n">
        <v>83.699997</v>
      </c>
      <c r="I406" s="8" t="n">
        <v>1148.670044</v>
      </c>
      <c r="J406" s="8" t="n">
        <v>69.88073</v>
      </c>
      <c r="L406" s="9">
        <f>LN(B406/B405)</f>
        <v/>
      </c>
      <c r="M406" s="9">
        <f>$M$1*(C406-C405)</f>
        <v/>
      </c>
      <c r="N406" s="9">
        <f>$N$1*(D406-D405)</f>
        <v/>
      </c>
      <c r="O406" s="9">
        <f>$O$1*LN(E406/E405)</f>
        <v/>
      </c>
      <c r="P406" s="9">
        <f>$P$1*LN(F406/F405)</f>
        <v/>
      </c>
      <c r="Q406" s="9">
        <f>$Q$1*(G406-G405)</f>
        <v/>
      </c>
      <c r="R406" s="9">
        <f>$R$1*(H406-H405)</f>
        <v/>
      </c>
      <c r="S406" s="9">
        <f>$S$1*LN(I406/I405)</f>
        <v/>
      </c>
      <c r="T406" s="9">
        <f>$T$1*LN(J406/J405)</f>
        <v/>
      </c>
      <c r="U406" s="9">
        <f>$W$12+$W$4*M406+$W$5*N406+$W$6*O406+$W$7*P406+$W$8*Q406+$W$9*R406+$W$10*S406+$W$11*T406</f>
        <v/>
      </c>
      <c r="AA406" s="10">
        <f>INDEX(LINEST(L147:L406,M147:T406,TRUE,TRUE),1,9)*52</f>
        <v/>
      </c>
      <c r="AB406" s="9">
        <f>INDEX(LINEST(L147:L406,M147:T406,TRUE,TRUE),1,8)</f>
        <v/>
      </c>
      <c r="AC406" s="9">
        <f>INDEX(LINEST(L147:L406,M147:T406,TRUE,TRUE),1,7)</f>
        <v/>
      </c>
      <c r="AD406" s="9">
        <f>INDEX(LINEST(L147:L406,M147:T406,TRUE,TRUE),1,6)</f>
        <v/>
      </c>
      <c r="AE406" s="9">
        <f>INDEX(LINEST(L147:L406,M147:T406,TRUE,TRUE),1,5)</f>
        <v/>
      </c>
      <c r="AF406" s="9">
        <f>INDEX(LINEST(L147:L406,M147:T406,TRUE,TRUE),1,4)</f>
        <v/>
      </c>
      <c r="AG406" s="9">
        <f>INDEX(LINEST(L147:L406,M147:T406,TRUE,TRUE),1,3)</f>
        <v/>
      </c>
      <c r="AH406" s="9">
        <f>INDEX(LINEST(L147:L406,M147:T406,TRUE,TRUE),1,2)</f>
        <v/>
      </c>
      <c r="AI406" s="9">
        <f>INDEX(LINEST(L147:L406,M147:T406,TRUE,TRUE),1,1)</f>
        <v/>
      </c>
      <c r="AJ406" s="10">
        <f>INDEX(LINEST(L147:L406,M147:T406,TRUE,TRUE),3,1)</f>
        <v/>
      </c>
      <c r="AK406" s="9">
        <f>AA405/52+AB405*M406+AC405*N406+AD405*O406+AE405*P406+AF405*Q406+AG405*R406+AH405*S406+AI405*T406</f>
        <v/>
      </c>
      <c r="AL406" s="9">
        <f>AVERAGE(L146:L405)</f>
        <v/>
      </c>
    </row>
    <row r="407">
      <c r="A407" s="7" t="n">
        <v>40452</v>
      </c>
      <c r="B407" s="8" t="n">
        <v>1316.25</v>
      </c>
      <c r="C407" s="8" t="n">
        <v>1.79</v>
      </c>
      <c r="D407" s="8" t="n">
        <v>0.75</v>
      </c>
      <c r="E407" s="8" t="n">
        <v>78.089996</v>
      </c>
      <c r="F407" s="8" t="n">
        <v>81.56999999999999</v>
      </c>
      <c r="G407" s="8" t="n">
        <v>22.5</v>
      </c>
      <c r="H407" s="8" t="n">
        <v>86.5</v>
      </c>
      <c r="I407" s="8" t="n">
        <v>1146.23999</v>
      </c>
      <c r="J407" s="8" t="n">
        <v>70.129356</v>
      </c>
      <c r="L407" s="9">
        <f>LN(B407/B406)</f>
        <v/>
      </c>
      <c r="M407" s="9">
        <f>$M$1*(C407-C406)</f>
        <v/>
      </c>
      <c r="N407" s="9">
        <f>$N$1*(D407-D406)</f>
        <v/>
      </c>
      <c r="O407" s="9">
        <f>$O$1*LN(E407/E406)</f>
        <v/>
      </c>
      <c r="P407" s="9">
        <f>$P$1*LN(F407/F406)</f>
        <v/>
      </c>
      <c r="Q407" s="9">
        <f>$Q$1*(G407-G406)</f>
        <v/>
      </c>
      <c r="R407" s="9">
        <f>$R$1*(H407-H406)</f>
        <v/>
      </c>
      <c r="S407" s="9">
        <f>$S$1*LN(I407/I406)</f>
        <v/>
      </c>
      <c r="T407" s="9">
        <f>$T$1*LN(J407/J406)</f>
        <v/>
      </c>
      <c r="U407" s="9">
        <f>$W$12+$W$4*M407+$W$5*N407+$W$6*O407+$W$7*P407+$W$8*Q407+$W$9*R407+$W$10*S407+$W$11*T407</f>
        <v/>
      </c>
      <c r="AA407" s="10">
        <f>INDEX(LINEST(L148:L407,M148:T407,TRUE,TRUE),1,9)*52</f>
        <v/>
      </c>
      <c r="AB407" s="9">
        <f>INDEX(LINEST(L148:L407,M148:T407,TRUE,TRUE),1,8)</f>
        <v/>
      </c>
      <c r="AC407" s="9">
        <f>INDEX(LINEST(L148:L407,M148:T407,TRUE,TRUE),1,7)</f>
        <v/>
      </c>
      <c r="AD407" s="9">
        <f>INDEX(LINEST(L148:L407,M148:T407,TRUE,TRUE),1,6)</f>
        <v/>
      </c>
      <c r="AE407" s="9">
        <f>INDEX(LINEST(L148:L407,M148:T407,TRUE,TRUE),1,5)</f>
        <v/>
      </c>
      <c r="AF407" s="9">
        <f>INDEX(LINEST(L148:L407,M148:T407,TRUE,TRUE),1,4)</f>
        <v/>
      </c>
      <c r="AG407" s="9">
        <f>INDEX(LINEST(L148:L407,M148:T407,TRUE,TRUE),1,3)</f>
        <v/>
      </c>
      <c r="AH407" s="9">
        <f>INDEX(LINEST(L148:L407,M148:T407,TRUE,TRUE),1,2)</f>
        <v/>
      </c>
      <c r="AI407" s="9">
        <f>INDEX(LINEST(L148:L407,M148:T407,TRUE,TRUE),1,1)</f>
        <v/>
      </c>
      <c r="AJ407" s="10">
        <f>INDEX(LINEST(L148:L407,M148:T407,TRUE,TRUE),3,1)</f>
        <v/>
      </c>
      <c r="AK407" s="9">
        <f>AA406/52+AB406*M407+AC406*N407+AD406*O407+AE406*P407+AF406*Q407+AG406*R407+AH406*S407+AI406*T407</f>
        <v/>
      </c>
      <c r="AL407" s="9">
        <f>AVERAGE(L147:L406)</f>
        <v/>
      </c>
    </row>
    <row r="408">
      <c r="A408" s="7" t="n">
        <v>40459</v>
      </c>
      <c r="B408" s="8" t="n">
        <v>1341.5</v>
      </c>
      <c r="C408" s="8" t="n">
        <v>1.96</v>
      </c>
      <c r="D408" s="8" t="n">
        <v>0.45</v>
      </c>
      <c r="E408" s="8" t="n">
        <v>77.31999999999999</v>
      </c>
      <c r="F408" s="8" t="n">
        <v>82.66</v>
      </c>
      <c r="G408" s="8" t="n">
        <v>20.71</v>
      </c>
      <c r="H408" s="8" t="n">
        <v>80.099998</v>
      </c>
      <c r="I408" s="8" t="n">
        <v>1165.150024</v>
      </c>
      <c r="J408" s="8" t="n">
        <v>70.49211099999999</v>
      </c>
      <c r="L408" s="9">
        <f>LN(B408/B407)</f>
        <v/>
      </c>
      <c r="M408" s="9">
        <f>$M$1*(C408-C407)</f>
        <v/>
      </c>
      <c r="N408" s="9">
        <f>$N$1*(D408-D407)</f>
        <v/>
      </c>
      <c r="O408" s="9">
        <f>$O$1*LN(E408/E407)</f>
        <v/>
      </c>
      <c r="P408" s="9">
        <f>$P$1*LN(F408/F407)</f>
        <v/>
      </c>
      <c r="Q408" s="9">
        <f>$Q$1*(G408-G407)</f>
        <v/>
      </c>
      <c r="R408" s="9">
        <f>$R$1*(H408-H407)</f>
        <v/>
      </c>
      <c r="S408" s="9">
        <f>$S$1*LN(I408/I407)</f>
        <v/>
      </c>
      <c r="T408" s="9">
        <f>$T$1*LN(J408/J407)</f>
        <v/>
      </c>
      <c r="U408" s="9">
        <f>$W$12+$W$4*M408+$W$5*N408+$W$6*O408+$W$7*P408+$W$8*Q408+$W$9*R408+$W$10*S408+$W$11*T408</f>
        <v/>
      </c>
      <c r="AA408" s="10">
        <f>INDEX(LINEST(L149:L408,M149:T408,TRUE,TRUE),1,9)*52</f>
        <v/>
      </c>
      <c r="AB408" s="9">
        <f>INDEX(LINEST(L149:L408,M149:T408,TRUE,TRUE),1,8)</f>
        <v/>
      </c>
      <c r="AC408" s="9">
        <f>INDEX(LINEST(L149:L408,M149:T408,TRUE,TRUE),1,7)</f>
        <v/>
      </c>
      <c r="AD408" s="9">
        <f>INDEX(LINEST(L149:L408,M149:T408,TRUE,TRUE),1,6)</f>
        <v/>
      </c>
      <c r="AE408" s="9">
        <f>INDEX(LINEST(L149:L408,M149:T408,TRUE,TRUE),1,5)</f>
        <v/>
      </c>
      <c r="AF408" s="9">
        <f>INDEX(LINEST(L149:L408,M149:T408,TRUE,TRUE),1,4)</f>
        <v/>
      </c>
      <c r="AG408" s="9">
        <f>INDEX(LINEST(L149:L408,M149:T408,TRUE,TRUE),1,3)</f>
        <v/>
      </c>
      <c r="AH408" s="9">
        <f>INDEX(LINEST(L149:L408,M149:T408,TRUE,TRUE),1,2)</f>
        <v/>
      </c>
      <c r="AI408" s="9">
        <f>INDEX(LINEST(L149:L408,M149:T408,TRUE,TRUE),1,1)</f>
        <v/>
      </c>
      <c r="AJ408" s="10">
        <f>INDEX(LINEST(L149:L408,M149:T408,TRUE,TRUE),3,1)</f>
        <v/>
      </c>
      <c r="AK408" s="9">
        <f>AA407/52+AB407*M408+AC407*N408+AD407*O408+AE407*P408+AF407*Q408+AG407*R408+AH407*S408+AI407*T408</f>
        <v/>
      </c>
      <c r="AL408" s="9">
        <f>AVERAGE(L148:L407)</f>
        <v/>
      </c>
    </row>
    <row r="409">
      <c r="A409" s="7" t="n">
        <v>40466</v>
      </c>
      <c r="B409" s="8" t="n">
        <v>1367.5</v>
      </c>
      <c r="C409" s="8" t="n">
        <v>2.09</v>
      </c>
      <c r="D409" s="8" t="n">
        <v>0.5</v>
      </c>
      <c r="E409" s="8" t="n">
        <v>77.040001</v>
      </c>
      <c r="F409" s="8" t="n">
        <v>81.23</v>
      </c>
      <c r="G409" s="8" t="n">
        <v>19.03</v>
      </c>
      <c r="H409" s="8" t="n">
        <v>88.099998</v>
      </c>
      <c r="I409" s="8" t="n">
        <v>1176.189941</v>
      </c>
      <c r="J409" s="8" t="n">
        <v>69.97389200000001</v>
      </c>
      <c r="L409" s="9">
        <f>LN(B409/B408)</f>
        <v/>
      </c>
      <c r="M409" s="9">
        <f>$M$1*(C409-C408)</f>
        <v/>
      </c>
      <c r="N409" s="9">
        <f>$N$1*(D409-D408)</f>
        <v/>
      </c>
      <c r="O409" s="9">
        <f>$O$1*LN(E409/E408)</f>
        <v/>
      </c>
      <c r="P409" s="9">
        <f>$P$1*LN(F409/F408)</f>
        <v/>
      </c>
      <c r="Q409" s="9">
        <f>$Q$1*(G409-G408)</f>
        <v/>
      </c>
      <c r="R409" s="9">
        <f>$R$1*(H409-H408)</f>
        <v/>
      </c>
      <c r="S409" s="9">
        <f>$S$1*LN(I409/I408)</f>
        <v/>
      </c>
      <c r="T409" s="9">
        <f>$T$1*LN(J409/J408)</f>
        <v/>
      </c>
      <c r="U409" s="9">
        <f>$W$12+$W$4*M409+$W$5*N409+$W$6*O409+$W$7*P409+$W$8*Q409+$W$9*R409+$W$10*S409+$W$11*T409</f>
        <v/>
      </c>
      <c r="AA409" s="10">
        <f>INDEX(LINEST(L150:L409,M150:T409,TRUE,TRUE),1,9)*52</f>
        <v/>
      </c>
      <c r="AB409" s="9">
        <f>INDEX(LINEST(L150:L409,M150:T409,TRUE,TRUE),1,8)</f>
        <v/>
      </c>
      <c r="AC409" s="9">
        <f>INDEX(LINEST(L150:L409,M150:T409,TRUE,TRUE),1,7)</f>
        <v/>
      </c>
      <c r="AD409" s="9">
        <f>INDEX(LINEST(L150:L409,M150:T409,TRUE,TRUE),1,6)</f>
        <v/>
      </c>
      <c r="AE409" s="9">
        <f>INDEX(LINEST(L150:L409,M150:T409,TRUE,TRUE),1,5)</f>
        <v/>
      </c>
      <c r="AF409" s="9">
        <f>INDEX(LINEST(L150:L409,M150:T409,TRUE,TRUE),1,4)</f>
        <v/>
      </c>
      <c r="AG409" s="9">
        <f>INDEX(LINEST(L150:L409,M150:T409,TRUE,TRUE),1,3)</f>
        <v/>
      </c>
      <c r="AH409" s="9">
        <f>INDEX(LINEST(L150:L409,M150:T409,TRUE,TRUE),1,2)</f>
        <v/>
      </c>
      <c r="AI409" s="9">
        <f>INDEX(LINEST(L150:L409,M150:T409,TRUE,TRUE),1,1)</f>
        <v/>
      </c>
      <c r="AJ409" s="10">
        <f>INDEX(LINEST(L150:L409,M150:T409,TRUE,TRUE),3,1)</f>
        <v/>
      </c>
      <c r="AK409" s="9">
        <f>AA408/52+AB408*M409+AC408*N409+AD408*O409+AE408*P409+AF408*Q409+AG408*R409+AH408*S409+AI408*T409</f>
        <v/>
      </c>
      <c r="AL409" s="9">
        <f>AVERAGE(L149:L408)</f>
        <v/>
      </c>
    </row>
    <row r="410">
      <c r="A410" s="7" t="n">
        <v>40473</v>
      </c>
      <c r="B410" s="8" t="n">
        <v>1322.5</v>
      </c>
      <c r="C410" s="8" t="n">
        <v>2.09</v>
      </c>
      <c r="D410" s="8" t="n">
        <v>0.5</v>
      </c>
      <c r="E410" s="8" t="n">
        <v>77.470001</v>
      </c>
      <c r="F410" s="8" t="n">
        <v>81.15000000000001</v>
      </c>
      <c r="G410" s="8" t="n">
        <v>18.78</v>
      </c>
      <c r="H410" s="8" t="n">
        <v>92.400002</v>
      </c>
      <c r="I410" s="8" t="n">
        <v>1183.079956</v>
      </c>
      <c r="J410" s="8" t="n">
        <v>70.28478200000001</v>
      </c>
      <c r="L410" s="9">
        <f>LN(B410/B409)</f>
        <v/>
      </c>
      <c r="M410" s="9">
        <f>$M$1*(C410-C409)</f>
        <v/>
      </c>
      <c r="N410" s="9">
        <f>$N$1*(D410-D409)</f>
        <v/>
      </c>
      <c r="O410" s="9">
        <f>$O$1*LN(E410/E409)</f>
        <v/>
      </c>
      <c r="P410" s="9">
        <f>$P$1*LN(F410/F409)</f>
        <v/>
      </c>
      <c r="Q410" s="9">
        <f>$Q$1*(G410-G409)</f>
        <v/>
      </c>
      <c r="R410" s="9">
        <f>$R$1*(H410-H409)</f>
        <v/>
      </c>
      <c r="S410" s="9">
        <f>$S$1*LN(I410/I409)</f>
        <v/>
      </c>
      <c r="T410" s="9">
        <f>$T$1*LN(J410/J409)</f>
        <v/>
      </c>
      <c r="U410" s="9">
        <f>$W$12+$W$4*M410+$W$5*N410+$W$6*O410+$W$7*P410+$W$8*Q410+$W$9*R410+$W$10*S410+$W$11*T410</f>
        <v/>
      </c>
      <c r="AA410" s="10">
        <f>INDEX(LINEST(L151:L410,M151:T410,TRUE,TRUE),1,9)*52</f>
        <v/>
      </c>
      <c r="AB410" s="9">
        <f>INDEX(LINEST(L151:L410,M151:T410,TRUE,TRUE),1,8)</f>
        <v/>
      </c>
      <c r="AC410" s="9">
        <f>INDEX(LINEST(L151:L410,M151:T410,TRUE,TRUE),1,7)</f>
        <v/>
      </c>
      <c r="AD410" s="9">
        <f>INDEX(LINEST(L151:L410,M151:T410,TRUE,TRUE),1,6)</f>
        <v/>
      </c>
      <c r="AE410" s="9">
        <f>INDEX(LINEST(L151:L410,M151:T410,TRUE,TRUE),1,5)</f>
        <v/>
      </c>
      <c r="AF410" s="9">
        <f>INDEX(LINEST(L151:L410,M151:T410,TRUE,TRUE),1,4)</f>
        <v/>
      </c>
      <c r="AG410" s="9">
        <f>INDEX(LINEST(L151:L410,M151:T410,TRUE,TRUE),1,3)</f>
        <v/>
      </c>
      <c r="AH410" s="9">
        <f>INDEX(LINEST(L151:L410,M151:T410,TRUE,TRUE),1,2)</f>
        <v/>
      </c>
      <c r="AI410" s="9">
        <f>INDEX(LINEST(L151:L410,M151:T410,TRUE,TRUE),1,1)</f>
        <v/>
      </c>
      <c r="AJ410" s="10">
        <f>INDEX(LINEST(L151:L410,M151:T410,TRUE,TRUE),3,1)</f>
        <v/>
      </c>
      <c r="AK410" s="9">
        <f>AA409/52+AB409*M410+AC409*N410+AD409*O410+AE409*P410+AF409*Q410+AG409*R410+AH409*S410+AI409*T410</f>
        <v/>
      </c>
      <c r="AL410" s="9">
        <f>AVERAGE(L150:L409)</f>
        <v/>
      </c>
    </row>
    <row r="411">
      <c r="A411" s="7" t="n">
        <v>40480</v>
      </c>
      <c r="B411" s="8" t="n">
        <v>1346.75</v>
      </c>
      <c r="C411" s="8" t="n">
        <v>2.13</v>
      </c>
      <c r="D411" s="8" t="n">
        <v>0.5</v>
      </c>
      <c r="E411" s="8" t="n">
        <v>77.269997</v>
      </c>
      <c r="F411" s="8" t="n">
        <v>81.45</v>
      </c>
      <c r="G411" s="8" t="n">
        <v>21.2</v>
      </c>
      <c r="H411" s="8" t="n">
        <v>99.800003</v>
      </c>
      <c r="I411" s="8" t="n">
        <v>1183.26001</v>
      </c>
      <c r="J411" s="8" t="n">
        <v>70.31719200000001</v>
      </c>
      <c r="L411" s="9">
        <f>LN(B411/B410)</f>
        <v/>
      </c>
      <c r="M411" s="9">
        <f>$M$1*(C411-C410)</f>
        <v/>
      </c>
      <c r="N411" s="9">
        <f>$N$1*(D411-D410)</f>
        <v/>
      </c>
      <c r="O411" s="9">
        <f>$O$1*LN(E411/E410)</f>
        <v/>
      </c>
      <c r="P411" s="9">
        <f>$P$1*LN(F411/F410)</f>
        <v/>
      </c>
      <c r="Q411" s="9">
        <f>$Q$1*(G411-G410)</f>
        <v/>
      </c>
      <c r="R411" s="9">
        <f>$R$1*(H411-H410)</f>
        <v/>
      </c>
      <c r="S411" s="9">
        <f>$S$1*LN(I411/I410)</f>
        <v/>
      </c>
      <c r="T411" s="9">
        <f>$T$1*LN(J411/J410)</f>
        <v/>
      </c>
      <c r="U411" s="9">
        <f>$W$12+$W$4*M411+$W$5*N411+$W$6*O411+$W$7*P411+$W$8*Q411+$W$9*R411+$W$10*S411+$W$11*T411</f>
        <v/>
      </c>
      <c r="AA411" s="10">
        <f>INDEX(LINEST(L152:L411,M152:T411,TRUE,TRUE),1,9)*52</f>
        <v/>
      </c>
      <c r="AB411" s="9">
        <f>INDEX(LINEST(L152:L411,M152:T411,TRUE,TRUE),1,8)</f>
        <v/>
      </c>
      <c r="AC411" s="9">
        <f>INDEX(LINEST(L152:L411,M152:T411,TRUE,TRUE),1,7)</f>
        <v/>
      </c>
      <c r="AD411" s="9">
        <f>INDEX(LINEST(L152:L411,M152:T411,TRUE,TRUE),1,6)</f>
        <v/>
      </c>
      <c r="AE411" s="9">
        <f>INDEX(LINEST(L152:L411,M152:T411,TRUE,TRUE),1,5)</f>
        <v/>
      </c>
      <c r="AF411" s="9">
        <f>INDEX(LINEST(L152:L411,M152:T411,TRUE,TRUE),1,4)</f>
        <v/>
      </c>
      <c r="AG411" s="9">
        <f>INDEX(LINEST(L152:L411,M152:T411,TRUE,TRUE),1,3)</f>
        <v/>
      </c>
      <c r="AH411" s="9">
        <f>INDEX(LINEST(L152:L411,M152:T411,TRUE,TRUE),1,2)</f>
        <v/>
      </c>
      <c r="AI411" s="9">
        <f>INDEX(LINEST(L152:L411,M152:T411,TRUE,TRUE),1,1)</f>
        <v/>
      </c>
      <c r="AJ411" s="10">
        <f>INDEX(LINEST(L152:L411,M152:T411,TRUE,TRUE),3,1)</f>
        <v/>
      </c>
      <c r="AK411" s="9">
        <f>AA410/52+AB410*M411+AC410*N411+AD410*O411+AE410*P411+AF410*Q411+AG410*R411+AH410*S411+AI410*T411</f>
        <v/>
      </c>
      <c r="AL411" s="9">
        <f>AVERAGE(L151:L410)</f>
        <v/>
      </c>
    </row>
    <row r="412">
      <c r="A412" s="7" t="n">
        <v>40487</v>
      </c>
      <c r="B412" s="8" t="n">
        <v>1395.5</v>
      </c>
      <c r="C412" s="8" t="n">
        <v>2.1</v>
      </c>
      <c r="D412" s="8" t="n">
        <v>0.48</v>
      </c>
      <c r="E412" s="8" t="n">
        <v>76.550003</v>
      </c>
      <c r="F412" s="8" t="n">
        <v>86.84999999999999</v>
      </c>
      <c r="G412" s="8" t="n">
        <v>18.26</v>
      </c>
      <c r="H412" s="8" t="n">
        <v>81.699997</v>
      </c>
      <c r="I412" s="8" t="n">
        <v>1225.849976</v>
      </c>
      <c r="J412" s="8" t="n">
        <v>70.541901</v>
      </c>
      <c r="L412" s="9">
        <f>LN(B412/B411)</f>
        <v/>
      </c>
      <c r="M412" s="9">
        <f>$M$1*(C412-C411)</f>
        <v/>
      </c>
      <c r="N412" s="9">
        <f>$N$1*(D412-D411)</f>
        <v/>
      </c>
      <c r="O412" s="9">
        <f>$O$1*LN(E412/E411)</f>
        <v/>
      </c>
      <c r="P412" s="9">
        <f>$P$1*LN(F412/F411)</f>
        <v/>
      </c>
      <c r="Q412" s="9">
        <f>$Q$1*(G412-G411)</f>
        <v/>
      </c>
      <c r="R412" s="9">
        <f>$R$1*(H412-H411)</f>
        <v/>
      </c>
      <c r="S412" s="9">
        <f>$S$1*LN(I412/I411)</f>
        <v/>
      </c>
      <c r="T412" s="9">
        <f>$T$1*LN(J412/J411)</f>
        <v/>
      </c>
      <c r="U412" s="9">
        <f>$W$12+$W$4*M412+$W$5*N412+$W$6*O412+$W$7*P412+$W$8*Q412+$W$9*R412+$W$10*S412+$W$11*T412</f>
        <v/>
      </c>
      <c r="AA412" s="10">
        <f>INDEX(LINEST(L153:L412,M153:T412,TRUE,TRUE),1,9)*52</f>
        <v/>
      </c>
      <c r="AB412" s="9">
        <f>INDEX(LINEST(L153:L412,M153:T412,TRUE,TRUE),1,8)</f>
        <v/>
      </c>
      <c r="AC412" s="9">
        <f>INDEX(LINEST(L153:L412,M153:T412,TRUE,TRUE),1,7)</f>
        <v/>
      </c>
      <c r="AD412" s="9">
        <f>INDEX(LINEST(L153:L412,M153:T412,TRUE,TRUE),1,6)</f>
        <v/>
      </c>
      <c r="AE412" s="9">
        <f>INDEX(LINEST(L153:L412,M153:T412,TRUE,TRUE),1,5)</f>
        <v/>
      </c>
      <c r="AF412" s="9">
        <f>INDEX(LINEST(L153:L412,M153:T412,TRUE,TRUE),1,4)</f>
        <v/>
      </c>
      <c r="AG412" s="9">
        <f>INDEX(LINEST(L153:L412,M153:T412,TRUE,TRUE),1,3)</f>
        <v/>
      </c>
      <c r="AH412" s="9">
        <f>INDEX(LINEST(L153:L412,M153:T412,TRUE,TRUE),1,2)</f>
        <v/>
      </c>
      <c r="AI412" s="9">
        <f>INDEX(LINEST(L153:L412,M153:T412,TRUE,TRUE),1,1)</f>
        <v/>
      </c>
      <c r="AJ412" s="10">
        <f>INDEX(LINEST(L153:L412,M153:T412,TRUE,TRUE),3,1)</f>
        <v/>
      </c>
      <c r="AK412" s="9">
        <f>AA411/52+AB411*M412+AC411*N412+AD411*O412+AE411*P412+AF411*Q412+AG411*R412+AH411*S412+AI411*T412</f>
        <v/>
      </c>
      <c r="AL412" s="9">
        <f>AVERAGE(L152:L411)</f>
        <v/>
      </c>
    </row>
    <row r="413">
      <c r="A413" s="7" t="n">
        <v>40494</v>
      </c>
      <c r="B413" s="8" t="n">
        <v>1388.5</v>
      </c>
      <c r="C413" s="8" t="n">
        <v>2.05</v>
      </c>
      <c r="D413" s="8" t="n">
        <v>0.71</v>
      </c>
      <c r="E413" s="8" t="n">
        <v>78.08000199999999</v>
      </c>
      <c r="F413" s="8" t="n">
        <v>84.89</v>
      </c>
      <c r="G413" s="8" t="n">
        <v>20.61</v>
      </c>
      <c r="H413" s="8" t="n">
        <v>97.699997</v>
      </c>
      <c r="I413" s="8" t="n">
        <v>1199.209961</v>
      </c>
      <c r="J413" s="8" t="n">
        <v>69.82096900000001</v>
      </c>
      <c r="L413" s="9">
        <f>LN(B413/B412)</f>
        <v/>
      </c>
      <c r="M413" s="9">
        <f>$M$1*(C413-C412)</f>
        <v/>
      </c>
      <c r="N413" s="9">
        <f>$N$1*(D413-D412)</f>
        <v/>
      </c>
      <c r="O413" s="9">
        <f>$O$1*LN(E413/E412)</f>
        <v/>
      </c>
      <c r="P413" s="9">
        <f>$P$1*LN(F413/F412)</f>
        <v/>
      </c>
      <c r="Q413" s="9">
        <f>$Q$1*(G413-G412)</f>
        <v/>
      </c>
      <c r="R413" s="9">
        <f>$R$1*(H413-H412)</f>
        <v/>
      </c>
      <c r="S413" s="9">
        <f>$S$1*LN(I413/I412)</f>
        <v/>
      </c>
      <c r="T413" s="9">
        <f>$T$1*LN(J413/J412)</f>
        <v/>
      </c>
      <c r="U413" s="9">
        <f>$W$12+$W$4*M413+$W$5*N413+$W$6*O413+$W$7*P413+$W$8*Q413+$W$9*R413+$W$10*S413+$W$11*T413</f>
        <v/>
      </c>
      <c r="AA413" s="10">
        <f>INDEX(LINEST(L154:L413,M154:T413,TRUE,TRUE),1,9)*52</f>
        <v/>
      </c>
      <c r="AB413" s="9">
        <f>INDEX(LINEST(L154:L413,M154:T413,TRUE,TRUE),1,8)</f>
        <v/>
      </c>
      <c r="AC413" s="9">
        <f>INDEX(LINEST(L154:L413,M154:T413,TRUE,TRUE),1,7)</f>
        <v/>
      </c>
      <c r="AD413" s="9">
        <f>INDEX(LINEST(L154:L413,M154:T413,TRUE,TRUE),1,6)</f>
        <v/>
      </c>
      <c r="AE413" s="9">
        <f>INDEX(LINEST(L154:L413,M154:T413,TRUE,TRUE),1,5)</f>
        <v/>
      </c>
      <c r="AF413" s="9">
        <f>INDEX(LINEST(L154:L413,M154:T413,TRUE,TRUE),1,4)</f>
        <v/>
      </c>
      <c r="AG413" s="9">
        <f>INDEX(LINEST(L154:L413,M154:T413,TRUE,TRUE),1,3)</f>
        <v/>
      </c>
      <c r="AH413" s="9">
        <f>INDEX(LINEST(L154:L413,M154:T413,TRUE,TRUE),1,2)</f>
        <v/>
      </c>
      <c r="AI413" s="9">
        <f>INDEX(LINEST(L154:L413,M154:T413,TRUE,TRUE),1,1)</f>
        <v/>
      </c>
      <c r="AJ413" s="10">
        <f>INDEX(LINEST(L154:L413,M154:T413,TRUE,TRUE),3,1)</f>
        <v/>
      </c>
      <c r="AK413" s="9">
        <f>AA412/52+AB412*M413+AC412*N413+AD412*O413+AE412*P413+AF412*Q413+AG412*R413+AH412*S413+AI412*T413</f>
        <v/>
      </c>
      <c r="AL413" s="9">
        <f>AVERAGE(L153:L412)</f>
        <v/>
      </c>
    </row>
    <row r="414">
      <c r="A414" s="7" t="n">
        <v>40501</v>
      </c>
      <c r="B414" s="8" t="n">
        <v>1342.5</v>
      </c>
      <c r="C414" s="8" t="n">
        <v>2.11</v>
      </c>
      <c r="D414" s="8" t="n">
        <v>0.77</v>
      </c>
      <c r="E414" s="8" t="n">
        <v>78.5</v>
      </c>
      <c r="F414" s="8" t="n">
        <v>81.65000000000001</v>
      </c>
      <c r="G414" s="8" t="n">
        <v>18.04</v>
      </c>
      <c r="H414" s="8" t="n">
        <v>94.5</v>
      </c>
      <c r="I414" s="8" t="n">
        <v>1199.72998</v>
      </c>
      <c r="J414" s="8" t="n">
        <v>69.68465399999999</v>
      </c>
      <c r="L414" s="9">
        <f>LN(B414/B413)</f>
        <v/>
      </c>
      <c r="M414" s="9">
        <f>$M$1*(C414-C413)</f>
        <v/>
      </c>
      <c r="N414" s="9">
        <f>$N$1*(D414-D413)</f>
        <v/>
      </c>
      <c r="O414" s="9">
        <f>$O$1*LN(E414/E413)</f>
        <v/>
      </c>
      <c r="P414" s="9">
        <f>$P$1*LN(F414/F413)</f>
        <v/>
      </c>
      <c r="Q414" s="9">
        <f>$Q$1*(G414-G413)</f>
        <v/>
      </c>
      <c r="R414" s="9">
        <f>$R$1*(H414-H413)</f>
        <v/>
      </c>
      <c r="S414" s="9">
        <f>$S$1*LN(I414/I413)</f>
        <v/>
      </c>
      <c r="T414" s="9">
        <f>$T$1*LN(J414/J413)</f>
        <v/>
      </c>
      <c r="U414" s="9">
        <f>$W$12+$W$4*M414+$W$5*N414+$W$6*O414+$W$7*P414+$W$8*Q414+$W$9*R414+$W$10*S414+$W$11*T414</f>
        <v/>
      </c>
      <c r="AA414" s="10">
        <f>INDEX(LINEST(L155:L414,M155:T414,TRUE,TRUE),1,9)*52</f>
        <v/>
      </c>
      <c r="AB414" s="9">
        <f>INDEX(LINEST(L155:L414,M155:T414,TRUE,TRUE),1,8)</f>
        <v/>
      </c>
      <c r="AC414" s="9">
        <f>INDEX(LINEST(L155:L414,M155:T414,TRUE,TRUE),1,7)</f>
        <v/>
      </c>
      <c r="AD414" s="9">
        <f>INDEX(LINEST(L155:L414,M155:T414,TRUE,TRUE),1,6)</f>
        <v/>
      </c>
      <c r="AE414" s="9">
        <f>INDEX(LINEST(L155:L414,M155:T414,TRUE,TRUE),1,5)</f>
        <v/>
      </c>
      <c r="AF414" s="9">
        <f>INDEX(LINEST(L155:L414,M155:T414,TRUE,TRUE),1,4)</f>
        <v/>
      </c>
      <c r="AG414" s="9">
        <f>INDEX(LINEST(L155:L414,M155:T414,TRUE,TRUE),1,3)</f>
        <v/>
      </c>
      <c r="AH414" s="9">
        <f>INDEX(LINEST(L155:L414,M155:T414,TRUE,TRUE),1,2)</f>
        <v/>
      </c>
      <c r="AI414" s="9">
        <f>INDEX(LINEST(L155:L414,M155:T414,TRUE,TRUE),1,1)</f>
        <v/>
      </c>
      <c r="AJ414" s="10">
        <f>INDEX(LINEST(L155:L414,M155:T414,TRUE,TRUE),3,1)</f>
        <v/>
      </c>
      <c r="AK414" s="9">
        <f>AA413/52+AB413*M414+AC413*N414+AD413*O414+AE413*P414+AF413*Q414+AG413*R414+AH413*S414+AI413*T414</f>
        <v/>
      </c>
      <c r="AL414" s="9">
        <f>AVERAGE(L154:L413)</f>
        <v/>
      </c>
    </row>
    <row r="415">
      <c r="A415" s="7" t="n">
        <v>40508</v>
      </c>
      <c r="B415" s="8" t="n">
        <v>1355</v>
      </c>
      <c r="C415" s="8" t="n">
        <v>2.12</v>
      </c>
      <c r="D415" s="8" t="n">
        <v>0.75</v>
      </c>
      <c r="E415" s="8" t="n">
        <v>80.360001</v>
      </c>
      <c r="F415" s="8" t="n">
        <v>83.87</v>
      </c>
      <c r="G415" s="8" t="n">
        <v>22.22</v>
      </c>
      <c r="H415" s="8" t="n">
        <v>100.800003</v>
      </c>
      <c r="I415" s="8" t="n">
        <v>1189.400024</v>
      </c>
      <c r="J415" s="8" t="n">
        <v>69.730064</v>
      </c>
      <c r="L415" s="9">
        <f>LN(B415/B414)</f>
        <v/>
      </c>
      <c r="M415" s="9">
        <f>$M$1*(C415-C414)</f>
        <v/>
      </c>
      <c r="N415" s="9">
        <f>$N$1*(D415-D414)</f>
        <v/>
      </c>
      <c r="O415" s="9">
        <f>$O$1*LN(E415/E414)</f>
        <v/>
      </c>
      <c r="P415" s="9">
        <f>$P$1*LN(F415/F414)</f>
        <v/>
      </c>
      <c r="Q415" s="9">
        <f>$Q$1*(G415-G414)</f>
        <v/>
      </c>
      <c r="R415" s="9">
        <f>$R$1*(H415-H414)</f>
        <v/>
      </c>
      <c r="S415" s="9">
        <f>$S$1*LN(I415/I414)</f>
        <v/>
      </c>
      <c r="T415" s="9">
        <f>$T$1*LN(J415/J414)</f>
        <v/>
      </c>
      <c r="U415" s="9">
        <f>$W$12+$W$4*M415+$W$5*N415+$W$6*O415+$W$7*P415+$W$8*Q415+$W$9*R415+$W$10*S415+$W$11*T415</f>
        <v/>
      </c>
      <c r="AA415" s="10">
        <f>INDEX(LINEST(L156:L415,M156:T415,TRUE,TRUE),1,9)*52</f>
        <v/>
      </c>
      <c r="AB415" s="9">
        <f>INDEX(LINEST(L156:L415,M156:T415,TRUE,TRUE),1,8)</f>
        <v/>
      </c>
      <c r="AC415" s="9">
        <f>INDEX(LINEST(L156:L415,M156:T415,TRUE,TRUE),1,7)</f>
        <v/>
      </c>
      <c r="AD415" s="9">
        <f>INDEX(LINEST(L156:L415,M156:T415,TRUE,TRUE),1,6)</f>
        <v/>
      </c>
      <c r="AE415" s="9">
        <f>INDEX(LINEST(L156:L415,M156:T415,TRUE,TRUE),1,5)</f>
        <v/>
      </c>
      <c r="AF415" s="9">
        <f>INDEX(LINEST(L156:L415,M156:T415,TRUE,TRUE),1,4)</f>
        <v/>
      </c>
      <c r="AG415" s="9">
        <f>INDEX(LINEST(L156:L415,M156:T415,TRUE,TRUE),1,3)</f>
        <v/>
      </c>
      <c r="AH415" s="9">
        <f>INDEX(LINEST(L156:L415,M156:T415,TRUE,TRUE),1,2)</f>
        <v/>
      </c>
      <c r="AI415" s="9">
        <f>INDEX(LINEST(L156:L415,M156:T415,TRUE,TRUE),1,1)</f>
        <v/>
      </c>
      <c r="AJ415" s="10">
        <f>INDEX(LINEST(L156:L415,M156:T415,TRUE,TRUE),3,1)</f>
        <v/>
      </c>
      <c r="AK415" s="9">
        <f>AA414/52+AB414*M415+AC414*N415+AD414*O415+AE414*P415+AF414*Q415+AG414*R415+AH414*S415+AI414*T415</f>
        <v/>
      </c>
      <c r="AL415" s="9">
        <f>AVERAGE(L155:L414)</f>
        <v/>
      </c>
    </row>
    <row r="416">
      <c r="A416" s="7" t="n">
        <v>40515</v>
      </c>
      <c r="B416" s="8" t="n">
        <v>1403.5</v>
      </c>
      <c r="C416" s="8" t="n">
        <v>2.17</v>
      </c>
      <c r="D416" s="8" t="n">
        <v>0.86</v>
      </c>
      <c r="E416" s="8" t="n">
        <v>79.379997</v>
      </c>
      <c r="F416" s="8" t="n">
        <v>89.18000000000001</v>
      </c>
      <c r="G416" s="8" t="n">
        <v>18.01</v>
      </c>
      <c r="H416" s="8" t="n">
        <v>102.699997</v>
      </c>
      <c r="I416" s="8" t="n">
        <v>1224.709961</v>
      </c>
      <c r="J416" s="8" t="n">
        <v>69.366508</v>
      </c>
      <c r="L416" s="9">
        <f>LN(B416/B415)</f>
        <v/>
      </c>
      <c r="M416" s="9">
        <f>$M$1*(C416-C415)</f>
        <v/>
      </c>
      <c r="N416" s="9">
        <f>$N$1*(D416-D415)</f>
        <v/>
      </c>
      <c r="O416" s="9">
        <f>$O$1*LN(E416/E415)</f>
        <v/>
      </c>
      <c r="P416" s="9">
        <f>$P$1*LN(F416/F415)</f>
        <v/>
      </c>
      <c r="Q416" s="9">
        <f>$Q$1*(G416-G415)</f>
        <v/>
      </c>
      <c r="R416" s="9">
        <f>$R$1*(H416-H415)</f>
        <v/>
      </c>
      <c r="S416" s="9">
        <f>$S$1*LN(I416/I415)</f>
        <v/>
      </c>
      <c r="T416" s="9">
        <f>$T$1*LN(J416/J415)</f>
        <v/>
      </c>
      <c r="U416" s="9">
        <f>$W$12+$W$4*M416+$W$5*N416+$W$6*O416+$W$7*P416+$W$8*Q416+$W$9*R416+$W$10*S416+$W$11*T416</f>
        <v/>
      </c>
      <c r="AA416" s="10">
        <f>INDEX(LINEST(L157:L416,M157:T416,TRUE,TRUE),1,9)*52</f>
        <v/>
      </c>
      <c r="AB416" s="9">
        <f>INDEX(LINEST(L157:L416,M157:T416,TRUE,TRUE),1,8)</f>
        <v/>
      </c>
      <c r="AC416" s="9">
        <f>INDEX(LINEST(L157:L416,M157:T416,TRUE,TRUE),1,7)</f>
        <v/>
      </c>
      <c r="AD416" s="9">
        <f>INDEX(LINEST(L157:L416,M157:T416,TRUE,TRUE),1,6)</f>
        <v/>
      </c>
      <c r="AE416" s="9">
        <f>INDEX(LINEST(L157:L416,M157:T416,TRUE,TRUE),1,5)</f>
        <v/>
      </c>
      <c r="AF416" s="9">
        <f>INDEX(LINEST(L157:L416,M157:T416,TRUE,TRUE),1,4)</f>
        <v/>
      </c>
      <c r="AG416" s="9">
        <f>INDEX(LINEST(L157:L416,M157:T416,TRUE,TRUE),1,3)</f>
        <v/>
      </c>
      <c r="AH416" s="9">
        <f>INDEX(LINEST(L157:L416,M157:T416,TRUE,TRUE),1,2)</f>
        <v/>
      </c>
      <c r="AI416" s="9">
        <f>INDEX(LINEST(L157:L416,M157:T416,TRUE,TRUE),1,1)</f>
        <v/>
      </c>
      <c r="AJ416" s="10">
        <f>INDEX(LINEST(L157:L416,M157:T416,TRUE,TRUE),3,1)</f>
        <v/>
      </c>
      <c r="AK416" s="9">
        <f>AA415/52+AB415*M416+AC415*N416+AD415*O416+AE415*P416+AF415*Q416+AG415*R416+AH415*S416+AI415*T416</f>
        <v/>
      </c>
      <c r="AL416" s="9">
        <f>AVERAGE(L156:L415)</f>
        <v/>
      </c>
    </row>
    <row r="417">
      <c r="A417" s="7" t="n">
        <v>40522</v>
      </c>
      <c r="B417" s="8" t="n">
        <v>1375.25</v>
      </c>
      <c r="C417" s="8" t="n">
        <v>2.16</v>
      </c>
      <c r="D417" s="8" t="n">
        <v>1.16</v>
      </c>
      <c r="E417" s="8" t="n">
        <v>80.06999999999999</v>
      </c>
      <c r="F417" s="8" t="n">
        <v>87.81</v>
      </c>
      <c r="G417" s="8" t="n">
        <v>17.61</v>
      </c>
      <c r="H417" s="8" t="n">
        <v>110.800003</v>
      </c>
      <c r="I417" s="8" t="n">
        <v>1240.400024</v>
      </c>
      <c r="J417" s="8" t="n">
        <v>68.73981499999999</v>
      </c>
      <c r="L417" s="9">
        <f>LN(B417/B416)</f>
        <v/>
      </c>
      <c r="M417" s="9">
        <f>$M$1*(C417-C416)</f>
        <v/>
      </c>
      <c r="N417" s="9">
        <f>$N$1*(D417-D416)</f>
        <v/>
      </c>
      <c r="O417" s="9">
        <f>$O$1*LN(E417/E416)</f>
        <v/>
      </c>
      <c r="P417" s="9">
        <f>$P$1*LN(F417/F416)</f>
        <v/>
      </c>
      <c r="Q417" s="9">
        <f>$Q$1*(G417-G416)</f>
        <v/>
      </c>
      <c r="R417" s="9">
        <f>$R$1*(H417-H416)</f>
        <v/>
      </c>
      <c r="S417" s="9">
        <f>$S$1*LN(I417/I416)</f>
        <v/>
      </c>
      <c r="T417" s="9">
        <f>$T$1*LN(J417/J416)</f>
        <v/>
      </c>
      <c r="U417" s="9">
        <f>$W$12+$W$4*M417+$W$5*N417+$W$6*O417+$W$7*P417+$W$8*Q417+$W$9*R417+$W$10*S417+$W$11*T417</f>
        <v/>
      </c>
      <c r="AA417" s="10">
        <f>INDEX(LINEST(L158:L417,M158:T417,TRUE,TRUE),1,9)*52</f>
        <v/>
      </c>
      <c r="AB417" s="9">
        <f>INDEX(LINEST(L158:L417,M158:T417,TRUE,TRUE),1,8)</f>
        <v/>
      </c>
      <c r="AC417" s="9">
        <f>INDEX(LINEST(L158:L417,M158:T417,TRUE,TRUE),1,7)</f>
        <v/>
      </c>
      <c r="AD417" s="9">
        <f>INDEX(LINEST(L158:L417,M158:T417,TRUE,TRUE),1,6)</f>
        <v/>
      </c>
      <c r="AE417" s="9">
        <f>INDEX(LINEST(L158:L417,M158:T417,TRUE,TRUE),1,5)</f>
        <v/>
      </c>
      <c r="AF417" s="9">
        <f>INDEX(LINEST(L158:L417,M158:T417,TRUE,TRUE),1,4)</f>
        <v/>
      </c>
      <c r="AG417" s="9">
        <f>INDEX(LINEST(L158:L417,M158:T417,TRUE,TRUE),1,3)</f>
        <v/>
      </c>
      <c r="AH417" s="9">
        <f>INDEX(LINEST(L158:L417,M158:T417,TRUE,TRUE),1,2)</f>
        <v/>
      </c>
      <c r="AI417" s="9">
        <f>INDEX(LINEST(L158:L417,M158:T417,TRUE,TRUE),1,1)</f>
        <v/>
      </c>
      <c r="AJ417" s="10">
        <f>INDEX(LINEST(L158:L417,M158:T417,TRUE,TRUE),3,1)</f>
        <v/>
      </c>
      <c r="AK417" s="9">
        <f>AA416/52+AB416*M417+AC416*N417+AD416*O417+AE416*P417+AF416*Q417+AG416*R417+AH416*S417+AI416*T417</f>
        <v/>
      </c>
      <c r="AL417" s="9">
        <f>AVERAGE(L157:L416)</f>
        <v/>
      </c>
    </row>
    <row r="418">
      <c r="A418" s="7" t="n">
        <v>40529</v>
      </c>
      <c r="B418" s="8" t="n">
        <v>1368.5</v>
      </c>
      <c r="C418" s="8" t="n">
        <v>2.28</v>
      </c>
      <c r="D418" s="8" t="n">
        <v>1.05</v>
      </c>
      <c r="E418" s="8" t="n">
        <v>80.370003</v>
      </c>
      <c r="F418" s="8" t="n">
        <v>88.02</v>
      </c>
      <c r="G418" s="8" t="n">
        <v>16.11</v>
      </c>
      <c r="H418" s="8" t="n">
        <v>119.099998</v>
      </c>
      <c r="I418" s="8" t="n">
        <v>1243.910034</v>
      </c>
      <c r="J418" s="8" t="n">
        <v>68.785477</v>
      </c>
      <c r="L418" s="9">
        <f>LN(B418/B417)</f>
        <v/>
      </c>
      <c r="M418" s="9">
        <f>$M$1*(C418-C417)</f>
        <v/>
      </c>
      <c r="N418" s="9">
        <f>$N$1*(D418-D417)</f>
        <v/>
      </c>
      <c r="O418" s="9">
        <f>$O$1*LN(E418/E417)</f>
        <v/>
      </c>
      <c r="P418" s="9">
        <f>$P$1*LN(F418/F417)</f>
        <v/>
      </c>
      <c r="Q418" s="9">
        <f>$Q$1*(G418-G417)</f>
        <v/>
      </c>
      <c r="R418" s="9">
        <f>$R$1*(H418-H417)</f>
        <v/>
      </c>
      <c r="S418" s="9">
        <f>$S$1*LN(I418/I417)</f>
        <v/>
      </c>
      <c r="T418" s="9">
        <f>$T$1*LN(J418/J417)</f>
        <v/>
      </c>
      <c r="U418" s="9">
        <f>$W$12+$W$4*M418+$W$5*N418+$W$6*O418+$W$7*P418+$W$8*Q418+$W$9*R418+$W$10*S418+$W$11*T418</f>
        <v/>
      </c>
      <c r="AA418" s="10">
        <f>INDEX(LINEST(L159:L418,M159:T418,TRUE,TRUE),1,9)*52</f>
        <v/>
      </c>
      <c r="AB418" s="9">
        <f>INDEX(LINEST(L159:L418,M159:T418,TRUE,TRUE),1,8)</f>
        <v/>
      </c>
      <c r="AC418" s="9">
        <f>INDEX(LINEST(L159:L418,M159:T418,TRUE,TRUE),1,7)</f>
        <v/>
      </c>
      <c r="AD418" s="9">
        <f>INDEX(LINEST(L159:L418,M159:T418,TRUE,TRUE),1,6)</f>
        <v/>
      </c>
      <c r="AE418" s="9">
        <f>INDEX(LINEST(L159:L418,M159:T418,TRUE,TRUE),1,5)</f>
        <v/>
      </c>
      <c r="AF418" s="9">
        <f>INDEX(LINEST(L159:L418,M159:T418,TRUE,TRUE),1,4)</f>
        <v/>
      </c>
      <c r="AG418" s="9">
        <f>INDEX(LINEST(L159:L418,M159:T418,TRUE,TRUE),1,3)</f>
        <v/>
      </c>
      <c r="AH418" s="9">
        <f>INDEX(LINEST(L159:L418,M159:T418,TRUE,TRUE),1,2)</f>
        <v/>
      </c>
      <c r="AI418" s="9">
        <f>INDEX(LINEST(L159:L418,M159:T418,TRUE,TRUE),1,1)</f>
        <v/>
      </c>
      <c r="AJ418" s="10">
        <f>INDEX(LINEST(L159:L418,M159:T418,TRUE,TRUE),3,1)</f>
        <v/>
      </c>
      <c r="AK418" s="9">
        <f>AA417/52+AB417*M418+AC417*N418+AD417*O418+AE417*P418+AF417*Q418+AG417*R418+AH417*S418+AI417*T418</f>
        <v/>
      </c>
      <c r="AL418" s="9">
        <f>AVERAGE(L158:L417)</f>
        <v/>
      </c>
    </row>
    <row r="419">
      <c r="A419" s="7" t="n">
        <v>40536</v>
      </c>
      <c r="B419" s="8" t="n">
        <v>1373.5</v>
      </c>
      <c r="C419" s="8" t="n">
        <v>2.33</v>
      </c>
      <c r="D419" s="8" t="n">
        <v>1.08</v>
      </c>
      <c r="E419" s="8" t="n">
        <v>80.5</v>
      </c>
      <c r="F419" s="8" t="n">
        <v>90.84</v>
      </c>
      <c r="G419" s="8" t="n">
        <v>16.47</v>
      </c>
      <c r="H419" s="8" t="n">
        <v>106.800003</v>
      </c>
      <c r="I419" s="8" t="n">
        <v>1256.77002</v>
      </c>
      <c r="J419" s="8" t="n">
        <v>68.75284600000001</v>
      </c>
      <c r="L419" s="9">
        <f>LN(B419/B418)</f>
        <v/>
      </c>
      <c r="M419" s="9">
        <f>$M$1*(C419-C418)</f>
        <v/>
      </c>
      <c r="N419" s="9">
        <f>$N$1*(D419-D418)</f>
        <v/>
      </c>
      <c r="O419" s="9">
        <f>$O$1*LN(E419/E418)</f>
        <v/>
      </c>
      <c r="P419" s="9">
        <f>$P$1*LN(F419/F418)</f>
        <v/>
      </c>
      <c r="Q419" s="9">
        <f>$Q$1*(G419-G418)</f>
        <v/>
      </c>
      <c r="R419" s="9">
        <f>$R$1*(H419-H418)</f>
        <v/>
      </c>
      <c r="S419" s="9">
        <f>$S$1*LN(I419/I418)</f>
        <v/>
      </c>
      <c r="T419" s="9">
        <f>$T$1*LN(J419/J418)</f>
        <v/>
      </c>
      <c r="U419" s="9">
        <f>$W$12+$W$4*M419+$W$5*N419+$W$6*O419+$W$7*P419+$W$8*Q419+$W$9*R419+$W$10*S419+$W$11*T419</f>
        <v/>
      </c>
      <c r="AA419" s="10">
        <f>INDEX(LINEST(L160:L419,M160:T419,TRUE,TRUE),1,9)*52</f>
        <v/>
      </c>
      <c r="AB419" s="9">
        <f>INDEX(LINEST(L160:L419,M160:T419,TRUE,TRUE),1,8)</f>
        <v/>
      </c>
      <c r="AC419" s="9">
        <f>INDEX(LINEST(L160:L419,M160:T419,TRUE,TRUE),1,7)</f>
        <v/>
      </c>
      <c r="AD419" s="9">
        <f>INDEX(LINEST(L160:L419,M160:T419,TRUE,TRUE),1,6)</f>
        <v/>
      </c>
      <c r="AE419" s="9">
        <f>INDEX(LINEST(L160:L419,M160:T419,TRUE,TRUE),1,5)</f>
        <v/>
      </c>
      <c r="AF419" s="9">
        <f>INDEX(LINEST(L160:L419,M160:T419,TRUE,TRUE),1,4)</f>
        <v/>
      </c>
      <c r="AG419" s="9">
        <f>INDEX(LINEST(L160:L419,M160:T419,TRUE,TRUE),1,3)</f>
        <v/>
      </c>
      <c r="AH419" s="9">
        <f>INDEX(LINEST(L160:L419,M160:T419,TRUE,TRUE),1,2)</f>
        <v/>
      </c>
      <c r="AI419" s="9">
        <f>INDEX(LINEST(L160:L419,M160:T419,TRUE,TRUE),1,1)</f>
        <v/>
      </c>
      <c r="AJ419" s="10">
        <f>INDEX(LINEST(L160:L419,M160:T419,TRUE,TRUE),3,1)</f>
        <v/>
      </c>
      <c r="AK419" s="9">
        <f>AA418/52+AB418*M419+AC418*N419+AD418*O419+AE418*P419+AF418*Q419+AG418*R419+AH418*S419+AI418*T419</f>
        <v/>
      </c>
      <c r="AL419" s="9">
        <f>AVERAGE(L159:L418)</f>
        <v/>
      </c>
    </row>
    <row r="420">
      <c r="A420" s="7" t="n">
        <v>40543</v>
      </c>
      <c r="B420" s="8" t="n">
        <v>1405.5</v>
      </c>
      <c r="C420" s="8" t="n">
        <v>2.3</v>
      </c>
      <c r="D420" s="8" t="n">
        <v>1</v>
      </c>
      <c r="E420" s="8" t="n">
        <v>79.029999</v>
      </c>
      <c r="F420" s="8" t="n">
        <v>91.38</v>
      </c>
      <c r="G420" s="8" t="n">
        <v>17.75</v>
      </c>
      <c r="H420" s="8" t="n">
        <v>110.400002</v>
      </c>
      <c r="I420" s="8" t="n">
        <v>1257.640015</v>
      </c>
      <c r="J420" s="8" t="n">
        <v>69.259125</v>
      </c>
      <c r="L420" s="9">
        <f>LN(B420/B419)</f>
        <v/>
      </c>
      <c r="M420" s="9">
        <f>$M$1*(C420-C419)</f>
        <v/>
      </c>
      <c r="N420" s="9">
        <f>$N$1*(D420-D419)</f>
        <v/>
      </c>
      <c r="O420" s="9">
        <f>$O$1*LN(E420/E419)</f>
        <v/>
      </c>
      <c r="P420" s="9">
        <f>$P$1*LN(F420/F419)</f>
        <v/>
      </c>
      <c r="Q420" s="9">
        <f>$Q$1*(G420-G419)</f>
        <v/>
      </c>
      <c r="R420" s="9">
        <f>$R$1*(H420-H419)</f>
        <v/>
      </c>
      <c r="S420" s="9">
        <f>$S$1*LN(I420/I419)</f>
        <v/>
      </c>
      <c r="T420" s="9">
        <f>$T$1*LN(J420/J419)</f>
        <v/>
      </c>
      <c r="U420" s="9">
        <f>$W$12+$W$4*M420+$W$5*N420+$W$6*O420+$W$7*P420+$W$8*Q420+$W$9*R420+$W$10*S420+$W$11*T420</f>
        <v/>
      </c>
      <c r="AA420" s="10">
        <f>INDEX(LINEST(L161:L420,M161:T420,TRUE,TRUE),1,9)*52</f>
        <v/>
      </c>
      <c r="AB420" s="9">
        <f>INDEX(LINEST(L161:L420,M161:T420,TRUE,TRUE),1,8)</f>
        <v/>
      </c>
      <c r="AC420" s="9">
        <f>INDEX(LINEST(L161:L420,M161:T420,TRUE,TRUE),1,7)</f>
        <v/>
      </c>
      <c r="AD420" s="9">
        <f>INDEX(LINEST(L161:L420,M161:T420,TRUE,TRUE),1,6)</f>
        <v/>
      </c>
      <c r="AE420" s="9">
        <f>INDEX(LINEST(L161:L420,M161:T420,TRUE,TRUE),1,5)</f>
        <v/>
      </c>
      <c r="AF420" s="9">
        <f>INDEX(LINEST(L161:L420,M161:T420,TRUE,TRUE),1,4)</f>
        <v/>
      </c>
      <c r="AG420" s="9">
        <f>INDEX(LINEST(L161:L420,M161:T420,TRUE,TRUE),1,3)</f>
        <v/>
      </c>
      <c r="AH420" s="9">
        <f>INDEX(LINEST(L161:L420,M161:T420,TRUE,TRUE),1,2)</f>
        <v/>
      </c>
      <c r="AI420" s="9">
        <f>INDEX(LINEST(L161:L420,M161:T420,TRUE,TRUE),1,1)</f>
        <v/>
      </c>
      <c r="AJ420" s="10">
        <f>INDEX(LINEST(L161:L420,M161:T420,TRUE,TRUE),3,1)</f>
        <v/>
      </c>
      <c r="AK420" s="9">
        <f>AA419/52+AB419*M420+AC419*N420+AD419*O420+AE419*P420+AF419*Q420+AG419*R420+AH419*S420+AI419*T420</f>
        <v/>
      </c>
      <c r="AL420" s="9">
        <f>AVERAGE(L160:L419)</f>
        <v/>
      </c>
    </row>
    <row r="421">
      <c r="A421" s="7" t="n">
        <v>40550</v>
      </c>
      <c r="B421" s="8" t="n">
        <v>1367</v>
      </c>
      <c r="C421" s="8" t="n">
        <v>2.36</v>
      </c>
      <c r="D421" s="8" t="n">
        <v>0.98</v>
      </c>
      <c r="E421" s="8" t="n">
        <v>81.010002</v>
      </c>
      <c r="F421" s="8" t="n">
        <v>88.06999999999999</v>
      </c>
      <c r="G421" s="8" t="n">
        <v>17.14</v>
      </c>
      <c r="H421" s="8" t="n">
        <v>107.5</v>
      </c>
      <c r="I421" s="8" t="n">
        <v>1271.5</v>
      </c>
      <c r="J421" s="8" t="n">
        <v>69.101944</v>
      </c>
      <c r="L421" s="9">
        <f>LN(B421/B420)</f>
        <v/>
      </c>
      <c r="M421" s="9">
        <f>$M$1*(C421-C420)</f>
        <v/>
      </c>
      <c r="N421" s="9">
        <f>$N$1*(D421-D420)</f>
        <v/>
      </c>
      <c r="O421" s="9">
        <f>$O$1*LN(E421/E420)</f>
        <v/>
      </c>
      <c r="P421" s="9">
        <f>$P$1*LN(F421/F420)</f>
        <v/>
      </c>
      <c r="Q421" s="9">
        <f>$Q$1*(G421-G420)</f>
        <v/>
      </c>
      <c r="R421" s="9">
        <f>$R$1*(H421-H420)</f>
        <v/>
      </c>
      <c r="S421" s="9">
        <f>$S$1*LN(I421/I420)</f>
        <v/>
      </c>
      <c r="T421" s="9">
        <f>$T$1*LN(J421/J420)</f>
        <v/>
      </c>
      <c r="U421" s="9">
        <f>$W$12+$W$4*M421+$W$5*N421+$W$6*O421+$W$7*P421+$W$8*Q421+$W$9*R421+$W$10*S421+$W$11*T421</f>
        <v/>
      </c>
      <c r="AA421" s="10">
        <f>INDEX(LINEST(L162:L421,M162:T421,TRUE,TRUE),1,9)*52</f>
        <v/>
      </c>
      <c r="AB421" s="9">
        <f>INDEX(LINEST(L162:L421,M162:T421,TRUE,TRUE),1,8)</f>
        <v/>
      </c>
      <c r="AC421" s="9">
        <f>INDEX(LINEST(L162:L421,M162:T421,TRUE,TRUE),1,7)</f>
        <v/>
      </c>
      <c r="AD421" s="9">
        <f>INDEX(LINEST(L162:L421,M162:T421,TRUE,TRUE),1,6)</f>
        <v/>
      </c>
      <c r="AE421" s="9">
        <f>INDEX(LINEST(L162:L421,M162:T421,TRUE,TRUE),1,5)</f>
        <v/>
      </c>
      <c r="AF421" s="9">
        <f>INDEX(LINEST(L162:L421,M162:T421,TRUE,TRUE),1,4)</f>
        <v/>
      </c>
      <c r="AG421" s="9">
        <f>INDEX(LINEST(L162:L421,M162:T421,TRUE,TRUE),1,3)</f>
        <v/>
      </c>
      <c r="AH421" s="9">
        <f>INDEX(LINEST(L162:L421,M162:T421,TRUE,TRUE),1,2)</f>
        <v/>
      </c>
      <c r="AI421" s="9">
        <f>INDEX(LINEST(L162:L421,M162:T421,TRUE,TRUE),1,1)</f>
        <v/>
      </c>
      <c r="AJ421" s="10">
        <f>INDEX(LINEST(L162:L421,M162:T421,TRUE,TRUE),3,1)</f>
        <v/>
      </c>
      <c r="AK421" s="9">
        <f>AA420/52+AB420*M421+AC420*N421+AD420*O421+AE420*P421+AF420*Q421+AG420*R421+AH420*S421+AI420*T421</f>
        <v/>
      </c>
      <c r="AL421" s="9">
        <f>AVERAGE(L161:L420)</f>
        <v/>
      </c>
    </row>
    <row r="422">
      <c r="A422" s="7" t="n">
        <v>40557</v>
      </c>
      <c r="B422" s="8" t="n">
        <v>1367</v>
      </c>
      <c r="C422" s="8" t="n">
        <v>2.35</v>
      </c>
      <c r="D422" s="8" t="n">
        <v>1</v>
      </c>
      <c r="E422" s="8" t="n">
        <v>79.160004</v>
      </c>
      <c r="F422" s="8" t="n">
        <v>91.53</v>
      </c>
      <c r="G422" s="8" t="n">
        <v>15.46</v>
      </c>
      <c r="H422" s="8" t="n">
        <v>96.400002</v>
      </c>
      <c r="I422" s="8" t="n">
        <v>1293.23999</v>
      </c>
      <c r="J422" s="8" t="n">
        <v>69.24601699999999</v>
      </c>
      <c r="L422" s="9">
        <f>LN(B422/B421)</f>
        <v/>
      </c>
      <c r="M422" s="9">
        <f>$M$1*(C422-C421)</f>
        <v/>
      </c>
      <c r="N422" s="9">
        <f>$N$1*(D422-D421)</f>
        <v/>
      </c>
      <c r="O422" s="9">
        <f>$O$1*LN(E422/E421)</f>
        <v/>
      </c>
      <c r="P422" s="9">
        <f>$P$1*LN(F422/F421)</f>
        <v/>
      </c>
      <c r="Q422" s="9">
        <f>$Q$1*(G422-G421)</f>
        <v/>
      </c>
      <c r="R422" s="9">
        <f>$R$1*(H422-H421)</f>
        <v/>
      </c>
      <c r="S422" s="9">
        <f>$S$1*LN(I422/I421)</f>
        <v/>
      </c>
      <c r="T422" s="9">
        <f>$T$1*LN(J422/J421)</f>
        <v/>
      </c>
      <c r="U422" s="9">
        <f>$W$12+$W$4*M422+$W$5*N422+$W$6*O422+$W$7*P422+$W$8*Q422+$W$9*R422+$W$10*S422+$W$11*T422</f>
        <v/>
      </c>
      <c r="AA422" s="10">
        <f>INDEX(LINEST(L163:L422,M163:T422,TRUE,TRUE),1,9)*52</f>
        <v/>
      </c>
      <c r="AB422" s="9">
        <f>INDEX(LINEST(L163:L422,M163:T422,TRUE,TRUE),1,8)</f>
        <v/>
      </c>
      <c r="AC422" s="9">
        <f>INDEX(LINEST(L163:L422,M163:T422,TRUE,TRUE),1,7)</f>
        <v/>
      </c>
      <c r="AD422" s="9">
        <f>INDEX(LINEST(L163:L422,M163:T422,TRUE,TRUE),1,6)</f>
        <v/>
      </c>
      <c r="AE422" s="9">
        <f>INDEX(LINEST(L163:L422,M163:T422,TRUE,TRUE),1,5)</f>
        <v/>
      </c>
      <c r="AF422" s="9">
        <f>INDEX(LINEST(L163:L422,M163:T422,TRUE,TRUE),1,4)</f>
        <v/>
      </c>
      <c r="AG422" s="9">
        <f>INDEX(LINEST(L163:L422,M163:T422,TRUE,TRUE),1,3)</f>
        <v/>
      </c>
      <c r="AH422" s="9">
        <f>INDEX(LINEST(L163:L422,M163:T422,TRUE,TRUE),1,2)</f>
        <v/>
      </c>
      <c r="AI422" s="9">
        <f>INDEX(LINEST(L163:L422,M163:T422,TRUE,TRUE),1,1)</f>
        <v/>
      </c>
      <c r="AJ422" s="10">
        <f>INDEX(LINEST(L163:L422,M163:T422,TRUE,TRUE),3,1)</f>
        <v/>
      </c>
      <c r="AK422" s="9">
        <f>AA421/52+AB421*M422+AC421*N422+AD421*O422+AE421*P422+AF421*Q422+AG421*R422+AH421*S422+AI421*T422</f>
        <v/>
      </c>
      <c r="AL422" s="9">
        <f>AVERAGE(L162:L421)</f>
        <v/>
      </c>
    </row>
    <row r="423">
      <c r="A423" s="7" t="n">
        <v>40564</v>
      </c>
      <c r="B423" s="8" t="n">
        <v>1343.5</v>
      </c>
      <c r="C423" s="8" t="n">
        <v>2.24</v>
      </c>
      <c r="D423" s="8" t="n">
        <v>1.2</v>
      </c>
      <c r="E423" s="8" t="n">
        <v>78.209999</v>
      </c>
      <c r="F423" s="8" t="n">
        <v>88.22</v>
      </c>
      <c r="G423" s="8" t="n">
        <v>18.47</v>
      </c>
      <c r="H423" s="8" t="n">
        <v>95.300003</v>
      </c>
      <c r="I423" s="8" t="n">
        <v>1283.349976</v>
      </c>
      <c r="J423" s="8" t="n">
        <v>69.16744199999999</v>
      </c>
      <c r="L423" s="9">
        <f>LN(B423/B422)</f>
        <v/>
      </c>
      <c r="M423" s="9">
        <f>$M$1*(C423-C422)</f>
        <v/>
      </c>
      <c r="N423" s="9">
        <f>$N$1*(D423-D422)</f>
        <v/>
      </c>
      <c r="O423" s="9">
        <f>$O$1*LN(E423/E422)</f>
        <v/>
      </c>
      <c r="P423" s="9">
        <f>$P$1*LN(F423/F422)</f>
        <v/>
      </c>
      <c r="Q423" s="9">
        <f>$Q$1*(G423-G422)</f>
        <v/>
      </c>
      <c r="R423" s="9">
        <f>$R$1*(H423-H422)</f>
        <v/>
      </c>
      <c r="S423" s="9">
        <f>$S$1*LN(I423/I422)</f>
        <v/>
      </c>
      <c r="T423" s="9">
        <f>$T$1*LN(J423/J422)</f>
        <v/>
      </c>
      <c r="U423" s="9">
        <f>$W$12+$W$4*M423+$W$5*N423+$W$6*O423+$W$7*P423+$W$8*Q423+$W$9*R423+$W$10*S423+$W$11*T423</f>
        <v/>
      </c>
      <c r="AA423" s="10">
        <f>INDEX(LINEST(L164:L423,M164:T423,TRUE,TRUE),1,9)*52</f>
        <v/>
      </c>
      <c r="AB423" s="9">
        <f>INDEX(LINEST(L164:L423,M164:T423,TRUE,TRUE),1,8)</f>
        <v/>
      </c>
      <c r="AC423" s="9">
        <f>INDEX(LINEST(L164:L423,M164:T423,TRUE,TRUE),1,7)</f>
        <v/>
      </c>
      <c r="AD423" s="9">
        <f>INDEX(LINEST(L164:L423,M164:T423,TRUE,TRUE),1,6)</f>
        <v/>
      </c>
      <c r="AE423" s="9">
        <f>INDEX(LINEST(L164:L423,M164:T423,TRUE,TRUE),1,5)</f>
        <v/>
      </c>
      <c r="AF423" s="9">
        <f>INDEX(LINEST(L164:L423,M164:T423,TRUE,TRUE),1,4)</f>
        <v/>
      </c>
      <c r="AG423" s="9">
        <f>INDEX(LINEST(L164:L423,M164:T423,TRUE,TRUE),1,3)</f>
        <v/>
      </c>
      <c r="AH423" s="9">
        <f>INDEX(LINEST(L164:L423,M164:T423,TRUE,TRUE),1,2)</f>
        <v/>
      </c>
      <c r="AI423" s="9">
        <f>INDEX(LINEST(L164:L423,M164:T423,TRUE,TRUE),1,1)</f>
        <v/>
      </c>
      <c r="AJ423" s="10">
        <f>INDEX(LINEST(L164:L423,M164:T423,TRUE,TRUE),3,1)</f>
        <v/>
      </c>
      <c r="AK423" s="9">
        <f>AA422/52+AB422*M423+AC422*N423+AD422*O423+AE422*P423+AF422*Q423+AG422*R423+AH422*S423+AI422*T423</f>
        <v/>
      </c>
      <c r="AL423" s="9">
        <f>AVERAGE(L163:L422)</f>
        <v/>
      </c>
    </row>
    <row r="424">
      <c r="A424" s="7" t="n">
        <v>40571</v>
      </c>
      <c r="B424" s="8" t="n">
        <v>1319</v>
      </c>
      <c r="C424" s="8" t="n">
        <v>2.27</v>
      </c>
      <c r="D424" s="8" t="n">
        <v>1.09</v>
      </c>
      <c r="E424" s="8" t="n">
        <v>78.129997</v>
      </c>
      <c r="F424" s="8" t="n">
        <v>88.15000000000001</v>
      </c>
      <c r="G424" s="8" t="n">
        <v>20.04</v>
      </c>
      <c r="H424" s="8" t="n">
        <v>90.300003</v>
      </c>
      <c r="I424" s="8" t="n">
        <v>1276.339966</v>
      </c>
      <c r="J424" s="8" t="n">
        <v>69.33118399999999</v>
      </c>
      <c r="L424" s="9">
        <f>LN(B424/B423)</f>
        <v/>
      </c>
      <c r="M424" s="9">
        <f>$M$1*(C424-C423)</f>
        <v/>
      </c>
      <c r="N424" s="9">
        <f>$N$1*(D424-D423)</f>
        <v/>
      </c>
      <c r="O424" s="9">
        <f>$O$1*LN(E424/E423)</f>
        <v/>
      </c>
      <c r="P424" s="9">
        <f>$P$1*LN(F424/F423)</f>
        <v/>
      </c>
      <c r="Q424" s="9">
        <f>$Q$1*(G424-G423)</f>
        <v/>
      </c>
      <c r="R424" s="9">
        <f>$R$1*(H424-H423)</f>
        <v/>
      </c>
      <c r="S424" s="9">
        <f>$S$1*LN(I424/I423)</f>
        <v/>
      </c>
      <c r="T424" s="9">
        <f>$T$1*LN(J424/J423)</f>
        <v/>
      </c>
      <c r="U424" s="9">
        <f>$W$12+$W$4*M424+$W$5*N424+$W$6*O424+$W$7*P424+$W$8*Q424+$W$9*R424+$W$10*S424+$W$11*T424</f>
        <v/>
      </c>
      <c r="AA424" s="10">
        <f>INDEX(LINEST(L165:L424,M165:T424,TRUE,TRUE),1,9)*52</f>
        <v/>
      </c>
      <c r="AB424" s="9">
        <f>INDEX(LINEST(L165:L424,M165:T424,TRUE,TRUE),1,8)</f>
        <v/>
      </c>
      <c r="AC424" s="9">
        <f>INDEX(LINEST(L165:L424,M165:T424,TRUE,TRUE),1,7)</f>
        <v/>
      </c>
      <c r="AD424" s="9">
        <f>INDEX(LINEST(L165:L424,M165:T424,TRUE,TRUE),1,6)</f>
        <v/>
      </c>
      <c r="AE424" s="9">
        <f>INDEX(LINEST(L165:L424,M165:T424,TRUE,TRUE),1,5)</f>
        <v/>
      </c>
      <c r="AF424" s="9">
        <f>INDEX(LINEST(L165:L424,M165:T424,TRUE,TRUE),1,4)</f>
        <v/>
      </c>
      <c r="AG424" s="9">
        <f>INDEX(LINEST(L165:L424,M165:T424,TRUE,TRUE),1,3)</f>
        <v/>
      </c>
      <c r="AH424" s="9">
        <f>INDEX(LINEST(L165:L424,M165:T424,TRUE,TRUE),1,2)</f>
        <v/>
      </c>
      <c r="AI424" s="9">
        <f>INDEX(LINEST(L165:L424,M165:T424,TRUE,TRUE),1,1)</f>
        <v/>
      </c>
      <c r="AJ424" s="10">
        <f>INDEX(LINEST(L165:L424,M165:T424,TRUE,TRUE),3,1)</f>
        <v/>
      </c>
      <c r="AK424" s="9">
        <f>AA423/52+AB423*M424+AC423*N424+AD423*O424+AE423*P424+AF423*Q424+AG423*R424+AH423*S424+AI423*T424</f>
        <v/>
      </c>
      <c r="AL424" s="9">
        <f>AVERAGE(L164:L423)</f>
        <v/>
      </c>
    </row>
    <row r="425">
      <c r="A425" s="7" t="n">
        <v>40578</v>
      </c>
      <c r="B425" s="8" t="n">
        <v>1355</v>
      </c>
      <c r="C425" s="8" t="n">
        <v>2.38</v>
      </c>
      <c r="D425" s="8" t="n">
        <v>1.3</v>
      </c>
      <c r="E425" s="8" t="n">
        <v>78.040001</v>
      </c>
      <c r="F425" s="8" t="n">
        <v>87.87</v>
      </c>
      <c r="G425" s="8" t="n">
        <v>15.93</v>
      </c>
      <c r="H425" s="8" t="n">
        <v>105.099998</v>
      </c>
      <c r="I425" s="8" t="n">
        <v>1310.869995</v>
      </c>
      <c r="J425" s="8" t="n">
        <v>68.488152</v>
      </c>
      <c r="L425" s="9">
        <f>LN(B425/B424)</f>
        <v/>
      </c>
      <c r="M425" s="9">
        <f>$M$1*(C425-C424)</f>
        <v/>
      </c>
      <c r="N425" s="9">
        <f>$N$1*(D425-D424)</f>
        <v/>
      </c>
      <c r="O425" s="9">
        <f>$O$1*LN(E425/E424)</f>
        <v/>
      </c>
      <c r="P425" s="9">
        <f>$P$1*LN(F425/F424)</f>
        <v/>
      </c>
      <c r="Q425" s="9">
        <f>$Q$1*(G425-G424)</f>
        <v/>
      </c>
      <c r="R425" s="9">
        <f>$R$1*(H425-H424)</f>
        <v/>
      </c>
      <c r="S425" s="9">
        <f>$S$1*LN(I425/I424)</f>
        <v/>
      </c>
      <c r="T425" s="9">
        <f>$T$1*LN(J425/J424)</f>
        <v/>
      </c>
      <c r="U425" s="9">
        <f>$W$12+$W$4*M425+$W$5*N425+$W$6*O425+$W$7*P425+$W$8*Q425+$W$9*R425+$W$10*S425+$W$11*T425</f>
        <v/>
      </c>
      <c r="AA425" s="10">
        <f>INDEX(LINEST(L166:L425,M166:T425,TRUE,TRUE),1,9)*52</f>
        <v/>
      </c>
      <c r="AB425" s="9">
        <f>INDEX(LINEST(L166:L425,M166:T425,TRUE,TRUE),1,8)</f>
        <v/>
      </c>
      <c r="AC425" s="9">
        <f>INDEX(LINEST(L166:L425,M166:T425,TRUE,TRUE),1,7)</f>
        <v/>
      </c>
      <c r="AD425" s="9">
        <f>INDEX(LINEST(L166:L425,M166:T425,TRUE,TRUE),1,6)</f>
        <v/>
      </c>
      <c r="AE425" s="9">
        <f>INDEX(LINEST(L166:L425,M166:T425,TRUE,TRUE),1,5)</f>
        <v/>
      </c>
      <c r="AF425" s="9">
        <f>INDEX(LINEST(L166:L425,M166:T425,TRUE,TRUE),1,4)</f>
        <v/>
      </c>
      <c r="AG425" s="9">
        <f>INDEX(LINEST(L166:L425,M166:T425,TRUE,TRUE),1,3)</f>
        <v/>
      </c>
      <c r="AH425" s="9">
        <f>INDEX(LINEST(L166:L425,M166:T425,TRUE,TRUE),1,2)</f>
        <v/>
      </c>
      <c r="AI425" s="9">
        <f>INDEX(LINEST(L166:L425,M166:T425,TRUE,TRUE),1,1)</f>
        <v/>
      </c>
      <c r="AJ425" s="10">
        <f>INDEX(LINEST(L166:L425,M166:T425,TRUE,TRUE),3,1)</f>
        <v/>
      </c>
      <c r="AK425" s="9">
        <f>AA424/52+AB424*M425+AC424*N425+AD424*O425+AE424*P425+AF424*Q425+AG424*R425+AH424*S425+AI424*T425</f>
        <v/>
      </c>
      <c r="AL425" s="9">
        <f>AVERAGE(L165:L424)</f>
        <v/>
      </c>
    </row>
    <row r="426">
      <c r="A426" s="7" t="n">
        <v>40585</v>
      </c>
      <c r="B426" s="8" t="n">
        <v>1364</v>
      </c>
      <c r="C426" s="8" t="n">
        <v>2.28</v>
      </c>
      <c r="D426" s="8" t="n">
        <v>1.36</v>
      </c>
      <c r="E426" s="8" t="n">
        <v>78.459999</v>
      </c>
      <c r="F426" s="8" t="n">
        <v>84.39</v>
      </c>
      <c r="G426" s="8" t="n">
        <v>15.69</v>
      </c>
      <c r="H426" s="8" t="n">
        <v>97.199997</v>
      </c>
      <c r="I426" s="8" t="n">
        <v>1329.150024</v>
      </c>
      <c r="J426" s="8" t="n">
        <v>68.514404</v>
      </c>
      <c r="L426" s="9">
        <f>LN(B426/B425)</f>
        <v/>
      </c>
      <c r="M426" s="9">
        <f>$M$1*(C426-C425)</f>
        <v/>
      </c>
      <c r="N426" s="9">
        <f>$N$1*(D426-D425)</f>
        <v/>
      </c>
      <c r="O426" s="9">
        <f>$O$1*LN(E426/E425)</f>
        <v/>
      </c>
      <c r="P426" s="9">
        <f>$P$1*LN(F426/F425)</f>
        <v/>
      </c>
      <c r="Q426" s="9">
        <f>$Q$1*(G426-G425)</f>
        <v/>
      </c>
      <c r="R426" s="9">
        <f>$R$1*(H426-H425)</f>
        <v/>
      </c>
      <c r="S426" s="9">
        <f>$S$1*LN(I426/I425)</f>
        <v/>
      </c>
      <c r="T426" s="9">
        <f>$T$1*LN(J426/J425)</f>
        <v/>
      </c>
      <c r="U426" s="9">
        <f>$W$12+$W$4*M426+$W$5*N426+$W$6*O426+$W$7*P426+$W$8*Q426+$W$9*R426+$W$10*S426+$W$11*T426</f>
        <v/>
      </c>
      <c r="AA426" s="10">
        <f>INDEX(LINEST(L167:L426,M167:T426,TRUE,TRUE),1,9)*52</f>
        <v/>
      </c>
      <c r="AB426" s="9">
        <f>INDEX(LINEST(L167:L426,M167:T426,TRUE,TRUE),1,8)</f>
        <v/>
      </c>
      <c r="AC426" s="9">
        <f>INDEX(LINEST(L167:L426,M167:T426,TRUE,TRUE),1,7)</f>
        <v/>
      </c>
      <c r="AD426" s="9">
        <f>INDEX(LINEST(L167:L426,M167:T426,TRUE,TRUE),1,6)</f>
        <v/>
      </c>
      <c r="AE426" s="9">
        <f>INDEX(LINEST(L167:L426,M167:T426,TRUE,TRUE),1,5)</f>
        <v/>
      </c>
      <c r="AF426" s="9">
        <f>INDEX(LINEST(L167:L426,M167:T426,TRUE,TRUE),1,4)</f>
        <v/>
      </c>
      <c r="AG426" s="9">
        <f>INDEX(LINEST(L167:L426,M167:T426,TRUE,TRUE),1,3)</f>
        <v/>
      </c>
      <c r="AH426" s="9">
        <f>INDEX(LINEST(L167:L426,M167:T426,TRUE,TRUE),1,2)</f>
        <v/>
      </c>
      <c r="AI426" s="9">
        <f>INDEX(LINEST(L167:L426,M167:T426,TRUE,TRUE),1,1)</f>
        <v/>
      </c>
      <c r="AJ426" s="10">
        <f>INDEX(LINEST(L167:L426,M167:T426,TRUE,TRUE),3,1)</f>
        <v/>
      </c>
      <c r="AK426" s="9">
        <f>AA425/52+AB425*M426+AC425*N426+AD425*O426+AE425*P426+AF425*Q426+AG425*R426+AH425*S426+AI425*T426</f>
        <v/>
      </c>
      <c r="AL426" s="9">
        <f>AVERAGE(L166:L425)</f>
        <v/>
      </c>
    </row>
    <row r="427">
      <c r="A427" s="7" t="n">
        <v>40592</v>
      </c>
      <c r="B427" s="8" t="n">
        <v>1383.5</v>
      </c>
      <c r="C427" s="8" t="n">
        <v>2.34</v>
      </c>
      <c r="D427" s="8" t="n">
        <v>1.25</v>
      </c>
      <c r="E427" s="8" t="n">
        <v>77.660004</v>
      </c>
      <c r="F427" s="8" t="n">
        <v>85.03</v>
      </c>
      <c r="G427" s="8" t="n">
        <v>16.43</v>
      </c>
      <c r="H427" s="8" t="n">
        <v>94.300003</v>
      </c>
      <c r="I427" s="8" t="n">
        <v>1343.01001</v>
      </c>
      <c r="J427" s="8" t="n">
        <v>68.770561</v>
      </c>
      <c r="L427" s="9">
        <f>LN(B427/B426)</f>
        <v/>
      </c>
      <c r="M427" s="9">
        <f>$M$1*(C427-C426)</f>
        <v/>
      </c>
      <c r="N427" s="9">
        <f>$N$1*(D427-D426)</f>
        <v/>
      </c>
      <c r="O427" s="9">
        <f>$O$1*LN(E427/E426)</f>
        <v/>
      </c>
      <c r="P427" s="9">
        <f>$P$1*LN(F427/F426)</f>
        <v/>
      </c>
      <c r="Q427" s="9">
        <f>$Q$1*(G427-G426)</f>
        <v/>
      </c>
      <c r="R427" s="9">
        <f>$R$1*(H427-H426)</f>
        <v/>
      </c>
      <c r="S427" s="9">
        <f>$S$1*LN(I427/I426)</f>
        <v/>
      </c>
      <c r="T427" s="9">
        <f>$T$1*LN(J427/J426)</f>
        <v/>
      </c>
      <c r="U427" s="9">
        <f>$W$12+$W$4*M427+$W$5*N427+$W$6*O427+$W$7*P427+$W$8*Q427+$W$9*R427+$W$10*S427+$W$11*T427</f>
        <v/>
      </c>
      <c r="AA427" s="10">
        <f>INDEX(LINEST(L168:L427,M168:T427,TRUE,TRUE),1,9)*52</f>
        <v/>
      </c>
      <c r="AB427" s="9">
        <f>INDEX(LINEST(L168:L427,M168:T427,TRUE,TRUE),1,8)</f>
        <v/>
      </c>
      <c r="AC427" s="9">
        <f>INDEX(LINEST(L168:L427,M168:T427,TRUE,TRUE),1,7)</f>
        <v/>
      </c>
      <c r="AD427" s="9">
        <f>INDEX(LINEST(L168:L427,M168:T427,TRUE,TRUE),1,6)</f>
        <v/>
      </c>
      <c r="AE427" s="9">
        <f>INDEX(LINEST(L168:L427,M168:T427,TRUE,TRUE),1,5)</f>
        <v/>
      </c>
      <c r="AF427" s="9">
        <f>INDEX(LINEST(L168:L427,M168:T427,TRUE,TRUE),1,4)</f>
        <v/>
      </c>
      <c r="AG427" s="9">
        <f>INDEX(LINEST(L168:L427,M168:T427,TRUE,TRUE),1,3)</f>
        <v/>
      </c>
      <c r="AH427" s="9">
        <f>INDEX(LINEST(L168:L427,M168:T427,TRUE,TRUE),1,2)</f>
        <v/>
      </c>
      <c r="AI427" s="9">
        <f>INDEX(LINEST(L168:L427,M168:T427,TRUE,TRUE),1,1)</f>
        <v/>
      </c>
      <c r="AJ427" s="10">
        <f>INDEX(LINEST(L168:L427,M168:T427,TRUE,TRUE),3,1)</f>
        <v/>
      </c>
      <c r="AK427" s="9">
        <f>AA426/52+AB426*M427+AC426*N427+AD426*O427+AE426*P427+AF426*Q427+AG426*R427+AH426*S427+AI426*T427</f>
        <v/>
      </c>
      <c r="AL427" s="9">
        <f>AVERAGE(L167:L426)</f>
        <v/>
      </c>
    </row>
    <row r="428">
      <c r="A428" s="7" t="n">
        <v>40599</v>
      </c>
      <c r="B428" s="8" t="n">
        <v>1402.5</v>
      </c>
      <c r="C428" s="8" t="n">
        <v>2.4</v>
      </c>
      <c r="D428" s="8" t="n">
        <v>1.02</v>
      </c>
      <c r="E428" s="8" t="n">
        <v>77.279999</v>
      </c>
      <c r="F428" s="8" t="n">
        <v>96.52</v>
      </c>
      <c r="G428" s="8" t="n">
        <v>19.22</v>
      </c>
      <c r="H428" s="8" t="n">
        <v>93.099998</v>
      </c>
      <c r="I428" s="8" t="n">
        <v>1319.880005</v>
      </c>
      <c r="J428" s="8" t="n">
        <v>69.269791</v>
      </c>
      <c r="L428" s="9">
        <f>LN(B428/B427)</f>
        <v/>
      </c>
      <c r="M428" s="9">
        <f>$M$1*(C428-C427)</f>
        <v/>
      </c>
      <c r="N428" s="9">
        <f>$N$1*(D428-D427)</f>
        <v/>
      </c>
      <c r="O428" s="9">
        <f>$O$1*LN(E428/E427)</f>
        <v/>
      </c>
      <c r="P428" s="9">
        <f>$P$1*LN(F428/F427)</f>
        <v/>
      </c>
      <c r="Q428" s="9">
        <f>$Q$1*(G428-G427)</f>
        <v/>
      </c>
      <c r="R428" s="9">
        <f>$R$1*(H428-H427)</f>
        <v/>
      </c>
      <c r="S428" s="9">
        <f>$S$1*LN(I428/I427)</f>
        <v/>
      </c>
      <c r="T428" s="9">
        <f>$T$1*LN(J428/J427)</f>
        <v/>
      </c>
      <c r="U428" s="9">
        <f>$W$12+$W$4*M428+$W$5*N428+$W$6*O428+$W$7*P428+$W$8*Q428+$W$9*R428+$W$10*S428+$W$11*T428</f>
        <v/>
      </c>
      <c r="AA428" s="10">
        <f>INDEX(LINEST(L169:L428,M169:T428,TRUE,TRUE),1,9)*52</f>
        <v/>
      </c>
      <c r="AB428" s="9">
        <f>INDEX(LINEST(L169:L428,M169:T428,TRUE,TRUE),1,8)</f>
        <v/>
      </c>
      <c r="AC428" s="9">
        <f>INDEX(LINEST(L169:L428,M169:T428,TRUE,TRUE),1,7)</f>
        <v/>
      </c>
      <c r="AD428" s="9">
        <f>INDEX(LINEST(L169:L428,M169:T428,TRUE,TRUE),1,6)</f>
        <v/>
      </c>
      <c r="AE428" s="9">
        <f>INDEX(LINEST(L169:L428,M169:T428,TRUE,TRUE),1,5)</f>
        <v/>
      </c>
      <c r="AF428" s="9">
        <f>INDEX(LINEST(L169:L428,M169:T428,TRUE,TRUE),1,4)</f>
        <v/>
      </c>
      <c r="AG428" s="9">
        <f>INDEX(LINEST(L169:L428,M169:T428,TRUE,TRUE),1,3)</f>
        <v/>
      </c>
      <c r="AH428" s="9">
        <f>INDEX(LINEST(L169:L428,M169:T428,TRUE,TRUE),1,2)</f>
        <v/>
      </c>
      <c r="AI428" s="9">
        <f>INDEX(LINEST(L169:L428,M169:T428,TRUE,TRUE),1,1)</f>
        <v/>
      </c>
      <c r="AJ428" s="10">
        <f>INDEX(LINEST(L169:L428,M169:T428,TRUE,TRUE),3,1)</f>
        <v/>
      </c>
      <c r="AK428" s="9">
        <f>AA427/52+AB427*M428+AC427*N428+AD427*O428+AE427*P428+AF427*Q428+AG427*R428+AH427*S428+AI427*T428</f>
        <v/>
      </c>
      <c r="AL428" s="9">
        <f>AVERAGE(L168:L427)</f>
        <v/>
      </c>
    </row>
    <row r="429">
      <c r="A429" s="7" t="n">
        <v>40606</v>
      </c>
      <c r="B429" s="8" t="n">
        <v>1427</v>
      </c>
      <c r="C429" s="8" t="n">
        <v>2.49</v>
      </c>
      <c r="D429" s="8" t="n">
        <v>1</v>
      </c>
      <c r="E429" s="8" t="n">
        <v>76.400002</v>
      </c>
      <c r="F429" s="8" t="n">
        <v>104.34</v>
      </c>
      <c r="G429" s="8" t="n">
        <v>19.06</v>
      </c>
      <c r="H429" s="8" t="n">
        <v>94.599998</v>
      </c>
      <c r="I429" s="8" t="n">
        <v>1321.150024</v>
      </c>
      <c r="J429" s="8" t="n">
        <v>69.173965</v>
      </c>
      <c r="L429" s="9">
        <f>LN(B429/B428)</f>
        <v/>
      </c>
      <c r="M429" s="9">
        <f>$M$1*(C429-C428)</f>
        <v/>
      </c>
      <c r="N429" s="9">
        <f>$N$1*(D429-D428)</f>
        <v/>
      </c>
      <c r="O429" s="9">
        <f>$O$1*LN(E429/E428)</f>
        <v/>
      </c>
      <c r="P429" s="9">
        <f>$P$1*LN(F429/F428)</f>
        <v/>
      </c>
      <c r="Q429" s="9">
        <f>$Q$1*(G429-G428)</f>
        <v/>
      </c>
      <c r="R429" s="9">
        <f>$R$1*(H429-H428)</f>
        <v/>
      </c>
      <c r="S429" s="9">
        <f>$S$1*LN(I429/I428)</f>
        <v/>
      </c>
      <c r="T429" s="9">
        <f>$T$1*LN(J429/J428)</f>
        <v/>
      </c>
      <c r="U429" s="9">
        <f>$W$12+$W$4*M429+$W$5*N429+$W$6*O429+$W$7*P429+$W$8*Q429+$W$9*R429+$W$10*S429+$W$11*T429</f>
        <v/>
      </c>
      <c r="AA429" s="10">
        <f>INDEX(LINEST(L170:L429,M170:T429,TRUE,TRUE),1,9)*52</f>
        <v/>
      </c>
      <c r="AB429" s="9">
        <f>INDEX(LINEST(L170:L429,M170:T429,TRUE,TRUE),1,8)</f>
        <v/>
      </c>
      <c r="AC429" s="9">
        <f>INDEX(LINEST(L170:L429,M170:T429,TRUE,TRUE),1,7)</f>
        <v/>
      </c>
      <c r="AD429" s="9">
        <f>INDEX(LINEST(L170:L429,M170:T429,TRUE,TRUE),1,6)</f>
        <v/>
      </c>
      <c r="AE429" s="9">
        <f>INDEX(LINEST(L170:L429,M170:T429,TRUE,TRUE),1,5)</f>
        <v/>
      </c>
      <c r="AF429" s="9">
        <f>INDEX(LINEST(L170:L429,M170:T429,TRUE,TRUE),1,4)</f>
        <v/>
      </c>
      <c r="AG429" s="9">
        <f>INDEX(LINEST(L170:L429,M170:T429,TRUE,TRUE),1,3)</f>
        <v/>
      </c>
      <c r="AH429" s="9">
        <f>INDEX(LINEST(L170:L429,M170:T429,TRUE,TRUE),1,2)</f>
        <v/>
      </c>
      <c r="AI429" s="9">
        <f>INDEX(LINEST(L170:L429,M170:T429,TRUE,TRUE),1,1)</f>
        <v/>
      </c>
      <c r="AJ429" s="10">
        <f>INDEX(LINEST(L170:L429,M170:T429,TRUE,TRUE),3,1)</f>
        <v/>
      </c>
      <c r="AK429" s="9">
        <f>AA428/52+AB428*M429+AC428*N429+AD428*O429+AE428*P429+AF428*Q429+AG428*R429+AH428*S429+AI428*T429</f>
        <v/>
      </c>
      <c r="AL429" s="9">
        <f>AVERAGE(L169:L428)</f>
        <v/>
      </c>
    </row>
    <row r="430">
      <c r="A430" s="7" t="n">
        <v>40613</v>
      </c>
      <c r="B430" s="8" t="n">
        <v>1411.5</v>
      </c>
      <c r="C430" s="8" t="n">
        <v>2.44</v>
      </c>
      <c r="D430" s="8" t="n">
        <v>0.96</v>
      </c>
      <c r="E430" s="8" t="n">
        <v>76.779999</v>
      </c>
      <c r="F430" s="8" t="n">
        <v>101.14</v>
      </c>
      <c r="G430" s="8" t="n">
        <v>20.08</v>
      </c>
      <c r="H430" s="8" t="n">
        <v>91.699997</v>
      </c>
      <c r="I430" s="8" t="n">
        <v>1304.280029</v>
      </c>
      <c r="J430" s="8" t="n">
        <v>69.575699</v>
      </c>
      <c r="L430" s="9">
        <f>LN(B430/B429)</f>
        <v/>
      </c>
      <c r="M430" s="9">
        <f>$M$1*(C430-C429)</f>
        <v/>
      </c>
      <c r="N430" s="9">
        <f>$N$1*(D430-D429)</f>
        <v/>
      </c>
      <c r="O430" s="9">
        <f>$O$1*LN(E430/E429)</f>
        <v/>
      </c>
      <c r="P430" s="9">
        <f>$P$1*LN(F430/F429)</f>
        <v/>
      </c>
      <c r="Q430" s="9">
        <f>$Q$1*(G430-G429)</f>
        <v/>
      </c>
      <c r="R430" s="9">
        <f>$R$1*(H430-H429)</f>
        <v/>
      </c>
      <c r="S430" s="9">
        <f>$S$1*LN(I430/I429)</f>
        <v/>
      </c>
      <c r="T430" s="9">
        <f>$T$1*LN(J430/J429)</f>
        <v/>
      </c>
      <c r="U430" s="9">
        <f>$W$12+$W$4*M430+$W$5*N430+$W$6*O430+$W$7*P430+$W$8*Q430+$W$9*R430+$W$10*S430+$W$11*T430</f>
        <v/>
      </c>
      <c r="AA430" s="10">
        <f>INDEX(LINEST(L171:L430,M171:T430,TRUE,TRUE),1,9)*52</f>
        <v/>
      </c>
      <c r="AB430" s="9">
        <f>INDEX(LINEST(L171:L430,M171:T430,TRUE,TRUE),1,8)</f>
        <v/>
      </c>
      <c r="AC430" s="9">
        <f>INDEX(LINEST(L171:L430,M171:T430,TRUE,TRUE),1,7)</f>
        <v/>
      </c>
      <c r="AD430" s="9">
        <f>INDEX(LINEST(L171:L430,M171:T430,TRUE,TRUE),1,6)</f>
        <v/>
      </c>
      <c r="AE430" s="9">
        <f>INDEX(LINEST(L171:L430,M171:T430,TRUE,TRUE),1,5)</f>
        <v/>
      </c>
      <c r="AF430" s="9">
        <f>INDEX(LINEST(L171:L430,M171:T430,TRUE,TRUE),1,4)</f>
        <v/>
      </c>
      <c r="AG430" s="9">
        <f>INDEX(LINEST(L171:L430,M171:T430,TRUE,TRUE),1,3)</f>
        <v/>
      </c>
      <c r="AH430" s="9">
        <f>INDEX(LINEST(L171:L430,M171:T430,TRUE,TRUE),1,2)</f>
        <v/>
      </c>
      <c r="AI430" s="9">
        <f>INDEX(LINEST(L171:L430,M171:T430,TRUE,TRUE),1,1)</f>
        <v/>
      </c>
      <c r="AJ430" s="10">
        <f>INDEX(LINEST(L171:L430,M171:T430,TRUE,TRUE),3,1)</f>
        <v/>
      </c>
      <c r="AK430" s="9">
        <f>AA429/52+AB429*M430+AC429*N430+AD429*O430+AE429*P430+AF429*Q430+AG429*R430+AH429*S430+AI429*T430</f>
        <v/>
      </c>
      <c r="AL430" s="9">
        <f>AVERAGE(L170:L429)</f>
        <v/>
      </c>
    </row>
    <row r="431">
      <c r="A431" s="7" t="n">
        <v>40620</v>
      </c>
      <c r="B431" s="8" t="n">
        <v>1420</v>
      </c>
      <c r="C431" s="8" t="n">
        <v>2.43</v>
      </c>
      <c r="D431" s="8" t="n">
        <v>0.85</v>
      </c>
      <c r="E431" s="8" t="n">
        <v>75.720001</v>
      </c>
      <c r="F431" s="8" t="n">
        <v>101.06</v>
      </c>
      <c r="G431" s="8" t="n">
        <v>24.44</v>
      </c>
      <c r="H431" s="8" t="n">
        <v>100.300003</v>
      </c>
      <c r="I431" s="8" t="n">
        <v>1279.209961</v>
      </c>
      <c r="J431" s="8" t="n">
        <v>69.766747</v>
      </c>
      <c r="L431" s="9">
        <f>LN(B431/B430)</f>
        <v/>
      </c>
      <c r="M431" s="9">
        <f>$M$1*(C431-C430)</f>
        <v/>
      </c>
      <c r="N431" s="9">
        <f>$N$1*(D431-D430)</f>
        <v/>
      </c>
      <c r="O431" s="9">
        <f>$O$1*LN(E431/E430)</f>
        <v/>
      </c>
      <c r="P431" s="9">
        <f>$P$1*LN(F431/F430)</f>
        <v/>
      </c>
      <c r="Q431" s="9">
        <f>$Q$1*(G431-G430)</f>
        <v/>
      </c>
      <c r="R431" s="9">
        <f>$R$1*(H431-H430)</f>
        <v/>
      </c>
      <c r="S431" s="9">
        <f>$S$1*LN(I431/I430)</f>
        <v/>
      </c>
      <c r="T431" s="9">
        <f>$T$1*LN(J431/J430)</f>
        <v/>
      </c>
      <c r="U431" s="9">
        <f>$W$12+$W$4*M431+$W$5*N431+$W$6*O431+$W$7*P431+$W$8*Q431+$W$9*R431+$W$10*S431+$W$11*T431</f>
        <v/>
      </c>
      <c r="AA431" s="10">
        <f>INDEX(LINEST(L172:L431,M172:T431,TRUE,TRUE),1,9)*52</f>
        <v/>
      </c>
      <c r="AB431" s="9">
        <f>INDEX(LINEST(L172:L431,M172:T431,TRUE,TRUE),1,8)</f>
        <v/>
      </c>
      <c r="AC431" s="9">
        <f>INDEX(LINEST(L172:L431,M172:T431,TRUE,TRUE),1,7)</f>
        <v/>
      </c>
      <c r="AD431" s="9">
        <f>INDEX(LINEST(L172:L431,M172:T431,TRUE,TRUE),1,6)</f>
        <v/>
      </c>
      <c r="AE431" s="9">
        <f>INDEX(LINEST(L172:L431,M172:T431,TRUE,TRUE),1,5)</f>
        <v/>
      </c>
      <c r="AF431" s="9">
        <f>INDEX(LINEST(L172:L431,M172:T431,TRUE,TRUE),1,4)</f>
        <v/>
      </c>
      <c r="AG431" s="9">
        <f>INDEX(LINEST(L172:L431,M172:T431,TRUE,TRUE),1,3)</f>
        <v/>
      </c>
      <c r="AH431" s="9">
        <f>INDEX(LINEST(L172:L431,M172:T431,TRUE,TRUE),1,2)</f>
        <v/>
      </c>
      <c r="AI431" s="9">
        <f>INDEX(LINEST(L172:L431,M172:T431,TRUE,TRUE),1,1)</f>
        <v/>
      </c>
      <c r="AJ431" s="10">
        <f>INDEX(LINEST(L172:L431,M172:T431,TRUE,TRUE),3,1)</f>
        <v/>
      </c>
      <c r="AK431" s="9">
        <f>AA430/52+AB430*M431+AC430*N431+AD430*O431+AE430*P431+AF430*Q431+AG430*R431+AH430*S431+AI430*T431</f>
        <v/>
      </c>
      <c r="AL431" s="9">
        <f>AVERAGE(L171:L430)</f>
        <v/>
      </c>
    </row>
    <row r="432">
      <c r="A432" s="7" t="n">
        <v>40627</v>
      </c>
      <c r="B432" s="8" t="n">
        <v>1436</v>
      </c>
      <c r="C432" s="8" t="n">
        <v>2.44</v>
      </c>
      <c r="D432" s="8" t="n">
        <v>1.02</v>
      </c>
      <c r="E432" s="8" t="n">
        <v>76.220001</v>
      </c>
      <c r="F432" s="8" t="n">
        <v>104.89</v>
      </c>
      <c r="G432" s="8" t="n">
        <v>17.91</v>
      </c>
      <c r="H432" s="8" t="n">
        <v>93.5</v>
      </c>
      <c r="I432" s="8" t="n">
        <v>1313.800049</v>
      </c>
      <c r="J432" s="8" t="n">
        <v>69.325462</v>
      </c>
      <c r="L432" s="9">
        <f>LN(B432/B431)</f>
        <v/>
      </c>
      <c r="M432" s="9">
        <f>$M$1*(C432-C431)</f>
        <v/>
      </c>
      <c r="N432" s="9">
        <f>$N$1*(D432-D431)</f>
        <v/>
      </c>
      <c r="O432" s="9">
        <f>$O$1*LN(E432/E431)</f>
        <v/>
      </c>
      <c r="P432" s="9">
        <f>$P$1*LN(F432/F431)</f>
        <v/>
      </c>
      <c r="Q432" s="9">
        <f>$Q$1*(G432-G431)</f>
        <v/>
      </c>
      <c r="R432" s="9">
        <f>$R$1*(H432-H431)</f>
        <v/>
      </c>
      <c r="S432" s="9">
        <f>$S$1*LN(I432/I431)</f>
        <v/>
      </c>
      <c r="T432" s="9">
        <f>$T$1*LN(J432/J431)</f>
        <v/>
      </c>
      <c r="U432" s="9">
        <f>$W$12+$W$4*M432+$W$5*N432+$W$6*O432+$W$7*P432+$W$8*Q432+$W$9*R432+$W$10*S432+$W$11*T432</f>
        <v/>
      </c>
      <c r="AA432" s="10">
        <f>INDEX(LINEST(L173:L432,M173:T432,TRUE,TRUE),1,9)*52</f>
        <v/>
      </c>
      <c r="AB432" s="9">
        <f>INDEX(LINEST(L173:L432,M173:T432,TRUE,TRUE),1,8)</f>
        <v/>
      </c>
      <c r="AC432" s="9">
        <f>INDEX(LINEST(L173:L432,M173:T432,TRUE,TRUE),1,7)</f>
        <v/>
      </c>
      <c r="AD432" s="9">
        <f>INDEX(LINEST(L173:L432,M173:T432,TRUE,TRUE),1,6)</f>
        <v/>
      </c>
      <c r="AE432" s="9">
        <f>INDEX(LINEST(L173:L432,M173:T432,TRUE,TRUE),1,5)</f>
        <v/>
      </c>
      <c r="AF432" s="9">
        <f>INDEX(LINEST(L173:L432,M173:T432,TRUE,TRUE),1,4)</f>
        <v/>
      </c>
      <c r="AG432" s="9">
        <f>INDEX(LINEST(L173:L432,M173:T432,TRUE,TRUE),1,3)</f>
        <v/>
      </c>
      <c r="AH432" s="9">
        <f>INDEX(LINEST(L173:L432,M173:T432,TRUE,TRUE),1,2)</f>
        <v/>
      </c>
      <c r="AI432" s="9">
        <f>INDEX(LINEST(L173:L432,M173:T432,TRUE,TRUE),1,1)</f>
        <v/>
      </c>
      <c r="AJ432" s="10">
        <f>INDEX(LINEST(L173:L432,M173:T432,TRUE,TRUE),3,1)</f>
        <v/>
      </c>
      <c r="AK432" s="9">
        <f>AA431/52+AB431*M432+AC431*N432+AD431*O432+AE431*P432+AF431*Q432+AG431*R432+AH431*S432+AI431*T432</f>
        <v/>
      </c>
      <c r="AL432" s="9">
        <f>AVERAGE(L172:L431)</f>
        <v/>
      </c>
    </row>
    <row r="433">
      <c r="A433" s="7" t="n">
        <v>40634</v>
      </c>
      <c r="B433" s="8" t="n">
        <v>1418</v>
      </c>
      <c r="C433" s="8" t="n">
        <v>2.52</v>
      </c>
      <c r="D433" s="8" t="n">
        <v>0.9399999999999999</v>
      </c>
      <c r="E433" s="8" t="n">
        <v>75.83000199999999</v>
      </c>
      <c r="F433" s="8" t="n">
        <v>107.55</v>
      </c>
      <c r="G433" s="8" t="n">
        <v>17.4</v>
      </c>
      <c r="H433" s="8" t="n">
        <v>87.5</v>
      </c>
      <c r="I433" s="8" t="n">
        <v>1332.410034</v>
      </c>
      <c r="J433" s="8" t="n">
        <v>69.340919</v>
      </c>
      <c r="L433" s="9">
        <f>LN(B433/B432)</f>
        <v/>
      </c>
      <c r="M433" s="9">
        <f>$M$1*(C433-C432)</f>
        <v/>
      </c>
      <c r="N433" s="9">
        <f>$N$1*(D433-D432)</f>
        <v/>
      </c>
      <c r="O433" s="9">
        <f>$O$1*LN(E433/E432)</f>
        <v/>
      </c>
      <c r="P433" s="9">
        <f>$P$1*LN(F433/F432)</f>
        <v/>
      </c>
      <c r="Q433" s="9">
        <f>$Q$1*(G433-G432)</f>
        <v/>
      </c>
      <c r="R433" s="9">
        <f>$R$1*(H433-H432)</f>
        <v/>
      </c>
      <c r="S433" s="9">
        <f>$S$1*LN(I433/I432)</f>
        <v/>
      </c>
      <c r="T433" s="9">
        <f>$T$1*LN(J433/J432)</f>
        <v/>
      </c>
      <c r="U433" s="9">
        <f>$W$12+$W$4*M433+$W$5*N433+$W$6*O433+$W$7*P433+$W$8*Q433+$W$9*R433+$W$10*S433+$W$11*T433</f>
        <v/>
      </c>
      <c r="AA433" s="10">
        <f>INDEX(LINEST(L174:L433,M174:T433,TRUE,TRUE),1,9)*52</f>
        <v/>
      </c>
      <c r="AB433" s="9">
        <f>INDEX(LINEST(L174:L433,M174:T433,TRUE,TRUE),1,8)</f>
        <v/>
      </c>
      <c r="AC433" s="9">
        <f>INDEX(LINEST(L174:L433,M174:T433,TRUE,TRUE),1,7)</f>
        <v/>
      </c>
      <c r="AD433" s="9">
        <f>INDEX(LINEST(L174:L433,M174:T433,TRUE,TRUE),1,6)</f>
        <v/>
      </c>
      <c r="AE433" s="9">
        <f>INDEX(LINEST(L174:L433,M174:T433,TRUE,TRUE),1,5)</f>
        <v/>
      </c>
      <c r="AF433" s="9">
        <f>INDEX(LINEST(L174:L433,M174:T433,TRUE,TRUE),1,4)</f>
        <v/>
      </c>
      <c r="AG433" s="9">
        <f>INDEX(LINEST(L174:L433,M174:T433,TRUE,TRUE),1,3)</f>
        <v/>
      </c>
      <c r="AH433" s="9">
        <f>INDEX(LINEST(L174:L433,M174:T433,TRUE,TRUE),1,2)</f>
        <v/>
      </c>
      <c r="AI433" s="9">
        <f>INDEX(LINEST(L174:L433,M174:T433,TRUE,TRUE),1,1)</f>
        <v/>
      </c>
      <c r="AJ433" s="10">
        <f>INDEX(LINEST(L174:L433,M174:T433,TRUE,TRUE),3,1)</f>
        <v/>
      </c>
      <c r="AK433" s="9">
        <f>AA432/52+AB432*M433+AC432*N433+AD432*O433+AE432*P433+AF432*Q433+AG432*R433+AH432*S433+AI432*T433</f>
        <v/>
      </c>
      <c r="AL433" s="9">
        <f>AVERAGE(L173:L432)</f>
        <v/>
      </c>
    </row>
    <row r="434">
      <c r="A434" s="7" t="n">
        <v>40641</v>
      </c>
      <c r="B434" s="8" t="n">
        <v>1469.5</v>
      </c>
      <c r="C434" s="8" t="n">
        <v>2.64</v>
      </c>
      <c r="D434" s="8" t="n">
        <v>0.95</v>
      </c>
      <c r="E434" s="8" t="n">
        <v>75.06999999999999</v>
      </c>
      <c r="F434" s="8" t="n">
        <v>112.27</v>
      </c>
      <c r="G434" s="8" t="n">
        <v>17.87</v>
      </c>
      <c r="H434" s="8" t="n">
        <v>88.5</v>
      </c>
      <c r="I434" s="8" t="n">
        <v>1328.170044</v>
      </c>
      <c r="J434" s="8" t="n">
        <v>69.076668</v>
      </c>
      <c r="L434" s="9">
        <f>LN(B434/B433)</f>
        <v/>
      </c>
      <c r="M434" s="9">
        <f>$M$1*(C434-C433)</f>
        <v/>
      </c>
      <c r="N434" s="9">
        <f>$N$1*(D434-D433)</f>
        <v/>
      </c>
      <c r="O434" s="9">
        <f>$O$1*LN(E434/E433)</f>
        <v/>
      </c>
      <c r="P434" s="9">
        <f>$P$1*LN(F434/F433)</f>
        <v/>
      </c>
      <c r="Q434" s="9">
        <f>$Q$1*(G434-G433)</f>
        <v/>
      </c>
      <c r="R434" s="9">
        <f>$R$1*(H434-H433)</f>
        <v/>
      </c>
      <c r="S434" s="9">
        <f>$S$1*LN(I434/I433)</f>
        <v/>
      </c>
      <c r="T434" s="9">
        <f>$T$1*LN(J434/J433)</f>
        <v/>
      </c>
      <c r="U434" s="9">
        <f>$W$12+$W$4*M434+$W$5*N434+$W$6*O434+$W$7*P434+$W$8*Q434+$W$9*R434+$W$10*S434+$W$11*T434</f>
        <v/>
      </c>
      <c r="AA434" s="10">
        <f>INDEX(LINEST(L175:L434,M175:T434,TRUE,TRUE),1,9)*52</f>
        <v/>
      </c>
      <c r="AB434" s="9">
        <f>INDEX(LINEST(L175:L434,M175:T434,TRUE,TRUE),1,8)</f>
        <v/>
      </c>
      <c r="AC434" s="9">
        <f>INDEX(LINEST(L175:L434,M175:T434,TRUE,TRUE),1,7)</f>
        <v/>
      </c>
      <c r="AD434" s="9">
        <f>INDEX(LINEST(L175:L434,M175:T434,TRUE,TRUE),1,6)</f>
        <v/>
      </c>
      <c r="AE434" s="9">
        <f>INDEX(LINEST(L175:L434,M175:T434,TRUE,TRUE),1,5)</f>
        <v/>
      </c>
      <c r="AF434" s="9">
        <f>INDEX(LINEST(L175:L434,M175:T434,TRUE,TRUE),1,4)</f>
        <v/>
      </c>
      <c r="AG434" s="9">
        <f>INDEX(LINEST(L175:L434,M175:T434,TRUE,TRUE),1,3)</f>
        <v/>
      </c>
      <c r="AH434" s="9">
        <f>INDEX(LINEST(L175:L434,M175:T434,TRUE,TRUE),1,2)</f>
        <v/>
      </c>
      <c r="AI434" s="9">
        <f>INDEX(LINEST(L175:L434,M175:T434,TRUE,TRUE),1,1)</f>
        <v/>
      </c>
      <c r="AJ434" s="10">
        <f>INDEX(LINEST(L175:L434,M175:T434,TRUE,TRUE),3,1)</f>
        <v/>
      </c>
      <c r="AK434" s="9">
        <f>AA433/52+AB433*M434+AC433*N434+AD433*O434+AE433*P434+AF433*Q434+AG433*R434+AH433*S434+AI433*T434</f>
        <v/>
      </c>
      <c r="AL434" s="9">
        <f>AVERAGE(L174:L433)</f>
        <v/>
      </c>
    </row>
    <row r="435">
      <c r="A435" s="7" t="n">
        <v>40648</v>
      </c>
      <c r="B435" s="8" t="n">
        <v>1476.75</v>
      </c>
      <c r="C435" s="8" t="n">
        <v>2.61</v>
      </c>
      <c r="D435" s="8" t="n">
        <v>0.82</v>
      </c>
      <c r="E435" s="8" t="n">
        <v>74.83000199999999</v>
      </c>
      <c r="F435" s="8" t="n">
        <v>109.17</v>
      </c>
      <c r="G435" s="8" t="n">
        <v>15.32</v>
      </c>
      <c r="H435" s="8" t="n">
        <v>81.5</v>
      </c>
      <c r="I435" s="8" t="n">
        <v>1319.680054</v>
      </c>
      <c r="J435" s="8" t="n">
        <v>69.664604</v>
      </c>
      <c r="L435" s="9">
        <f>LN(B435/B434)</f>
        <v/>
      </c>
      <c r="M435" s="9">
        <f>$M$1*(C435-C434)</f>
        <v/>
      </c>
      <c r="N435" s="9">
        <f>$N$1*(D435-D434)</f>
        <v/>
      </c>
      <c r="O435" s="9">
        <f>$O$1*LN(E435/E434)</f>
        <v/>
      </c>
      <c r="P435" s="9">
        <f>$P$1*LN(F435/F434)</f>
        <v/>
      </c>
      <c r="Q435" s="9">
        <f>$Q$1*(G435-G434)</f>
        <v/>
      </c>
      <c r="R435" s="9">
        <f>$R$1*(H435-H434)</f>
        <v/>
      </c>
      <c r="S435" s="9">
        <f>$S$1*LN(I435/I434)</f>
        <v/>
      </c>
      <c r="T435" s="9">
        <f>$T$1*LN(J435/J434)</f>
        <v/>
      </c>
      <c r="U435" s="9">
        <f>$W$12+$W$4*M435+$W$5*N435+$W$6*O435+$W$7*P435+$W$8*Q435+$W$9*R435+$W$10*S435+$W$11*T435</f>
        <v/>
      </c>
      <c r="AA435" s="10">
        <f>INDEX(LINEST(L176:L435,M176:T435,TRUE,TRUE),1,9)*52</f>
        <v/>
      </c>
      <c r="AB435" s="9">
        <f>INDEX(LINEST(L176:L435,M176:T435,TRUE,TRUE),1,8)</f>
        <v/>
      </c>
      <c r="AC435" s="9">
        <f>INDEX(LINEST(L176:L435,M176:T435,TRUE,TRUE),1,7)</f>
        <v/>
      </c>
      <c r="AD435" s="9">
        <f>INDEX(LINEST(L176:L435,M176:T435,TRUE,TRUE),1,6)</f>
        <v/>
      </c>
      <c r="AE435" s="9">
        <f>INDEX(LINEST(L176:L435,M176:T435,TRUE,TRUE),1,5)</f>
        <v/>
      </c>
      <c r="AF435" s="9">
        <f>INDEX(LINEST(L176:L435,M176:T435,TRUE,TRUE),1,4)</f>
        <v/>
      </c>
      <c r="AG435" s="9">
        <f>INDEX(LINEST(L176:L435,M176:T435,TRUE,TRUE),1,3)</f>
        <v/>
      </c>
      <c r="AH435" s="9">
        <f>INDEX(LINEST(L176:L435,M176:T435,TRUE,TRUE),1,2)</f>
        <v/>
      </c>
      <c r="AI435" s="9">
        <f>INDEX(LINEST(L176:L435,M176:T435,TRUE,TRUE),1,1)</f>
        <v/>
      </c>
      <c r="AJ435" s="10">
        <f>INDEX(LINEST(L176:L435,M176:T435,TRUE,TRUE),3,1)</f>
        <v/>
      </c>
      <c r="AK435" s="9">
        <f>AA434/52+AB434*M435+AC434*N435+AD434*O435+AE434*P435+AF434*Q435+AG434*R435+AH434*S435+AI434*T435</f>
        <v/>
      </c>
      <c r="AL435" s="9">
        <f>AVERAGE(L175:L434)</f>
        <v/>
      </c>
    </row>
    <row r="436">
      <c r="A436" s="7" t="n">
        <v>40655</v>
      </c>
      <c r="B436" s="8" t="n">
        <v>1504</v>
      </c>
      <c r="C436" s="8" t="n">
        <v>2.59</v>
      </c>
      <c r="D436" s="8" t="n">
        <v>0.83</v>
      </c>
      <c r="E436" s="8" t="n">
        <v>74</v>
      </c>
      <c r="F436" s="8" t="n">
        <v>111.72</v>
      </c>
      <c r="G436" s="8" t="n">
        <v>14.69</v>
      </c>
      <c r="H436" s="8" t="n">
        <v>76.599998</v>
      </c>
      <c r="I436" s="8" t="n">
        <v>1337.380005</v>
      </c>
      <c r="J436" s="8" t="n">
        <v>69.8694</v>
      </c>
      <c r="L436" s="9">
        <f>LN(B436/B435)</f>
        <v/>
      </c>
      <c r="M436" s="9">
        <f>$M$1*(C436-C435)</f>
        <v/>
      </c>
      <c r="N436" s="9">
        <f>$N$1*(D436-D435)</f>
        <v/>
      </c>
      <c r="O436" s="9">
        <f>$O$1*LN(E436/E435)</f>
        <v/>
      </c>
      <c r="P436" s="9">
        <f>$P$1*LN(F436/F435)</f>
        <v/>
      </c>
      <c r="Q436" s="9">
        <f>$Q$1*(G436-G435)</f>
        <v/>
      </c>
      <c r="R436" s="9">
        <f>$R$1*(H436-H435)</f>
        <v/>
      </c>
      <c r="S436" s="9">
        <f>$S$1*LN(I436/I435)</f>
        <v/>
      </c>
      <c r="T436" s="9">
        <f>$T$1*LN(J436/J435)</f>
        <v/>
      </c>
      <c r="U436" s="9">
        <f>$W$12+$W$4*M436+$W$5*N436+$W$6*O436+$W$7*P436+$W$8*Q436+$W$9*R436+$W$10*S436+$W$11*T436</f>
        <v/>
      </c>
      <c r="AA436" s="10">
        <f>INDEX(LINEST(L177:L436,M177:T436,TRUE,TRUE),1,9)*52</f>
        <v/>
      </c>
      <c r="AB436" s="9">
        <f>INDEX(LINEST(L177:L436,M177:T436,TRUE,TRUE),1,8)</f>
        <v/>
      </c>
      <c r="AC436" s="9">
        <f>INDEX(LINEST(L177:L436,M177:T436,TRUE,TRUE),1,7)</f>
        <v/>
      </c>
      <c r="AD436" s="9">
        <f>INDEX(LINEST(L177:L436,M177:T436,TRUE,TRUE),1,6)</f>
        <v/>
      </c>
      <c r="AE436" s="9">
        <f>INDEX(LINEST(L177:L436,M177:T436,TRUE,TRUE),1,5)</f>
        <v/>
      </c>
      <c r="AF436" s="9">
        <f>INDEX(LINEST(L177:L436,M177:T436,TRUE,TRUE),1,4)</f>
        <v/>
      </c>
      <c r="AG436" s="9">
        <f>INDEX(LINEST(L177:L436,M177:T436,TRUE,TRUE),1,3)</f>
        <v/>
      </c>
      <c r="AH436" s="9">
        <f>INDEX(LINEST(L177:L436,M177:T436,TRUE,TRUE),1,2)</f>
        <v/>
      </c>
      <c r="AI436" s="9">
        <f>INDEX(LINEST(L177:L436,M177:T436,TRUE,TRUE),1,1)</f>
        <v/>
      </c>
      <c r="AJ436" s="10">
        <f>INDEX(LINEST(L177:L436,M177:T436,TRUE,TRUE),3,1)</f>
        <v/>
      </c>
      <c r="AK436" s="9">
        <f>AA435/52+AB435*M436+AC435*N436+AD435*O436+AE435*P436+AF435*Q436+AG435*R436+AH435*S436+AI435*T436</f>
        <v/>
      </c>
      <c r="AL436" s="9">
        <f>AVERAGE(L176:L435)</f>
        <v/>
      </c>
    </row>
    <row r="437">
      <c r="A437" s="7" t="n">
        <v>40662</v>
      </c>
      <c r="B437" s="8" t="n">
        <v>1535.5</v>
      </c>
      <c r="C437" s="8" t="n">
        <v>2.57</v>
      </c>
      <c r="D437" s="8" t="n">
        <v>0.75</v>
      </c>
      <c r="E437" s="8" t="n">
        <v>72.93000000000001</v>
      </c>
      <c r="F437" s="8" t="n">
        <v>113.39</v>
      </c>
      <c r="G437" s="8" t="n">
        <v>14.75</v>
      </c>
      <c r="H437" s="8" t="n">
        <v>76.800003</v>
      </c>
      <c r="I437" s="8" t="n">
        <v>1363.609985</v>
      </c>
      <c r="J437" s="8" t="n">
        <v>70.33182499999999</v>
      </c>
      <c r="L437" s="9">
        <f>LN(B437/B436)</f>
        <v/>
      </c>
      <c r="M437" s="9">
        <f>$M$1*(C437-C436)</f>
        <v/>
      </c>
      <c r="N437" s="9">
        <f>$N$1*(D437-D436)</f>
        <v/>
      </c>
      <c r="O437" s="9">
        <f>$O$1*LN(E437/E436)</f>
        <v/>
      </c>
      <c r="P437" s="9">
        <f>$P$1*LN(F437/F436)</f>
        <v/>
      </c>
      <c r="Q437" s="9">
        <f>$Q$1*(G437-G436)</f>
        <v/>
      </c>
      <c r="R437" s="9">
        <f>$R$1*(H437-H436)</f>
        <v/>
      </c>
      <c r="S437" s="9">
        <f>$S$1*LN(I437/I436)</f>
        <v/>
      </c>
      <c r="T437" s="9">
        <f>$T$1*LN(J437/J436)</f>
        <v/>
      </c>
      <c r="U437" s="9">
        <f>$W$12+$W$4*M437+$W$5*N437+$W$6*O437+$W$7*P437+$W$8*Q437+$W$9*R437+$W$10*S437+$W$11*T437</f>
        <v/>
      </c>
      <c r="AA437" s="10">
        <f>INDEX(LINEST(L178:L437,M178:T437,TRUE,TRUE),1,9)*52</f>
        <v/>
      </c>
      <c r="AB437" s="9">
        <f>INDEX(LINEST(L178:L437,M178:T437,TRUE,TRUE),1,8)</f>
        <v/>
      </c>
      <c r="AC437" s="9">
        <f>INDEX(LINEST(L178:L437,M178:T437,TRUE,TRUE),1,7)</f>
        <v/>
      </c>
      <c r="AD437" s="9">
        <f>INDEX(LINEST(L178:L437,M178:T437,TRUE,TRUE),1,6)</f>
        <v/>
      </c>
      <c r="AE437" s="9">
        <f>INDEX(LINEST(L178:L437,M178:T437,TRUE,TRUE),1,5)</f>
        <v/>
      </c>
      <c r="AF437" s="9">
        <f>INDEX(LINEST(L178:L437,M178:T437,TRUE,TRUE),1,4)</f>
        <v/>
      </c>
      <c r="AG437" s="9">
        <f>INDEX(LINEST(L178:L437,M178:T437,TRUE,TRUE),1,3)</f>
        <v/>
      </c>
      <c r="AH437" s="9">
        <f>INDEX(LINEST(L178:L437,M178:T437,TRUE,TRUE),1,2)</f>
        <v/>
      </c>
      <c r="AI437" s="9">
        <f>INDEX(LINEST(L178:L437,M178:T437,TRUE,TRUE),1,1)</f>
        <v/>
      </c>
      <c r="AJ437" s="10">
        <f>INDEX(LINEST(L178:L437,M178:T437,TRUE,TRUE),3,1)</f>
        <v/>
      </c>
      <c r="AK437" s="9">
        <f>AA436/52+AB436*M437+AC436*N437+AD436*O437+AE436*P437+AF436*Q437+AG436*R437+AH436*S437+AI436*T437</f>
        <v/>
      </c>
      <c r="AL437" s="9">
        <f>AVERAGE(L177:L436)</f>
        <v/>
      </c>
    </row>
    <row r="438">
      <c r="A438" s="7" t="n">
        <v>40669</v>
      </c>
      <c r="B438" s="8" t="n">
        <v>1486.5</v>
      </c>
      <c r="C438" s="8" t="n">
        <v>2.48</v>
      </c>
      <c r="D438" s="8" t="n">
        <v>0.71</v>
      </c>
      <c r="E438" s="8" t="n">
        <v>74.839996</v>
      </c>
      <c r="F438" s="8" t="n">
        <v>96.87</v>
      </c>
      <c r="G438" s="8" t="n">
        <v>18.4</v>
      </c>
      <c r="H438" s="8" t="n">
        <v>84.099998</v>
      </c>
      <c r="I438" s="8" t="n">
        <v>1340.199951</v>
      </c>
      <c r="J438" s="8" t="n">
        <v>70.673737</v>
      </c>
      <c r="L438" s="9">
        <f>LN(B438/B437)</f>
        <v/>
      </c>
      <c r="M438" s="9">
        <f>$M$1*(C438-C437)</f>
        <v/>
      </c>
      <c r="N438" s="9">
        <f>$N$1*(D438-D437)</f>
        <v/>
      </c>
      <c r="O438" s="9">
        <f>$O$1*LN(E438/E437)</f>
        <v/>
      </c>
      <c r="P438" s="9">
        <f>$P$1*LN(F438/F437)</f>
        <v/>
      </c>
      <c r="Q438" s="9">
        <f>$Q$1*(G438-G437)</f>
        <v/>
      </c>
      <c r="R438" s="9">
        <f>$R$1*(H438-H437)</f>
        <v/>
      </c>
      <c r="S438" s="9">
        <f>$S$1*LN(I438/I437)</f>
        <v/>
      </c>
      <c r="T438" s="9">
        <f>$T$1*LN(J438/J437)</f>
        <v/>
      </c>
      <c r="U438" s="9">
        <f>$W$12+$W$4*M438+$W$5*N438+$W$6*O438+$W$7*P438+$W$8*Q438+$W$9*R438+$W$10*S438+$W$11*T438</f>
        <v/>
      </c>
      <c r="AA438" s="10">
        <f>INDEX(LINEST(L179:L438,M179:T438,TRUE,TRUE),1,9)*52</f>
        <v/>
      </c>
      <c r="AB438" s="9">
        <f>INDEX(LINEST(L179:L438,M179:T438,TRUE,TRUE),1,8)</f>
        <v/>
      </c>
      <c r="AC438" s="9">
        <f>INDEX(LINEST(L179:L438,M179:T438,TRUE,TRUE),1,7)</f>
        <v/>
      </c>
      <c r="AD438" s="9">
        <f>INDEX(LINEST(L179:L438,M179:T438,TRUE,TRUE),1,6)</f>
        <v/>
      </c>
      <c r="AE438" s="9">
        <f>INDEX(LINEST(L179:L438,M179:T438,TRUE,TRUE),1,5)</f>
        <v/>
      </c>
      <c r="AF438" s="9">
        <f>INDEX(LINEST(L179:L438,M179:T438,TRUE,TRUE),1,4)</f>
        <v/>
      </c>
      <c r="AG438" s="9">
        <f>INDEX(LINEST(L179:L438,M179:T438,TRUE,TRUE),1,3)</f>
        <v/>
      </c>
      <c r="AH438" s="9">
        <f>INDEX(LINEST(L179:L438,M179:T438,TRUE,TRUE),1,2)</f>
        <v/>
      </c>
      <c r="AI438" s="9">
        <f>INDEX(LINEST(L179:L438,M179:T438,TRUE,TRUE),1,1)</f>
        <v/>
      </c>
      <c r="AJ438" s="10">
        <f>INDEX(LINEST(L179:L438,M179:T438,TRUE,TRUE),3,1)</f>
        <v/>
      </c>
      <c r="AK438" s="9">
        <f>AA437/52+AB437*M438+AC437*N438+AD437*O438+AE437*P438+AF437*Q438+AG437*R438+AH437*S438+AI437*T438</f>
        <v/>
      </c>
      <c r="AL438" s="9">
        <f>AVERAGE(L178:L437)</f>
        <v/>
      </c>
    </row>
    <row r="439">
      <c r="A439" s="7" t="n">
        <v>40676</v>
      </c>
      <c r="B439" s="8" t="n">
        <v>1505.75</v>
      </c>
      <c r="C439" s="8" t="n">
        <v>2.39</v>
      </c>
      <c r="D439" s="8" t="n">
        <v>0.79</v>
      </c>
      <c r="E439" s="8" t="n">
        <v>75.760002</v>
      </c>
      <c r="F439" s="8" t="n">
        <v>99.20999999999999</v>
      </c>
      <c r="G439" s="8" t="n">
        <v>17.07</v>
      </c>
      <c r="H439" s="8" t="n">
        <v>82.099998</v>
      </c>
      <c r="I439" s="8" t="n">
        <v>1337.77002</v>
      </c>
      <c r="J439" s="8" t="n">
        <v>70.75985</v>
      </c>
      <c r="L439" s="9">
        <f>LN(B439/B438)</f>
        <v/>
      </c>
      <c r="M439" s="9">
        <f>$M$1*(C439-C438)</f>
        <v/>
      </c>
      <c r="N439" s="9">
        <f>$N$1*(D439-D438)</f>
        <v/>
      </c>
      <c r="O439" s="9">
        <f>$O$1*LN(E439/E438)</f>
        <v/>
      </c>
      <c r="P439" s="9">
        <f>$P$1*LN(F439/F438)</f>
        <v/>
      </c>
      <c r="Q439" s="9">
        <f>$Q$1*(G439-G438)</f>
        <v/>
      </c>
      <c r="R439" s="9">
        <f>$R$1*(H439-H438)</f>
        <v/>
      </c>
      <c r="S439" s="9">
        <f>$S$1*LN(I439/I438)</f>
        <v/>
      </c>
      <c r="T439" s="9">
        <f>$T$1*LN(J439/J438)</f>
        <v/>
      </c>
      <c r="U439" s="9">
        <f>$W$12+$W$4*M439+$W$5*N439+$W$6*O439+$W$7*P439+$W$8*Q439+$W$9*R439+$W$10*S439+$W$11*T439</f>
        <v/>
      </c>
      <c r="AA439" s="10">
        <f>INDEX(LINEST(L180:L439,M180:T439,TRUE,TRUE),1,9)*52</f>
        <v/>
      </c>
      <c r="AB439" s="9">
        <f>INDEX(LINEST(L180:L439,M180:T439,TRUE,TRUE),1,8)</f>
        <v/>
      </c>
      <c r="AC439" s="9">
        <f>INDEX(LINEST(L180:L439,M180:T439,TRUE,TRUE),1,7)</f>
        <v/>
      </c>
      <c r="AD439" s="9">
        <f>INDEX(LINEST(L180:L439,M180:T439,TRUE,TRUE),1,6)</f>
        <v/>
      </c>
      <c r="AE439" s="9">
        <f>INDEX(LINEST(L180:L439,M180:T439,TRUE,TRUE),1,5)</f>
        <v/>
      </c>
      <c r="AF439" s="9">
        <f>INDEX(LINEST(L180:L439,M180:T439,TRUE,TRUE),1,4)</f>
        <v/>
      </c>
      <c r="AG439" s="9">
        <f>INDEX(LINEST(L180:L439,M180:T439,TRUE,TRUE),1,3)</f>
        <v/>
      </c>
      <c r="AH439" s="9">
        <f>INDEX(LINEST(L180:L439,M180:T439,TRUE,TRUE),1,2)</f>
        <v/>
      </c>
      <c r="AI439" s="9">
        <f>INDEX(LINEST(L180:L439,M180:T439,TRUE,TRUE),1,1)</f>
        <v/>
      </c>
      <c r="AJ439" s="10">
        <f>INDEX(LINEST(L180:L439,M180:T439,TRUE,TRUE),3,1)</f>
        <v/>
      </c>
      <c r="AK439" s="9">
        <f>AA438/52+AB438*M439+AC438*N439+AD438*O439+AE438*P439+AF438*Q439+AG438*R439+AH438*S439+AI438*T439</f>
        <v/>
      </c>
      <c r="AL439" s="9">
        <f>AVERAGE(L179:L438)</f>
        <v/>
      </c>
    </row>
    <row r="440">
      <c r="A440" s="7" t="n">
        <v>40683</v>
      </c>
      <c r="B440" s="8" t="n">
        <v>1490.75</v>
      </c>
      <c r="C440" s="8" t="n">
        <v>2.3</v>
      </c>
      <c r="D440" s="8" t="n">
        <v>0.85</v>
      </c>
      <c r="E440" s="8" t="n">
        <v>75.43000000000001</v>
      </c>
      <c r="F440" s="8" t="n">
        <v>99.15000000000001</v>
      </c>
      <c r="G440" s="8" t="n">
        <v>17.43</v>
      </c>
      <c r="H440" s="8" t="n">
        <v>79.800003</v>
      </c>
      <c r="I440" s="8" t="n">
        <v>1333.27002</v>
      </c>
      <c r="J440" s="8" t="n">
        <v>70.89241800000001</v>
      </c>
      <c r="L440" s="9">
        <f>LN(B440/B439)</f>
        <v/>
      </c>
      <c r="M440" s="9">
        <f>$M$1*(C440-C439)</f>
        <v/>
      </c>
      <c r="N440" s="9">
        <f>$N$1*(D440-D439)</f>
        <v/>
      </c>
      <c r="O440" s="9">
        <f>$O$1*LN(E440/E439)</f>
        <v/>
      </c>
      <c r="P440" s="9">
        <f>$P$1*LN(F440/F439)</f>
        <v/>
      </c>
      <c r="Q440" s="9">
        <f>$Q$1*(G440-G439)</f>
        <v/>
      </c>
      <c r="R440" s="9">
        <f>$R$1*(H440-H439)</f>
        <v/>
      </c>
      <c r="S440" s="9">
        <f>$S$1*LN(I440/I439)</f>
        <v/>
      </c>
      <c r="T440" s="9">
        <f>$T$1*LN(J440/J439)</f>
        <v/>
      </c>
      <c r="U440" s="9">
        <f>$W$12+$W$4*M440+$W$5*N440+$W$6*O440+$W$7*P440+$W$8*Q440+$W$9*R440+$W$10*S440+$W$11*T440</f>
        <v/>
      </c>
      <c r="AA440" s="10">
        <f>INDEX(LINEST(L181:L440,M181:T440,TRUE,TRUE),1,9)*52</f>
        <v/>
      </c>
      <c r="AB440" s="9">
        <f>INDEX(LINEST(L181:L440,M181:T440,TRUE,TRUE),1,8)</f>
        <v/>
      </c>
      <c r="AC440" s="9">
        <f>INDEX(LINEST(L181:L440,M181:T440,TRUE,TRUE),1,7)</f>
        <v/>
      </c>
      <c r="AD440" s="9">
        <f>INDEX(LINEST(L181:L440,M181:T440,TRUE,TRUE),1,6)</f>
        <v/>
      </c>
      <c r="AE440" s="9">
        <f>INDEX(LINEST(L181:L440,M181:T440,TRUE,TRUE),1,5)</f>
        <v/>
      </c>
      <c r="AF440" s="9">
        <f>INDEX(LINEST(L181:L440,M181:T440,TRUE,TRUE),1,4)</f>
        <v/>
      </c>
      <c r="AG440" s="9">
        <f>INDEX(LINEST(L181:L440,M181:T440,TRUE,TRUE),1,3)</f>
        <v/>
      </c>
      <c r="AH440" s="9">
        <f>INDEX(LINEST(L181:L440,M181:T440,TRUE,TRUE),1,2)</f>
        <v/>
      </c>
      <c r="AI440" s="9">
        <f>INDEX(LINEST(L181:L440,M181:T440,TRUE,TRUE),1,1)</f>
        <v/>
      </c>
      <c r="AJ440" s="10">
        <f>INDEX(LINEST(L181:L440,M181:T440,TRUE,TRUE),3,1)</f>
        <v/>
      </c>
      <c r="AK440" s="9">
        <f>AA439/52+AB439*M440+AC439*N440+AD439*O440+AE439*P440+AF439*Q440+AG439*R440+AH439*S440+AI439*T440</f>
        <v/>
      </c>
      <c r="AL440" s="9">
        <f>AVERAGE(L180:L439)</f>
        <v/>
      </c>
    </row>
    <row r="441">
      <c r="A441" s="7" t="n">
        <v>40690</v>
      </c>
      <c r="B441" s="8" t="n">
        <v>1533</v>
      </c>
      <c r="C441" s="8" t="n">
        <v>2.28</v>
      </c>
      <c r="D441" s="8" t="n">
        <v>0.79</v>
      </c>
      <c r="E441" s="8" t="n">
        <v>74.949997</v>
      </c>
      <c r="F441" s="8" t="n">
        <v>100.58</v>
      </c>
      <c r="G441" s="8" t="n">
        <v>15.98</v>
      </c>
      <c r="H441" s="8" t="n">
        <v>73.900002</v>
      </c>
      <c r="I441" s="8" t="n">
        <v>1331.099976</v>
      </c>
      <c r="J441" s="8" t="n">
        <v>71.18396799999999</v>
      </c>
      <c r="L441" s="9">
        <f>LN(B441/B440)</f>
        <v/>
      </c>
      <c r="M441" s="9">
        <f>$M$1*(C441-C440)</f>
        <v/>
      </c>
      <c r="N441" s="9">
        <f>$N$1*(D441-D440)</f>
        <v/>
      </c>
      <c r="O441" s="9">
        <f>$O$1*LN(E441/E440)</f>
        <v/>
      </c>
      <c r="P441" s="9">
        <f>$P$1*LN(F441/F440)</f>
        <v/>
      </c>
      <c r="Q441" s="9">
        <f>$Q$1*(G441-G440)</f>
        <v/>
      </c>
      <c r="R441" s="9">
        <f>$R$1*(H441-H440)</f>
        <v/>
      </c>
      <c r="S441" s="9">
        <f>$S$1*LN(I441/I440)</f>
        <v/>
      </c>
      <c r="T441" s="9">
        <f>$T$1*LN(J441/J440)</f>
        <v/>
      </c>
      <c r="U441" s="9">
        <f>$W$12+$W$4*M441+$W$5*N441+$W$6*O441+$W$7*P441+$W$8*Q441+$W$9*R441+$W$10*S441+$W$11*T441</f>
        <v/>
      </c>
      <c r="AA441" s="10">
        <f>INDEX(LINEST(L182:L441,M182:T441,TRUE,TRUE),1,9)*52</f>
        <v/>
      </c>
      <c r="AB441" s="9">
        <f>INDEX(LINEST(L182:L441,M182:T441,TRUE,TRUE),1,8)</f>
        <v/>
      </c>
      <c r="AC441" s="9">
        <f>INDEX(LINEST(L182:L441,M182:T441,TRUE,TRUE),1,7)</f>
        <v/>
      </c>
      <c r="AD441" s="9">
        <f>INDEX(LINEST(L182:L441,M182:T441,TRUE,TRUE),1,6)</f>
        <v/>
      </c>
      <c r="AE441" s="9">
        <f>INDEX(LINEST(L182:L441,M182:T441,TRUE,TRUE),1,5)</f>
        <v/>
      </c>
      <c r="AF441" s="9">
        <f>INDEX(LINEST(L182:L441,M182:T441,TRUE,TRUE),1,4)</f>
        <v/>
      </c>
      <c r="AG441" s="9">
        <f>INDEX(LINEST(L182:L441,M182:T441,TRUE,TRUE),1,3)</f>
        <v/>
      </c>
      <c r="AH441" s="9">
        <f>INDEX(LINEST(L182:L441,M182:T441,TRUE,TRUE),1,2)</f>
        <v/>
      </c>
      <c r="AI441" s="9">
        <f>INDEX(LINEST(L182:L441,M182:T441,TRUE,TRUE),1,1)</f>
        <v/>
      </c>
      <c r="AJ441" s="10">
        <f>INDEX(LINEST(L182:L441,M182:T441,TRUE,TRUE),3,1)</f>
        <v/>
      </c>
      <c r="AK441" s="9">
        <f>AA440/52+AB440*M441+AC440*N441+AD440*O441+AE440*P441+AF440*Q441+AG440*R441+AH440*S441+AI440*T441</f>
        <v/>
      </c>
      <c r="AL441" s="9">
        <f>AVERAGE(L181:L440)</f>
        <v/>
      </c>
    </row>
    <row r="442">
      <c r="A442" s="7" t="n">
        <v>40697</v>
      </c>
      <c r="B442" s="8" t="n">
        <v>1540</v>
      </c>
      <c r="C442" s="8" t="n">
        <v>2.24</v>
      </c>
      <c r="D442" s="8" t="n">
        <v>0.75</v>
      </c>
      <c r="E442" s="8" t="n">
        <v>73.779999</v>
      </c>
      <c r="F442" s="8" t="n">
        <v>100.28</v>
      </c>
      <c r="G442" s="8" t="n">
        <v>17.95</v>
      </c>
      <c r="H442" s="8" t="n">
        <v>75.900002</v>
      </c>
      <c r="I442" s="8" t="n">
        <v>1300.160034</v>
      </c>
      <c r="J442" s="8" t="n">
        <v>71.31880200000001</v>
      </c>
      <c r="L442" s="9">
        <f>LN(B442/B441)</f>
        <v/>
      </c>
      <c r="M442" s="9">
        <f>$M$1*(C442-C441)</f>
        <v/>
      </c>
      <c r="N442" s="9">
        <f>$N$1*(D442-D441)</f>
        <v/>
      </c>
      <c r="O442" s="9">
        <f>$O$1*LN(E442/E441)</f>
        <v/>
      </c>
      <c r="P442" s="9">
        <f>$P$1*LN(F442/F441)</f>
        <v/>
      </c>
      <c r="Q442" s="9">
        <f>$Q$1*(G442-G441)</f>
        <v/>
      </c>
      <c r="R442" s="9">
        <f>$R$1*(H442-H441)</f>
        <v/>
      </c>
      <c r="S442" s="9">
        <f>$S$1*LN(I442/I441)</f>
        <v/>
      </c>
      <c r="T442" s="9">
        <f>$T$1*LN(J442/J441)</f>
        <v/>
      </c>
      <c r="U442" s="9">
        <f>$W$12+$W$4*M442+$W$5*N442+$W$6*O442+$W$7*P442+$W$8*Q442+$W$9*R442+$W$10*S442+$W$11*T442</f>
        <v/>
      </c>
      <c r="AA442" s="10">
        <f>INDEX(LINEST(L183:L442,M183:T442,TRUE,TRUE),1,9)*52</f>
        <v/>
      </c>
      <c r="AB442" s="9">
        <f>INDEX(LINEST(L183:L442,M183:T442,TRUE,TRUE),1,8)</f>
        <v/>
      </c>
      <c r="AC442" s="9">
        <f>INDEX(LINEST(L183:L442,M183:T442,TRUE,TRUE),1,7)</f>
        <v/>
      </c>
      <c r="AD442" s="9">
        <f>INDEX(LINEST(L183:L442,M183:T442,TRUE,TRUE),1,6)</f>
        <v/>
      </c>
      <c r="AE442" s="9">
        <f>INDEX(LINEST(L183:L442,M183:T442,TRUE,TRUE),1,5)</f>
        <v/>
      </c>
      <c r="AF442" s="9">
        <f>INDEX(LINEST(L183:L442,M183:T442,TRUE,TRUE),1,4)</f>
        <v/>
      </c>
      <c r="AG442" s="9">
        <f>INDEX(LINEST(L183:L442,M183:T442,TRUE,TRUE),1,3)</f>
        <v/>
      </c>
      <c r="AH442" s="9">
        <f>INDEX(LINEST(L183:L442,M183:T442,TRUE,TRUE),1,2)</f>
        <v/>
      </c>
      <c r="AI442" s="9">
        <f>INDEX(LINEST(L183:L442,M183:T442,TRUE,TRUE),1,1)</f>
        <v/>
      </c>
      <c r="AJ442" s="10">
        <f>INDEX(LINEST(L183:L442,M183:T442,TRUE,TRUE),3,1)</f>
        <v/>
      </c>
      <c r="AK442" s="9">
        <f>AA441/52+AB441*M442+AC441*N442+AD441*O442+AE441*P442+AF441*Q442+AG441*R442+AH441*S442+AI441*T442</f>
        <v/>
      </c>
      <c r="AL442" s="9">
        <f>AVERAGE(L182:L441)</f>
        <v/>
      </c>
    </row>
    <row r="443">
      <c r="A443" s="7" t="n">
        <v>40704</v>
      </c>
      <c r="B443" s="8" t="n">
        <v>1529.25</v>
      </c>
      <c r="C443" s="8" t="n">
        <v>2.2</v>
      </c>
      <c r="D443" s="8" t="n">
        <v>0.79</v>
      </c>
      <c r="E443" s="8" t="n">
        <v>74.790001</v>
      </c>
      <c r="F443" s="8" t="n">
        <v>99.3</v>
      </c>
      <c r="G443" s="8" t="n">
        <v>18.86</v>
      </c>
      <c r="H443" s="8" t="n">
        <v>78.099998</v>
      </c>
      <c r="I443" s="8" t="n">
        <v>1270.97998</v>
      </c>
      <c r="J443" s="8" t="n">
        <v>71.425163</v>
      </c>
      <c r="L443" s="9">
        <f>LN(B443/B442)</f>
        <v/>
      </c>
      <c r="M443" s="9">
        <f>$M$1*(C443-C442)</f>
        <v/>
      </c>
      <c r="N443" s="9">
        <f>$N$1*(D443-D442)</f>
        <v/>
      </c>
      <c r="O443" s="9">
        <f>$O$1*LN(E443/E442)</f>
        <v/>
      </c>
      <c r="P443" s="9">
        <f>$P$1*LN(F443/F442)</f>
        <v/>
      </c>
      <c r="Q443" s="9">
        <f>$Q$1*(G443-G442)</f>
        <v/>
      </c>
      <c r="R443" s="9">
        <f>$R$1*(H443-H442)</f>
        <v/>
      </c>
      <c r="S443" s="9">
        <f>$S$1*LN(I443/I442)</f>
        <v/>
      </c>
      <c r="T443" s="9">
        <f>$T$1*LN(J443/J442)</f>
        <v/>
      </c>
      <c r="U443" s="9">
        <f>$W$12+$W$4*M443+$W$5*N443+$W$6*O443+$W$7*P443+$W$8*Q443+$W$9*R443+$W$10*S443+$W$11*T443</f>
        <v/>
      </c>
      <c r="AA443" s="10">
        <f>INDEX(LINEST(L184:L443,M184:T443,TRUE,TRUE),1,9)*52</f>
        <v/>
      </c>
      <c r="AB443" s="9">
        <f>INDEX(LINEST(L184:L443,M184:T443,TRUE,TRUE),1,8)</f>
        <v/>
      </c>
      <c r="AC443" s="9">
        <f>INDEX(LINEST(L184:L443,M184:T443,TRUE,TRUE),1,7)</f>
        <v/>
      </c>
      <c r="AD443" s="9">
        <f>INDEX(LINEST(L184:L443,M184:T443,TRUE,TRUE),1,6)</f>
        <v/>
      </c>
      <c r="AE443" s="9">
        <f>INDEX(LINEST(L184:L443,M184:T443,TRUE,TRUE),1,5)</f>
        <v/>
      </c>
      <c r="AF443" s="9">
        <f>INDEX(LINEST(L184:L443,M184:T443,TRUE,TRUE),1,4)</f>
        <v/>
      </c>
      <c r="AG443" s="9">
        <f>INDEX(LINEST(L184:L443,M184:T443,TRUE,TRUE),1,3)</f>
        <v/>
      </c>
      <c r="AH443" s="9">
        <f>INDEX(LINEST(L184:L443,M184:T443,TRUE,TRUE),1,2)</f>
        <v/>
      </c>
      <c r="AI443" s="9">
        <f>INDEX(LINEST(L184:L443,M184:T443,TRUE,TRUE),1,1)</f>
        <v/>
      </c>
      <c r="AJ443" s="10">
        <f>INDEX(LINEST(L184:L443,M184:T443,TRUE,TRUE),3,1)</f>
        <v/>
      </c>
      <c r="AK443" s="9">
        <f>AA442/52+AB442*M443+AC442*N443+AD442*O443+AE442*P443+AF442*Q443+AG442*R443+AH442*S443+AI442*T443</f>
        <v/>
      </c>
      <c r="AL443" s="9">
        <f>AVERAGE(L183:L442)</f>
        <v/>
      </c>
    </row>
    <row r="444">
      <c r="A444" s="7" t="n">
        <v>40711</v>
      </c>
      <c r="B444" s="8" t="n">
        <v>1537.5</v>
      </c>
      <c r="C444" s="8" t="n">
        <v>2.19</v>
      </c>
      <c r="D444" s="8" t="n">
        <v>0.75</v>
      </c>
      <c r="E444" s="8" t="n">
        <v>74.989998</v>
      </c>
      <c r="F444" s="8" t="n">
        <v>93.02</v>
      </c>
      <c r="G444" s="8" t="n">
        <v>21.85</v>
      </c>
      <c r="H444" s="8" t="n">
        <v>85.300003</v>
      </c>
      <c r="I444" s="8" t="n">
        <v>1271.5</v>
      </c>
      <c r="J444" s="8" t="n">
        <v>71.431786</v>
      </c>
      <c r="L444" s="9">
        <f>LN(B444/B443)</f>
        <v/>
      </c>
      <c r="M444" s="9">
        <f>$M$1*(C444-C443)</f>
        <v/>
      </c>
      <c r="N444" s="9">
        <f>$N$1*(D444-D443)</f>
        <v/>
      </c>
      <c r="O444" s="9">
        <f>$O$1*LN(E444/E443)</f>
        <v/>
      </c>
      <c r="P444" s="9">
        <f>$P$1*LN(F444/F443)</f>
        <v/>
      </c>
      <c r="Q444" s="9">
        <f>$Q$1*(G444-G443)</f>
        <v/>
      </c>
      <c r="R444" s="9">
        <f>$R$1*(H444-H443)</f>
        <v/>
      </c>
      <c r="S444" s="9">
        <f>$S$1*LN(I444/I443)</f>
        <v/>
      </c>
      <c r="T444" s="9">
        <f>$T$1*LN(J444/J443)</f>
        <v/>
      </c>
      <c r="U444" s="9">
        <f>$W$12+$W$4*M444+$W$5*N444+$W$6*O444+$W$7*P444+$W$8*Q444+$W$9*R444+$W$10*S444+$W$11*T444</f>
        <v/>
      </c>
      <c r="AA444" s="10">
        <f>INDEX(LINEST(L185:L444,M185:T444,TRUE,TRUE),1,9)*52</f>
        <v/>
      </c>
      <c r="AB444" s="9">
        <f>INDEX(LINEST(L185:L444,M185:T444,TRUE,TRUE),1,8)</f>
        <v/>
      </c>
      <c r="AC444" s="9">
        <f>INDEX(LINEST(L185:L444,M185:T444,TRUE,TRUE),1,7)</f>
        <v/>
      </c>
      <c r="AD444" s="9">
        <f>INDEX(LINEST(L185:L444,M185:T444,TRUE,TRUE),1,6)</f>
        <v/>
      </c>
      <c r="AE444" s="9">
        <f>INDEX(LINEST(L185:L444,M185:T444,TRUE,TRUE),1,5)</f>
        <v/>
      </c>
      <c r="AF444" s="9">
        <f>INDEX(LINEST(L185:L444,M185:T444,TRUE,TRUE),1,4)</f>
        <v/>
      </c>
      <c r="AG444" s="9">
        <f>INDEX(LINEST(L185:L444,M185:T444,TRUE,TRUE),1,3)</f>
        <v/>
      </c>
      <c r="AH444" s="9">
        <f>INDEX(LINEST(L185:L444,M185:T444,TRUE,TRUE),1,2)</f>
        <v/>
      </c>
      <c r="AI444" s="9">
        <f>INDEX(LINEST(L185:L444,M185:T444,TRUE,TRUE),1,1)</f>
        <v/>
      </c>
      <c r="AJ444" s="10">
        <f>INDEX(LINEST(L185:L444,M185:T444,TRUE,TRUE),3,1)</f>
        <v/>
      </c>
      <c r="AK444" s="9">
        <f>AA443/52+AB443*M444+AC443*N444+AD443*O444+AE443*P444+AF443*Q444+AG443*R444+AH443*S444+AI443*T444</f>
        <v/>
      </c>
      <c r="AL444" s="9">
        <f>AVERAGE(L184:L443)</f>
        <v/>
      </c>
    </row>
    <row r="445">
      <c r="A445" s="7" t="n">
        <v>40718</v>
      </c>
      <c r="B445" s="8" t="n">
        <v>1514.75</v>
      </c>
      <c r="C445" s="8" t="n">
        <v>2.24</v>
      </c>
      <c r="D445" s="8" t="n">
        <v>0.64</v>
      </c>
      <c r="E445" s="8" t="n">
        <v>75.66999800000001</v>
      </c>
      <c r="F445" s="8" t="n">
        <v>90.89</v>
      </c>
      <c r="G445" s="8" t="n">
        <v>21.1</v>
      </c>
      <c r="H445" s="8" t="n">
        <v>84.800003</v>
      </c>
      <c r="I445" s="8" t="n">
        <v>1268.449951</v>
      </c>
      <c r="J445" s="8" t="n">
        <v>71.52478000000001</v>
      </c>
      <c r="L445" s="9">
        <f>LN(B445/B444)</f>
        <v/>
      </c>
      <c r="M445" s="9">
        <f>$M$1*(C445-C444)</f>
        <v/>
      </c>
      <c r="N445" s="9">
        <f>$N$1*(D445-D444)</f>
        <v/>
      </c>
      <c r="O445" s="9">
        <f>$O$1*LN(E445/E444)</f>
        <v/>
      </c>
      <c r="P445" s="9">
        <f>$P$1*LN(F445/F444)</f>
        <v/>
      </c>
      <c r="Q445" s="9">
        <f>$Q$1*(G445-G444)</f>
        <v/>
      </c>
      <c r="R445" s="9">
        <f>$R$1*(H445-H444)</f>
        <v/>
      </c>
      <c r="S445" s="9">
        <f>$S$1*LN(I445/I444)</f>
        <v/>
      </c>
      <c r="T445" s="9">
        <f>$T$1*LN(J445/J444)</f>
        <v/>
      </c>
      <c r="U445" s="9">
        <f>$W$12+$W$4*M445+$W$5*N445+$W$6*O445+$W$7*P445+$W$8*Q445+$W$9*R445+$W$10*S445+$W$11*T445</f>
        <v/>
      </c>
      <c r="AA445" s="10">
        <f>INDEX(LINEST(L186:L445,M186:T445,TRUE,TRUE),1,9)*52</f>
        <v/>
      </c>
      <c r="AB445" s="9">
        <f>INDEX(LINEST(L186:L445,M186:T445,TRUE,TRUE),1,8)</f>
        <v/>
      </c>
      <c r="AC445" s="9">
        <f>INDEX(LINEST(L186:L445,M186:T445,TRUE,TRUE),1,7)</f>
        <v/>
      </c>
      <c r="AD445" s="9">
        <f>INDEX(LINEST(L186:L445,M186:T445,TRUE,TRUE),1,6)</f>
        <v/>
      </c>
      <c r="AE445" s="9">
        <f>INDEX(LINEST(L186:L445,M186:T445,TRUE,TRUE),1,5)</f>
        <v/>
      </c>
      <c r="AF445" s="9">
        <f>INDEX(LINEST(L186:L445,M186:T445,TRUE,TRUE),1,4)</f>
        <v/>
      </c>
      <c r="AG445" s="9">
        <f>INDEX(LINEST(L186:L445,M186:T445,TRUE,TRUE),1,3)</f>
        <v/>
      </c>
      <c r="AH445" s="9">
        <f>INDEX(LINEST(L186:L445,M186:T445,TRUE,TRUE),1,2)</f>
        <v/>
      </c>
      <c r="AI445" s="9">
        <f>INDEX(LINEST(L186:L445,M186:T445,TRUE,TRUE),1,1)</f>
        <v/>
      </c>
      <c r="AJ445" s="10">
        <f>INDEX(LINEST(L186:L445,M186:T445,TRUE,TRUE),3,1)</f>
        <v/>
      </c>
      <c r="AK445" s="9">
        <f>AA444/52+AB444*M445+AC444*N445+AD444*O445+AE444*P445+AF444*Q445+AG444*R445+AH444*S445+AI444*T445</f>
        <v/>
      </c>
      <c r="AL445" s="9">
        <f>AVERAGE(L185:L444)</f>
        <v/>
      </c>
    </row>
    <row r="446">
      <c r="A446" s="7" t="n">
        <v>40725</v>
      </c>
      <c r="B446" s="8" t="n">
        <v>1483</v>
      </c>
      <c r="C446" s="8" t="n">
        <v>2.45</v>
      </c>
      <c r="D446" s="8" t="n">
        <v>0.77</v>
      </c>
      <c r="E446" s="8" t="n">
        <v>74.349998</v>
      </c>
      <c r="F446" s="8" t="n">
        <v>94.81</v>
      </c>
      <c r="G446" s="8" t="n">
        <v>15.87</v>
      </c>
      <c r="H446" s="8" t="n">
        <v>90.5</v>
      </c>
      <c r="I446" s="8" t="n">
        <v>1339.670044</v>
      </c>
      <c r="J446" s="8" t="n">
        <v>70.909485</v>
      </c>
      <c r="L446" s="9">
        <f>LN(B446/B445)</f>
        <v/>
      </c>
      <c r="M446" s="9">
        <f>$M$1*(C446-C445)</f>
        <v/>
      </c>
      <c r="N446" s="9">
        <f>$N$1*(D446-D445)</f>
        <v/>
      </c>
      <c r="O446" s="9">
        <f>$O$1*LN(E446/E445)</f>
        <v/>
      </c>
      <c r="P446" s="9">
        <f>$P$1*LN(F446/F445)</f>
        <v/>
      </c>
      <c r="Q446" s="9">
        <f>$Q$1*(G446-G445)</f>
        <v/>
      </c>
      <c r="R446" s="9">
        <f>$R$1*(H446-H445)</f>
        <v/>
      </c>
      <c r="S446" s="9">
        <f>$S$1*LN(I446/I445)</f>
        <v/>
      </c>
      <c r="T446" s="9">
        <f>$T$1*LN(J446/J445)</f>
        <v/>
      </c>
      <c r="U446" s="9">
        <f>$W$12+$W$4*M446+$W$5*N446+$W$6*O446+$W$7*P446+$W$8*Q446+$W$9*R446+$W$10*S446+$W$11*T446</f>
        <v/>
      </c>
      <c r="AA446" s="10">
        <f>INDEX(LINEST(L187:L446,M187:T446,TRUE,TRUE),1,9)*52</f>
        <v/>
      </c>
      <c r="AB446" s="9">
        <f>INDEX(LINEST(L187:L446,M187:T446,TRUE,TRUE),1,8)</f>
        <v/>
      </c>
      <c r="AC446" s="9">
        <f>INDEX(LINEST(L187:L446,M187:T446,TRUE,TRUE),1,7)</f>
        <v/>
      </c>
      <c r="AD446" s="9">
        <f>INDEX(LINEST(L187:L446,M187:T446,TRUE,TRUE),1,6)</f>
        <v/>
      </c>
      <c r="AE446" s="9">
        <f>INDEX(LINEST(L187:L446,M187:T446,TRUE,TRUE),1,5)</f>
        <v/>
      </c>
      <c r="AF446" s="9">
        <f>INDEX(LINEST(L187:L446,M187:T446,TRUE,TRUE),1,4)</f>
        <v/>
      </c>
      <c r="AG446" s="9">
        <f>INDEX(LINEST(L187:L446,M187:T446,TRUE,TRUE),1,3)</f>
        <v/>
      </c>
      <c r="AH446" s="9">
        <f>INDEX(LINEST(L187:L446,M187:T446,TRUE,TRUE),1,2)</f>
        <v/>
      </c>
      <c r="AI446" s="9">
        <f>INDEX(LINEST(L187:L446,M187:T446,TRUE,TRUE),1,1)</f>
        <v/>
      </c>
      <c r="AJ446" s="10">
        <f>INDEX(LINEST(L187:L446,M187:T446,TRUE,TRUE),3,1)</f>
        <v/>
      </c>
      <c r="AK446" s="9">
        <f>AA445/52+AB445*M446+AC445*N446+AD445*O446+AE445*P446+AF445*Q446+AG445*R446+AH445*S446+AI445*T446</f>
        <v/>
      </c>
      <c r="AL446" s="9">
        <f>AVERAGE(L186:L445)</f>
        <v/>
      </c>
    </row>
    <row r="447">
      <c r="A447" s="7" t="n">
        <v>40732</v>
      </c>
      <c r="B447" s="8" t="n">
        <v>1541.5</v>
      </c>
      <c r="C447" s="8" t="n">
        <v>2.34</v>
      </c>
      <c r="D447" s="8" t="n">
        <v>0.6899999999999999</v>
      </c>
      <c r="E447" s="8" t="n">
        <v>75.18000000000001</v>
      </c>
      <c r="F447" s="8" t="n">
        <v>96.2</v>
      </c>
      <c r="G447" s="8" t="n">
        <v>15.95</v>
      </c>
      <c r="H447" s="8" t="n">
        <v>85.800003</v>
      </c>
      <c r="I447" s="8" t="n">
        <v>1343.800049</v>
      </c>
      <c r="J447" s="8" t="n">
        <v>71.389381</v>
      </c>
      <c r="L447" s="9">
        <f>LN(B447/B446)</f>
        <v/>
      </c>
      <c r="M447" s="9">
        <f>$M$1*(C447-C446)</f>
        <v/>
      </c>
      <c r="N447" s="9">
        <f>$N$1*(D447-D446)</f>
        <v/>
      </c>
      <c r="O447" s="9">
        <f>$O$1*LN(E447/E446)</f>
        <v/>
      </c>
      <c r="P447" s="9">
        <f>$P$1*LN(F447/F446)</f>
        <v/>
      </c>
      <c r="Q447" s="9">
        <f>$Q$1*(G447-G446)</f>
        <v/>
      </c>
      <c r="R447" s="9">
        <f>$R$1*(H447-H446)</f>
        <v/>
      </c>
      <c r="S447" s="9">
        <f>$S$1*LN(I447/I446)</f>
        <v/>
      </c>
      <c r="T447" s="9">
        <f>$T$1*LN(J447/J446)</f>
        <v/>
      </c>
      <c r="U447" s="9">
        <f>$W$12+$W$4*M447+$W$5*N447+$W$6*O447+$W$7*P447+$W$8*Q447+$W$9*R447+$W$10*S447+$W$11*T447</f>
        <v/>
      </c>
      <c r="AA447" s="10">
        <f>INDEX(LINEST(L188:L447,M188:T447,TRUE,TRUE),1,9)*52</f>
        <v/>
      </c>
      <c r="AB447" s="9">
        <f>INDEX(LINEST(L188:L447,M188:T447,TRUE,TRUE),1,8)</f>
        <v/>
      </c>
      <c r="AC447" s="9">
        <f>INDEX(LINEST(L188:L447,M188:T447,TRUE,TRUE),1,7)</f>
        <v/>
      </c>
      <c r="AD447" s="9">
        <f>INDEX(LINEST(L188:L447,M188:T447,TRUE,TRUE),1,6)</f>
        <v/>
      </c>
      <c r="AE447" s="9">
        <f>INDEX(LINEST(L188:L447,M188:T447,TRUE,TRUE),1,5)</f>
        <v/>
      </c>
      <c r="AF447" s="9">
        <f>INDEX(LINEST(L188:L447,M188:T447,TRUE,TRUE),1,4)</f>
        <v/>
      </c>
      <c r="AG447" s="9">
        <f>INDEX(LINEST(L188:L447,M188:T447,TRUE,TRUE),1,3)</f>
        <v/>
      </c>
      <c r="AH447" s="9">
        <f>INDEX(LINEST(L188:L447,M188:T447,TRUE,TRUE),1,2)</f>
        <v/>
      </c>
      <c r="AI447" s="9">
        <f>INDEX(LINEST(L188:L447,M188:T447,TRUE,TRUE),1,1)</f>
        <v/>
      </c>
      <c r="AJ447" s="10">
        <f>INDEX(LINEST(L188:L447,M188:T447,TRUE,TRUE),3,1)</f>
        <v/>
      </c>
      <c r="AK447" s="9">
        <f>AA446/52+AB446*M447+AC446*N447+AD446*O447+AE446*P447+AF446*Q447+AG446*R447+AH446*S447+AI446*T447</f>
        <v/>
      </c>
      <c r="AL447" s="9">
        <f>AVERAGE(L187:L446)</f>
        <v/>
      </c>
    </row>
    <row r="448">
      <c r="A448" s="7" t="n">
        <v>40739</v>
      </c>
      <c r="B448" s="8" t="n">
        <v>1587</v>
      </c>
      <c r="C448" s="8" t="n">
        <v>2.33</v>
      </c>
      <c r="D448" s="8" t="n">
        <v>0.61</v>
      </c>
      <c r="E448" s="8" t="n">
        <v>75.129997</v>
      </c>
      <c r="F448" s="8" t="n">
        <v>97.23999999999999</v>
      </c>
      <c r="G448" s="8" t="n">
        <v>19.53</v>
      </c>
      <c r="H448" s="8" t="n">
        <v>90.400002</v>
      </c>
      <c r="I448" s="8" t="n">
        <v>1316.140015</v>
      </c>
      <c r="J448" s="8" t="n">
        <v>71.70255299999999</v>
      </c>
      <c r="L448" s="9">
        <f>LN(B448/B447)</f>
        <v/>
      </c>
      <c r="M448" s="9">
        <f>$M$1*(C448-C447)</f>
        <v/>
      </c>
      <c r="N448" s="9">
        <f>$N$1*(D448-D447)</f>
        <v/>
      </c>
      <c r="O448" s="9">
        <f>$O$1*LN(E448/E447)</f>
        <v/>
      </c>
      <c r="P448" s="9">
        <f>$P$1*LN(F448/F447)</f>
        <v/>
      </c>
      <c r="Q448" s="9">
        <f>$Q$1*(G448-G447)</f>
        <v/>
      </c>
      <c r="R448" s="9">
        <f>$R$1*(H448-H447)</f>
        <v/>
      </c>
      <c r="S448" s="9">
        <f>$S$1*LN(I448/I447)</f>
        <v/>
      </c>
      <c r="T448" s="9">
        <f>$T$1*LN(J448/J447)</f>
        <v/>
      </c>
      <c r="U448" s="9">
        <f>$W$12+$W$4*M448+$W$5*N448+$W$6*O448+$W$7*P448+$W$8*Q448+$W$9*R448+$W$10*S448+$W$11*T448</f>
        <v/>
      </c>
      <c r="AA448" s="10">
        <f>INDEX(LINEST(L189:L448,M189:T448,TRUE,TRUE),1,9)*52</f>
        <v/>
      </c>
      <c r="AB448" s="9">
        <f>INDEX(LINEST(L189:L448,M189:T448,TRUE,TRUE),1,8)</f>
        <v/>
      </c>
      <c r="AC448" s="9">
        <f>INDEX(LINEST(L189:L448,M189:T448,TRUE,TRUE),1,7)</f>
        <v/>
      </c>
      <c r="AD448" s="9">
        <f>INDEX(LINEST(L189:L448,M189:T448,TRUE,TRUE),1,6)</f>
        <v/>
      </c>
      <c r="AE448" s="9">
        <f>INDEX(LINEST(L189:L448,M189:T448,TRUE,TRUE),1,5)</f>
        <v/>
      </c>
      <c r="AF448" s="9">
        <f>INDEX(LINEST(L189:L448,M189:T448,TRUE,TRUE),1,4)</f>
        <v/>
      </c>
      <c r="AG448" s="9">
        <f>INDEX(LINEST(L189:L448,M189:T448,TRUE,TRUE),1,3)</f>
        <v/>
      </c>
      <c r="AH448" s="9">
        <f>INDEX(LINEST(L189:L448,M189:T448,TRUE,TRUE),1,2)</f>
        <v/>
      </c>
      <c r="AI448" s="9">
        <f>INDEX(LINEST(L189:L448,M189:T448,TRUE,TRUE),1,1)</f>
        <v/>
      </c>
      <c r="AJ448" s="10">
        <f>INDEX(LINEST(L189:L448,M189:T448,TRUE,TRUE),3,1)</f>
        <v/>
      </c>
      <c r="AK448" s="9">
        <f>AA447/52+AB447*M448+AC447*N448+AD447*O448+AE447*P448+AF447*Q448+AG447*R448+AH447*S448+AI447*T448</f>
        <v/>
      </c>
      <c r="AL448" s="9">
        <f>AVERAGE(L188:L447)</f>
        <v/>
      </c>
    </row>
    <row r="449">
      <c r="A449" s="7" t="n">
        <v>40746</v>
      </c>
      <c r="B449" s="8" t="n">
        <v>1602</v>
      </c>
      <c r="C449" s="8" t="n">
        <v>2.38</v>
      </c>
      <c r="D449" s="8" t="n">
        <v>0.61</v>
      </c>
      <c r="E449" s="8" t="n">
        <v>74.199997</v>
      </c>
      <c r="F449" s="8" t="n">
        <v>99.53</v>
      </c>
      <c r="G449" s="8" t="n">
        <v>17.52</v>
      </c>
      <c r="H449" s="8" t="n">
        <v>84.300003</v>
      </c>
      <c r="I449" s="8" t="n">
        <v>1345.02002</v>
      </c>
      <c r="J449" s="8" t="n">
        <v>71.67591899999999</v>
      </c>
      <c r="L449" s="9">
        <f>LN(B449/B448)</f>
        <v/>
      </c>
      <c r="M449" s="9">
        <f>$M$1*(C449-C448)</f>
        <v/>
      </c>
      <c r="N449" s="9">
        <f>$N$1*(D449-D448)</f>
        <v/>
      </c>
      <c r="O449" s="9">
        <f>$O$1*LN(E449/E448)</f>
        <v/>
      </c>
      <c r="P449" s="9">
        <f>$P$1*LN(F449/F448)</f>
        <v/>
      </c>
      <c r="Q449" s="9">
        <f>$Q$1*(G449-G448)</f>
        <v/>
      </c>
      <c r="R449" s="9">
        <f>$R$1*(H449-H448)</f>
        <v/>
      </c>
      <c r="S449" s="9">
        <f>$S$1*LN(I449/I448)</f>
        <v/>
      </c>
      <c r="T449" s="9">
        <f>$T$1*LN(J449/J448)</f>
        <v/>
      </c>
      <c r="U449" s="9">
        <f>$W$12+$W$4*M449+$W$5*N449+$W$6*O449+$W$7*P449+$W$8*Q449+$W$9*R449+$W$10*S449+$W$11*T449</f>
        <v/>
      </c>
      <c r="AA449" s="10">
        <f>INDEX(LINEST(L190:L449,M190:T449,TRUE,TRUE),1,9)*52</f>
        <v/>
      </c>
      <c r="AB449" s="9">
        <f>INDEX(LINEST(L190:L449,M190:T449,TRUE,TRUE),1,8)</f>
        <v/>
      </c>
      <c r="AC449" s="9">
        <f>INDEX(LINEST(L190:L449,M190:T449,TRUE,TRUE),1,7)</f>
        <v/>
      </c>
      <c r="AD449" s="9">
        <f>INDEX(LINEST(L190:L449,M190:T449,TRUE,TRUE),1,6)</f>
        <v/>
      </c>
      <c r="AE449" s="9">
        <f>INDEX(LINEST(L190:L449,M190:T449,TRUE,TRUE),1,5)</f>
        <v/>
      </c>
      <c r="AF449" s="9">
        <f>INDEX(LINEST(L190:L449,M190:T449,TRUE,TRUE),1,4)</f>
        <v/>
      </c>
      <c r="AG449" s="9">
        <f>INDEX(LINEST(L190:L449,M190:T449,TRUE,TRUE),1,3)</f>
        <v/>
      </c>
      <c r="AH449" s="9">
        <f>INDEX(LINEST(L190:L449,M190:T449,TRUE,TRUE),1,2)</f>
        <v/>
      </c>
      <c r="AI449" s="9">
        <f>INDEX(LINEST(L190:L449,M190:T449,TRUE,TRUE),1,1)</f>
        <v/>
      </c>
      <c r="AJ449" s="10">
        <f>INDEX(LINEST(L190:L449,M190:T449,TRUE,TRUE),3,1)</f>
        <v/>
      </c>
      <c r="AK449" s="9">
        <f>AA448/52+AB448*M449+AC448*N449+AD448*O449+AE448*P449+AF448*Q449+AG448*R449+AH448*S449+AI448*T449</f>
        <v/>
      </c>
      <c r="AL449" s="9">
        <f>AVERAGE(L189:L448)</f>
        <v/>
      </c>
    </row>
    <row r="450">
      <c r="A450" s="7" t="n">
        <v>40753</v>
      </c>
      <c r="B450" s="8" t="n">
        <v>1628.5</v>
      </c>
      <c r="C450" s="8" t="n">
        <v>2.44</v>
      </c>
      <c r="D450" s="8" t="n">
        <v>0.38</v>
      </c>
      <c r="E450" s="8" t="n">
        <v>73.900002</v>
      </c>
      <c r="F450" s="8" t="n">
        <v>95.68000000000001</v>
      </c>
      <c r="G450" s="8" t="n">
        <v>25.25</v>
      </c>
      <c r="H450" s="8" t="n">
        <v>88</v>
      </c>
      <c r="I450" s="8" t="n">
        <v>1292.280029</v>
      </c>
      <c r="J450" s="8" t="n">
        <v>72.08245100000001</v>
      </c>
      <c r="L450" s="9">
        <f>LN(B450/B449)</f>
        <v/>
      </c>
      <c r="M450" s="9">
        <f>$M$1*(C450-C449)</f>
        <v/>
      </c>
      <c r="N450" s="9">
        <f>$N$1*(D450-D449)</f>
        <v/>
      </c>
      <c r="O450" s="9">
        <f>$O$1*LN(E450/E449)</f>
        <v/>
      </c>
      <c r="P450" s="9">
        <f>$P$1*LN(F450/F449)</f>
        <v/>
      </c>
      <c r="Q450" s="9">
        <f>$Q$1*(G450-G449)</f>
        <v/>
      </c>
      <c r="R450" s="9">
        <f>$R$1*(H450-H449)</f>
        <v/>
      </c>
      <c r="S450" s="9">
        <f>$S$1*LN(I450/I449)</f>
        <v/>
      </c>
      <c r="T450" s="9">
        <f>$T$1*LN(J450/J449)</f>
        <v/>
      </c>
      <c r="U450" s="9">
        <f>$W$12+$W$4*M450+$W$5*N450+$W$6*O450+$W$7*P450+$W$8*Q450+$W$9*R450+$W$10*S450+$W$11*T450</f>
        <v/>
      </c>
      <c r="AA450" s="10">
        <f>INDEX(LINEST(L191:L450,M191:T450,TRUE,TRUE),1,9)*52</f>
        <v/>
      </c>
      <c r="AB450" s="9">
        <f>INDEX(LINEST(L191:L450,M191:T450,TRUE,TRUE),1,8)</f>
        <v/>
      </c>
      <c r="AC450" s="9">
        <f>INDEX(LINEST(L191:L450,M191:T450,TRUE,TRUE),1,7)</f>
        <v/>
      </c>
      <c r="AD450" s="9">
        <f>INDEX(LINEST(L191:L450,M191:T450,TRUE,TRUE),1,6)</f>
        <v/>
      </c>
      <c r="AE450" s="9">
        <f>INDEX(LINEST(L191:L450,M191:T450,TRUE,TRUE),1,5)</f>
        <v/>
      </c>
      <c r="AF450" s="9">
        <f>INDEX(LINEST(L191:L450,M191:T450,TRUE,TRUE),1,4)</f>
        <v/>
      </c>
      <c r="AG450" s="9">
        <f>INDEX(LINEST(L191:L450,M191:T450,TRUE,TRUE),1,3)</f>
        <v/>
      </c>
      <c r="AH450" s="9">
        <f>INDEX(LINEST(L191:L450,M191:T450,TRUE,TRUE),1,2)</f>
        <v/>
      </c>
      <c r="AI450" s="9">
        <f>INDEX(LINEST(L191:L450,M191:T450,TRUE,TRUE),1,1)</f>
        <v/>
      </c>
      <c r="AJ450" s="10">
        <f>INDEX(LINEST(L191:L450,M191:T450,TRUE,TRUE),3,1)</f>
        <v/>
      </c>
      <c r="AK450" s="9">
        <f>AA449/52+AB449*M450+AC449*N450+AD449*O450+AE449*P450+AF449*Q450+AG449*R450+AH449*S450+AI449*T450</f>
        <v/>
      </c>
      <c r="AL450" s="9">
        <f>AVERAGE(L190:L449)</f>
        <v/>
      </c>
    </row>
    <row r="451">
      <c r="A451" s="7" t="n">
        <v>40760</v>
      </c>
      <c r="B451" s="8" t="n">
        <v>1658.75</v>
      </c>
      <c r="C451" s="8" t="n">
        <v>2.26</v>
      </c>
      <c r="D451" s="8" t="n">
        <v>0.32</v>
      </c>
      <c r="E451" s="8" t="n">
        <v>74.599998</v>
      </c>
      <c r="F451" s="8" t="n">
        <v>86.89</v>
      </c>
      <c r="G451" s="8" t="n">
        <v>32</v>
      </c>
      <c r="H451" s="8" t="n">
        <v>100.699997</v>
      </c>
      <c r="I451" s="8" t="n">
        <v>1199.380005</v>
      </c>
      <c r="J451" s="8" t="n">
        <v>72.543571</v>
      </c>
      <c r="L451" s="9">
        <f>LN(B451/B450)</f>
        <v/>
      </c>
      <c r="M451" s="9">
        <f>$M$1*(C451-C450)</f>
        <v/>
      </c>
      <c r="N451" s="9">
        <f>$N$1*(D451-D450)</f>
        <v/>
      </c>
      <c r="O451" s="9">
        <f>$O$1*LN(E451/E450)</f>
        <v/>
      </c>
      <c r="P451" s="9">
        <f>$P$1*LN(F451/F450)</f>
        <v/>
      </c>
      <c r="Q451" s="9">
        <f>$Q$1*(G451-G450)</f>
        <v/>
      </c>
      <c r="R451" s="9">
        <f>$R$1*(H451-H450)</f>
        <v/>
      </c>
      <c r="S451" s="9">
        <f>$S$1*LN(I451/I450)</f>
        <v/>
      </c>
      <c r="T451" s="9">
        <f>$T$1*LN(J451/J450)</f>
        <v/>
      </c>
      <c r="U451" s="9">
        <f>$W$12+$W$4*M451+$W$5*N451+$W$6*O451+$W$7*P451+$W$8*Q451+$W$9*R451+$W$10*S451+$W$11*T451</f>
        <v/>
      </c>
      <c r="AA451" s="10">
        <f>INDEX(LINEST(L192:L451,M192:T451,TRUE,TRUE),1,9)*52</f>
        <v/>
      </c>
      <c r="AB451" s="9">
        <f>INDEX(LINEST(L192:L451,M192:T451,TRUE,TRUE),1,8)</f>
        <v/>
      </c>
      <c r="AC451" s="9">
        <f>INDEX(LINEST(L192:L451,M192:T451,TRUE,TRUE),1,7)</f>
        <v/>
      </c>
      <c r="AD451" s="9">
        <f>INDEX(LINEST(L192:L451,M192:T451,TRUE,TRUE),1,6)</f>
        <v/>
      </c>
      <c r="AE451" s="9">
        <f>INDEX(LINEST(L192:L451,M192:T451,TRUE,TRUE),1,5)</f>
        <v/>
      </c>
      <c r="AF451" s="9">
        <f>INDEX(LINEST(L192:L451,M192:T451,TRUE,TRUE),1,4)</f>
        <v/>
      </c>
      <c r="AG451" s="9">
        <f>INDEX(LINEST(L192:L451,M192:T451,TRUE,TRUE),1,3)</f>
        <v/>
      </c>
      <c r="AH451" s="9">
        <f>INDEX(LINEST(L192:L451,M192:T451,TRUE,TRUE),1,2)</f>
        <v/>
      </c>
      <c r="AI451" s="9">
        <f>INDEX(LINEST(L192:L451,M192:T451,TRUE,TRUE),1,1)</f>
        <v/>
      </c>
      <c r="AJ451" s="10">
        <f>INDEX(LINEST(L192:L451,M192:T451,TRUE,TRUE),3,1)</f>
        <v/>
      </c>
      <c r="AK451" s="9">
        <f>AA450/52+AB450*M451+AC450*N451+AD450*O451+AE450*P451+AF450*Q451+AG450*R451+AH450*S451+AI450*T451</f>
        <v/>
      </c>
      <c r="AL451" s="9">
        <f>AVERAGE(L191:L450)</f>
        <v/>
      </c>
    </row>
    <row r="452">
      <c r="A452" s="7" t="n">
        <v>40767</v>
      </c>
      <c r="B452" s="8" t="n">
        <v>1736</v>
      </c>
      <c r="C452" s="8" t="n">
        <v>2.26</v>
      </c>
      <c r="D452" s="8" t="n">
        <v>-0.02</v>
      </c>
      <c r="E452" s="8" t="n">
        <v>74.610001</v>
      </c>
      <c r="F452" s="8" t="n">
        <v>85.19</v>
      </c>
      <c r="G452" s="8" t="n">
        <v>36.36</v>
      </c>
      <c r="H452" s="8" t="n">
        <v>109.099998</v>
      </c>
      <c r="I452" s="8" t="n">
        <v>1178.810059</v>
      </c>
      <c r="J452" s="8" t="n">
        <v>73.004662</v>
      </c>
      <c r="L452" s="9">
        <f>LN(B452/B451)</f>
        <v/>
      </c>
      <c r="M452" s="9">
        <f>$M$1*(C452-C451)</f>
        <v/>
      </c>
      <c r="N452" s="9">
        <f>$N$1*(D452-D451)</f>
        <v/>
      </c>
      <c r="O452" s="9">
        <f>$O$1*LN(E452/E451)</f>
        <v/>
      </c>
      <c r="P452" s="9">
        <f>$P$1*LN(F452/F451)</f>
        <v/>
      </c>
      <c r="Q452" s="9">
        <f>$Q$1*(G452-G451)</f>
        <v/>
      </c>
      <c r="R452" s="9">
        <f>$R$1*(H452-H451)</f>
        <v/>
      </c>
      <c r="S452" s="9">
        <f>$S$1*LN(I452/I451)</f>
        <v/>
      </c>
      <c r="T452" s="9">
        <f>$T$1*LN(J452/J451)</f>
        <v/>
      </c>
      <c r="U452" s="9">
        <f>$W$12+$W$4*M452+$W$5*N452+$W$6*O452+$W$7*P452+$W$8*Q452+$W$9*R452+$W$10*S452+$W$11*T452</f>
        <v/>
      </c>
      <c r="AA452" s="10">
        <f>INDEX(LINEST(L193:L452,M193:T452,TRUE,TRUE),1,9)*52</f>
        <v/>
      </c>
      <c r="AB452" s="9">
        <f>INDEX(LINEST(L193:L452,M193:T452,TRUE,TRUE),1,8)</f>
        <v/>
      </c>
      <c r="AC452" s="9">
        <f>INDEX(LINEST(L193:L452,M193:T452,TRUE,TRUE),1,7)</f>
        <v/>
      </c>
      <c r="AD452" s="9">
        <f>INDEX(LINEST(L193:L452,M193:T452,TRUE,TRUE),1,6)</f>
        <v/>
      </c>
      <c r="AE452" s="9">
        <f>INDEX(LINEST(L193:L452,M193:T452,TRUE,TRUE),1,5)</f>
        <v/>
      </c>
      <c r="AF452" s="9">
        <f>INDEX(LINEST(L193:L452,M193:T452,TRUE,TRUE),1,4)</f>
        <v/>
      </c>
      <c r="AG452" s="9">
        <f>INDEX(LINEST(L193:L452,M193:T452,TRUE,TRUE),1,3)</f>
        <v/>
      </c>
      <c r="AH452" s="9">
        <f>INDEX(LINEST(L193:L452,M193:T452,TRUE,TRUE),1,2)</f>
        <v/>
      </c>
      <c r="AI452" s="9">
        <f>INDEX(LINEST(L193:L452,M193:T452,TRUE,TRUE),1,1)</f>
        <v/>
      </c>
      <c r="AJ452" s="10">
        <f>INDEX(LINEST(L193:L452,M193:T452,TRUE,TRUE),3,1)</f>
        <v/>
      </c>
      <c r="AK452" s="9">
        <f>AA451/52+AB451*M452+AC451*N452+AD451*O452+AE451*P452+AF451*Q452+AG451*R452+AH451*S452+AI451*T452</f>
        <v/>
      </c>
      <c r="AL452" s="9">
        <f>AVERAGE(L192:L451)</f>
        <v/>
      </c>
    </row>
    <row r="453">
      <c r="A453" s="7" t="n">
        <v>40774</v>
      </c>
      <c r="B453" s="8" t="n">
        <v>1848</v>
      </c>
      <c r="C453" s="8" t="n">
        <v>2.05</v>
      </c>
      <c r="D453" s="8" t="n">
        <v>0.02</v>
      </c>
      <c r="E453" s="8" t="n">
        <v>73.989998</v>
      </c>
      <c r="F453" s="8" t="n">
        <v>82.33</v>
      </c>
      <c r="G453" s="8" t="n">
        <v>43.05</v>
      </c>
      <c r="H453" s="8" t="n">
        <v>100.300003</v>
      </c>
      <c r="I453" s="8" t="n">
        <v>1123.530029</v>
      </c>
      <c r="J453" s="8" t="n">
        <v>73.5326</v>
      </c>
      <c r="L453" s="9">
        <f>LN(B453/B452)</f>
        <v/>
      </c>
      <c r="M453" s="9">
        <f>$M$1*(C453-C452)</f>
        <v/>
      </c>
      <c r="N453" s="9">
        <f>$N$1*(D453-D452)</f>
        <v/>
      </c>
      <c r="O453" s="9">
        <f>$O$1*LN(E453/E452)</f>
        <v/>
      </c>
      <c r="P453" s="9">
        <f>$P$1*LN(F453/F452)</f>
        <v/>
      </c>
      <c r="Q453" s="9">
        <f>$Q$1*(G453-G452)</f>
        <v/>
      </c>
      <c r="R453" s="9">
        <f>$R$1*(H453-H452)</f>
        <v/>
      </c>
      <c r="S453" s="9">
        <f>$S$1*LN(I453/I452)</f>
        <v/>
      </c>
      <c r="T453" s="9">
        <f>$T$1*LN(J453/J452)</f>
        <v/>
      </c>
      <c r="U453" s="9">
        <f>$W$12+$W$4*M453+$W$5*N453+$W$6*O453+$W$7*P453+$W$8*Q453+$W$9*R453+$W$10*S453+$W$11*T453</f>
        <v/>
      </c>
      <c r="AA453" s="10">
        <f>INDEX(LINEST(L194:L453,M194:T453,TRUE,TRUE),1,9)*52</f>
        <v/>
      </c>
      <c r="AB453" s="9">
        <f>INDEX(LINEST(L194:L453,M194:T453,TRUE,TRUE),1,8)</f>
        <v/>
      </c>
      <c r="AC453" s="9">
        <f>INDEX(LINEST(L194:L453,M194:T453,TRUE,TRUE),1,7)</f>
        <v/>
      </c>
      <c r="AD453" s="9">
        <f>INDEX(LINEST(L194:L453,M194:T453,TRUE,TRUE),1,6)</f>
        <v/>
      </c>
      <c r="AE453" s="9">
        <f>INDEX(LINEST(L194:L453,M194:T453,TRUE,TRUE),1,5)</f>
        <v/>
      </c>
      <c r="AF453" s="9">
        <f>INDEX(LINEST(L194:L453,M194:T453,TRUE,TRUE),1,4)</f>
        <v/>
      </c>
      <c r="AG453" s="9">
        <f>INDEX(LINEST(L194:L453,M194:T453,TRUE,TRUE),1,3)</f>
        <v/>
      </c>
      <c r="AH453" s="9">
        <f>INDEX(LINEST(L194:L453,M194:T453,TRUE,TRUE),1,2)</f>
        <v/>
      </c>
      <c r="AI453" s="9">
        <f>INDEX(LINEST(L194:L453,M194:T453,TRUE,TRUE),1,1)</f>
        <v/>
      </c>
      <c r="AJ453" s="10">
        <f>INDEX(LINEST(L194:L453,M194:T453,TRUE,TRUE),3,1)</f>
        <v/>
      </c>
      <c r="AK453" s="9">
        <f>AA452/52+AB452*M453+AC452*N453+AD452*O453+AE452*P453+AF452*Q453+AG452*R453+AH452*S453+AI452*T453</f>
        <v/>
      </c>
      <c r="AL453" s="9">
        <f>AVERAGE(L193:L452)</f>
        <v/>
      </c>
    </row>
    <row r="454">
      <c r="A454" s="7" t="n">
        <v>40781</v>
      </c>
      <c r="B454" s="8" t="n">
        <v>1788</v>
      </c>
      <c r="C454" s="8" t="n">
        <v>2.04</v>
      </c>
      <c r="D454" s="8" t="n">
        <v>0.15</v>
      </c>
      <c r="E454" s="8" t="n">
        <v>73.80999799999999</v>
      </c>
      <c r="F454" s="8" t="n">
        <v>85.37</v>
      </c>
      <c r="G454" s="8" t="n">
        <v>35.59</v>
      </c>
      <c r="H454" s="8" t="n">
        <v>101.5</v>
      </c>
      <c r="I454" s="8" t="n">
        <v>1176.800049</v>
      </c>
      <c r="J454" s="8" t="n">
        <v>73.09824399999999</v>
      </c>
      <c r="L454" s="9">
        <f>LN(B454/B453)</f>
        <v/>
      </c>
      <c r="M454" s="9">
        <f>$M$1*(C454-C453)</f>
        <v/>
      </c>
      <c r="N454" s="9">
        <f>$N$1*(D454-D453)</f>
        <v/>
      </c>
      <c r="O454" s="9">
        <f>$O$1*LN(E454/E453)</f>
        <v/>
      </c>
      <c r="P454" s="9">
        <f>$P$1*LN(F454/F453)</f>
        <v/>
      </c>
      <c r="Q454" s="9">
        <f>$Q$1*(G454-G453)</f>
        <v/>
      </c>
      <c r="R454" s="9">
        <f>$R$1*(H454-H453)</f>
        <v/>
      </c>
      <c r="S454" s="9">
        <f>$S$1*LN(I454/I453)</f>
        <v/>
      </c>
      <c r="T454" s="9">
        <f>$T$1*LN(J454/J453)</f>
        <v/>
      </c>
      <c r="U454" s="9">
        <f>$W$12+$W$4*M454+$W$5*N454+$W$6*O454+$W$7*P454+$W$8*Q454+$W$9*R454+$W$10*S454+$W$11*T454</f>
        <v/>
      </c>
      <c r="AA454" s="10">
        <f>INDEX(LINEST(L195:L454,M195:T454,TRUE,TRUE),1,9)*52</f>
        <v/>
      </c>
      <c r="AB454" s="9">
        <f>INDEX(LINEST(L195:L454,M195:T454,TRUE,TRUE),1,8)</f>
        <v/>
      </c>
      <c r="AC454" s="9">
        <f>INDEX(LINEST(L195:L454,M195:T454,TRUE,TRUE),1,7)</f>
        <v/>
      </c>
      <c r="AD454" s="9">
        <f>INDEX(LINEST(L195:L454,M195:T454,TRUE,TRUE),1,6)</f>
        <v/>
      </c>
      <c r="AE454" s="9">
        <f>INDEX(LINEST(L195:L454,M195:T454,TRUE,TRUE),1,5)</f>
        <v/>
      </c>
      <c r="AF454" s="9">
        <f>INDEX(LINEST(L195:L454,M195:T454,TRUE,TRUE),1,4)</f>
        <v/>
      </c>
      <c r="AG454" s="9">
        <f>INDEX(LINEST(L195:L454,M195:T454,TRUE,TRUE),1,3)</f>
        <v/>
      </c>
      <c r="AH454" s="9">
        <f>INDEX(LINEST(L195:L454,M195:T454,TRUE,TRUE),1,2)</f>
        <v/>
      </c>
      <c r="AI454" s="9">
        <f>INDEX(LINEST(L195:L454,M195:T454,TRUE,TRUE),1,1)</f>
        <v/>
      </c>
      <c r="AJ454" s="10">
        <f>INDEX(LINEST(L195:L454,M195:T454,TRUE,TRUE),3,1)</f>
        <v/>
      </c>
      <c r="AK454" s="9">
        <f>AA453/52+AB453*M454+AC453*N454+AD453*O454+AE453*P454+AF453*Q454+AG453*R454+AH453*S454+AI453*T454</f>
        <v/>
      </c>
      <c r="AL454" s="9">
        <f>AVERAGE(L194:L453)</f>
        <v/>
      </c>
    </row>
    <row r="455">
      <c r="A455" s="7" t="n">
        <v>40788</v>
      </c>
      <c r="B455" s="8" t="n">
        <v>1875.25</v>
      </c>
      <c r="C455" s="8" t="n">
        <v>2.02</v>
      </c>
      <c r="D455" s="8" t="n">
        <v>0</v>
      </c>
      <c r="E455" s="8" t="n">
        <v>74.75</v>
      </c>
      <c r="F455" s="8" t="n">
        <v>86.45</v>
      </c>
      <c r="G455" s="8" t="n">
        <v>33.92</v>
      </c>
      <c r="H455" s="8" t="n">
        <v>99.400002</v>
      </c>
      <c r="I455" s="8" t="n">
        <v>1173.969971</v>
      </c>
      <c r="J455" s="8" t="n">
        <v>73.635201</v>
      </c>
      <c r="L455" s="9">
        <f>LN(B455/B454)</f>
        <v/>
      </c>
      <c r="M455" s="9">
        <f>$M$1*(C455-C454)</f>
        <v/>
      </c>
      <c r="N455" s="9">
        <f>$N$1*(D455-D454)</f>
        <v/>
      </c>
      <c r="O455" s="9">
        <f>$O$1*LN(E455/E454)</f>
        <v/>
      </c>
      <c r="P455" s="9">
        <f>$P$1*LN(F455/F454)</f>
        <v/>
      </c>
      <c r="Q455" s="9">
        <f>$Q$1*(G455-G454)</f>
        <v/>
      </c>
      <c r="R455" s="9">
        <f>$R$1*(H455-H454)</f>
        <v/>
      </c>
      <c r="S455" s="9">
        <f>$S$1*LN(I455/I454)</f>
        <v/>
      </c>
      <c r="T455" s="9">
        <f>$T$1*LN(J455/J454)</f>
        <v/>
      </c>
      <c r="U455" s="9">
        <f>$W$12+$W$4*M455+$W$5*N455+$W$6*O455+$W$7*P455+$W$8*Q455+$W$9*R455+$W$10*S455+$W$11*T455</f>
        <v/>
      </c>
      <c r="AA455" s="10">
        <f>INDEX(LINEST(L196:L455,M196:T455,TRUE,TRUE),1,9)*52</f>
        <v/>
      </c>
      <c r="AB455" s="9">
        <f>INDEX(LINEST(L196:L455,M196:T455,TRUE,TRUE),1,8)</f>
        <v/>
      </c>
      <c r="AC455" s="9">
        <f>INDEX(LINEST(L196:L455,M196:T455,TRUE,TRUE),1,7)</f>
        <v/>
      </c>
      <c r="AD455" s="9">
        <f>INDEX(LINEST(L196:L455,M196:T455,TRUE,TRUE),1,6)</f>
        <v/>
      </c>
      <c r="AE455" s="9">
        <f>INDEX(LINEST(L196:L455,M196:T455,TRUE,TRUE),1,5)</f>
        <v/>
      </c>
      <c r="AF455" s="9">
        <f>INDEX(LINEST(L196:L455,M196:T455,TRUE,TRUE),1,4)</f>
        <v/>
      </c>
      <c r="AG455" s="9">
        <f>INDEX(LINEST(L196:L455,M196:T455,TRUE,TRUE),1,3)</f>
        <v/>
      </c>
      <c r="AH455" s="9">
        <f>INDEX(LINEST(L196:L455,M196:T455,TRUE,TRUE),1,2)</f>
        <v/>
      </c>
      <c r="AI455" s="9">
        <f>INDEX(LINEST(L196:L455,M196:T455,TRUE,TRUE),1,1)</f>
        <v/>
      </c>
      <c r="AJ455" s="10">
        <f>INDEX(LINEST(L196:L455,M196:T455,TRUE,TRUE),3,1)</f>
        <v/>
      </c>
      <c r="AK455" s="9">
        <f>AA454/52+AB454*M455+AC454*N455+AD454*O455+AE454*P455+AF454*Q455+AG454*R455+AH454*S455+AI454*T455</f>
        <v/>
      </c>
      <c r="AL455" s="9">
        <f>AVERAGE(L195:L454)</f>
        <v/>
      </c>
    </row>
    <row r="456">
      <c r="A456" s="7" t="n">
        <v>40795</v>
      </c>
      <c r="B456" s="8" t="n">
        <v>1851</v>
      </c>
      <c r="C456" s="8" t="n">
        <v>1.96</v>
      </c>
      <c r="D456" s="8" t="n">
        <v>-0.03</v>
      </c>
      <c r="E456" s="8" t="n">
        <v>77.19000200000001</v>
      </c>
      <c r="F456" s="8" t="n">
        <v>87.23999999999999</v>
      </c>
      <c r="G456" s="8" t="n">
        <v>38.52</v>
      </c>
      <c r="H456" s="8" t="n">
        <v>100.699997</v>
      </c>
      <c r="I456" s="8" t="n">
        <v>1154.22998</v>
      </c>
      <c r="J456" s="8" t="n">
        <v>73.77581000000001</v>
      </c>
      <c r="L456" s="9">
        <f>LN(B456/B455)</f>
        <v/>
      </c>
      <c r="M456" s="9">
        <f>$M$1*(C456-C455)</f>
        <v/>
      </c>
      <c r="N456" s="9">
        <f>$N$1*(D456-D455)</f>
        <v/>
      </c>
      <c r="O456" s="9">
        <f>$O$1*LN(E456/E455)</f>
        <v/>
      </c>
      <c r="P456" s="9">
        <f>$P$1*LN(F456/F455)</f>
        <v/>
      </c>
      <c r="Q456" s="9">
        <f>$Q$1*(G456-G455)</f>
        <v/>
      </c>
      <c r="R456" s="9">
        <f>$R$1*(H456-H455)</f>
        <v/>
      </c>
      <c r="S456" s="9">
        <f>$S$1*LN(I456/I455)</f>
        <v/>
      </c>
      <c r="T456" s="9">
        <f>$T$1*LN(J456/J455)</f>
        <v/>
      </c>
      <c r="U456" s="9">
        <f>$W$12+$W$4*M456+$W$5*N456+$W$6*O456+$W$7*P456+$W$8*Q456+$W$9*R456+$W$10*S456+$W$11*T456</f>
        <v/>
      </c>
      <c r="AA456" s="10">
        <f>INDEX(LINEST(L197:L456,M197:T456,TRUE,TRUE),1,9)*52</f>
        <v/>
      </c>
      <c r="AB456" s="9">
        <f>INDEX(LINEST(L197:L456,M197:T456,TRUE,TRUE),1,8)</f>
        <v/>
      </c>
      <c r="AC456" s="9">
        <f>INDEX(LINEST(L197:L456,M197:T456,TRUE,TRUE),1,7)</f>
        <v/>
      </c>
      <c r="AD456" s="9">
        <f>INDEX(LINEST(L197:L456,M197:T456,TRUE,TRUE),1,6)</f>
        <v/>
      </c>
      <c r="AE456" s="9">
        <f>INDEX(LINEST(L197:L456,M197:T456,TRUE,TRUE),1,5)</f>
        <v/>
      </c>
      <c r="AF456" s="9">
        <f>INDEX(LINEST(L197:L456,M197:T456,TRUE,TRUE),1,4)</f>
        <v/>
      </c>
      <c r="AG456" s="9">
        <f>INDEX(LINEST(L197:L456,M197:T456,TRUE,TRUE),1,3)</f>
        <v/>
      </c>
      <c r="AH456" s="9">
        <f>INDEX(LINEST(L197:L456,M197:T456,TRUE,TRUE),1,2)</f>
        <v/>
      </c>
      <c r="AI456" s="9">
        <f>INDEX(LINEST(L197:L456,M197:T456,TRUE,TRUE),1,1)</f>
        <v/>
      </c>
      <c r="AJ456" s="10">
        <f>INDEX(LINEST(L197:L456,M197:T456,TRUE,TRUE),3,1)</f>
        <v/>
      </c>
      <c r="AK456" s="9">
        <f>AA455/52+AB455*M456+AC455*N456+AD455*O456+AE455*P456+AF455*Q456+AG455*R456+AH455*S456+AI455*T456</f>
        <v/>
      </c>
      <c r="AL456" s="9">
        <f>AVERAGE(L196:L455)</f>
        <v/>
      </c>
    </row>
    <row r="457">
      <c r="A457" s="7" t="n">
        <v>40802</v>
      </c>
      <c r="B457" s="8" t="n">
        <v>1794</v>
      </c>
      <c r="C457" s="8" t="n">
        <v>1.95</v>
      </c>
      <c r="D457" s="8" t="n">
        <v>0.13</v>
      </c>
      <c r="E457" s="8" t="n">
        <v>76.58000199999999</v>
      </c>
      <c r="F457" s="8" t="n">
        <v>87.95999999999999</v>
      </c>
      <c r="G457" s="8" t="n">
        <v>30.98</v>
      </c>
      <c r="H457" s="8" t="n">
        <v>97.599998</v>
      </c>
      <c r="I457" s="8" t="n">
        <v>1216.01001</v>
      </c>
      <c r="J457" s="8" t="n">
        <v>73.56154600000001</v>
      </c>
      <c r="L457" s="9">
        <f>LN(B457/B456)</f>
        <v/>
      </c>
      <c r="M457" s="9">
        <f>$M$1*(C457-C456)</f>
        <v/>
      </c>
      <c r="N457" s="9">
        <f>$N$1*(D457-D456)</f>
        <v/>
      </c>
      <c r="O457" s="9">
        <f>$O$1*LN(E457/E456)</f>
        <v/>
      </c>
      <c r="P457" s="9">
        <f>$P$1*LN(F457/F456)</f>
        <v/>
      </c>
      <c r="Q457" s="9">
        <f>$Q$1*(G457-G456)</f>
        <v/>
      </c>
      <c r="R457" s="9">
        <f>$R$1*(H457-H456)</f>
        <v/>
      </c>
      <c r="S457" s="9">
        <f>$S$1*LN(I457/I456)</f>
        <v/>
      </c>
      <c r="T457" s="9">
        <f>$T$1*LN(J457/J456)</f>
        <v/>
      </c>
      <c r="U457" s="9">
        <f>$W$12+$W$4*M457+$W$5*N457+$W$6*O457+$W$7*P457+$W$8*Q457+$W$9*R457+$W$10*S457+$W$11*T457</f>
        <v/>
      </c>
      <c r="AA457" s="10">
        <f>INDEX(LINEST(L198:L457,M198:T457,TRUE,TRUE),1,9)*52</f>
        <v/>
      </c>
      <c r="AB457" s="9">
        <f>INDEX(LINEST(L198:L457,M198:T457,TRUE,TRUE),1,8)</f>
        <v/>
      </c>
      <c r="AC457" s="9">
        <f>INDEX(LINEST(L198:L457,M198:T457,TRUE,TRUE),1,7)</f>
        <v/>
      </c>
      <c r="AD457" s="9">
        <f>INDEX(LINEST(L198:L457,M198:T457,TRUE,TRUE),1,6)</f>
        <v/>
      </c>
      <c r="AE457" s="9">
        <f>INDEX(LINEST(L198:L457,M198:T457,TRUE,TRUE),1,5)</f>
        <v/>
      </c>
      <c r="AF457" s="9">
        <f>INDEX(LINEST(L198:L457,M198:T457,TRUE,TRUE),1,4)</f>
        <v/>
      </c>
      <c r="AG457" s="9">
        <f>INDEX(LINEST(L198:L457,M198:T457,TRUE,TRUE),1,3)</f>
        <v/>
      </c>
      <c r="AH457" s="9">
        <f>INDEX(LINEST(L198:L457,M198:T457,TRUE,TRUE),1,2)</f>
        <v/>
      </c>
      <c r="AI457" s="9">
        <f>INDEX(LINEST(L198:L457,M198:T457,TRUE,TRUE),1,1)</f>
        <v/>
      </c>
      <c r="AJ457" s="10">
        <f>INDEX(LINEST(L198:L457,M198:T457,TRUE,TRUE),3,1)</f>
        <v/>
      </c>
      <c r="AK457" s="9">
        <f>AA456/52+AB456*M457+AC456*N457+AD456*O457+AE456*P457+AF456*Q457+AG456*R457+AH456*S457+AI456*T457</f>
        <v/>
      </c>
      <c r="AL457" s="9">
        <f>AVERAGE(L197:L456)</f>
        <v/>
      </c>
    </row>
    <row r="458">
      <c r="A458" s="7" t="n">
        <v>40809</v>
      </c>
      <c r="B458" s="8" t="n">
        <v>1689</v>
      </c>
      <c r="C458" s="8" t="n">
        <v>1.74</v>
      </c>
      <c r="D458" s="8" t="n">
        <v>0.1</v>
      </c>
      <c r="E458" s="8" t="n">
        <v>78.300003</v>
      </c>
      <c r="F458" s="8" t="n">
        <v>79.58</v>
      </c>
      <c r="G458" s="8" t="n">
        <v>41.25</v>
      </c>
      <c r="H458" s="8" t="n">
        <v>104.5</v>
      </c>
      <c r="I458" s="8" t="n">
        <v>1136.430054</v>
      </c>
      <c r="J458" s="8" t="n">
        <v>73.82270800000001</v>
      </c>
      <c r="L458" s="9">
        <f>LN(B458/B457)</f>
        <v/>
      </c>
      <c r="M458" s="9">
        <f>$M$1*(C458-C457)</f>
        <v/>
      </c>
      <c r="N458" s="9">
        <f>$N$1*(D458-D457)</f>
        <v/>
      </c>
      <c r="O458" s="9">
        <f>$O$1*LN(E458/E457)</f>
        <v/>
      </c>
      <c r="P458" s="9">
        <f>$P$1*LN(F458/F457)</f>
        <v/>
      </c>
      <c r="Q458" s="9">
        <f>$Q$1*(G458-G457)</f>
        <v/>
      </c>
      <c r="R458" s="9">
        <f>$R$1*(H458-H457)</f>
        <v/>
      </c>
      <c r="S458" s="9">
        <f>$S$1*LN(I458/I457)</f>
        <v/>
      </c>
      <c r="T458" s="9">
        <f>$T$1*LN(J458/J457)</f>
        <v/>
      </c>
      <c r="U458" s="9">
        <f>$W$12+$W$4*M458+$W$5*N458+$W$6*O458+$W$7*P458+$W$8*Q458+$W$9*R458+$W$10*S458+$W$11*T458</f>
        <v/>
      </c>
      <c r="AA458" s="10">
        <f>INDEX(LINEST(L199:L458,M199:T458,TRUE,TRUE),1,9)*52</f>
        <v/>
      </c>
      <c r="AB458" s="9">
        <f>INDEX(LINEST(L199:L458,M199:T458,TRUE,TRUE),1,8)</f>
        <v/>
      </c>
      <c r="AC458" s="9">
        <f>INDEX(LINEST(L199:L458,M199:T458,TRUE,TRUE),1,7)</f>
        <v/>
      </c>
      <c r="AD458" s="9">
        <f>INDEX(LINEST(L199:L458,M199:T458,TRUE,TRUE),1,6)</f>
        <v/>
      </c>
      <c r="AE458" s="9">
        <f>INDEX(LINEST(L199:L458,M199:T458,TRUE,TRUE),1,5)</f>
        <v/>
      </c>
      <c r="AF458" s="9">
        <f>INDEX(LINEST(L199:L458,M199:T458,TRUE,TRUE),1,4)</f>
        <v/>
      </c>
      <c r="AG458" s="9">
        <f>INDEX(LINEST(L199:L458,M199:T458,TRUE,TRUE),1,3)</f>
        <v/>
      </c>
      <c r="AH458" s="9">
        <f>INDEX(LINEST(L199:L458,M199:T458,TRUE,TRUE),1,2)</f>
        <v/>
      </c>
      <c r="AI458" s="9">
        <f>INDEX(LINEST(L199:L458,M199:T458,TRUE,TRUE),1,1)</f>
        <v/>
      </c>
      <c r="AJ458" s="10">
        <f>INDEX(LINEST(L199:L458,M199:T458,TRUE,TRUE),3,1)</f>
        <v/>
      </c>
      <c r="AK458" s="9">
        <f>AA457/52+AB457*M458+AC457*N458+AD457*O458+AE457*P458+AF457*Q458+AG457*R458+AH457*S458+AI457*T458</f>
        <v/>
      </c>
      <c r="AL458" s="9">
        <f>AVERAGE(L198:L457)</f>
        <v/>
      </c>
    </row>
    <row r="459">
      <c r="A459" s="7" t="n">
        <v>40816</v>
      </c>
      <c r="B459" s="8" t="n">
        <v>1620</v>
      </c>
      <c r="C459" s="8" t="n">
        <v>1.75</v>
      </c>
      <c r="D459" s="8" t="n">
        <v>0.17</v>
      </c>
      <c r="E459" s="8" t="n">
        <v>78.550003</v>
      </c>
      <c r="F459" s="8" t="n">
        <v>78.93000000000001</v>
      </c>
      <c r="G459" s="8" t="n">
        <v>42.96</v>
      </c>
      <c r="H459" s="8" t="n">
        <v>100.599998</v>
      </c>
      <c r="I459" s="8" t="n">
        <v>1131.420044</v>
      </c>
      <c r="J459" s="8" t="n">
        <v>73.742401</v>
      </c>
      <c r="L459" s="9">
        <f>LN(B459/B458)</f>
        <v/>
      </c>
      <c r="M459" s="9">
        <f>$M$1*(C459-C458)</f>
        <v/>
      </c>
      <c r="N459" s="9">
        <f>$N$1*(D459-D458)</f>
        <v/>
      </c>
      <c r="O459" s="9">
        <f>$O$1*LN(E459/E458)</f>
        <v/>
      </c>
      <c r="P459" s="9">
        <f>$P$1*LN(F459/F458)</f>
        <v/>
      </c>
      <c r="Q459" s="9">
        <f>$Q$1*(G459-G458)</f>
        <v/>
      </c>
      <c r="R459" s="9">
        <f>$R$1*(H459-H458)</f>
        <v/>
      </c>
      <c r="S459" s="9">
        <f>$S$1*LN(I459/I458)</f>
        <v/>
      </c>
      <c r="T459" s="9">
        <f>$T$1*LN(J459/J458)</f>
        <v/>
      </c>
      <c r="U459" s="9">
        <f>$W$12+$W$4*M459+$W$5*N459+$W$6*O459+$W$7*P459+$W$8*Q459+$W$9*R459+$W$10*S459+$W$11*T459</f>
        <v/>
      </c>
      <c r="AA459" s="10">
        <f>INDEX(LINEST(L200:L459,M200:T459,TRUE,TRUE),1,9)*52</f>
        <v/>
      </c>
      <c r="AB459" s="9">
        <f>INDEX(LINEST(L200:L459,M200:T459,TRUE,TRUE),1,8)</f>
        <v/>
      </c>
      <c r="AC459" s="9">
        <f>INDEX(LINEST(L200:L459,M200:T459,TRUE,TRUE),1,7)</f>
        <v/>
      </c>
      <c r="AD459" s="9">
        <f>INDEX(LINEST(L200:L459,M200:T459,TRUE,TRUE),1,6)</f>
        <v/>
      </c>
      <c r="AE459" s="9">
        <f>INDEX(LINEST(L200:L459,M200:T459,TRUE,TRUE),1,5)</f>
        <v/>
      </c>
      <c r="AF459" s="9">
        <f>INDEX(LINEST(L200:L459,M200:T459,TRUE,TRUE),1,4)</f>
        <v/>
      </c>
      <c r="AG459" s="9">
        <f>INDEX(LINEST(L200:L459,M200:T459,TRUE,TRUE),1,3)</f>
        <v/>
      </c>
      <c r="AH459" s="9">
        <f>INDEX(LINEST(L200:L459,M200:T459,TRUE,TRUE),1,2)</f>
        <v/>
      </c>
      <c r="AI459" s="9">
        <f>INDEX(LINEST(L200:L459,M200:T459,TRUE,TRUE),1,1)</f>
        <v/>
      </c>
      <c r="AJ459" s="10">
        <f>INDEX(LINEST(L200:L459,M200:T459,TRUE,TRUE),3,1)</f>
        <v/>
      </c>
      <c r="AK459" s="9">
        <f>AA458/52+AB458*M459+AC458*N459+AD458*O459+AE458*P459+AF458*Q459+AG458*R459+AH458*S459+AI458*T459</f>
        <v/>
      </c>
      <c r="AL459" s="9">
        <f>AVERAGE(L199:L458)</f>
        <v/>
      </c>
    </row>
    <row r="460">
      <c r="A460" s="7" t="n">
        <v>40823</v>
      </c>
      <c r="B460" s="8" t="n">
        <v>1652</v>
      </c>
      <c r="C460" s="8" t="n">
        <v>1.94</v>
      </c>
      <c r="D460" s="8" t="n">
        <v>0.16</v>
      </c>
      <c r="E460" s="8" t="n">
        <v>78.720001</v>
      </c>
      <c r="F460" s="8" t="n">
        <v>82.7</v>
      </c>
      <c r="G460" s="8" t="n">
        <v>36.2</v>
      </c>
      <c r="H460" s="8" t="n">
        <v>106.400002</v>
      </c>
      <c r="I460" s="8" t="n">
        <v>1155.459961</v>
      </c>
      <c r="J460" s="8" t="n">
        <v>73.298767</v>
      </c>
      <c r="L460" s="9">
        <f>LN(B460/B459)</f>
        <v/>
      </c>
      <c r="M460" s="9">
        <f>$M$1*(C460-C459)</f>
        <v/>
      </c>
      <c r="N460" s="9">
        <f>$N$1*(D460-D459)</f>
        <v/>
      </c>
      <c r="O460" s="9">
        <f>$O$1*LN(E460/E459)</f>
        <v/>
      </c>
      <c r="P460" s="9">
        <f>$P$1*LN(F460/F459)</f>
        <v/>
      </c>
      <c r="Q460" s="9">
        <f>$Q$1*(G460-G459)</f>
        <v/>
      </c>
      <c r="R460" s="9">
        <f>$R$1*(H460-H459)</f>
        <v/>
      </c>
      <c r="S460" s="9">
        <f>$S$1*LN(I460/I459)</f>
        <v/>
      </c>
      <c r="T460" s="9">
        <f>$T$1*LN(J460/J459)</f>
        <v/>
      </c>
      <c r="U460" s="9">
        <f>$W$12+$W$4*M460+$W$5*N460+$W$6*O460+$W$7*P460+$W$8*Q460+$W$9*R460+$W$10*S460+$W$11*T460</f>
        <v/>
      </c>
      <c r="AA460" s="10">
        <f>INDEX(LINEST(L201:L460,M201:T460,TRUE,TRUE),1,9)*52</f>
        <v/>
      </c>
      <c r="AB460" s="9">
        <f>INDEX(LINEST(L201:L460,M201:T460,TRUE,TRUE),1,8)</f>
        <v/>
      </c>
      <c r="AC460" s="9">
        <f>INDEX(LINEST(L201:L460,M201:T460,TRUE,TRUE),1,7)</f>
        <v/>
      </c>
      <c r="AD460" s="9">
        <f>INDEX(LINEST(L201:L460,M201:T460,TRUE,TRUE),1,6)</f>
        <v/>
      </c>
      <c r="AE460" s="9">
        <f>INDEX(LINEST(L201:L460,M201:T460,TRUE,TRUE),1,5)</f>
        <v/>
      </c>
      <c r="AF460" s="9">
        <f>INDEX(LINEST(L201:L460,M201:T460,TRUE,TRUE),1,4)</f>
        <v/>
      </c>
      <c r="AG460" s="9">
        <f>INDEX(LINEST(L201:L460,M201:T460,TRUE,TRUE),1,3)</f>
        <v/>
      </c>
      <c r="AH460" s="9">
        <f>INDEX(LINEST(L201:L460,M201:T460,TRUE,TRUE),1,2)</f>
        <v/>
      </c>
      <c r="AI460" s="9">
        <f>INDEX(LINEST(L201:L460,M201:T460,TRUE,TRUE),1,1)</f>
        <v/>
      </c>
      <c r="AJ460" s="10">
        <f>INDEX(LINEST(L201:L460,M201:T460,TRUE,TRUE),3,1)</f>
        <v/>
      </c>
      <c r="AK460" s="9">
        <f>AA459/52+AB459*M460+AC459*N460+AD459*O460+AE459*P460+AF459*Q460+AG459*R460+AH459*S460+AI459*T460</f>
        <v/>
      </c>
      <c r="AL460" s="9">
        <f>AVERAGE(L200:L459)</f>
        <v/>
      </c>
    </row>
    <row r="461">
      <c r="A461" s="7" t="n">
        <v>40830</v>
      </c>
      <c r="B461" s="8" t="n">
        <v>1678</v>
      </c>
      <c r="C461" s="8" t="n">
        <v>1.98</v>
      </c>
      <c r="D461" s="8" t="n">
        <v>0.28</v>
      </c>
      <c r="E461" s="8" t="n">
        <v>76.620003</v>
      </c>
      <c r="F461" s="8" t="n">
        <v>86.8</v>
      </c>
      <c r="G461" s="8" t="n">
        <v>28.24</v>
      </c>
      <c r="H461" s="8" t="n">
        <v>109.199997</v>
      </c>
      <c r="I461" s="8" t="n">
        <v>1224.579956</v>
      </c>
      <c r="J461" s="8" t="n">
        <v>73.104202</v>
      </c>
      <c r="L461" s="9">
        <f>LN(B461/B460)</f>
        <v/>
      </c>
      <c r="M461" s="9">
        <f>$M$1*(C461-C460)</f>
        <v/>
      </c>
      <c r="N461" s="9">
        <f>$N$1*(D461-D460)</f>
        <v/>
      </c>
      <c r="O461" s="9">
        <f>$O$1*LN(E461/E460)</f>
        <v/>
      </c>
      <c r="P461" s="9">
        <f>$P$1*LN(F461/F460)</f>
        <v/>
      </c>
      <c r="Q461" s="9">
        <f>$Q$1*(G461-G460)</f>
        <v/>
      </c>
      <c r="R461" s="9">
        <f>$R$1*(H461-H460)</f>
        <v/>
      </c>
      <c r="S461" s="9">
        <f>$S$1*LN(I461/I460)</f>
        <v/>
      </c>
      <c r="T461" s="9">
        <f>$T$1*LN(J461/J460)</f>
        <v/>
      </c>
      <c r="U461" s="9">
        <f>$W$12+$W$4*M461+$W$5*N461+$W$6*O461+$W$7*P461+$W$8*Q461+$W$9*R461+$W$10*S461+$W$11*T461</f>
        <v/>
      </c>
      <c r="AA461" s="10">
        <f>INDEX(LINEST(L202:L461,M202:T461,TRUE,TRUE),1,9)*52</f>
        <v/>
      </c>
      <c r="AB461" s="9">
        <f>INDEX(LINEST(L202:L461,M202:T461,TRUE,TRUE),1,8)</f>
        <v/>
      </c>
      <c r="AC461" s="9">
        <f>INDEX(LINEST(L202:L461,M202:T461,TRUE,TRUE),1,7)</f>
        <v/>
      </c>
      <c r="AD461" s="9">
        <f>INDEX(LINEST(L202:L461,M202:T461,TRUE,TRUE),1,6)</f>
        <v/>
      </c>
      <c r="AE461" s="9">
        <f>INDEX(LINEST(L202:L461,M202:T461,TRUE,TRUE),1,5)</f>
        <v/>
      </c>
      <c r="AF461" s="9">
        <f>INDEX(LINEST(L202:L461,M202:T461,TRUE,TRUE),1,4)</f>
        <v/>
      </c>
      <c r="AG461" s="9">
        <f>INDEX(LINEST(L202:L461,M202:T461,TRUE,TRUE),1,3)</f>
        <v/>
      </c>
      <c r="AH461" s="9">
        <f>INDEX(LINEST(L202:L461,M202:T461,TRUE,TRUE),1,2)</f>
        <v/>
      </c>
      <c r="AI461" s="9">
        <f>INDEX(LINEST(L202:L461,M202:T461,TRUE,TRUE),1,1)</f>
        <v/>
      </c>
      <c r="AJ461" s="10">
        <f>INDEX(LINEST(L202:L461,M202:T461,TRUE,TRUE),3,1)</f>
        <v/>
      </c>
      <c r="AK461" s="9">
        <f>AA460/52+AB460*M461+AC460*N461+AD460*O461+AE460*P461+AF460*Q461+AG460*R461+AH460*S461+AI460*T461</f>
        <v/>
      </c>
      <c r="AL461" s="9">
        <f>AVERAGE(L201:L460)</f>
        <v/>
      </c>
    </row>
    <row r="462">
      <c r="A462" s="7" t="n">
        <v>40837</v>
      </c>
      <c r="B462" s="8" t="n">
        <v>1642.5</v>
      </c>
      <c r="C462" s="8" t="n">
        <v>2</v>
      </c>
      <c r="D462" s="8" t="n">
        <v>0.23</v>
      </c>
      <c r="E462" s="8" t="n">
        <v>76.300003</v>
      </c>
      <c r="F462" s="8" t="n">
        <v>87.19</v>
      </c>
      <c r="G462" s="8" t="n">
        <v>31.32</v>
      </c>
      <c r="H462" s="8" t="n">
        <v>107.5</v>
      </c>
      <c r="I462" s="8" t="n">
        <v>1238.25</v>
      </c>
      <c r="J462" s="8" t="n">
        <v>73.41960899999999</v>
      </c>
      <c r="L462" s="9">
        <f>LN(B462/B461)</f>
        <v/>
      </c>
      <c r="M462" s="9">
        <f>$M$1*(C462-C461)</f>
        <v/>
      </c>
      <c r="N462" s="9">
        <f>$N$1*(D462-D461)</f>
        <v/>
      </c>
      <c r="O462" s="9">
        <f>$O$1*LN(E462/E461)</f>
        <v/>
      </c>
      <c r="P462" s="9">
        <f>$P$1*LN(F462/F461)</f>
        <v/>
      </c>
      <c r="Q462" s="9">
        <f>$Q$1*(G462-G461)</f>
        <v/>
      </c>
      <c r="R462" s="9">
        <f>$R$1*(H462-H461)</f>
        <v/>
      </c>
      <c r="S462" s="9">
        <f>$S$1*LN(I462/I461)</f>
        <v/>
      </c>
      <c r="T462" s="9">
        <f>$T$1*LN(J462/J461)</f>
        <v/>
      </c>
      <c r="U462" s="9">
        <f>$W$12+$W$4*M462+$W$5*N462+$W$6*O462+$W$7*P462+$W$8*Q462+$W$9*R462+$W$10*S462+$W$11*T462</f>
        <v/>
      </c>
      <c r="AA462" s="10">
        <f>INDEX(LINEST(L203:L462,M203:T462,TRUE,TRUE),1,9)*52</f>
        <v/>
      </c>
      <c r="AB462" s="9">
        <f>INDEX(LINEST(L203:L462,M203:T462,TRUE,TRUE),1,8)</f>
        <v/>
      </c>
      <c r="AC462" s="9">
        <f>INDEX(LINEST(L203:L462,M203:T462,TRUE,TRUE),1,7)</f>
        <v/>
      </c>
      <c r="AD462" s="9">
        <f>INDEX(LINEST(L203:L462,M203:T462,TRUE,TRUE),1,6)</f>
        <v/>
      </c>
      <c r="AE462" s="9">
        <f>INDEX(LINEST(L203:L462,M203:T462,TRUE,TRUE),1,5)</f>
        <v/>
      </c>
      <c r="AF462" s="9">
        <f>INDEX(LINEST(L203:L462,M203:T462,TRUE,TRUE),1,4)</f>
        <v/>
      </c>
      <c r="AG462" s="9">
        <f>INDEX(LINEST(L203:L462,M203:T462,TRUE,TRUE),1,3)</f>
        <v/>
      </c>
      <c r="AH462" s="9">
        <f>INDEX(LINEST(L203:L462,M203:T462,TRUE,TRUE),1,2)</f>
        <v/>
      </c>
      <c r="AI462" s="9">
        <f>INDEX(LINEST(L203:L462,M203:T462,TRUE,TRUE),1,1)</f>
        <v/>
      </c>
      <c r="AJ462" s="10">
        <f>INDEX(LINEST(L203:L462,M203:T462,TRUE,TRUE),3,1)</f>
        <v/>
      </c>
      <c r="AK462" s="9">
        <f>AA461/52+AB461*M462+AC461*N462+AD461*O462+AE461*P462+AF461*Q462+AG461*R462+AH461*S462+AI461*T462</f>
        <v/>
      </c>
      <c r="AL462" s="9">
        <f>AVERAGE(L202:L461)</f>
        <v/>
      </c>
    </row>
    <row r="463">
      <c r="A463" s="7" t="n">
        <v>40844</v>
      </c>
      <c r="B463" s="8" t="n">
        <v>1741</v>
      </c>
      <c r="C463" s="8" t="n">
        <v>2.15</v>
      </c>
      <c r="D463" s="8" t="n">
        <v>0.19</v>
      </c>
      <c r="E463" s="8" t="n">
        <v>75.089996</v>
      </c>
      <c r="F463" s="8" t="n">
        <v>93.31999999999999</v>
      </c>
      <c r="G463" s="8" t="n">
        <v>24.53</v>
      </c>
      <c r="H463" s="8" t="n">
        <v>107.400002</v>
      </c>
      <c r="I463" s="8" t="n">
        <v>1285.089966</v>
      </c>
      <c r="J463" s="8" t="n">
        <v>73.486649</v>
      </c>
      <c r="L463" s="9">
        <f>LN(B463/B462)</f>
        <v/>
      </c>
      <c r="M463" s="9">
        <f>$M$1*(C463-C462)</f>
        <v/>
      </c>
      <c r="N463" s="9">
        <f>$N$1*(D463-D462)</f>
        <v/>
      </c>
      <c r="O463" s="9">
        <f>$O$1*LN(E463/E462)</f>
        <v/>
      </c>
      <c r="P463" s="9">
        <f>$P$1*LN(F463/F462)</f>
        <v/>
      </c>
      <c r="Q463" s="9">
        <f>$Q$1*(G463-G462)</f>
        <v/>
      </c>
      <c r="R463" s="9">
        <f>$R$1*(H463-H462)</f>
        <v/>
      </c>
      <c r="S463" s="9">
        <f>$S$1*LN(I463/I462)</f>
        <v/>
      </c>
      <c r="T463" s="9">
        <f>$T$1*LN(J463/J462)</f>
        <v/>
      </c>
      <c r="U463" s="9">
        <f>$W$12+$W$4*M463+$W$5*N463+$W$6*O463+$W$7*P463+$W$8*Q463+$W$9*R463+$W$10*S463+$W$11*T463</f>
        <v/>
      </c>
      <c r="AA463" s="10">
        <f>INDEX(LINEST(L204:L463,M204:T463,TRUE,TRUE),1,9)*52</f>
        <v/>
      </c>
      <c r="AB463" s="9">
        <f>INDEX(LINEST(L204:L463,M204:T463,TRUE,TRUE),1,8)</f>
        <v/>
      </c>
      <c r="AC463" s="9">
        <f>INDEX(LINEST(L204:L463,M204:T463,TRUE,TRUE),1,7)</f>
        <v/>
      </c>
      <c r="AD463" s="9">
        <f>INDEX(LINEST(L204:L463,M204:T463,TRUE,TRUE),1,6)</f>
        <v/>
      </c>
      <c r="AE463" s="9">
        <f>INDEX(LINEST(L204:L463,M204:T463,TRUE,TRUE),1,5)</f>
        <v/>
      </c>
      <c r="AF463" s="9">
        <f>INDEX(LINEST(L204:L463,M204:T463,TRUE,TRUE),1,4)</f>
        <v/>
      </c>
      <c r="AG463" s="9">
        <f>INDEX(LINEST(L204:L463,M204:T463,TRUE,TRUE),1,3)</f>
        <v/>
      </c>
      <c r="AH463" s="9">
        <f>INDEX(LINEST(L204:L463,M204:T463,TRUE,TRUE),1,2)</f>
        <v/>
      </c>
      <c r="AI463" s="9">
        <f>INDEX(LINEST(L204:L463,M204:T463,TRUE,TRUE),1,1)</f>
        <v/>
      </c>
      <c r="AJ463" s="10">
        <f>INDEX(LINEST(L204:L463,M204:T463,TRUE,TRUE),3,1)</f>
        <v/>
      </c>
      <c r="AK463" s="9">
        <f>AA462/52+AB462*M463+AC462*N463+AD462*O463+AE462*P463+AF462*Q463+AG462*R463+AH462*S463+AI462*T463</f>
        <v/>
      </c>
      <c r="AL463" s="9">
        <f>AVERAGE(L203:L462)</f>
        <v/>
      </c>
    </row>
    <row r="464">
      <c r="A464" s="7" t="n">
        <v>40851</v>
      </c>
      <c r="B464" s="8" t="n">
        <v>1749</v>
      </c>
      <c r="C464" s="8" t="n">
        <v>2.12</v>
      </c>
      <c r="D464" s="8" t="n">
        <v>-0.06</v>
      </c>
      <c r="E464" s="8" t="n">
        <v>76.910004</v>
      </c>
      <c r="F464" s="8" t="n">
        <v>94.26000000000001</v>
      </c>
      <c r="G464" s="8" t="n">
        <v>30.16</v>
      </c>
      <c r="H464" s="8" t="n">
        <v>106.599998</v>
      </c>
      <c r="I464" s="8" t="n">
        <v>1253.22998</v>
      </c>
      <c r="J464" s="8" t="n">
        <v>74.00856</v>
      </c>
      <c r="L464" s="9">
        <f>LN(B464/B463)</f>
        <v/>
      </c>
      <c r="M464" s="9">
        <f>$M$1*(C464-C463)</f>
        <v/>
      </c>
      <c r="N464" s="9">
        <f>$N$1*(D464-D463)</f>
        <v/>
      </c>
      <c r="O464" s="9">
        <f>$O$1*LN(E464/E463)</f>
        <v/>
      </c>
      <c r="P464" s="9">
        <f>$P$1*LN(F464/F463)</f>
        <v/>
      </c>
      <c r="Q464" s="9">
        <f>$Q$1*(G464-G463)</f>
        <v/>
      </c>
      <c r="R464" s="9">
        <f>$R$1*(H464-H463)</f>
        <v/>
      </c>
      <c r="S464" s="9">
        <f>$S$1*LN(I464/I463)</f>
        <v/>
      </c>
      <c r="T464" s="9">
        <f>$T$1*LN(J464/J463)</f>
        <v/>
      </c>
      <c r="U464" s="9">
        <f>$W$12+$W$4*M464+$W$5*N464+$W$6*O464+$W$7*P464+$W$8*Q464+$W$9*R464+$W$10*S464+$W$11*T464</f>
        <v/>
      </c>
      <c r="AA464" s="10">
        <f>INDEX(LINEST(L205:L464,M205:T464,TRUE,TRUE),1,9)*52</f>
        <v/>
      </c>
      <c r="AB464" s="9">
        <f>INDEX(LINEST(L205:L464,M205:T464,TRUE,TRUE),1,8)</f>
        <v/>
      </c>
      <c r="AC464" s="9">
        <f>INDEX(LINEST(L205:L464,M205:T464,TRUE,TRUE),1,7)</f>
        <v/>
      </c>
      <c r="AD464" s="9">
        <f>INDEX(LINEST(L205:L464,M205:T464,TRUE,TRUE),1,6)</f>
        <v/>
      </c>
      <c r="AE464" s="9">
        <f>INDEX(LINEST(L205:L464,M205:T464,TRUE,TRUE),1,5)</f>
        <v/>
      </c>
      <c r="AF464" s="9">
        <f>INDEX(LINEST(L205:L464,M205:T464,TRUE,TRUE),1,4)</f>
        <v/>
      </c>
      <c r="AG464" s="9">
        <f>INDEX(LINEST(L205:L464,M205:T464,TRUE,TRUE),1,3)</f>
        <v/>
      </c>
      <c r="AH464" s="9">
        <f>INDEX(LINEST(L205:L464,M205:T464,TRUE,TRUE),1,2)</f>
        <v/>
      </c>
      <c r="AI464" s="9">
        <f>INDEX(LINEST(L205:L464,M205:T464,TRUE,TRUE),1,1)</f>
        <v/>
      </c>
      <c r="AJ464" s="10">
        <f>INDEX(LINEST(L205:L464,M205:T464,TRUE,TRUE),3,1)</f>
        <v/>
      </c>
      <c r="AK464" s="9">
        <f>AA463/52+AB463*M464+AC463*N464+AD463*O464+AE463*P464+AF463*Q464+AG463*R464+AH463*S464+AI463*T464</f>
        <v/>
      </c>
      <c r="AL464" s="9">
        <f>AVERAGE(L204:L463)</f>
        <v/>
      </c>
    </row>
    <row r="465">
      <c r="A465" s="7" t="n">
        <v>40858</v>
      </c>
      <c r="B465" s="8" t="n">
        <v>1773</v>
      </c>
      <c r="C465" s="8" t="n">
        <v>2.08</v>
      </c>
      <c r="D465" s="8" t="n">
        <v>-0.04</v>
      </c>
      <c r="E465" s="8" t="n">
        <v>76.94000200000001</v>
      </c>
      <c r="F465" s="8" t="n">
        <v>98.98999999999999</v>
      </c>
      <c r="G465" s="8" t="n">
        <v>30.04</v>
      </c>
      <c r="H465" s="8" t="n">
        <v>113.699997</v>
      </c>
      <c r="I465" s="8" t="n">
        <v>1263.849976</v>
      </c>
      <c r="J465" s="8" t="n">
        <v>73.867271</v>
      </c>
      <c r="L465" s="9">
        <f>LN(B465/B464)</f>
        <v/>
      </c>
      <c r="M465" s="9">
        <f>$M$1*(C465-C464)</f>
        <v/>
      </c>
      <c r="N465" s="9">
        <f>$N$1*(D465-D464)</f>
        <v/>
      </c>
      <c r="O465" s="9">
        <f>$O$1*LN(E465/E464)</f>
        <v/>
      </c>
      <c r="P465" s="9">
        <f>$P$1*LN(F465/F464)</f>
        <v/>
      </c>
      <c r="Q465" s="9">
        <f>$Q$1*(G465-G464)</f>
        <v/>
      </c>
      <c r="R465" s="9">
        <f>$R$1*(H465-H464)</f>
        <v/>
      </c>
      <c r="S465" s="9">
        <f>$S$1*LN(I465/I464)</f>
        <v/>
      </c>
      <c r="T465" s="9">
        <f>$T$1*LN(J465/J464)</f>
        <v/>
      </c>
      <c r="U465" s="9">
        <f>$W$12+$W$4*M465+$W$5*N465+$W$6*O465+$W$7*P465+$W$8*Q465+$W$9*R465+$W$10*S465+$W$11*T465</f>
        <v/>
      </c>
      <c r="AA465" s="10">
        <f>INDEX(LINEST(L206:L465,M206:T465,TRUE,TRUE),1,9)*52</f>
        <v/>
      </c>
      <c r="AB465" s="9">
        <f>INDEX(LINEST(L206:L465,M206:T465,TRUE,TRUE),1,8)</f>
        <v/>
      </c>
      <c r="AC465" s="9">
        <f>INDEX(LINEST(L206:L465,M206:T465,TRUE,TRUE),1,7)</f>
        <v/>
      </c>
      <c r="AD465" s="9">
        <f>INDEX(LINEST(L206:L465,M206:T465,TRUE,TRUE),1,6)</f>
        <v/>
      </c>
      <c r="AE465" s="9">
        <f>INDEX(LINEST(L206:L465,M206:T465,TRUE,TRUE),1,5)</f>
        <v/>
      </c>
      <c r="AF465" s="9">
        <f>INDEX(LINEST(L206:L465,M206:T465,TRUE,TRUE),1,4)</f>
        <v/>
      </c>
      <c r="AG465" s="9">
        <f>INDEX(LINEST(L206:L465,M206:T465,TRUE,TRUE),1,3)</f>
        <v/>
      </c>
      <c r="AH465" s="9">
        <f>INDEX(LINEST(L206:L465,M206:T465,TRUE,TRUE),1,2)</f>
        <v/>
      </c>
      <c r="AI465" s="9">
        <f>INDEX(LINEST(L206:L465,M206:T465,TRUE,TRUE),1,1)</f>
        <v/>
      </c>
      <c r="AJ465" s="10">
        <f>INDEX(LINEST(L206:L465,M206:T465,TRUE,TRUE),3,1)</f>
        <v/>
      </c>
      <c r="AK465" s="9">
        <f>AA464/52+AB464*M465+AC464*N465+AD464*O465+AE464*P465+AF464*Q465+AG464*R465+AH464*S465+AI464*T465</f>
        <v/>
      </c>
      <c r="AL465" s="9">
        <f>AVERAGE(L205:L464)</f>
        <v/>
      </c>
    </row>
    <row r="466">
      <c r="A466" s="7" t="n">
        <v>40865</v>
      </c>
      <c r="B466" s="8" t="n">
        <v>1719</v>
      </c>
      <c r="C466" s="8" t="n">
        <v>1.96</v>
      </c>
      <c r="D466" s="8" t="n">
        <v>0.05</v>
      </c>
      <c r="E466" s="8" t="n">
        <v>78.019997</v>
      </c>
      <c r="F466" s="8" t="n">
        <v>97.67</v>
      </c>
      <c r="G466" s="8" t="n">
        <v>32</v>
      </c>
      <c r="H466" s="8" t="n">
        <v>109.800003</v>
      </c>
      <c r="I466" s="8" t="n">
        <v>1215.650024</v>
      </c>
      <c r="J466" s="8" t="n">
        <v>73.752869</v>
      </c>
      <c r="L466" s="9">
        <f>LN(B466/B465)</f>
        <v/>
      </c>
      <c r="M466" s="9">
        <f>$M$1*(C466-C465)</f>
        <v/>
      </c>
      <c r="N466" s="9">
        <f>$N$1*(D466-D465)</f>
        <v/>
      </c>
      <c r="O466" s="9">
        <f>$O$1*LN(E466/E465)</f>
        <v/>
      </c>
      <c r="P466" s="9">
        <f>$P$1*LN(F466/F465)</f>
        <v/>
      </c>
      <c r="Q466" s="9">
        <f>$Q$1*(G466-G465)</f>
        <v/>
      </c>
      <c r="R466" s="9">
        <f>$R$1*(H466-H465)</f>
        <v/>
      </c>
      <c r="S466" s="9">
        <f>$S$1*LN(I466/I465)</f>
        <v/>
      </c>
      <c r="T466" s="9">
        <f>$T$1*LN(J466/J465)</f>
        <v/>
      </c>
      <c r="U466" s="9">
        <f>$W$12+$W$4*M466+$W$5*N466+$W$6*O466+$W$7*P466+$W$8*Q466+$W$9*R466+$W$10*S466+$W$11*T466</f>
        <v/>
      </c>
      <c r="AA466" s="10">
        <f>INDEX(LINEST(L207:L466,M207:T466,TRUE,TRUE),1,9)*52</f>
        <v/>
      </c>
      <c r="AB466" s="9">
        <f>INDEX(LINEST(L207:L466,M207:T466,TRUE,TRUE),1,8)</f>
        <v/>
      </c>
      <c r="AC466" s="9">
        <f>INDEX(LINEST(L207:L466,M207:T466,TRUE,TRUE),1,7)</f>
        <v/>
      </c>
      <c r="AD466" s="9">
        <f>INDEX(LINEST(L207:L466,M207:T466,TRUE,TRUE),1,6)</f>
        <v/>
      </c>
      <c r="AE466" s="9">
        <f>INDEX(LINEST(L207:L466,M207:T466,TRUE,TRUE),1,5)</f>
        <v/>
      </c>
      <c r="AF466" s="9">
        <f>INDEX(LINEST(L207:L466,M207:T466,TRUE,TRUE),1,4)</f>
        <v/>
      </c>
      <c r="AG466" s="9">
        <f>INDEX(LINEST(L207:L466,M207:T466,TRUE,TRUE),1,3)</f>
        <v/>
      </c>
      <c r="AH466" s="9">
        <f>INDEX(LINEST(L207:L466,M207:T466,TRUE,TRUE),1,2)</f>
        <v/>
      </c>
      <c r="AI466" s="9">
        <f>INDEX(LINEST(L207:L466,M207:T466,TRUE,TRUE),1,1)</f>
        <v/>
      </c>
      <c r="AJ466" s="10">
        <f>INDEX(LINEST(L207:L466,M207:T466,TRUE,TRUE),3,1)</f>
        <v/>
      </c>
      <c r="AK466" s="9">
        <f>AA465/52+AB465*M466+AC465*N466+AD465*O466+AE465*P466+AF465*Q466+AG465*R466+AH465*S466+AI465*T466</f>
        <v/>
      </c>
      <c r="AL466" s="9">
        <f>AVERAGE(L206:L465)</f>
        <v/>
      </c>
    </row>
    <row r="467">
      <c r="A467" s="7" t="n">
        <v>40872</v>
      </c>
      <c r="B467" s="8" t="n">
        <v>1688.5</v>
      </c>
      <c r="C467" s="8" t="n">
        <v>1.92</v>
      </c>
      <c r="D467" s="8" t="n">
        <v>0.05</v>
      </c>
      <c r="E467" s="8" t="n">
        <v>79.610001</v>
      </c>
      <c r="F467" s="8" t="n">
        <v>96.91</v>
      </c>
      <c r="G467" s="8" t="n">
        <v>34.47</v>
      </c>
      <c r="H467" s="8" t="n">
        <v>102.300003</v>
      </c>
      <c r="I467" s="8" t="n">
        <v>1158.670044</v>
      </c>
      <c r="J467" s="8" t="n">
        <v>73.759598</v>
      </c>
      <c r="L467" s="9">
        <f>LN(B467/B466)</f>
        <v/>
      </c>
      <c r="M467" s="9">
        <f>$M$1*(C467-C466)</f>
        <v/>
      </c>
      <c r="N467" s="9">
        <f>$N$1*(D467-D466)</f>
        <v/>
      </c>
      <c r="O467" s="9">
        <f>$O$1*LN(E467/E466)</f>
        <v/>
      </c>
      <c r="P467" s="9">
        <f>$P$1*LN(F467/F466)</f>
        <v/>
      </c>
      <c r="Q467" s="9">
        <f>$Q$1*(G467-G466)</f>
        <v/>
      </c>
      <c r="R467" s="9">
        <f>$R$1*(H467-H466)</f>
        <v/>
      </c>
      <c r="S467" s="9">
        <f>$S$1*LN(I467/I466)</f>
        <v/>
      </c>
      <c r="T467" s="9">
        <f>$T$1*LN(J467/J466)</f>
        <v/>
      </c>
      <c r="U467" s="9">
        <f>$W$12+$W$4*M467+$W$5*N467+$W$6*O467+$W$7*P467+$W$8*Q467+$W$9*R467+$W$10*S467+$W$11*T467</f>
        <v/>
      </c>
      <c r="AA467" s="10">
        <f>INDEX(LINEST(L208:L467,M208:T467,TRUE,TRUE),1,9)*52</f>
        <v/>
      </c>
      <c r="AB467" s="9">
        <f>INDEX(LINEST(L208:L467,M208:T467,TRUE,TRUE),1,8)</f>
        <v/>
      </c>
      <c r="AC467" s="9">
        <f>INDEX(LINEST(L208:L467,M208:T467,TRUE,TRUE),1,7)</f>
        <v/>
      </c>
      <c r="AD467" s="9">
        <f>INDEX(LINEST(L208:L467,M208:T467,TRUE,TRUE),1,6)</f>
        <v/>
      </c>
      <c r="AE467" s="9">
        <f>INDEX(LINEST(L208:L467,M208:T467,TRUE,TRUE),1,5)</f>
        <v/>
      </c>
      <c r="AF467" s="9">
        <f>INDEX(LINEST(L208:L467,M208:T467,TRUE,TRUE),1,4)</f>
        <v/>
      </c>
      <c r="AG467" s="9">
        <f>INDEX(LINEST(L208:L467,M208:T467,TRUE,TRUE),1,3)</f>
        <v/>
      </c>
      <c r="AH467" s="9">
        <f>INDEX(LINEST(L208:L467,M208:T467,TRUE,TRUE),1,2)</f>
        <v/>
      </c>
      <c r="AI467" s="9">
        <f>INDEX(LINEST(L208:L467,M208:T467,TRUE,TRUE),1,1)</f>
        <v/>
      </c>
      <c r="AJ467" s="10">
        <f>INDEX(LINEST(L208:L467,M208:T467,TRUE,TRUE),3,1)</f>
        <v/>
      </c>
      <c r="AK467" s="9">
        <f>AA466/52+AB466*M467+AC466*N467+AD466*O467+AE466*P467+AF466*Q467+AG466*R467+AH466*S467+AI466*T467</f>
        <v/>
      </c>
      <c r="AL467" s="9">
        <f>AVERAGE(L207:L466)</f>
        <v/>
      </c>
    </row>
    <row r="468">
      <c r="A468" s="7" t="n">
        <v>40879</v>
      </c>
      <c r="B468" s="8" t="n">
        <v>1747</v>
      </c>
      <c r="C468" s="8" t="n">
        <v>2.05</v>
      </c>
      <c r="D468" s="8" t="n">
        <v>0</v>
      </c>
      <c r="E468" s="8" t="n">
        <v>78.629997</v>
      </c>
      <c r="F468" s="8" t="n">
        <v>100.97</v>
      </c>
      <c r="G468" s="8" t="n">
        <v>27.52</v>
      </c>
      <c r="H468" s="8" t="n">
        <v>98.599998</v>
      </c>
      <c r="I468" s="8" t="n">
        <v>1244.280029</v>
      </c>
      <c r="J468" s="8" t="n">
        <v>73.806488</v>
      </c>
      <c r="L468" s="9">
        <f>LN(B468/B467)</f>
        <v/>
      </c>
      <c r="M468" s="9">
        <f>$M$1*(C468-C467)</f>
        <v/>
      </c>
      <c r="N468" s="9">
        <f>$N$1*(D468-D467)</f>
        <v/>
      </c>
      <c r="O468" s="9">
        <f>$O$1*LN(E468/E467)</f>
        <v/>
      </c>
      <c r="P468" s="9">
        <f>$P$1*LN(F468/F467)</f>
        <v/>
      </c>
      <c r="Q468" s="9">
        <f>$Q$1*(G468-G467)</f>
        <v/>
      </c>
      <c r="R468" s="9">
        <f>$R$1*(H468-H467)</f>
        <v/>
      </c>
      <c r="S468" s="9">
        <f>$S$1*LN(I468/I467)</f>
        <v/>
      </c>
      <c r="T468" s="9">
        <f>$T$1*LN(J468/J467)</f>
        <v/>
      </c>
      <c r="U468" s="9">
        <f>$W$12+$W$4*M468+$W$5*N468+$W$6*O468+$W$7*P468+$W$8*Q468+$W$9*R468+$W$10*S468+$W$11*T468</f>
        <v/>
      </c>
      <c r="AA468" s="10">
        <f>INDEX(LINEST(L209:L468,M209:T468,TRUE,TRUE),1,9)*52</f>
        <v/>
      </c>
      <c r="AB468" s="9">
        <f>INDEX(LINEST(L209:L468,M209:T468,TRUE,TRUE),1,8)</f>
        <v/>
      </c>
      <c r="AC468" s="9">
        <f>INDEX(LINEST(L209:L468,M209:T468,TRUE,TRUE),1,7)</f>
        <v/>
      </c>
      <c r="AD468" s="9">
        <f>INDEX(LINEST(L209:L468,M209:T468,TRUE,TRUE),1,6)</f>
        <v/>
      </c>
      <c r="AE468" s="9">
        <f>INDEX(LINEST(L209:L468,M209:T468,TRUE,TRUE),1,5)</f>
        <v/>
      </c>
      <c r="AF468" s="9">
        <f>INDEX(LINEST(L209:L468,M209:T468,TRUE,TRUE),1,4)</f>
        <v/>
      </c>
      <c r="AG468" s="9">
        <f>INDEX(LINEST(L209:L468,M209:T468,TRUE,TRUE),1,3)</f>
        <v/>
      </c>
      <c r="AH468" s="9">
        <f>INDEX(LINEST(L209:L468,M209:T468,TRUE,TRUE),1,2)</f>
        <v/>
      </c>
      <c r="AI468" s="9">
        <f>INDEX(LINEST(L209:L468,M209:T468,TRUE,TRUE),1,1)</f>
        <v/>
      </c>
      <c r="AJ468" s="10">
        <f>INDEX(LINEST(L209:L468,M209:T468,TRUE,TRUE),3,1)</f>
        <v/>
      </c>
      <c r="AK468" s="9">
        <f>AA467/52+AB467*M468+AC467*N468+AD467*O468+AE467*P468+AF467*Q468+AG467*R468+AH467*S468+AI467*T468</f>
        <v/>
      </c>
      <c r="AL468" s="9">
        <f>AVERAGE(L208:L467)</f>
        <v/>
      </c>
    </row>
    <row r="469">
      <c r="A469" s="7" t="n">
        <v>40886</v>
      </c>
      <c r="B469" s="8" t="n">
        <v>1709</v>
      </c>
      <c r="C469" s="8" t="n">
        <v>2.02</v>
      </c>
      <c r="D469" s="8" t="n">
        <v>0.05</v>
      </c>
      <c r="E469" s="8" t="n">
        <v>78.629997</v>
      </c>
      <c r="F469" s="8" t="n">
        <v>99.40000000000001</v>
      </c>
      <c r="G469" s="8" t="n">
        <v>26.38</v>
      </c>
      <c r="H469" s="8" t="n">
        <v>99.900002</v>
      </c>
      <c r="I469" s="8" t="n">
        <v>1255.189941</v>
      </c>
      <c r="J469" s="8" t="n">
        <v>73.989059</v>
      </c>
      <c r="L469" s="9">
        <f>LN(B469/B468)</f>
        <v/>
      </c>
      <c r="M469" s="9">
        <f>$M$1*(C469-C468)</f>
        <v/>
      </c>
      <c r="N469" s="9">
        <f>$N$1*(D469-D468)</f>
        <v/>
      </c>
      <c r="O469" s="9">
        <f>$O$1*LN(E469/E468)</f>
        <v/>
      </c>
      <c r="P469" s="9">
        <f>$P$1*LN(F469/F468)</f>
        <v/>
      </c>
      <c r="Q469" s="9">
        <f>$Q$1*(G469-G468)</f>
        <v/>
      </c>
      <c r="R469" s="9">
        <f>$R$1*(H469-H468)</f>
        <v/>
      </c>
      <c r="S469" s="9">
        <f>$S$1*LN(I469/I468)</f>
        <v/>
      </c>
      <c r="T469" s="9">
        <f>$T$1*LN(J469/J468)</f>
        <v/>
      </c>
      <c r="U469" s="9">
        <f>$W$12+$W$4*M469+$W$5*N469+$W$6*O469+$W$7*P469+$W$8*Q469+$W$9*R469+$W$10*S469+$W$11*T469</f>
        <v/>
      </c>
      <c r="AA469" s="10">
        <f>INDEX(LINEST(L210:L469,M210:T469,TRUE,TRUE),1,9)*52</f>
        <v/>
      </c>
      <c r="AB469" s="9">
        <f>INDEX(LINEST(L210:L469,M210:T469,TRUE,TRUE),1,8)</f>
        <v/>
      </c>
      <c r="AC469" s="9">
        <f>INDEX(LINEST(L210:L469,M210:T469,TRUE,TRUE),1,7)</f>
        <v/>
      </c>
      <c r="AD469" s="9">
        <f>INDEX(LINEST(L210:L469,M210:T469,TRUE,TRUE),1,6)</f>
        <v/>
      </c>
      <c r="AE469" s="9">
        <f>INDEX(LINEST(L210:L469,M210:T469,TRUE,TRUE),1,5)</f>
        <v/>
      </c>
      <c r="AF469" s="9">
        <f>INDEX(LINEST(L210:L469,M210:T469,TRUE,TRUE),1,4)</f>
        <v/>
      </c>
      <c r="AG469" s="9">
        <f>INDEX(LINEST(L210:L469,M210:T469,TRUE,TRUE),1,3)</f>
        <v/>
      </c>
      <c r="AH469" s="9">
        <f>INDEX(LINEST(L210:L469,M210:T469,TRUE,TRUE),1,2)</f>
        <v/>
      </c>
      <c r="AI469" s="9">
        <f>INDEX(LINEST(L210:L469,M210:T469,TRUE,TRUE),1,1)</f>
        <v/>
      </c>
      <c r="AJ469" s="10">
        <f>INDEX(LINEST(L210:L469,M210:T469,TRUE,TRUE),3,1)</f>
        <v/>
      </c>
      <c r="AK469" s="9">
        <f>AA468/52+AB468*M469+AC468*N469+AD468*O469+AE468*P469+AF468*Q469+AG468*R469+AH468*S469+AI468*T469</f>
        <v/>
      </c>
      <c r="AL469" s="9">
        <f>AVERAGE(L209:L468)</f>
        <v/>
      </c>
    </row>
    <row r="470">
      <c r="A470" s="7" t="n">
        <v>40893</v>
      </c>
      <c r="B470" s="8" t="n">
        <v>1594</v>
      </c>
      <c r="C470" s="8" t="n">
        <v>1.91</v>
      </c>
      <c r="D470" s="8" t="n">
        <v>-0.05</v>
      </c>
      <c r="E470" s="8" t="n">
        <v>80.25</v>
      </c>
      <c r="F470" s="8" t="n">
        <v>93.55</v>
      </c>
      <c r="G470" s="8" t="n">
        <v>24.29</v>
      </c>
      <c r="H470" s="8" t="n">
        <v>89.400002</v>
      </c>
      <c r="I470" s="8" t="n">
        <v>1219.660034</v>
      </c>
      <c r="J470" s="8" t="n">
        <v>74.435524</v>
      </c>
      <c r="L470" s="9">
        <f>LN(B470/B469)</f>
        <v/>
      </c>
      <c r="M470" s="9">
        <f>$M$1*(C470-C469)</f>
        <v/>
      </c>
      <c r="N470" s="9">
        <f>$N$1*(D470-D469)</f>
        <v/>
      </c>
      <c r="O470" s="9">
        <f>$O$1*LN(E470/E469)</f>
        <v/>
      </c>
      <c r="P470" s="9">
        <f>$P$1*LN(F470/F469)</f>
        <v/>
      </c>
      <c r="Q470" s="9">
        <f>$Q$1*(G470-G469)</f>
        <v/>
      </c>
      <c r="R470" s="9">
        <f>$R$1*(H470-H469)</f>
        <v/>
      </c>
      <c r="S470" s="9">
        <f>$S$1*LN(I470/I469)</f>
        <v/>
      </c>
      <c r="T470" s="9">
        <f>$T$1*LN(J470/J469)</f>
        <v/>
      </c>
      <c r="U470" s="9">
        <f>$W$12+$W$4*M470+$W$5*N470+$W$6*O470+$W$7*P470+$W$8*Q470+$W$9*R470+$W$10*S470+$W$11*T470</f>
        <v/>
      </c>
      <c r="AA470" s="10">
        <f>INDEX(LINEST(L211:L470,M211:T470,TRUE,TRUE),1,9)*52</f>
        <v/>
      </c>
      <c r="AB470" s="9">
        <f>INDEX(LINEST(L211:L470,M211:T470,TRUE,TRUE),1,8)</f>
        <v/>
      </c>
      <c r="AC470" s="9">
        <f>INDEX(LINEST(L211:L470,M211:T470,TRUE,TRUE),1,7)</f>
        <v/>
      </c>
      <c r="AD470" s="9">
        <f>INDEX(LINEST(L211:L470,M211:T470,TRUE,TRUE),1,6)</f>
        <v/>
      </c>
      <c r="AE470" s="9">
        <f>INDEX(LINEST(L211:L470,M211:T470,TRUE,TRUE),1,5)</f>
        <v/>
      </c>
      <c r="AF470" s="9">
        <f>INDEX(LINEST(L211:L470,M211:T470,TRUE,TRUE),1,4)</f>
        <v/>
      </c>
      <c r="AG470" s="9">
        <f>INDEX(LINEST(L211:L470,M211:T470,TRUE,TRUE),1,3)</f>
        <v/>
      </c>
      <c r="AH470" s="9">
        <f>INDEX(LINEST(L211:L470,M211:T470,TRUE,TRUE),1,2)</f>
        <v/>
      </c>
      <c r="AI470" s="9">
        <f>INDEX(LINEST(L211:L470,M211:T470,TRUE,TRUE),1,1)</f>
        <v/>
      </c>
      <c r="AJ470" s="10">
        <f>INDEX(LINEST(L211:L470,M211:T470,TRUE,TRUE),3,1)</f>
        <v/>
      </c>
      <c r="AK470" s="9">
        <f>AA469/52+AB469*M470+AC469*N470+AD469*O470+AE469*P470+AF469*Q470+AG469*R470+AH469*S470+AI469*T470</f>
        <v/>
      </c>
      <c r="AL470" s="9">
        <f>AVERAGE(L210:L469)</f>
        <v/>
      </c>
    </row>
    <row r="471">
      <c r="A471" s="7" t="n">
        <v>40900</v>
      </c>
      <c r="B471" s="8" t="n">
        <v>1606.5</v>
      </c>
      <c r="C471" s="8" t="n">
        <v>2.07</v>
      </c>
      <c r="D471" s="8" t="n">
        <v>-0.04</v>
      </c>
      <c r="E471" s="8" t="n">
        <v>80.010002</v>
      </c>
      <c r="F471" s="8" t="n">
        <v>99.72</v>
      </c>
      <c r="G471" s="8" t="n">
        <v>20.73</v>
      </c>
      <c r="H471" s="8" t="n">
        <v>94.199997</v>
      </c>
      <c r="I471" s="8" t="n">
        <v>1265.329956</v>
      </c>
      <c r="J471" s="8" t="n">
        <v>74.24614699999999</v>
      </c>
      <c r="L471" s="9">
        <f>LN(B471/B470)</f>
        <v/>
      </c>
      <c r="M471" s="9">
        <f>$M$1*(C471-C470)</f>
        <v/>
      </c>
      <c r="N471" s="9">
        <f>$N$1*(D471-D470)</f>
        <v/>
      </c>
      <c r="O471" s="9">
        <f>$O$1*LN(E471/E470)</f>
        <v/>
      </c>
      <c r="P471" s="9">
        <f>$P$1*LN(F471/F470)</f>
        <v/>
      </c>
      <c r="Q471" s="9">
        <f>$Q$1*(G471-G470)</f>
        <v/>
      </c>
      <c r="R471" s="9">
        <f>$R$1*(H471-H470)</f>
        <v/>
      </c>
      <c r="S471" s="9">
        <f>$S$1*LN(I471/I470)</f>
        <v/>
      </c>
      <c r="T471" s="9">
        <f>$T$1*LN(J471/J470)</f>
        <v/>
      </c>
      <c r="U471" s="9">
        <f>$W$12+$W$4*M471+$W$5*N471+$W$6*O471+$W$7*P471+$W$8*Q471+$W$9*R471+$W$10*S471+$W$11*T471</f>
        <v/>
      </c>
      <c r="AA471" s="10">
        <f>INDEX(LINEST(L212:L471,M212:T471,TRUE,TRUE),1,9)*52</f>
        <v/>
      </c>
      <c r="AB471" s="9">
        <f>INDEX(LINEST(L212:L471,M212:T471,TRUE,TRUE),1,8)</f>
        <v/>
      </c>
      <c r="AC471" s="9">
        <f>INDEX(LINEST(L212:L471,M212:T471,TRUE,TRUE),1,7)</f>
        <v/>
      </c>
      <c r="AD471" s="9">
        <f>INDEX(LINEST(L212:L471,M212:T471,TRUE,TRUE),1,6)</f>
        <v/>
      </c>
      <c r="AE471" s="9">
        <f>INDEX(LINEST(L212:L471,M212:T471,TRUE,TRUE),1,5)</f>
        <v/>
      </c>
      <c r="AF471" s="9">
        <f>INDEX(LINEST(L212:L471,M212:T471,TRUE,TRUE),1,4)</f>
        <v/>
      </c>
      <c r="AG471" s="9">
        <f>INDEX(LINEST(L212:L471,M212:T471,TRUE,TRUE),1,3)</f>
        <v/>
      </c>
      <c r="AH471" s="9">
        <f>INDEX(LINEST(L212:L471,M212:T471,TRUE,TRUE),1,2)</f>
        <v/>
      </c>
      <c r="AI471" s="9">
        <f>INDEX(LINEST(L212:L471,M212:T471,TRUE,TRUE),1,1)</f>
        <v/>
      </c>
      <c r="AJ471" s="10">
        <f>INDEX(LINEST(L212:L471,M212:T471,TRUE,TRUE),3,1)</f>
        <v/>
      </c>
      <c r="AK471" s="9">
        <f>AA470/52+AB470*M471+AC470*N471+AD470*O471+AE470*P471+AF470*Q471+AG470*R471+AH470*S471+AI470*T471</f>
        <v/>
      </c>
      <c r="AL471" s="9">
        <f>AVERAGE(L211:L470)</f>
        <v/>
      </c>
    </row>
    <row r="472">
      <c r="A472" s="7" t="n">
        <v>40907</v>
      </c>
      <c r="B472" s="8" t="n">
        <v>1531</v>
      </c>
      <c r="C472" s="8" t="n">
        <v>1.96</v>
      </c>
      <c r="D472" s="8" t="n">
        <v>-0.07000000000000001</v>
      </c>
      <c r="E472" s="8" t="n">
        <v>80.16999800000001</v>
      </c>
      <c r="F472" s="8" t="n">
        <v>98.83</v>
      </c>
      <c r="G472" s="8" t="n">
        <v>23.4</v>
      </c>
      <c r="H472" s="8" t="n">
        <v>91.099998</v>
      </c>
      <c r="I472" s="8" t="n">
        <v>1257.599976</v>
      </c>
      <c r="J472" s="8" t="n">
        <v>74.58981300000001</v>
      </c>
      <c r="L472" s="9">
        <f>LN(B472/B471)</f>
        <v/>
      </c>
      <c r="M472" s="9">
        <f>$M$1*(C472-C471)</f>
        <v/>
      </c>
      <c r="N472" s="9">
        <f>$N$1*(D472-D471)</f>
        <v/>
      </c>
      <c r="O472" s="9">
        <f>$O$1*LN(E472/E471)</f>
        <v/>
      </c>
      <c r="P472" s="9">
        <f>$P$1*LN(F472/F471)</f>
        <v/>
      </c>
      <c r="Q472" s="9">
        <f>$Q$1*(G472-G471)</f>
        <v/>
      </c>
      <c r="R472" s="9">
        <f>$R$1*(H472-H471)</f>
        <v/>
      </c>
      <c r="S472" s="9">
        <f>$S$1*LN(I472/I471)</f>
        <v/>
      </c>
      <c r="T472" s="9">
        <f>$T$1*LN(J472/J471)</f>
        <v/>
      </c>
      <c r="U472" s="9">
        <f>$W$12+$W$4*M472+$W$5*N472+$W$6*O472+$W$7*P472+$W$8*Q472+$W$9*R472+$W$10*S472+$W$11*T472</f>
        <v/>
      </c>
      <c r="AA472" s="10">
        <f>INDEX(LINEST(L213:L472,M213:T472,TRUE,TRUE),1,9)*52</f>
        <v/>
      </c>
      <c r="AB472" s="9">
        <f>INDEX(LINEST(L213:L472,M213:T472,TRUE,TRUE),1,8)</f>
        <v/>
      </c>
      <c r="AC472" s="9">
        <f>INDEX(LINEST(L213:L472,M213:T472,TRUE,TRUE),1,7)</f>
        <v/>
      </c>
      <c r="AD472" s="9">
        <f>INDEX(LINEST(L213:L472,M213:T472,TRUE,TRUE),1,6)</f>
        <v/>
      </c>
      <c r="AE472" s="9">
        <f>INDEX(LINEST(L213:L472,M213:T472,TRUE,TRUE),1,5)</f>
        <v/>
      </c>
      <c r="AF472" s="9">
        <f>INDEX(LINEST(L213:L472,M213:T472,TRUE,TRUE),1,4)</f>
        <v/>
      </c>
      <c r="AG472" s="9">
        <f>INDEX(LINEST(L213:L472,M213:T472,TRUE,TRUE),1,3)</f>
        <v/>
      </c>
      <c r="AH472" s="9">
        <f>INDEX(LINEST(L213:L472,M213:T472,TRUE,TRUE),1,2)</f>
        <v/>
      </c>
      <c r="AI472" s="9">
        <f>INDEX(LINEST(L213:L472,M213:T472,TRUE,TRUE),1,1)</f>
        <v/>
      </c>
      <c r="AJ472" s="10">
        <f>INDEX(LINEST(L213:L472,M213:T472,TRUE,TRUE),3,1)</f>
        <v/>
      </c>
      <c r="AK472" s="9">
        <f>AA471/52+AB471*M472+AC471*N472+AD471*O472+AE471*P472+AF471*Q472+AG471*R472+AH471*S472+AI471*T472</f>
        <v/>
      </c>
      <c r="AL472" s="9">
        <f>AVERAGE(L212:L471)</f>
        <v/>
      </c>
    </row>
    <row r="473">
      <c r="A473" s="7" t="n">
        <v>40914</v>
      </c>
      <c r="B473" s="8" t="n">
        <v>1616.5</v>
      </c>
      <c r="C473" s="8" t="n">
        <v>2.09</v>
      </c>
      <c r="D473" s="8" t="n">
        <v>-0.11</v>
      </c>
      <c r="E473" s="8" t="n">
        <v>81.239998</v>
      </c>
      <c r="F473" s="8" t="n">
        <v>101.56</v>
      </c>
      <c r="G473" s="8" t="n">
        <v>20.63</v>
      </c>
      <c r="H473" s="8" t="n">
        <v>81.699997</v>
      </c>
      <c r="I473" s="8" t="n">
        <v>1277.810059</v>
      </c>
      <c r="J473" s="8" t="n">
        <v>74.501869</v>
      </c>
      <c r="L473" s="9">
        <f>LN(B473/B472)</f>
        <v/>
      </c>
      <c r="M473" s="9">
        <f>$M$1*(C473-C472)</f>
        <v/>
      </c>
      <c r="N473" s="9">
        <f>$N$1*(D473-D472)</f>
        <v/>
      </c>
      <c r="O473" s="9">
        <f>$O$1*LN(E473/E472)</f>
        <v/>
      </c>
      <c r="P473" s="9">
        <f>$P$1*LN(F473/F472)</f>
        <v/>
      </c>
      <c r="Q473" s="9">
        <f>$Q$1*(G473-G472)</f>
        <v/>
      </c>
      <c r="R473" s="9">
        <f>$R$1*(H473-H472)</f>
        <v/>
      </c>
      <c r="S473" s="9">
        <f>$S$1*LN(I473/I472)</f>
        <v/>
      </c>
      <c r="T473" s="9">
        <f>$T$1*LN(J473/J472)</f>
        <v/>
      </c>
      <c r="U473" s="9">
        <f>$W$12+$W$4*M473+$W$5*N473+$W$6*O473+$W$7*P473+$W$8*Q473+$W$9*R473+$W$10*S473+$W$11*T473</f>
        <v/>
      </c>
      <c r="AA473" s="10">
        <f>INDEX(LINEST(L214:L473,M214:T473,TRUE,TRUE),1,9)*52</f>
        <v/>
      </c>
      <c r="AB473" s="9">
        <f>INDEX(LINEST(L214:L473,M214:T473,TRUE,TRUE),1,8)</f>
        <v/>
      </c>
      <c r="AC473" s="9">
        <f>INDEX(LINEST(L214:L473,M214:T473,TRUE,TRUE),1,7)</f>
        <v/>
      </c>
      <c r="AD473" s="9">
        <f>INDEX(LINEST(L214:L473,M214:T473,TRUE,TRUE),1,6)</f>
        <v/>
      </c>
      <c r="AE473" s="9">
        <f>INDEX(LINEST(L214:L473,M214:T473,TRUE,TRUE),1,5)</f>
        <v/>
      </c>
      <c r="AF473" s="9">
        <f>INDEX(LINEST(L214:L473,M214:T473,TRUE,TRUE),1,4)</f>
        <v/>
      </c>
      <c r="AG473" s="9">
        <f>INDEX(LINEST(L214:L473,M214:T473,TRUE,TRUE),1,3)</f>
        <v/>
      </c>
      <c r="AH473" s="9">
        <f>INDEX(LINEST(L214:L473,M214:T473,TRUE,TRUE),1,2)</f>
        <v/>
      </c>
      <c r="AI473" s="9">
        <f>INDEX(LINEST(L214:L473,M214:T473,TRUE,TRUE),1,1)</f>
        <v/>
      </c>
      <c r="AJ473" s="10">
        <f>INDEX(LINEST(L214:L473,M214:T473,TRUE,TRUE),3,1)</f>
        <v/>
      </c>
      <c r="AK473" s="9">
        <f>AA472/52+AB472*M473+AC472*N473+AD472*O473+AE472*P473+AF472*Q473+AG472*R473+AH472*S473+AI472*T473</f>
        <v/>
      </c>
      <c r="AL473" s="9">
        <f>AVERAGE(L213:L472)</f>
        <v/>
      </c>
    </row>
    <row r="474">
      <c r="A474" s="7" t="n">
        <v>40921</v>
      </c>
      <c r="B474" s="8" t="n">
        <v>1635.5</v>
      </c>
      <c r="C474" s="8" t="n">
        <v>2.03</v>
      </c>
      <c r="D474" s="8" t="n">
        <v>-0.14</v>
      </c>
      <c r="E474" s="8" t="n">
        <v>81.43000000000001</v>
      </c>
      <c r="F474" s="8" t="n">
        <v>98.69</v>
      </c>
      <c r="G474" s="8" t="n">
        <v>20.91</v>
      </c>
      <c r="H474" s="8" t="n">
        <v>79.199997</v>
      </c>
      <c r="I474" s="8" t="n">
        <v>1289.089966</v>
      </c>
      <c r="J474" s="8" t="n">
        <v>74.792816</v>
      </c>
      <c r="L474" s="9">
        <f>LN(B474/B473)</f>
        <v/>
      </c>
      <c r="M474" s="9">
        <f>$M$1*(C474-C473)</f>
        <v/>
      </c>
      <c r="N474" s="9">
        <f>$N$1*(D474-D473)</f>
        <v/>
      </c>
      <c r="O474" s="9">
        <f>$O$1*LN(E474/E473)</f>
        <v/>
      </c>
      <c r="P474" s="9">
        <f>$P$1*LN(F474/F473)</f>
        <v/>
      </c>
      <c r="Q474" s="9">
        <f>$Q$1*(G474-G473)</f>
        <v/>
      </c>
      <c r="R474" s="9">
        <f>$R$1*(H474-H473)</f>
        <v/>
      </c>
      <c r="S474" s="9">
        <f>$S$1*LN(I474/I473)</f>
        <v/>
      </c>
      <c r="T474" s="9">
        <f>$T$1*LN(J474/J473)</f>
        <v/>
      </c>
      <c r="U474" s="9">
        <f>$W$12+$W$4*M474+$W$5*N474+$W$6*O474+$W$7*P474+$W$8*Q474+$W$9*R474+$W$10*S474+$W$11*T474</f>
        <v/>
      </c>
      <c r="AA474" s="10">
        <f>INDEX(LINEST(L215:L474,M215:T474,TRUE,TRUE),1,9)*52</f>
        <v/>
      </c>
      <c r="AB474" s="9">
        <f>INDEX(LINEST(L215:L474,M215:T474,TRUE,TRUE),1,8)</f>
        <v/>
      </c>
      <c r="AC474" s="9">
        <f>INDEX(LINEST(L215:L474,M215:T474,TRUE,TRUE),1,7)</f>
        <v/>
      </c>
      <c r="AD474" s="9">
        <f>INDEX(LINEST(L215:L474,M215:T474,TRUE,TRUE),1,6)</f>
        <v/>
      </c>
      <c r="AE474" s="9">
        <f>INDEX(LINEST(L215:L474,M215:T474,TRUE,TRUE),1,5)</f>
        <v/>
      </c>
      <c r="AF474" s="9">
        <f>INDEX(LINEST(L215:L474,M215:T474,TRUE,TRUE),1,4)</f>
        <v/>
      </c>
      <c r="AG474" s="9">
        <f>INDEX(LINEST(L215:L474,M215:T474,TRUE,TRUE),1,3)</f>
        <v/>
      </c>
      <c r="AH474" s="9">
        <f>INDEX(LINEST(L215:L474,M215:T474,TRUE,TRUE),1,2)</f>
        <v/>
      </c>
      <c r="AI474" s="9">
        <f>INDEX(LINEST(L215:L474,M215:T474,TRUE,TRUE),1,1)</f>
        <v/>
      </c>
      <c r="AJ474" s="10">
        <f>INDEX(LINEST(L215:L474,M215:T474,TRUE,TRUE),3,1)</f>
        <v/>
      </c>
      <c r="AK474" s="9">
        <f>AA473/52+AB473*M474+AC473*N474+AD473*O474+AE473*P474+AF473*Q474+AG473*R474+AH473*S474+AI473*T474</f>
        <v/>
      </c>
      <c r="AL474" s="9">
        <f>AVERAGE(L214:L473)</f>
        <v/>
      </c>
    </row>
    <row r="475">
      <c r="A475" s="7" t="n">
        <v>40928</v>
      </c>
      <c r="B475" s="8" t="n">
        <v>1653</v>
      </c>
      <c r="C475" s="8" t="n">
        <v>2.04</v>
      </c>
      <c r="D475" s="8" t="n">
        <v>0.01</v>
      </c>
      <c r="E475" s="8" t="n">
        <v>80.220001</v>
      </c>
      <c r="F475" s="8" t="n">
        <v>98.15000000000001</v>
      </c>
      <c r="G475" s="8" t="n">
        <v>18.28</v>
      </c>
      <c r="H475" s="8" t="n">
        <v>84.599998</v>
      </c>
      <c r="I475" s="8" t="n">
        <v>1315.380005</v>
      </c>
      <c r="J475" s="8" t="n">
        <v>74.407158</v>
      </c>
      <c r="L475" s="9">
        <f>LN(B475/B474)</f>
        <v/>
      </c>
      <c r="M475" s="9">
        <f>$M$1*(C475-C474)</f>
        <v/>
      </c>
      <c r="N475" s="9">
        <f>$N$1*(D475-D474)</f>
        <v/>
      </c>
      <c r="O475" s="9">
        <f>$O$1*LN(E475/E474)</f>
        <v/>
      </c>
      <c r="P475" s="9">
        <f>$P$1*LN(F475/F474)</f>
        <v/>
      </c>
      <c r="Q475" s="9">
        <f>$Q$1*(G475-G474)</f>
        <v/>
      </c>
      <c r="R475" s="9">
        <f>$R$1*(H475-H474)</f>
        <v/>
      </c>
      <c r="S475" s="9">
        <f>$S$1*LN(I475/I474)</f>
        <v/>
      </c>
      <c r="T475" s="9">
        <f>$T$1*LN(J475/J474)</f>
        <v/>
      </c>
      <c r="U475" s="9">
        <f>$W$12+$W$4*M475+$W$5*N475+$W$6*O475+$W$7*P475+$W$8*Q475+$W$9*R475+$W$10*S475+$W$11*T475</f>
        <v/>
      </c>
      <c r="AA475" s="10">
        <f>INDEX(LINEST(L216:L475,M216:T475,TRUE,TRUE),1,9)*52</f>
        <v/>
      </c>
      <c r="AB475" s="9">
        <f>INDEX(LINEST(L216:L475,M216:T475,TRUE,TRUE),1,8)</f>
        <v/>
      </c>
      <c r="AC475" s="9">
        <f>INDEX(LINEST(L216:L475,M216:T475,TRUE,TRUE),1,7)</f>
        <v/>
      </c>
      <c r="AD475" s="9">
        <f>INDEX(LINEST(L216:L475,M216:T475,TRUE,TRUE),1,6)</f>
        <v/>
      </c>
      <c r="AE475" s="9">
        <f>INDEX(LINEST(L216:L475,M216:T475,TRUE,TRUE),1,5)</f>
        <v/>
      </c>
      <c r="AF475" s="9">
        <f>INDEX(LINEST(L216:L475,M216:T475,TRUE,TRUE),1,4)</f>
        <v/>
      </c>
      <c r="AG475" s="9">
        <f>INDEX(LINEST(L216:L475,M216:T475,TRUE,TRUE),1,3)</f>
        <v/>
      </c>
      <c r="AH475" s="9">
        <f>INDEX(LINEST(L216:L475,M216:T475,TRUE,TRUE),1,2)</f>
        <v/>
      </c>
      <c r="AI475" s="9">
        <f>INDEX(LINEST(L216:L475,M216:T475,TRUE,TRUE),1,1)</f>
        <v/>
      </c>
      <c r="AJ475" s="10">
        <f>INDEX(LINEST(L216:L475,M216:T475,TRUE,TRUE),3,1)</f>
        <v/>
      </c>
      <c r="AK475" s="9">
        <f>AA474/52+AB474*M475+AC474*N475+AD474*O475+AE474*P475+AF474*Q475+AG474*R475+AH474*S475+AI474*T475</f>
        <v/>
      </c>
      <c r="AL475" s="9">
        <f>AVERAGE(L215:L474)</f>
        <v/>
      </c>
    </row>
    <row r="476">
      <c r="A476" s="7" t="n">
        <v>40935</v>
      </c>
      <c r="B476" s="8" t="n">
        <v>1726</v>
      </c>
      <c r="C476" s="8" t="n">
        <v>2.11</v>
      </c>
      <c r="D476" s="8" t="n">
        <v>-0.18</v>
      </c>
      <c r="E476" s="8" t="n">
        <v>78.900002</v>
      </c>
      <c r="F476" s="8" t="n">
        <v>99.47</v>
      </c>
      <c r="G476" s="8" t="n">
        <v>18.53</v>
      </c>
      <c r="H476" s="8" t="n">
        <v>75.400002</v>
      </c>
      <c r="I476" s="8" t="n">
        <v>1316.329956</v>
      </c>
      <c r="J476" s="8" t="n">
        <v>74.785988</v>
      </c>
      <c r="L476" s="9">
        <f>LN(B476/B475)</f>
        <v/>
      </c>
      <c r="M476" s="9">
        <f>$M$1*(C476-C475)</f>
        <v/>
      </c>
      <c r="N476" s="9">
        <f>$N$1*(D476-D475)</f>
        <v/>
      </c>
      <c r="O476" s="9">
        <f>$O$1*LN(E476/E475)</f>
        <v/>
      </c>
      <c r="P476" s="9">
        <f>$P$1*LN(F476/F475)</f>
        <v/>
      </c>
      <c r="Q476" s="9">
        <f>$Q$1*(G476-G475)</f>
        <v/>
      </c>
      <c r="R476" s="9">
        <f>$R$1*(H476-H475)</f>
        <v/>
      </c>
      <c r="S476" s="9">
        <f>$S$1*LN(I476/I475)</f>
        <v/>
      </c>
      <c r="T476" s="9">
        <f>$T$1*LN(J476/J475)</f>
        <v/>
      </c>
      <c r="U476" s="9">
        <f>$W$12+$W$4*M476+$W$5*N476+$W$6*O476+$W$7*P476+$W$8*Q476+$W$9*R476+$W$10*S476+$W$11*T476</f>
        <v/>
      </c>
      <c r="AA476" s="10">
        <f>INDEX(LINEST(L217:L476,M217:T476,TRUE,TRUE),1,9)*52</f>
        <v/>
      </c>
      <c r="AB476" s="9">
        <f>INDEX(LINEST(L217:L476,M217:T476,TRUE,TRUE),1,8)</f>
        <v/>
      </c>
      <c r="AC476" s="9">
        <f>INDEX(LINEST(L217:L476,M217:T476,TRUE,TRUE),1,7)</f>
        <v/>
      </c>
      <c r="AD476" s="9">
        <f>INDEX(LINEST(L217:L476,M217:T476,TRUE,TRUE),1,6)</f>
        <v/>
      </c>
      <c r="AE476" s="9">
        <f>INDEX(LINEST(L217:L476,M217:T476,TRUE,TRUE),1,5)</f>
        <v/>
      </c>
      <c r="AF476" s="9">
        <f>INDEX(LINEST(L217:L476,M217:T476,TRUE,TRUE),1,4)</f>
        <v/>
      </c>
      <c r="AG476" s="9">
        <f>INDEX(LINEST(L217:L476,M217:T476,TRUE,TRUE),1,3)</f>
        <v/>
      </c>
      <c r="AH476" s="9">
        <f>INDEX(LINEST(L217:L476,M217:T476,TRUE,TRUE),1,2)</f>
        <v/>
      </c>
      <c r="AI476" s="9">
        <f>INDEX(LINEST(L217:L476,M217:T476,TRUE,TRUE),1,1)</f>
        <v/>
      </c>
      <c r="AJ476" s="10">
        <f>INDEX(LINEST(L217:L476,M217:T476,TRUE,TRUE),3,1)</f>
        <v/>
      </c>
      <c r="AK476" s="9">
        <f>AA475/52+AB475*M476+AC475*N476+AD475*O476+AE475*P476+AF475*Q476+AG475*R476+AH475*S476+AI475*T476</f>
        <v/>
      </c>
      <c r="AL476" s="9">
        <f>AVERAGE(L216:L475)</f>
        <v/>
      </c>
    </row>
    <row r="477">
      <c r="A477" s="7" t="n">
        <v>40942</v>
      </c>
      <c r="B477" s="8" t="n">
        <v>1734</v>
      </c>
      <c r="C477" s="8" t="n">
        <v>2.18</v>
      </c>
      <c r="D477" s="8" t="n">
        <v>-0.21</v>
      </c>
      <c r="E477" s="8" t="n">
        <v>78.94000200000001</v>
      </c>
      <c r="F477" s="8" t="n">
        <v>97.8</v>
      </c>
      <c r="G477" s="8" t="n">
        <v>17.1</v>
      </c>
      <c r="H477" s="8" t="n">
        <v>76.699997</v>
      </c>
      <c r="I477" s="8" t="n">
        <v>1344.900024</v>
      </c>
      <c r="J477" s="8" t="n">
        <v>74.985229</v>
      </c>
      <c r="L477" s="9">
        <f>LN(B477/B476)</f>
        <v/>
      </c>
      <c r="M477" s="9">
        <f>$M$1*(C477-C476)</f>
        <v/>
      </c>
      <c r="N477" s="9">
        <f>$N$1*(D477-D476)</f>
        <v/>
      </c>
      <c r="O477" s="9">
        <f>$O$1*LN(E477/E476)</f>
        <v/>
      </c>
      <c r="P477" s="9">
        <f>$P$1*LN(F477/F476)</f>
        <v/>
      </c>
      <c r="Q477" s="9">
        <f>$Q$1*(G477-G476)</f>
        <v/>
      </c>
      <c r="R477" s="9">
        <f>$R$1*(H477-H476)</f>
        <v/>
      </c>
      <c r="S477" s="9">
        <f>$S$1*LN(I477/I476)</f>
        <v/>
      </c>
      <c r="T477" s="9">
        <f>$T$1*LN(J477/J476)</f>
        <v/>
      </c>
      <c r="U477" s="9">
        <f>$W$12+$W$4*M477+$W$5*N477+$W$6*O477+$W$7*P477+$W$8*Q477+$W$9*R477+$W$10*S477+$W$11*T477</f>
        <v/>
      </c>
      <c r="AA477" s="10">
        <f>INDEX(LINEST(L218:L477,M218:T477,TRUE,TRUE),1,9)*52</f>
        <v/>
      </c>
      <c r="AB477" s="9">
        <f>INDEX(LINEST(L218:L477,M218:T477,TRUE,TRUE),1,8)</f>
        <v/>
      </c>
      <c r="AC477" s="9">
        <f>INDEX(LINEST(L218:L477,M218:T477,TRUE,TRUE),1,7)</f>
        <v/>
      </c>
      <c r="AD477" s="9">
        <f>INDEX(LINEST(L218:L477,M218:T477,TRUE,TRUE),1,6)</f>
        <v/>
      </c>
      <c r="AE477" s="9">
        <f>INDEX(LINEST(L218:L477,M218:T477,TRUE,TRUE),1,5)</f>
        <v/>
      </c>
      <c r="AF477" s="9">
        <f>INDEX(LINEST(L218:L477,M218:T477,TRUE,TRUE),1,4)</f>
        <v/>
      </c>
      <c r="AG477" s="9">
        <f>INDEX(LINEST(L218:L477,M218:T477,TRUE,TRUE),1,3)</f>
        <v/>
      </c>
      <c r="AH477" s="9">
        <f>INDEX(LINEST(L218:L477,M218:T477,TRUE,TRUE),1,2)</f>
        <v/>
      </c>
      <c r="AI477" s="9">
        <f>INDEX(LINEST(L218:L477,M218:T477,TRUE,TRUE),1,1)</f>
        <v/>
      </c>
      <c r="AJ477" s="10">
        <f>INDEX(LINEST(L218:L477,M218:T477,TRUE,TRUE),3,1)</f>
        <v/>
      </c>
      <c r="AK477" s="9">
        <f>AA476/52+AB476*M477+AC476*N477+AD476*O477+AE476*P477+AF476*Q477+AG476*R477+AH476*S477+AI476*T477</f>
        <v/>
      </c>
      <c r="AL477" s="9">
        <f>AVERAGE(L217:L476)</f>
        <v/>
      </c>
    </row>
    <row r="478">
      <c r="A478" s="7" t="n">
        <v>40949</v>
      </c>
      <c r="B478" s="8" t="n">
        <v>1711.5</v>
      </c>
      <c r="C478" s="8" t="n">
        <v>2.2</v>
      </c>
      <c r="D478" s="8" t="n">
        <v>-0.24</v>
      </c>
      <c r="E478" s="8" t="n">
        <v>79.110001</v>
      </c>
      <c r="F478" s="8" t="n">
        <v>98.68000000000001</v>
      </c>
      <c r="G478" s="8" t="n">
        <v>20.79</v>
      </c>
      <c r="H478" s="8" t="n">
        <v>80.699997</v>
      </c>
      <c r="I478" s="8" t="n">
        <v>1342.640015</v>
      </c>
      <c r="J478" s="8" t="n">
        <v>74.883499</v>
      </c>
      <c r="L478" s="9">
        <f>LN(B478/B477)</f>
        <v/>
      </c>
      <c r="M478" s="9">
        <f>$M$1*(C478-C477)</f>
        <v/>
      </c>
      <c r="N478" s="9">
        <f>$N$1*(D478-D477)</f>
        <v/>
      </c>
      <c r="O478" s="9">
        <f>$O$1*LN(E478/E477)</f>
        <v/>
      </c>
      <c r="P478" s="9">
        <f>$P$1*LN(F478/F477)</f>
        <v/>
      </c>
      <c r="Q478" s="9">
        <f>$Q$1*(G478-G477)</f>
        <v/>
      </c>
      <c r="R478" s="9">
        <f>$R$1*(H478-H477)</f>
        <v/>
      </c>
      <c r="S478" s="9">
        <f>$S$1*LN(I478/I477)</f>
        <v/>
      </c>
      <c r="T478" s="9">
        <f>$T$1*LN(J478/J477)</f>
        <v/>
      </c>
      <c r="U478" s="9">
        <f>$W$12+$W$4*M478+$W$5*N478+$W$6*O478+$W$7*P478+$W$8*Q478+$W$9*R478+$W$10*S478+$W$11*T478</f>
        <v/>
      </c>
      <c r="AA478" s="10">
        <f>INDEX(LINEST(L219:L478,M219:T478,TRUE,TRUE),1,9)*52</f>
        <v/>
      </c>
      <c r="AB478" s="9">
        <f>INDEX(LINEST(L219:L478,M219:T478,TRUE,TRUE),1,8)</f>
        <v/>
      </c>
      <c r="AC478" s="9">
        <f>INDEX(LINEST(L219:L478,M219:T478,TRUE,TRUE),1,7)</f>
        <v/>
      </c>
      <c r="AD478" s="9">
        <f>INDEX(LINEST(L219:L478,M219:T478,TRUE,TRUE),1,6)</f>
        <v/>
      </c>
      <c r="AE478" s="9">
        <f>INDEX(LINEST(L219:L478,M219:T478,TRUE,TRUE),1,5)</f>
        <v/>
      </c>
      <c r="AF478" s="9">
        <f>INDEX(LINEST(L219:L478,M219:T478,TRUE,TRUE),1,4)</f>
        <v/>
      </c>
      <c r="AG478" s="9">
        <f>INDEX(LINEST(L219:L478,M219:T478,TRUE,TRUE),1,3)</f>
        <v/>
      </c>
      <c r="AH478" s="9">
        <f>INDEX(LINEST(L219:L478,M219:T478,TRUE,TRUE),1,2)</f>
        <v/>
      </c>
      <c r="AI478" s="9">
        <f>INDEX(LINEST(L219:L478,M219:T478,TRUE,TRUE),1,1)</f>
        <v/>
      </c>
      <c r="AJ478" s="10">
        <f>INDEX(LINEST(L219:L478,M219:T478,TRUE,TRUE),3,1)</f>
        <v/>
      </c>
      <c r="AK478" s="9">
        <f>AA477/52+AB477*M478+AC477*N478+AD477*O478+AE477*P478+AF477*Q478+AG477*R478+AH477*S478+AI477*T478</f>
        <v/>
      </c>
      <c r="AL478" s="9">
        <f>AVERAGE(L218:L477)</f>
        <v/>
      </c>
    </row>
    <row r="479">
      <c r="A479" s="7" t="n">
        <v>40956</v>
      </c>
      <c r="B479" s="8" t="n">
        <v>1723</v>
      </c>
      <c r="C479" s="8" t="n">
        <v>2.24</v>
      </c>
      <c r="D479" s="8" t="n">
        <v>-0.23</v>
      </c>
      <c r="E479" s="8" t="n">
        <v>79.33000199999999</v>
      </c>
      <c r="F479" s="8" t="n">
        <v>103.27</v>
      </c>
      <c r="G479" s="8" t="n">
        <v>17.78</v>
      </c>
      <c r="H479" s="8" t="n">
        <v>81.5</v>
      </c>
      <c r="I479" s="8" t="n">
        <v>1361.22998</v>
      </c>
      <c r="J479" s="8" t="n">
        <v>74.836029</v>
      </c>
      <c r="L479" s="9">
        <f>LN(B479/B478)</f>
        <v/>
      </c>
      <c r="M479" s="9">
        <f>$M$1*(C479-C478)</f>
        <v/>
      </c>
      <c r="N479" s="9">
        <f>$N$1*(D479-D478)</f>
        <v/>
      </c>
      <c r="O479" s="9">
        <f>$O$1*LN(E479/E478)</f>
        <v/>
      </c>
      <c r="P479" s="9">
        <f>$P$1*LN(F479/F478)</f>
        <v/>
      </c>
      <c r="Q479" s="9">
        <f>$Q$1*(G479-G478)</f>
        <v/>
      </c>
      <c r="R479" s="9">
        <f>$R$1*(H479-H478)</f>
        <v/>
      </c>
      <c r="S479" s="9">
        <f>$S$1*LN(I479/I478)</f>
        <v/>
      </c>
      <c r="T479" s="9">
        <f>$T$1*LN(J479/J478)</f>
        <v/>
      </c>
      <c r="U479" s="9">
        <f>$W$12+$W$4*M479+$W$5*N479+$W$6*O479+$W$7*P479+$W$8*Q479+$W$9*R479+$W$10*S479+$W$11*T479</f>
        <v/>
      </c>
      <c r="AA479" s="10">
        <f>INDEX(LINEST(L220:L479,M220:T479,TRUE,TRUE),1,9)*52</f>
        <v/>
      </c>
      <c r="AB479" s="9">
        <f>INDEX(LINEST(L220:L479,M220:T479,TRUE,TRUE),1,8)</f>
        <v/>
      </c>
      <c r="AC479" s="9">
        <f>INDEX(LINEST(L220:L479,M220:T479,TRUE,TRUE),1,7)</f>
        <v/>
      </c>
      <c r="AD479" s="9">
        <f>INDEX(LINEST(L220:L479,M220:T479,TRUE,TRUE),1,6)</f>
        <v/>
      </c>
      <c r="AE479" s="9">
        <f>INDEX(LINEST(L220:L479,M220:T479,TRUE,TRUE),1,5)</f>
        <v/>
      </c>
      <c r="AF479" s="9">
        <f>INDEX(LINEST(L220:L479,M220:T479,TRUE,TRUE),1,4)</f>
        <v/>
      </c>
      <c r="AG479" s="9">
        <f>INDEX(LINEST(L220:L479,M220:T479,TRUE,TRUE),1,3)</f>
        <v/>
      </c>
      <c r="AH479" s="9">
        <f>INDEX(LINEST(L220:L479,M220:T479,TRUE,TRUE),1,2)</f>
        <v/>
      </c>
      <c r="AI479" s="9">
        <f>INDEX(LINEST(L220:L479,M220:T479,TRUE,TRUE),1,1)</f>
        <v/>
      </c>
      <c r="AJ479" s="10">
        <f>INDEX(LINEST(L220:L479,M220:T479,TRUE,TRUE),3,1)</f>
        <v/>
      </c>
      <c r="AK479" s="9">
        <f>AA478/52+AB478*M479+AC478*N479+AD478*O479+AE478*P479+AF478*Q479+AG478*R479+AH478*S479+AI478*T479</f>
        <v/>
      </c>
      <c r="AL479" s="9">
        <f>AVERAGE(L219:L478)</f>
        <v/>
      </c>
    </row>
    <row r="480">
      <c r="A480" s="7" t="n">
        <v>40963</v>
      </c>
      <c r="B480" s="8" t="n">
        <v>1777.5</v>
      </c>
      <c r="C480" s="8" t="n">
        <v>2.27</v>
      </c>
      <c r="D480" s="8" t="n">
        <v>-0.29</v>
      </c>
      <c r="E480" s="8" t="n">
        <v>78.349998</v>
      </c>
      <c r="F480" s="8" t="n">
        <v>109.39</v>
      </c>
      <c r="G480" s="8" t="n">
        <v>17.31</v>
      </c>
      <c r="H480" s="8" t="n">
        <v>77.099998</v>
      </c>
      <c r="I480" s="8" t="n">
        <v>1365.73999</v>
      </c>
      <c r="J480" s="8" t="n">
        <v>75.01239</v>
      </c>
      <c r="L480" s="9">
        <f>LN(B480/B479)</f>
        <v/>
      </c>
      <c r="M480" s="9">
        <f>$M$1*(C480-C479)</f>
        <v/>
      </c>
      <c r="N480" s="9">
        <f>$N$1*(D480-D479)</f>
        <v/>
      </c>
      <c r="O480" s="9">
        <f>$O$1*LN(E480/E479)</f>
        <v/>
      </c>
      <c r="P480" s="9">
        <f>$P$1*LN(F480/F479)</f>
        <v/>
      </c>
      <c r="Q480" s="9">
        <f>$Q$1*(G480-G479)</f>
        <v/>
      </c>
      <c r="R480" s="9">
        <f>$R$1*(H480-H479)</f>
        <v/>
      </c>
      <c r="S480" s="9">
        <f>$S$1*LN(I480/I479)</f>
        <v/>
      </c>
      <c r="T480" s="9">
        <f>$T$1*LN(J480/J479)</f>
        <v/>
      </c>
      <c r="U480" s="9">
        <f>$W$12+$W$4*M480+$W$5*N480+$W$6*O480+$W$7*P480+$W$8*Q480+$W$9*R480+$W$10*S480+$W$11*T480</f>
        <v/>
      </c>
      <c r="AA480" s="10">
        <f>INDEX(LINEST(L221:L480,M221:T480,TRUE,TRUE),1,9)*52</f>
        <v/>
      </c>
      <c r="AB480" s="9">
        <f>INDEX(LINEST(L221:L480,M221:T480,TRUE,TRUE),1,8)</f>
        <v/>
      </c>
      <c r="AC480" s="9">
        <f>INDEX(LINEST(L221:L480,M221:T480,TRUE,TRUE),1,7)</f>
        <v/>
      </c>
      <c r="AD480" s="9">
        <f>INDEX(LINEST(L221:L480,M221:T480,TRUE,TRUE),1,6)</f>
        <v/>
      </c>
      <c r="AE480" s="9">
        <f>INDEX(LINEST(L221:L480,M221:T480,TRUE,TRUE),1,5)</f>
        <v/>
      </c>
      <c r="AF480" s="9">
        <f>INDEX(LINEST(L221:L480,M221:T480,TRUE,TRUE),1,4)</f>
        <v/>
      </c>
      <c r="AG480" s="9">
        <f>INDEX(LINEST(L221:L480,M221:T480,TRUE,TRUE),1,3)</f>
        <v/>
      </c>
      <c r="AH480" s="9">
        <f>INDEX(LINEST(L221:L480,M221:T480,TRUE,TRUE),1,2)</f>
        <v/>
      </c>
      <c r="AI480" s="9">
        <f>INDEX(LINEST(L221:L480,M221:T480,TRUE,TRUE),1,1)</f>
        <v/>
      </c>
      <c r="AJ480" s="10">
        <f>INDEX(LINEST(L221:L480,M221:T480,TRUE,TRUE),3,1)</f>
        <v/>
      </c>
      <c r="AK480" s="9">
        <f>AA479/52+AB479*M480+AC479*N480+AD479*O480+AE479*P480+AF479*Q480+AG479*R480+AH479*S480+AI479*T480</f>
        <v/>
      </c>
      <c r="AL480" s="9">
        <f>AVERAGE(L220:L479)</f>
        <v/>
      </c>
    </row>
    <row r="481">
      <c r="A481" s="7" t="n">
        <v>40970</v>
      </c>
      <c r="B481" s="8" t="n">
        <v>1707</v>
      </c>
      <c r="C481" s="8" t="n">
        <v>2.23</v>
      </c>
      <c r="D481" s="8" t="n">
        <v>-0.24</v>
      </c>
      <c r="E481" s="8" t="n">
        <v>79.400002</v>
      </c>
      <c r="F481" s="8" t="n">
        <v>106.68</v>
      </c>
      <c r="G481" s="8" t="n">
        <v>17.29</v>
      </c>
      <c r="H481" s="8" t="n">
        <v>76</v>
      </c>
      <c r="I481" s="8" t="n">
        <v>1369.630005</v>
      </c>
      <c r="J481" s="8" t="n">
        <v>75.13241600000001</v>
      </c>
      <c r="L481" s="9">
        <f>LN(B481/B480)</f>
        <v/>
      </c>
      <c r="M481" s="9">
        <f>$M$1*(C481-C480)</f>
        <v/>
      </c>
      <c r="N481" s="9">
        <f>$N$1*(D481-D480)</f>
        <v/>
      </c>
      <c r="O481" s="9">
        <f>$O$1*LN(E481/E480)</f>
        <v/>
      </c>
      <c r="P481" s="9">
        <f>$P$1*LN(F481/F480)</f>
        <v/>
      </c>
      <c r="Q481" s="9">
        <f>$Q$1*(G481-G480)</f>
        <v/>
      </c>
      <c r="R481" s="9">
        <f>$R$1*(H481-H480)</f>
        <v/>
      </c>
      <c r="S481" s="9">
        <f>$S$1*LN(I481/I480)</f>
        <v/>
      </c>
      <c r="T481" s="9">
        <f>$T$1*LN(J481/J480)</f>
        <v/>
      </c>
      <c r="U481" s="9">
        <f>$W$12+$W$4*M481+$W$5*N481+$W$6*O481+$W$7*P481+$W$8*Q481+$W$9*R481+$W$10*S481+$W$11*T481</f>
        <v/>
      </c>
      <c r="AA481" s="10">
        <f>INDEX(LINEST(L222:L481,M222:T481,TRUE,TRUE),1,9)*52</f>
        <v/>
      </c>
      <c r="AB481" s="9">
        <f>INDEX(LINEST(L222:L481,M222:T481,TRUE,TRUE),1,8)</f>
        <v/>
      </c>
      <c r="AC481" s="9">
        <f>INDEX(LINEST(L222:L481,M222:T481,TRUE,TRUE),1,7)</f>
        <v/>
      </c>
      <c r="AD481" s="9">
        <f>INDEX(LINEST(L222:L481,M222:T481,TRUE,TRUE),1,6)</f>
        <v/>
      </c>
      <c r="AE481" s="9">
        <f>INDEX(LINEST(L222:L481,M222:T481,TRUE,TRUE),1,5)</f>
        <v/>
      </c>
      <c r="AF481" s="9">
        <f>INDEX(LINEST(L222:L481,M222:T481,TRUE,TRUE),1,4)</f>
        <v/>
      </c>
      <c r="AG481" s="9">
        <f>INDEX(LINEST(L222:L481,M222:T481,TRUE,TRUE),1,3)</f>
        <v/>
      </c>
      <c r="AH481" s="9">
        <f>INDEX(LINEST(L222:L481,M222:T481,TRUE,TRUE),1,2)</f>
        <v/>
      </c>
      <c r="AI481" s="9">
        <f>INDEX(LINEST(L222:L481,M222:T481,TRUE,TRUE),1,1)</f>
        <v/>
      </c>
      <c r="AJ481" s="10">
        <f>INDEX(LINEST(L222:L481,M222:T481,TRUE,TRUE),3,1)</f>
        <v/>
      </c>
      <c r="AK481" s="9">
        <f>AA480/52+AB480*M481+AC480*N481+AD480*O481+AE480*P481+AF480*Q481+AG480*R481+AH480*S481+AI480*T481</f>
        <v/>
      </c>
      <c r="AL481" s="9">
        <f>AVERAGE(L221:L480)</f>
        <v/>
      </c>
    </row>
    <row r="482">
      <c r="A482" s="7" t="n">
        <v>40977</v>
      </c>
      <c r="B482" s="8" t="n">
        <v>1687.5</v>
      </c>
      <c r="C482" s="8" t="n">
        <v>2.28</v>
      </c>
      <c r="D482" s="8" t="n">
        <v>-0.24</v>
      </c>
      <c r="E482" s="8" t="n">
        <v>80.040001</v>
      </c>
      <c r="F482" s="8" t="n">
        <v>107.4</v>
      </c>
      <c r="G482" s="8" t="n">
        <v>17.11</v>
      </c>
      <c r="H482" s="8" t="n">
        <v>73.199997</v>
      </c>
      <c r="I482" s="8" t="n">
        <v>1370.869995</v>
      </c>
      <c r="J482" s="8" t="n">
        <v>74.921654</v>
      </c>
      <c r="L482" s="9">
        <f>LN(B482/B481)</f>
        <v/>
      </c>
      <c r="M482" s="9">
        <f>$M$1*(C482-C481)</f>
        <v/>
      </c>
      <c r="N482" s="9">
        <f>$N$1*(D482-D481)</f>
        <v/>
      </c>
      <c r="O482" s="9">
        <f>$O$1*LN(E482/E481)</f>
        <v/>
      </c>
      <c r="P482" s="9">
        <f>$P$1*LN(F482/F481)</f>
        <v/>
      </c>
      <c r="Q482" s="9">
        <f>$Q$1*(G482-G481)</f>
        <v/>
      </c>
      <c r="R482" s="9">
        <f>$R$1*(H482-H481)</f>
        <v/>
      </c>
      <c r="S482" s="9">
        <f>$S$1*LN(I482/I481)</f>
        <v/>
      </c>
      <c r="T482" s="9">
        <f>$T$1*LN(J482/J481)</f>
        <v/>
      </c>
      <c r="U482" s="9">
        <f>$W$12+$W$4*M482+$W$5*N482+$W$6*O482+$W$7*P482+$W$8*Q482+$W$9*R482+$W$10*S482+$W$11*T482</f>
        <v/>
      </c>
      <c r="AA482" s="10">
        <f>INDEX(LINEST(L223:L482,M223:T482,TRUE,TRUE),1,9)*52</f>
        <v/>
      </c>
      <c r="AB482" s="9">
        <f>INDEX(LINEST(L223:L482,M223:T482,TRUE,TRUE),1,8)</f>
        <v/>
      </c>
      <c r="AC482" s="9">
        <f>INDEX(LINEST(L223:L482,M223:T482,TRUE,TRUE),1,7)</f>
        <v/>
      </c>
      <c r="AD482" s="9">
        <f>INDEX(LINEST(L223:L482,M223:T482,TRUE,TRUE),1,6)</f>
        <v/>
      </c>
      <c r="AE482" s="9">
        <f>INDEX(LINEST(L223:L482,M223:T482,TRUE,TRUE),1,5)</f>
        <v/>
      </c>
      <c r="AF482" s="9">
        <f>INDEX(LINEST(L223:L482,M223:T482,TRUE,TRUE),1,4)</f>
        <v/>
      </c>
      <c r="AG482" s="9">
        <f>INDEX(LINEST(L223:L482,M223:T482,TRUE,TRUE),1,3)</f>
        <v/>
      </c>
      <c r="AH482" s="9">
        <f>INDEX(LINEST(L223:L482,M223:T482,TRUE,TRUE),1,2)</f>
        <v/>
      </c>
      <c r="AI482" s="9">
        <f>INDEX(LINEST(L223:L482,M223:T482,TRUE,TRUE),1,1)</f>
        <v/>
      </c>
      <c r="AJ482" s="10">
        <f>INDEX(LINEST(L223:L482,M223:T482,TRUE,TRUE),3,1)</f>
        <v/>
      </c>
      <c r="AK482" s="9">
        <f>AA481/52+AB481*M482+AC481*N482+AD481*O482+AE481*P482+AF481*Q482+AG481*R482+AH481*S482+AI481*T482</f>
        <v/>
      </c>
      <c r="AL482" s="9">
        <f>AVERAGE(L222:L481)</f>
        <v/>
      </c>
    </row>
    <row r="483">
      <c r="A483" s="7" t="n">
        <v>40984</v>
      </c>
      <c r="B483" s="8" t="n">
        <v>1658</v>
      </c>
      <c r="C483" s="8" t="n">
        <v>2.4</v>
      </c>
      <c r="D483" s="8" t="n">
        <v>-0.09</v>
      </c>
      <c r="E483" s="8" t="n">
        <v>79.779999</v>
      </c>
      <c r="F483" s="8" t="n">
        <v>107.03</v>
      </c>
      <c r="G483" s="8" t="n">
        <v>14.47</v>
      </c>
      <c r="H483" s="8" t="n">
        <v>84.900002</v>
      </c>
      <c r="I483" s="8" t="n">
        <v>1404.170044</v>
      </c>
      <c r="J483" s="8" t="n">
        <v>74.302933</v>
      </c>
      <c r="L483" s="9">
        <f>LN(B483/B482)</f>
        <v/>
      </c>
      <c r="M483" s="9">
        <f>$M$1*(C483-C482)</f>
        <v/>
      </c>
      <c r="N483" s="9">
        <f>$N$1*(D483-D482)</f>
        <v/>
      </c>
      <c r="O483" s="9">
        <f>$O$1*LN(E483/E482)</f>
        <v/>
      </c>
      <c r="P483" s="9">
        <f>$P$1*LN(F483/F482)</f>
        <v/>
      </c>
      <c r="Q483" s="9">
        <f>$Q$1*(G483-G482)</f>
        <v/>
      </c>
      <c r="R483" s="9">
        <f>$R$1*(H483-H482)</f>
        <v/>
      </c>
      <c r="S483" s="9">
        <f>$S$1*LN(I483/I482)</f>
        <v/>
      </c>
      <c r="T483" s="9">
        <f>$T$1*LN(J483/J482)</f>
        <v/>
      </c>
      <c r="U483" s="9">
        <f>$W$12+$W$4*M483+$W$5*N483+$W$6*O483+$W$7*P483+$W$8*Q483+$W$9*R483+$W$10*S483+$W$11*T483</f>
        <v/>
      </c>
      <c r="AA483" s="10">
        <f>INDEX(LINEST(L224:L483,M224:T483,TRUE,TRUE),1,9)*52</f>
        <v/>
      </c>
      <c r="AB483" s="9">
        <f>INDEX(LINEST(L224:L483,M224:T483,TRUE,TRUE),1,8)</f>
        <v/>
      </c>
      <c r="AC483" s="9">
        <f>INDEX(LINEST(L224:L483,M224:T483,TRUE,TRUE),1,7)</f>
        <v/>
      </c>
      <c r="AD483" s="9">
        <f>INDEX(LINEST(L224:L483,M224:T483,TRUE,TRUE),1,6)</f>
        <v/>
      </c>
      <c r="AE483" s="9">
        <f>INDEX(LINEST(L224:L483,M224:T483,TRUE,TRUE),1,5)</f>
        <v/>
      </c>
      <c r="AF483" s="9">
        <f>INDEX(LINEST(L224:L483,M224:T483,TRUE,TRUE),1,4)</f>
        <v/>
      </c>
      <c r="AG483" s="9">
        <f>INDEX(LINEST(L224:L483,M224:T483,TRUE,TRUE),1,3)</f>
        <v/>
      </c>
      <c r="AH483" s="9">
        <f>INDEX(LINEST(L224:L483,M224:T483,TRUE,TRUE),1,2)</f>
        <v/>
      </c>
      <c r="AI483" s="9">
        <f>INDEX(LINEST(L224:L483,M224:T483,TRUE,TRUE),1,1)</f>
        <v/>
      </c>
      <c r="AJ483" s="10">
        <f>INDEX(LINEST(L224:L483,M224:T483,TRUE,TRUE),3,1)</f>
        <v/>
      </c>
      <c r="AK483" s="9">
        <f>AA482/52+AB482*M483+AC482*N483+AD482*O483+AE482*P483+AF482*Q483+AG482*R483+AH482*S483+AI482*T483</f>
        <v/>
      </c>
      <c r="AL483" s="9">
        <f>AVERAGE(L223:L482)</f>
        <v/>
      </c>
    </row>
    <row r="484">
      <c r="A484" s="7" t="n">
        <v>40991</v>
      </c>
      <c r="B484" s="8" t="n">
        <v>1664</v>
      </c>
      <c r="C484" s="8" t="n">
        <v>2.36</v>
      </c>
      <c r="D484" s="8" t="n">
        <v>-0.11</v>
      </c>
      <c r="E484" s="8" t="n">
        <v>79.339996</v>
      </c>
      <c r="F484" s="8" t="n">
        <v>106.43</v>
      </c>
      <c r="G484" s="8" t="n">
        <v>14.82</v>
      </c>
      <c r="H484" s="8" t="n">
        <v>86.199997</v>
      </c>
      <c r="I484" s="8" t="n">
        <v>1397.109985</v>
      </c>
      <c r="J484" s="8" t="n">
        <v>74.588509</v>
      </c>
      <c r="L484" s="9">
        <f>LN(B484/B483)</f>
        <v/>
      </c>
      <c r="M484" s="9">
        <f>$M$1*(C484-C483)</f>
        <v/>
      </c>
      <c r="N484" s="9">
        <f>$N$1*(D484-D483)</f>
        <v/>
      </c>
      <c r="O484" s="9">
        <f>$O$1*LN(E484/E483)</f>
        <v/>
      </c>
      <c r="P484" s="9">
        <f>$P$1*LN(F484/F483)</f>
        <v/>
      </c>
      <c r="Q484" s="9">
        <f>$Q$1*(G484-G483)</f>
        <v/>
      </c>
      <c r="R484" s="9">
        <f>$R$1*(H484-H483)</f>
        <v/>
      </c>
      <c r="S484" s="9">
        <f>$S$1*LN(I484/I483)</f>
        <v/>
      </c>
      <c r="T484" s="9">
        <f>$T$1*LN(J484/J483)</f>
        <v/>
      </c>
      <c r="U484" s="9">
        <f>$W$12+$W$4*M484+$W$5*N484+$W$6*O484+$W$7*P484+$W$8*Q484+$W$9*R484+$W$10*S484+$W$11*T484</f>
        <v/>
      </c>
      <c r="AA484" s="10">
        <f>INDEX(LINEST(L225:L484,M225:T484,TRUE,TRUE),1,9)*52</f>
        <v/>
      </c>
      <c r="AB484" s="9">
        <f>INDEX(LINEST(L225:L484,M225:T484,TRUE,TRUE),1,8)</f>
        <v/>
      </c>
      <c r="AC484" s="9">
        <f>INDEX(LINEST(L225:L484,M225:T484,TRUE,TRUE),1,7)</f>
        <v/>
      </c>
      <c r="AD484" s="9">
        <f>INDEX(LINEST(L225:L484,M225:T484,TRUE,TRUE),1,6)</f>
        <v/>
      </c>
      <c r="AE484" s="9">
        <f>INDEX(LINEST(L225:L484,M225:T484,TRUE,TRUE),1,5)</f>
        <v/>
      </c>
      <c r="AF484" s="9">
        <f>INDEX(LINEST(L225:L484,M225:T484,TRUE,TRUE),1,4)</f>
        <v/>
      </c>
      <c r="AG484" s="9">
        <f>INDEX(LINEST(L225:L484,M225:T484,TRUE,TRUE),1,3)</f>
        <v/>
      </c>
      <c r="AH484" s="9">
        <f>INDEX(LINEST(L225:L484,M225:T484,TRUE,TRUE),1,2)</f>
        <v/>
      </c>
      <c r="AI484" s="9">
        <f>INDEX(LINEST(L225:L484,M225:T484,TRUE,TRUE),1,1)</f>
        <v/>
      </c>
      <c r="AJ484" s="10">
        <f>INDEX(LINEST(L225:L484,M225:T484,TRUE,TRUE),3,1)</f>
        <v/>
      </c>
      <c r="AK484" s="9">
        <f>AA483/52+AB483*M484+AC483*N484+AD483*O484+AE483*P484+AF483*Q484+AG483*R484+AH483*S484+AI483*T484</f>
        <v/>
      </c>
      <c r="AL484" s="9">
        <f>AVERAGE(L224:L483)</f>
        <v/>
      </c>
    </row>
    <row r="485">
      <c r="A485" s="7" t="n">
        <v>40998</v>
      </c>
      <c r="B485" s="8" t="n">
        <v>1662.5</v>
      </c>
      <c r="C485" s="8" t="n">
        <v>2.32</v>
      </c>
      <c r="D485" s="8" t="n">
        <v>-0.09</v>
      </c>
      <c r="E485" s="8" t="n">
        <v>78.93000000000001</v>
      </c>
      <c r="F485" s="8" t="n">
        <v>103.03</v>
      </c>
      <c r="G485" s="8" t="n">
        <v>15.5</v>
      </c>
      <c r="H485" s="8" t="n">
        <v>78.599998</v>
      </c>
      <c r="I485" s="8" t="n">
        <v>1408.469971</v>
      </c>
      <c r="J485" s="8" t="n">
        <v>74.69049099999999</v>
      </c>
      <c r="L485" s="9">
        <f>LN(B485/B484)</f>
        <v/>
      </c>
      <c r="M485" s="9">
        <f>$M$1*(C485-C484)</f>
        <v/>
      </c>
      <c r="N485" s="9">
        <f>$N$1*(D485-D484)</f>
        <v/>
      </c>
      <c r="O485" s="9">
        <f>$O$1*LN(E485/E484)</f>
        <v/>
      </c>
      <c r="P485" s="9">
        <f>$P$1*LN(F485/F484)</f>
        <v/>
      </c>
      <c r="Q485" s="9">
        <f>$Q$1*(G485-G484)</f>
        <v/>
      </c>
      <c r="R485" s="9">
        <f>$R$1*(H485-H484)</f>
        <v/>
      </c>
      <c r="S485" s="9">
        <f>$S$1*LN(I485/I484)</f>
        <v/>
      </c>
      <c r="T485" s="9">
        <f>$T$1*LN(J485/J484)</f>
        <v/>
      </c>
      <c r="U485" s="9">
        <f>$W$12+$W$4*M485+$W$5*N485+$W$6*O485+$W$7*P485+$W$8*Q485+$W$9*R485+$W$10*S485+$W$11*T485</f>
        <v/>
      </c>
      <c r="AA485" s="10">
        <f>INDEX(LINEST(L226:L485,M226:T485,TRUE,TRUE),1,9)*52</f>
        <v/>
      </c>
      <c r="AB485" s="9">
        <f>INDEX(LINEST(L226:L485,M226:T485,TRUE,TRUE),1,8)</f>
        <v/>
      </c>
      <c r="AC485" s="9">
        <f>INDEX(LINEST(L226:L485,M226:T485,TRUE,TRUE),1,7)</f>
        <v/>
      </c>
      <c r="AD485" s="9">
        <f>INDEX(LINEST(L226:L485,M226:T485,TRUE,TRUE),1,6)</f>
        <v/>
      </c>
      <c r="AE485" s="9">
        <f>INDEX(LINEST(L226:L485,M226:T485,TRUE,TRUE),1,5)</f>
        <v/>
      </c>
      <c r="AF485" s="9">
        <f>INDEX(LINEST(L226:L485,M226:T485,TRUE,TRUE),1,4)</f>
        <v/>
      </c>
      <c r="AG485" s="9">
        <f>INDEX(LINEST(L226:L485,M226:T485,TRUE,TRUE),1,3)</f>
        <v/>
      </c>
      <c r="AH485" s="9">
        <f>INDEX(LINEST(L226:L485,M226:T485,TRUE,TRUE),1,2)</f>
        <v/>
      </c>
      <c r="AI485" s="9">
        <f>INDEX(LINEST(L226:L485,M226:T485,TRUE,TRUE),1,1)</f>
        <v/>
      </c>
      <c r="AJ485" s="10">
        <f>INDEX(LINEST(L226:L485,M226:T485,TRUE,TRUE),3,1)</f>
        <v/>
      </c>
      <c r="AK485" s="9">
        <f>AA484/52+AB484*M485+AC484*N485+AD484*O485+AE484*P485+AF484*Q485+AG484*R485+AH484*S485+AI484*T485</f>
        <v/>
      </c>
      <c r="AL485" s="9">
        <f>AVERAGE(L225:L484)</f>
        <v/>
      </c>
    </row>
    <row r="486">
      <c r="A486" s="7" t="n">
        <v>41005</v>
      </c>
      <c r="B486" s="8" t="n">
        <v>1631</v>
      </c>
      <c r="C486" s="8" t="n">
        <v>2.23</v>
      </c>
      <c r="D486" s="8" t="n">
        <v>-0.16</v>
      </c>
      <c r="E486" s="8" t="n">
        <v>80.06999999999999</v>
      </c>
      <c r="F486" s="8" t="n">
        <v>103.29</v>
      </c>
      <c r="G486" s="8" t="n">
        <v>16.7</v>
      </c>
      <c r="H486" s="8" t="n">
        <v>83.699997</v>
      </c>
      <c r="I486" s="8" t="n">
        <v>1398.079956</v>
      </c>
      <c r="J486" s="8" t="n">
        <v>74.70613899999999</v>
      </c>
      <c r="L486" s="9">
        <f>LN(B486/B485)</f>
        <v/>
      </c>
      <c r="M486" s="9">
        <f>$M$1*(C486-C485)</f>
        <v/>
      </c>
      <c r="N486" s="9">
        <f>$N$1*(D486-D485)</f>
        <v/>
      </c>
      <c r="O486" s="9">
        <f>$O$1*LN(E486/E485)</f>
        <v/>
      </c>
      <c r="P486" s="9">
        <f>$P$1*LN(F486/F485)</f>
        <v/>
      </c>
      <c r="Q486" s="9">
        <f>$Q$1*(G486-G485)</f>
        <v/>
      </c>
      <c r="R486" s="9">
        <f>$R$1*(H486-H485)</f>
        <v/>
      </c>
      <c r="S486" s="9">
        <f>$S$1*LN(I486/I485)</f>
        <v/>
      </c>
      <c r="T486" s="9">
        <f>$T$1*LN(J486/J485)</f>
        <v/>
      </c>
      <c r="U486" s="9">
        <f>$W$12+$W$4*M486+$W$5*N486+$W$6*O486+$W$7*P486+$W$8*Q486+$W$9*R486+$W$10*S486+$W$11*T486</f>
        <v/>
      </c>
      <c r="AA486" s="10">
        <f>INDEX(LINEST(L227:L486,M227:T486,TRUE,TRUE),1,9)*52</f>
        <v/>
      </c>
      <c r="AB486" s="9">
        <f>INDEX(LINEST(L227:L486,M227:T486,TRUE,TRUE),1,8)</f>
        <v/>
      </c>
      <c r="AC486" s="9">
        <f>INDEX(LINEST(L227:L486,M227:T486,TRUE,TRUE),1,7)</f>
        <v/>
      </c>
      <c r="AD486" s="9">
        <f>INDEX(LINEST(L227:L486,M227:T486,TRUE,TRUE),1,6)</f>
        <v/>
      </c>
      <c r="AE486" s="9">
        <f>INDEX(LINEST(L227:L486,M227:T486,TRUE,TRUE),1,5)</f>
        <v/>
      </c>
      <c r="AF486" s="9">
        <f>INDEX(LINEST(L227:L486,M227:T486,TRUE,TRUE),1,4)</f>
        <v/>
      </c>
      <c r="AG486" s="9">
        <f>INDEX(LINEST(L227:L486,M227:T486,TRUE,TRUE),1,3)</f>
        <v/>
      </c>
      <c r="AH486" s="9">
        <f>INDEX(LINEST(L227:L486,M227:T486,TRUE,TRUE),1,2)</f>
        <v/>
      </c>
      <c r="AI486" s="9">
        <f>INDEX(LINEST(L227:L486,M227:T486,TRUE,TRUE),1,1)</f>
        <v/>
      </c>
      <c r="AJ486" s="10">
        <f>INDEX(LINEST(L227:L486,M227:T486,TRUE,TRUE),3,1)</f>
        <v/>
      </c>
      <c r="AK486" s="9">
        <f>AA485/52+AB485*M486+AC485*N486+AD485*O486+AE485*P486+AF485*Q486+AG485*R486+AH485*S486+AI485*T486</f>
        <v/>
      </c>
      <c r="AL486" s="9">
        <f>AVERAGE(L226:L485)</f>
        <v/>
      </c>
    </row>
    <row r="487">
      <c r="A487" s="7" t="n">
        <v>41012</v>
      </c>
      <c r="B487" s="8" t="n">
        <v>1666.5</v>
      </c>
      <c r="C487" s="8" t="n">
        <v>2.27</v>
      </c>
      <c r="D487" s="8" t="n">
        <v>-0.25</v>
      </c>
      <c r="E487" s="8" t="n">
        <v>79.879997</v>
      </c>
      <c r="F487" s="8" t="n">
        <v>102.84</v>
      </c>
      <c r="G487" s="8" t="n">
        <v>19.55</v>
      </c>
      <c r="H487" s="8" t="n">
        <v>72.599998</v>
      </c>
      <c r="I487" s="8" t="n">
        <v>1370.26001</v>
      </c>
      <c r="J487" s="8" t="n">
        <v>75.203644</v>
      </c>
      <c r="L487" s="9">
        <f>LN(B487/B486)</f>
        <v/>
      </c>
      <c r="M487" s="9">
        <f>$M$1*(C487-C486)</f>
        <v/>
      </c>
      <c r="N487" s="9">
        <f>$N$1*(D487-D486)</f>
        <v/>
      </c>
      <c r="O487" s="9">
        <f>$O$1*LN(E487/E486)</f>
        <v/>
      </c>
      <c r="P487" s="9">
        <f>$P$1*LN(F487/F486)</f>
        <v/>
      </c>
      <c r="Q487" s="9">
        <f>$Q$1*(G487-G486)</f>
        <v/>
      </c>
      <c r="R487" s="9">
        <f>$R$1*(H487-H486)</f>
        <v/>
      </c>
      <c r="S487" s="9">
        <f>$S$1*LN(I487/I486)</f>
        <v/>
      </c>
      <c r="T487" s="9">
        <f>$T$1*LN(J487/J486)</f>
        <v/>
      </c>
      <c r="U487" s="9">
        <f>$W$12+$W$4*M487+$W$5*N487+$W$6*O487+$W$7*P487+$W$8*Q487+$W$9*R487+$W$10*S487+$W$11*T487</f>
        <v/>
      </c>
      <c r="AA487" s="10">
        <f>INDEX(LINEST(L228:L487,M228:T487,TRUE,TRUE),1,9)*52</f>
        <v/>
      </c>
      <c r="AB487" s="9">
        <f>INDEX(LINEST(L228:L487,M228:T487,TRUE,TRUE),1,8)</f>
        <v/>
      </c>
      <c r="AC487" s="9">
        <f>INDEX(LINEST(L228:L487,M228:T487,TRUE,TRUE),1,7)</f>
        <v/>
      </c>
      <c r="AD487" s="9">
        <f>INDEX(LINEST(L228:L487,M228:T487,TRUE,TRUE),1,6)</f>
        <v/>
      </c>
      <c r="AE487" s="9">
        <f>INDEX(LINEST(L228:L487,M228:T487,TRUE,TRUE),1,5)</f>
        <v/>
      </c>
      <c r="AF487" s="9">
        <f>INDEX(LINEST(L228:L487,M228:T487,TRUE,TRUE),1,4)</f>
        <v/>
      </c>
      <c r="AG487" s="9">
        <f>INDEX(LINEST(L228:L487,M228:T487,TRUE,TRUE),1,3)</f>
        <v/>
      </c>
      <c r="AH487" s="9">
        <f>INDEX(LINEST(L228:L487,M228:T487,TRUE,TRUE),1,2)</f>
        <v/>
      </c>
      <c r="AI487" s="9">
        <f>INDEX(LINEST(L228:L487,M228:T487,TRUE,TRUE),1,1)</f>
        <v/>
      </c>
      <c r="AJ487" s="10">
        <f>INDEX(LINEST(L228:L487,M228:T487,TRUE,TRUE),3,1)</f>
        <v/>
      </c>
      <c r="AK487" s="9">
        <f>AA486/52+AB486*M487+AC486*N487+AD486*O487+AE486*P487+AF486*Q487+AG486*R487+AH486*S487+AI486*T487</f>
        <v/>
      </c>
      <c r="AL487" s="9">
        <f>AVERAGE(L227:L486)</f>
        <v/>
      </c>
    </row>
    <row r="488">
      <c r="A488" s="7" t="n">
        <v>41019</v>
      </c>
      <c r="B488" s="8" t="n">
        <v>1641.5</v>
      </c>
      <c r="C488" s="8" t="n">
        <v>2.23</v>
      </c>
      <c r="D488" s="8" t="n">
        <v>-0.24</v>
      </c>
      <c r="E488" s="8" t="n">
        <v>79.18000000000001</v>
      </c>
      <c r="F488" s="8" t="n">
        <v>103.58</v>
      </c>
      <c r="G488" s="8" t="n">
        <v>17.44</v>
      </c>
      <c r="H488" s="8" t="n">
        <v>71.400002</v>
      </c>
      <c r="I488" s="8" t="n">
        <v>1378.530029</v>
      </c>
      <c r="J488" s="8" t="n">
        <v>75.285416</v>
      </c>
      <c r="L488" s="9">
        <f>LN(B488/B487)</f>
        <v/>
      </c>
      <c r="M488" s="9">
        <f>$M$1*(C488-C487)</f>
        <v/>
      </c>
      <c r="N488" s="9">
        <f>$N$1*(D488-D487)</f>
        <v/>
      </c>
      <c r="O488" s="9">
        <f>$O$1*LN(E488/E487)</f>
        <v/>
      </c>
      <c r="P488" s="9">
        <f>$P$1*LN(F488/F487)</f>
        <v/>
      </c>
      <c r="Q488" s="9">
        <f>$Q$1*(G488-G487)</f>
        <v/>
      </c>
      <c r="R488" s="9">
        <f>$R$1*(H488-H487)</f>
        <v/>
      </c>
      <c r="S488" s="9">
        <f>$S$1*LN(I488/I487)</f>
        <v/>
      </c>
      <c r="T488" s="9">
        <f>$T$1*LN(J488/J487)</f>
        <v/>
      </c>
      <c r="U488" s="9">
        <f>$W$12+$W$4*M488+$W$5*N488+$W$6*O488+$W$7*P488+$W$8*Q488+$W$9*R488+$W$10*S488+$W$11*T488</f>
        <v/>
      </c>
      <c r="AA488" s="10">
        <f>INDEX(LINEST(L229:L488,M229:T488,TRUE,TRUE),1,9)*52</f>
        <v/>
      </c>
      <c r="AB488" s="9">
        <f>INDEX(LINEST(L229:L488,M229:T488,TRUE,TRUE),1,8)</f>
        <v/>
      </c>
      <c r="AC488" s="9">
        <f>INDEX(LINEST(L229:L488,M229:T488,TRUE,TRUE),1,7)</f>
        <v/>
      </c>
      <c r="AD488" s="9">
        <f>INDEX(LINEST(L229:L488,M229:T488,TRUE,TRUE),1,6)</f>
        <v/>
      </c>
      <c r="AE488" s="9">
        <f>INDEX(LINEST(L229:L488,M229:T488,TRUE,TRUE),1,5)</f>
        <v/>
      </c>
      <c r="AF488" s="9">
        <f>INDEX(LINEST(L229:L488,M229:T488,TRUE,TRUE),1,4)</f>
        <v/>
      </c>
      <c r="AG488" s="9">
        <f>INDEX(LINEST(L229:L488,M229:T488,TRUE,TRUE),1,3)</f>
        <v/>
      </c>
      <c r="AH488" s="9">
        <f>INDEX(LINEST(L229:L488,M229:T488,TRUE,TRUE),1,2)</f>
        <v/>
      </c>
      <c r="AI488" s="9">
        <f>INDEX(LINEST(L229:L488,M229:T488,TRUE,TRUE),1,1)</f>
        <v/>
      </c>
      <c r="AJ488" s="10">
        <f>INDEX(LINEST(L229:L488,M229:T488,TRUE,TRUE),3,1)</f>
        <v/>
      </c>
      <c r="AK488" s="9">
        <f>AA487/52+AB487*M488+AC487*N488+AD487*O488+AE487*P488+AF487*Q488+AG487*R488+AH487*S488+AI487*T488</f>
        <v/>
      </c>
      <c r="AL488" s="9">
        <f>AVERAGE(L228:L487)</f>
        <v/>
      </c>
    </row>
    <row r="489">
      <c r="A489" s="7" t="n">
        <v>41026</v>
      </c>
      <c r="B489" s="8" t="n">
        <v>1663.5</v>
      </c>
      <c r="C489" s="8" t="n">
        <v>2.26</v>
      </c>
      <c r="D489" s="8" t="n">
        <v>-0.3</v>
      </c>
      <c r="E489" s="8" t="n">
        <v>78.699997</v>
      </c>
      <c r="F489" s="8" t="n">
        <v>104.86</v>
      </c>
      <c r="G489" s="8" t="n">
        <v>16.32</v>
      </c>
      <c r="H489" s="8" t="n">
        <v>64.099998</v>
      </c>
      <c r="I489" s="8" t="n">
        <v>1403.359985</v>
      </c>
      <c r="J489" s="8" t="n">
        <v>75.394409</v>
      </c>
      <c r="L489" s="9">
        <f>LN(B489/B488)</f>
        <v/>
      </c>
      <c r="M489" s="9">
        <f>$M$1*(C489-C488)</f>
        <v/>
      </c>
      <c r="N489" s="9">
        <f>$N$1*(D489-D488)</f>
        <v/>
      </c>
      <c r="O489" s="9">
        <f>$O$1*LN(E489/E488)</f>
        <v/>
      </c>
      <c r="P489" s="9">
        <f>$P$1*LN(F489/F488)</f>
        <v/>
      </c>
      <c r="Q489" s="9">
        <f>$Q$1*(G489-G488)</f>
        <v/>
      </c>
      <c r="R489" s="9">
        <f>$R$1*(H489-H488)</f>
        <v/>
      </c>
      <c r="S489" s="9">
        <f>$S$1*LN(I489/I488)</f>
        <v/>
      </c>
      <c r="T489" s="9">
        <f>$T$1*LN(J489/J488)</f>
        <v/>
      </c>
      <c r="U489" s="9">
        <f>$W$12+$W$4*M489+$W$5*N489+$W$6*O489+$W$7*P489+$W$8*Q489+$W$9*R489+$W$10*S489+$W$11*T489</f>
        <v/>
      </c>
      <c r="AA489" s="10">
        <f>INDEX(LINEST(L230:L489,M230:T489,TRUE,TRUE),1,9)*52</f>
        <v/>
      </c>
      <c r="AB489" s="9">
        <f>INDEX(LINEST(L230:L489,M230:T489,TRUE,TRUE),1,8)</f>
        <v/>
      </c>
      <c r="AC489" s="9">
        <f>INDEX(LINEST(L230:L489,M230:T489,TRUE,TRUE),1,7)</f>
        <v/>
      </c>
      <c r="AD489" s="9">
        <f>INDEX(LINEST(L230:L489,M230:T489,TRUE,TRUE),1,6)</f>
        <v/>
      </c>
      <c r="AE489" s="9">
        <f>INDEX(LINEST(L230:L489,M230:T489,TRUE,TRUE),1,5)</f>
        <v/>
      </c>
      <c r="AF489" s="9">
        <f>INDEX(LINEST(L230:L489,M230:T489,TRUE,TRUE),1,4)</f>
        <v/>
      </c>
      <c r="AG489" s="9">
        <f>INDEX(LINEST(L230:L489,M230:T489,TRUE,TRUE),1,3)</f>
        <v/>
      </c>
      <c r="AH489" s="9">
        <f>INDEX(LINEST(L230:L489,M230:T489,TRUE,TRUE),1,2)</f>
        <v/>
      </c>
      <c r="AI489" s="9">
        <f>INDEX(LINEST(L230:L489,M230:T489,TRUE,TRUE),1,1)</f>
        <v/>
      </c>
      <c r="AJ489" s="10">
        <f>INDEX(LINEST(L230:L489,M230:T489,TRUE,TRUE),3,1)</f>
        <v/>
      </c>
      <c r="AK489" s="9">
        <f>AA488/52+AB488*M489+AC488*N489+AD488*O489+AE488*P489+AF488*Q489+AG488*R489+AH488*S489+AI488*T489</f>
        <v/>
      </c>
      <c r="AL489" s="9">
        <f>AVERAGE(L229:L488)</f>
        <v/>
      </c>
    </row>
    <row r="490">
      <c r="A490" s="7" t="n">
        <v>41033</v>
      </c>
      <c r="B490" s="8" t="n">
        <v>1643.75</v>
      </c>
      <c r="C490" s="8" t="n">
        <v>2.21</v>
      </c>
      <c r="D490" s="8" t="n">
        <v>-0.3</v>
      </c>
      <c r="E490" s="8" t="n">
        <v>79.470001</v>
      </c>
      <c r="F490" s="8" t="n">
        <v>98.48999999999999</v>
      </c>
      <c r="G490" s="8" t="n">
        <v>19.16</v>
      </c>
      <c r="H490" s="8" t="n">
        <v>57.799999</v>
      </c>
      <c r="I490" s="8" t="n">
        <v>1369.099976</v>
      </c>
      <c r="J490" s="8" t="n">
        <v>75.572029</v>
      </c>
      <c r="L490" s="9">
        <f>LN(B490/B489)</f>
        <v/>
      </c>
      <c r="M490" s="9">
        <f>$M$1*(C490-C489)</f>
        <v/>
      </c>
      <c r="N490" s="9">
        <f>$N$1*(D490-D489)</f>
        <v/>
      </c>
      <c r="O490" s="9">
        <f>$O$1*LN(E490/E489)</f>
        <v/>
      </c>
      <c r="P490" s="9">
        <f>$P$1*LN(F490/F489)</f>
        <v/>
      </c>
      <c r="Q490" s="9">
        <f>$Q$1*(G490-G489)</f>
        <v/>
      </c>
      <c r="R490" s="9">
        <f>$R$1*(H490-H489)</f>
        <v/>
      </c>
      <c r="S490" s="9">
        <f>$S$1*LN(I490/I489)</f>
        <v/>
      </c>
      <c r="T490" s="9">
        <f>$T$1*LN(J490/J489)</f>
        <v/>
      </c>
      <c r="U490" s="9">
        <f>$W$12+$W$4*M490+$W$5*N490+$W$6*O490+$W$7*P490+$W$8*Q490+$W$9*R490+$W$10*S490+$W$11*T490</f>
        <v/>
      </c>
      <c r="AA490" s="10">
        <f>INDEX(LINEST(L231:L490,M231:T490,TRUE,TRUE),1,9)*52</f>
        <v/>
      </c>
      <c r="AB490" s="9">
        <f>INDEX(LINEST(L231:L490,M231:T490,TRUE,TRUE),1,8)</f>
        <v/>
      </c>
      <c r="AC490" s="9">
        <f>INDEX(LINEST(L231:L490,M231:T490,TRUE,TRUE),1,7)</f>
        <v/>
      </c>
      <c r="AD490" s="9">
        <f>INDEX(LINEST(L231:L490,M231:T490,TRUE,TRUE),1,6)</f>
        <v/>
      </c>
      <c r="AE490" s="9">
        <f>INDEX(LINEST(L231:L490,M231:T490,TRUE,TRUE),1,5)</f>
        <v/>
      </c>
      <c r="AF490" s="9">
        <f>INDEX(LINEST(L231:L490,M231:T490,TRUE,TRUE),1,4)</f>
        <v/>
      </c>
      <c r="AG490" s="9">
        <f>INDEX(LINEST(L231:L490,M231:T490,TRUE,TRUE),1,3)</f>
        <v/>
      </c>
      <c r="AH490" s="9">
        <f>INDEX(LINEST(L231:L490,M231:T490,TRUE,TRUE),1,2)</f>
        <v/>
      </c>
      <c r="AI490" s="9">
        <f>INDEX(LINEST(L231:L490,M231:T490,TRUE,TRUE),1,1)</f>
        <v/>
      </c>
      <c r="AJ490" s="10">
        <f>INDEX(LINEST(L231:L490,M231:T490,TRUE,TRUE),3,1)</f>
        <v/>
      </c>
      <c r="AK490" s="9">
        <f>AA489/52+AB489*M490+AC489*N490+AD489*O490+AE489*P490+AF489*Q490+AG489*R490+AH489*S490+AI489*T490</f>
        <v/>
      </c>
      <c r="AL490" s="9">
        <f>AVERAGE(L230:L489)</f>
        <v/>
      </c>
    </row>
    <row r="491">
      <c r="A491" s="7" t="n">
        <v>41040</v>
      </c>
      <c r="B491" s="8" t="n">
        <v>1583</v>
      </c>
      <c r="C491" s="8" t="n">
        <v>2.12</v>
      </c>
      <c r="D491" s="8" t="n">
        <v>-0.28</v>
      </c>
      <c r="E491" s="8" t="n">
        <v>80.279999</v>
      </c>
      <c r="F491" s="8" t="n">
        <v>96.03</v>
      </c>
      <c r="G491" s="8" t="n">
        <v>19.89</v>
      </c>
      <c r="H491" s="8" t="n">
        <v>61.5</v>
      </c>
      <c r="I491" s="8" t="n">
        <v>1353.390015</v>
      </c>
      <c r="J491" s="8" t="n">
        <v>75.65392300000001</v>
      </c>
      <c r="L491" s="9">
        <f>LN(B491/B490)</f>
        <v/>
      </c>
      <c r="M491" s="9">
        <f>$M$1*(C491-C490)</f>
        <v/>
      </c>
      <c r="N491" s="9">
        <f>$N$1*(D491-D490)</f>
        <v/>
      </c>
      <c r="O491" s="9">
        <f>$O$1*LN(E491/E490)</f>
        <v/>
      </c>
      <c r="P491" s="9">
        <f>$P$1*LN(F491/F490)</f>
        <v/>
      </c>
      <c r="Q491" s="9">
        <f>$Q$1*(G491-G490)</f>
        <v/>
      </c>
      <c r="R491" s="9">
        <f>$R$1*(H491-H490)</f>
        <v/>
      </c>
      <c r="S491" s="9">
        <f>$S$1*LN(I491/I490)</f>
        <v/>
      </c>
      <c r="T491" s="9">
        <f>$T$1*LN(J491/J490)</f>
        <v/>
      </c>
      <c r="U491" s="9">
        <f>$W$12+$W$4*M491+$W$5*N491+$W$6*O491+$W$7*P491+$W$8*Q491+$W$9*R491+$W$10*S491+$W$11*T491</f>
        <v/>
      </c>
      <c r="AA491" s="10">
        <f>INDEX(LINEST(L232:L491,M232:T491,TRUE,TRUE),1,9)*52</f>
        <v/>
      </c>
      <c r="AB491" s="9">
        <f>INDEX(LINEST(L232:L491,M232:T491,TRUE,TRUE),1,8)</f>
        <v/>
      </c>
      <c r="AC491" s="9">
        <f>INDEX(LINEST(L232:L491,M232:T491,TRUE,TRUE),1,7)</f>
        <v/>
      </c>
      <c r="AD491" s="9">
        <f>INDEX(LINEST(L232:L491,M232:T491,TRUE,TRUE),1,6)</f>
        <v/>
      </c>
      <c r="AE491" s="9">
        <f>INDEX(LINEST(L232:L491,M232:T491,TRUE,TRUE),1,5)</f>
        <v/>
      </c>
      <c r="AF491" s="9">
        <f>INDEX(LINEST(L232:L491,M232:T491,TRUE,TRUE),1,4)</f>
        <v/>
      </c>
      <c r="AG491" s="9">
        <f>INDEX(LINEST(L232:L491,M232:T491,TRUE,TRUE),1,3)</f>
        <v/>
      </c>
      <c r="AH491" s="9">
        <f>INDEX(LINEST(L232:L491,M232:T491,TRUE,TRUE),1,2)</f>
        <v/>
      </c>
      <c r="AI491" s="9">
        <f>INDEX(LINEST(L232:L491,M232:T491,TRUE,TRUE),1,1)</f>
        <v/>
      </c>
      <c r="AJ491" s="10">
        <f>INDEX(LINEST(L232:L491,M232:T491,TRUE,TRUE),3,1)</f>
        <v/>
      </c>
      <c r="AK491" s="9">
        <f>AA490/52+AB490*M491+AC490*N491+AD490*O491+AE490*P491+AF490*Q491+AG490*R491+AH490*S491+AI490*T491</f>
        <v/>
      </c>
      <c r="AL491" s="9">
        <f>AVERAGE(L231:L490)</f>
        <v/>
      </c>
    </row>
    <row r="492">
      <c r="A492" s="7" t="n">
        <v>41047</v>
      </c>
      <c r="B492" s="8" t="n">
        <v>1589.5</v>
      </c>
      <c r="C492" s="8" t="n">
        <v>2.1</v>
      </c>
      <c r="D492" s="8" t="n">
        <v>-0.39</v>
      </c>
      <c r="E492" s="8" t="n">
        <v>81.290001</v>
      </c>
      <c r="F492" s="8" t="n">
        <v>91.51000000000001</v>
      </c>
      <c r="G492" s="8" t="n">
        <v>25.1</v>
      </c>
      <c r="H492" s="8" t="n">
        <v>70.599998</v>
      </c>
      <c r="I492" s="8" t="n">
        <v>1295.219971</v>
      </c>
      <c r="J492" s="8" t="n">
        <v>75.797363</v>
      </c>
      <c r="L492" s="9">
        <f>LN(B492/B491)</f>
        <v/>
      </c>
      <c r="M492" s="9">
        <f>$M$1*(C492-C491)</f>
        <v/>
      </c>
      <c r="N492" s="9">
        <f>$N$1*(D492-D491)</f>
        <v/>
      </c>
      <c r="O492" s="9">
        <f>$O$1*LN(E492/E491)</f>
        <v/>
      </c>
      <c r="P492" s="9">
        <f>$P$1*LN(F492/F491)</f>
        <v/>
      </c>
      <c r="Q492" s="9">
        <f>$Q$1*(G492-G491)</f>
        <v/>
      </c>
      <c r="R492" s="9">
        <f>$R$1*(H492-H491)</f>
        <v/>
      </c>
      <c r="S492" s="9">
        <f>$S$1*LN(I492/I491)</f>
        <v/>
      </c>
      <c r="T492" s="9">
        <f>$T$1*LN(J492/J491)</f>
        <v/>
      </c>
      <c r="U492" s="9">
        <f>$W$12+$W$4*M492+$W$5*N492+$W$6*O492+$W$7*P492+$W$8*Q492+$W$9*R492+$W$10*S492+$W$11*T492</f>
        <v/>
      </c>
      <c r="AA492" s="10">
        <f>INDEX(LINEST(L233:L492,M233:T492,TRUE,TRUE),1,9)*52</f>
        <v/>
      </c>
      <c r="AB492" s="9">
        <f>INDEX(LINEST(L233:L492,M233:T492,TRUE,TRUE),1,8)</f>
        <v/>
      </c>
      <c r="AC492" s="9">
        <f>INDEX(LINEST(L233:L492,M233:T492,TRUE,TRUE),1,7)</f>
        <v/>
      </c>
      <c r="AD492" s="9">
        <f>INDEX(LINEST(L233:L492,M233:T492,TRUE,TRUE),1,6)</f>
        <v/>
      </c>
      <c r="AE492" s="9">
        <f>INDEX(LINEST(L233:L492,M233:T492,TRUE,TRUE),1,5)</f>
        <v/>
      </c>
      <c r="AF492" s="9">
        <f>INDEX(LINEST(L233:L492,M233:T492,TRUE,TRUE),1,4)</f>
        <v/>
      </c>
      <c r="AG492" s="9">
        <f>INDEX(LINEST(L233:L492,M233:T492,TRUE,TRUE),1,3)</f>
        <v/>
      </c>
      <c r="AH492" s="9">
        <f>INDEX(LINEST(L233:L492,M233:T492,TRUE,TRUE),1,2)</f>
        <v/>
      </c>
      <c r="AI492" s="9">
        <f>INDEX(LINEST(L233:L492,M233:T492,TRUE,TRUE),1,1)</f>
        <v/>
      </c>
      <c r="AJ492" s="10">
        <f>INDEX(LINEST(L233:L492,M233:T492,TRUE,TRUE),3,1)</f>
        <v/>
      </c>
      <c r="AK492" s="9">
        <f>AA491/52+AB491*M492+AC491*N492+AD491*O492+AE491*P492+AF491*Q492+AG491*R492+AH491*S492+AI491*T492</f>
        <v/>
      </c>
      <c r="AL492" s="9">
        <f>AVERAGE(L232:L491)</f>
        <v/>
      </c>
    </row>
    <row r="493">
      <c r="A493" s="7" t="n">
        <v>41054</v>
      </c>
      <c r="B493" s="8" t="n">
        <v>1569.5</v>
      </c>
      <c r="C493" s="8" t="n">
        <v>2.13</v>
      </c>
      <c r="D493" s="8" t="n">
        <v>-0.38</v>
      </c>
      <c r="E493" s="8" t="n">
        <v>82.400002</v>
      </c>
      <c r="F493" s="8" t="n">
        <v>90.64</v>
      </c>
      <c r="G493" s="8" t="n">
        <v>21.76</v>
      </c>
      <c r="H493" s="8" t="n">
        <v>71.199997</v>
      </c>
      <c r="I493" s="8" t="n">
        <v>1317.819946</v>
      </c>
      <c r="J493" s="8" t="n">
        <v>75.742683</v>
      </c>
      <c r="L493" s="9">
        <f>LN(B493/B492)</f>
        <v/>
      </c>
      <c r="M493" s="9">
        <f>$M$1*(C493-C492)</f>
        <v/>
      </c>
      <c r="N493" s="9">
        <f>$N$1*(D493-D492)</f>
        <v/>
      </c>
      <c r="O493" s="9">
        <f>$O$1*LN(E493/E492)</f>
        <v/>
      </c>
      <c r="P493" s="9">
        <f>$P$1*LN(F493/F492)</f>
        <v/>
      </c>
      <c r="Q493" s="9">
        <f>$Q$1*(G493-G492)</f>
        <v/>
      </c>
      <c r="R493" s="9">
        <f>$R$1*(H493-H492)</f>
        <v/>
      </c>
      <c r="S493" s="9">
        <f>$S$1*LN(I493/I492)</f>
        <v/>
      </c>
      <c r="T493" s="9">
        <f>$T$1*LN(J493/J492)</f>
        <v/>
      </c>
      <c r="U493" s="9">
        <f>$W$12+$W$4*M493+$W$5*N493+$W$6*O493+$W$7*P493+$W$8*Q493+$W$9*R493+$W$10*S493+$W$11*T493</f>
        <v/>
      </c>
      <c r="AA493" s="10">
        <f>INDEX(LINEST(L234:L493,M234:T493,TRUE,TRUE),1,9)*52</f>
        <v/>
      </c>
      <c r="AB493" s="9">
        <f>INDEX(LINEST(L234:L493,M234:T493,TRUE,TRUE),1,8)</f>
        <v/>
      </c>
      <c r="AC493" s="9">
        <f>INDEX(LINEST(L234:L493,M234:T493,TRUE,TRUE),1,7)</f>
        <v/>
      </c>
      <c r="AD493" s="9">
        <f>INDEX(LINEST(L234:L493,M234:T493,TRUE,TRUE),1,6)</f>
        <v/>
      </c>
      <c r="AE493" s="9">
        <f>INDEX(LINEST(L234:L493,M234:T493,TRUE,TRUE),1,5)</f>
        <v/>
      </c>
      <c r="AF493" s="9">
        <f>INDEX(LINEST(L234:L493,M234:T493,TRUE,TRUE),1,4)</f>
        <v/>
      </c>
      <c r="AG493" s="9">
        <f>INDEX(LINEST(L234:L493,M234:T493,TRUE,TRUE),1,3)</f>
        <v/>
      </c>
      <c r="AH493" s="9">
        <f>INDEX(LINEST(L234:L493,M234:T493,TRUE,TRUE),1,2)</f>
        <v/>
      </c>
      <c r="AI493" s="9">
        <f>INDEX(LINEST(L234:L493,M234:T493,TRUE,TRUE),1,1)</f>
        <v/>
      </c>
      <c r="AJ493" s="10">
        <f>INDEX(LINEST(L234:L493,M234:T493,TRUE,TRUE),3,1)</f>
        <v/>
      </c>
      <c r="AK493" s="9">
        <f>AA492/52+AB492*M493+AC492*N493+AD492*O493+AE492*P493+AF492*Q493+AG492*R493+AH492*S493+AI492*T493</f>
        <v/>
      </c>
      <c r="AL493" s="9">
        <f>AVERAGE(L233:L492)</f>
        <v/>
      </c>
    </row>
    <row r="494">
      <c r="A494" s="7" t="n">
        <v>41061</v>
      </c>
      <c r="B494" s="8" t="n">
        <v>1606</v>
      </c>
      <c r="C494" s="8" t="n">
        <v>2.06</v>
      </c>
      <c r="D494" s="8" t="n">
        <v>-0.59</v>
      </c>
      <c r="E494" s="8" t="n">
        <v>82.889999</v>
      </c>
      <c r="F494" s="8" t="n">
        <v>83.17</v>
      </c>
      <c r="G494" s="8" t="n">
        <v>26.66</v>
      </c>
      <c r="H494" s="8" t="n">
        <v>80.599998</v>
      </c>
      <c r="I494" s="8" t="n">
        <v>1278.040039</v>
      </c>
      <c r="J494" s="8" t="n">
        <v>76.369972</v>
      </c>
      <c r="L494" s="9">
        <f>LN(B494/B493)</f>
        <v/>
      </c>
      <c r="M494" s="9">
        <f>$M$1*(C494-C493)</f>
        <v/>
      </c>
      <c r="N494" s="9">
        <f>$N$1*(D494-D493)</f>
        <v/>
      </c>
      <c r="O494" s="9">
        <f>$O$1*LN(E494/E493)</f>
        <v/>
      </c>
      <c r="P494" s="9">
        <f>$P$1*LN(F494/F493)</f>
        <v/>
      </c>
      <c r="Q494" s="9">
        <f>$Q$1*(G494-G493)</f>
        <v/>
      </c>
      <c r="R494" s="9">
        <f>$R$1*(H494-H493)</f>
        <v/>
      </c>
      <c r="S494" s="9">
        <f>$S$1*LN(I494/I493)</f>
        <v/>
      </c>
      <c r="T494" s="9">
        <f>$T$1*LN(J494/J493)</f>
        <v/>
      </c>
      <c r="U494" s="9">
        <f>$W$12+$W$4*M494+$W$5*N494+$W$6*O494+$W$7*P494+$W$8*Q494+$W$9*R494+$W$10*S494+$W$11*T494</f>
        <v/>
      </c>
      <c r="AA494" s="10">
        <f>INDEX(LINEST(L235:L494,M235:T494,TRUE,TRUE),1,9)*52</f>
        <v/>
      </c>
      <c r="AB494" s="9">
        <f>INDEX(LINEST(L235:L494,M235:T494,TRUE,TRUE),1,8)</f>
        <v/>
      </c>
      <c r="AC494" s="9">
        <f>INDEX(LINEST(L235:L494,M235:T494,TRUE,TRUE),1,7)</f>
        <v/>
      </c>
      <c r="AD494" s="9">
        <f>INDEX(LINEST(L235:L494,M235:T494,TRUE,TRUE),1,6)</f>
        <v/>
      </c>
      <c r="AE494" s="9">
        <f>INDEX(LINEST(L235:L494,M235:T494,TRUE,TRUE),1,5)</f>
        <v/>
      </c>
      <c r="AF494" s="9">
        <f>INDEX(LINEST(L235:L494,M235:T494,TRUE,TRUE),1,4)</f>
        <v/>
      </c>
      <c r="AG494" s="9">
        <f>INDEX(LINEST(L235:L494,M235:T494,TRUE,TRUE),1,3)</f>
        <v/>
      </c>
      <c r="AH494" s="9">
        <f>INDEX(LINEST(L235:L494,M235:T494,TRUE,TRUE),1,2)</f>
        <v/>
      </c>
      <c r="AI494" s="9">
        <f>INDEX(LINEST(L235:L494,M235:T494,TRUE,TRUE),1,1)</f>
        <v/>
      </c>
      <c r="AJ494" s="10">
        <f>INDEX(LINEST(L235:L494,M235:T494,TRUE,TRUE),3,1)</f>
        <v/>
      </c>
      <c r="AK494" s="9">
        <f>AA493/52+AB493*M494+AC493*N494+AD493*O494+AE493*P494+AF493*Q494+AG493*R494+AH493*S494+AI493*T494</f>
        <v/>
      </c>
      <c r="AL494" s="9">
        <f>AVERAGE(L234:L493)</f>
        <v/>
      </c>
    </row>
    <row r="495">
      <c r="A495" s="7" t="n">
        <v>41068</v>
      </c>
      <c r="B495" s="8" t="n">
        <v>1576.5</v>
      </c>
      <c r="C495" s="8" t="n">
        <v>2.15</v>
      </c>
      <c r="D495" s="8" t="n">
        <v>-0.5</v>
      </c>
      <c r="E495" s="8" t="n">
        <v>82.510002</v>
      </c>
      <c r="F495" s="8" t="n">
        <v>84.08</v>
      </c>
      <c r="G495" s="8" t="n">
        <v>21.23</v>
      </c>
      <c r="H495" s="8" t="n">
        <v>86</v>
      </c>
      <c r="I495" s="8" t="n">
        <v>1325.660034</v>
      </c>
      <c r="J495" s="8" t="n">
        <v>75.89097599999999</v>
      </c>
      <c r="L495" s="9">
        <f>LN(B495/B494)</f>
        <v/>
      </c>
      <c r="M495" s="9">
        <f>$M$1*(C495-C494)</f>
        <v/>
      </c>
      <c r="N495" s="9">
        <f>$N$1*(D495-D494)</f>
        <v/>
      </c>
      <c r="O495" s="9">
        <f>$O$1*LN(E495/E494)</f>
        <v/>
      </c>
      <c r="P495" s="9">
        <f>$P$1*LN(F495/F494)</f>
        <v/>
      </c>
      <c r="Q495" s="9">
        <f>$Q$1*(G495-G494)</f>
        <v/>
      </c>
      <c r="R495" s="9">
        <f>$R$1*(H495-H494)</f>
        <v/>
      </c>
      <c r="S495" s="9">
        <f>$S$1*LN(I495/I494)</f>
        <v/>
      </c>
      <c r="T495" s="9">
        <f>$T$1*LN(J495/J494)</f>
        <v/>
      </c>
      <c r="U495" s="9">
        <f>$W$12+$W$4*M495+$W$5*N495+$W$6*O495+$W$7*P495+$W$8*Q495+$W$9*R495+$W$10*S495+$W$11*T495</f>
        <v/>
      </c>
      <c r="AA495" s="10">
        <f>INDEX(LINEST(L236:L495,M236:T495,TRUE,TRUE),1,9)*52</f>
        <v/>
      </c>
      <c r="AB495" s="9">
        <f>INDEX(LINEST(L236:L495,M236:T495,TRUE,TRUE),1,8)</f>
        <v/>
      </c>
      <c r="AC495" s="9">
        <f>INDEX(LINEST(L236:L495,M236:T495,TRUE,TRUE),1,7)</f>
        <v/>
      </c>
      <c r="AD495" s="9">
        <f>INDEX(LINEST(L236:L495,M236:T495,TRUE,TRUE),1,6)</f>
        <v/>
      </c>
      <c r="AE495" s="9">
        <f>INDEX(LINEST(L236:L495,M236:T495,TRUE,TRUE),1,5)</f>
        <v/>
      </c>
      <c r="AF495" s="9">
        <f>INDEX(LINEST(L236:L495,M236:T495,TRUE,TRUE),1,4)</f>
        <v/>
      </c>
      <c r="AG495" s="9">
        <f>INDEX(LINEST(L236:L495,M236:T495,TRUE,TRUE),1,3)</f>
        <v/>
      </c>
      <c r="AH495" s="9">
        <f>INDEX(LINEST(L236:L495,M236:T495,TRUE,TRUE),1,2)</f>
        <v/>
      </c>
      <c r="AI495" s="9">
        <f>INDEX(LINEST(L236:L495,M236:T495,TRUE,TRUE),1,1)</f>
        <v/>
      </c>
      <c r="AJ495" s="10">
        <f>INDEX(LINEST(L236:L495,M236:T495,TRUE,TRUE),3,1)</f>
        <v/>
      </c>
      <c r="AK495" s="9">
        <f>AA494/52+AB494*M495+AC494*N495+AD494*O495+AE494*P495+AF494*Q495+AG494*R495+AH494*S495+AI494*T495</f>
        <v/>
      </c>
      <c r="AL495" s="9">
        <f>AVERAGE(L235:L494)</f>
        <v/>
      </c>
    </row>
    <row r="496">
      <c r="A496" s="7" t="n">
        <v>41075</v>
      </c>
      <c r="B496" s="8" t="n">
        <v>1627.25</v>
      </c>
      <c r="C496" s="8" t="n">
        <v>2.14</v>
      </c>
      <c r="D496" s="8" t="n">
        <v>-0.54</v>
      </c>
      <c r="E496" s="8" t="n">
        <v>81.589996</v>
      </c>
      <c r="F496" s="8" t="n">
        <v>84.03</v>
      </c>
      <c r="G496" s="8" t="n">
        <v>21.11</v>
      </c>
      <c r="H496" s="8" t="n">
        <v>95.400002</v>
      </c>
      <c r="I496" s="8" t="n">
        <v>1342.839966</v>
      </c>
      <c r="J496" s="8" t="n">
        <v>76.219452</v>
      </c>
      <c r="L496" s="9">
        <f>LN(B496/B495)</f>
        <v/>
      </c>
      <c r="M496" s="9">
        <f>$M$1*(C496-C495)</f>
        <v/>
      </c>
      <c r="N496" s="9">
        <f>$N$1*(D496-D495)</f>
        <v/>
      </c>
      <c r="O496" s="9">
        <f>$O$1*LN(E496/E495)</f>
        <v/>
      </c>
      <c r="P496" s="9">
        <f>$P$1*LN(F496/F495)</f>
        <v/>
      </c>
      <c r="Q496" s="9">
        <f>$Q$1*(G496-G495)</f>
        <v/>
      </c>
      <c r="R496" s="9">
        <f>$R$1*(H496-H495)</f>
        <v/>
      </c>
      <c r="S496" s="9">
        <f>$S$1*LN(I496/I495)</f>
        <v/>
      </c>
      <c r="T496" s="9">
        <f>$T$1*LN(J496/J495)</f>
        <v/>
      </c>
      <c r="U496" s="9">
        <f>$W$12+$W$4*M496+$W$5*N496+$W$6*O496+$W$7*P496+$W$8*Q496+$W$9*R496+$W$10*S496+$W$11*T496</f>
        <v/>
      </c>
      <c r="AA496" s="10">
        <f>INDEX(LINEST(L237:L496,M237:T496,TRUE,TRUE),1,9)*52</f>
        <v/>
      </c>
      <c r="AB496" s="9">
        <f>INDEX(LINEST(L237:L496,M237:T496,TRUE,TRUE),1,8)</f>
        <v/>
      </c>
      <c r="AC496" s="9">
        <f>INDEX(LINEST(L237:L496,M237:T496,TRUE,TRUE),1,7)</f>
        <v/>
      </c>
      <c r="AD496" s="9">
        <f>INDEX(LINEST(L237:L496,M237:T496,TRUE,TRUE),1,6)</f>
        <v/>
      </c>
      <c r="AE496" s="9">
        <f>INDEX(LINEST(L237:L496,M237:T496,TRUE,TRUE),1,5)</f>
        <v/>
      </c>
      <c r="AF496" s="9">
        <f>INDEX(LINEST(L237:L496,M237:T496,TRUE,TRUE),1,4)</f>
        <v/>
      </c>
      <c r="AG496" s="9">
        <f>INDEX(LINEST(L237:L496,M237:T496,TRUE,TRUE),1,3)</f>
        <v/>
      </c>
      <c r="AH496" s="9">
        <f>INDEX(LINEST(L237:L496,M237:T496,TRUE,TRUE),1,2)</f>
        <v/>
      </c>
      <c r="AI496" s="9">
        <f>INDEX(LINEST(L237:L496,M237:T496,TRUE,TRUE),1,1)</f>
        <v/>
      </c>
      <c r="AJ496" s="10">
        <f>INDEX(LINEST(L237:L496,M237:T496,TRUE,TRUE),3,1)</f>
        <v/>
      </c>
      <c r="AK496" s="9">
        <f>AA495/52+AB495*M496+AC495*N496+AD495*O496+AE495*P496+AF495*Q496+AG495*R496+AH495*S496+AI495*T496</f>
        <v/>
      </c>
      <c r="AL496" s="9">
        <f>AVERAGE(L236:L495)</f>
        <v/>
      </c>
    </row>
    <row r="497">
      <c r="A497" s="7" t="n">
        <v>41082</v>
      </c>
      <c r="B497" s="8" t="n">
        <v>1565.5</v>
      </c>
      <c r="C497" s="8" t="n">
        <v>2.11</v>
      </c>
      <c r="D497" s="8" t="n">
        <v>-0.42</v>
      </c>
      <c r="E497" s="8" t="n">
        <v>82.220001</v>
      </c>
      <c r="F497" s="8" t="n">
        <v>79.33</v>
      </c>
      <c r="G497" s="8" t="n">
        <v>18.11</v>
      </c>
      <c r="H497" s="8" t="n">
        <v>75.099998</v>
      </c>
      <c r="I497" s="8" t="n">
        <v>1335.02002</v>
      </c>
      <c r="J497" s="8" t="n">
        <v>75.98674</v>
      </c>
      <c r="L497" s="9">
        <f>LN(B497/B496)</f>
        <v/>
      </c>
      <c r="M497" s="9">
        <f>$M$1*(C497-C496)</f>
        <v/>
      </c>
      <c r="N497" s="9">
        <f>$N$1*(D497-D496)</f>
        <v/>
      </c>
      <c r="O497" s="9">
        <f>$O$1*LN(E497/E496)</f>
        <v/>
      </c>
      <c r="P497" s="9">
        <f>$P$1*LN(F497/F496)</f>
        <v/>
      </c>
      <c r="Q497" s="9">
        <f>$Q$1*(G497-G496)</f>
        <v/>
      </c>
      <c r="R497" s="9">
        <f>$R$1*(H497-H496)</f>
        <v/>
      </c>
      <c r="S497" s="9">
        <f>$S$1*LN(I497/I496)</f>
        <v/>
      </c>
      <c r="T497" s="9">
        <f>$T$1*LN(J497/J496)</f>
        <v/>
      </c>
      <c r="U497" s="9">
        <f>$W$12+$W$4*M497+$W$5*N497+$W$6*O497+$W$7*P497+$W$8*Q497+$W$9*R497+$W$10*S497+$W$11*T497</f>
        <v/>
      </c>
      <c r="AA497" s="10">
        <f>INDEX(LINEST(L238:L497,M238:T497,TRUE,TRUE),1,9)*52</f>
        <v/>
      </c>
      <c r="AB497" s="9">
        <f>INDEX(LINEST(L238:L497,M238:T497,TRUE,TRUE),1,8)</f>
        <v/>
      </c>
      <c r="AC497" s="9">
        <f>INDEX(LINEST(L238:L497,M238:T497,TRUE,TRUE),1,7)</f>
        <v/>
      </c>
      <c r="AD497" s="9">
        <f>INDEX(LINEST(L238:L497,M238:T497,TRUE,TRUE),1,6)</f>
        <v/>
      </c>
      <c r="AE497" s="9">
        <f>INDEX(LINEST(L238:L497,M238:T497,TRUE,TRUE),1,5)</f>
        <v/>
      </c>
      <c r="AF497" s="9">
        <f>INDEX(LINEST(L238:L497,M238:T497,TRUE,TRUE),1,4)</f>
        <v/>
      </c>
      <c r="AG497" s="9">
        <f>INDEX(LINEST(L238:L497,M238:T497,TRUE,TRUE),1,3)</f>
        <v/>
      </c>
      <c r="AH497" s="9">
        <f>INDEX(LINEST(L238:L497,M238:T497,TRUE,TRUE),1,2)</f>
        <v/>
      </c>
      <c r="AI497" s="9">
        <f>INDEX(LINEST(L238:L497,M238:T497,TRUE,TRUE),1,1)</f>
        <v/>
      </c>
      <c r="AJ497" s="10">
        <f>INDEX(LINEST(L238:L497,M238:T497,TRUE,TRUE),3,1)</f>
        <v/>
      </c>
      <c r="AK497" s="9">
        <f>AA496/52+AB496*M497+AC496*N497+AD496*O497+AE496*P497+AF496*Q497+AG496*R497+AH496*S497+AI496*T497</f>
        <v/>
      </c>
      <c r="AL497" s="9">
        <f>AVERAGE(L237:L496)</f>
        <v/>
      </c>
    </row>
    <row r="498">
      <c r="A498" s="7" t="n">
        <v>41089</v>
      </c>
      <c r="B498" s="8" t="n">
        <v>1598.5</v>
      </c>
      <c r="C498" s="8" t="n">
        <v>2.13</v>
      </c>
      <c r="D498" s="8" t="n">
        <v>-0.46</v>
      </c>
      <c r="E498" s="8" t="n">
        <v>81.650002</v>
      </c>
      <c r="F498" s="8" t="n">
        <v>85.04000000000001</v>
      </c>
      <c r="G498" s="8" t="n">
        <v>17.08</v>
      </c>
      <c r="H498" s="8" t="n">
        <v>73.199997</v>
      </c>
      <c r="I498" s="8" t="n">
        <v>1362.160034</v>
      </c>
      <c r="J498" s="8" t="n">
        <v>76.16471900000001</v>
      </c>
      <c r="L498" s="9">
        <f>LN(B498/B497)</f>
        <v/>
      </c>
      <c r="M498" s="9">
        <f>$M$1*(C498-C497)</f>
        <v/>
      </c>
      <c r="N498" s="9">
        <f>$N$1*(D498-D497)</f>
        <v/>
      </c>
      <c r="O498" s="9">
        <f>$O$1*LN(E498/E497)</f>
        <v/>
      </c>
      <c r="P498" s="9">
        <f>$P$1*LN(F498/F497)</f>
        <v/>
      </c>
      <c r="Q498" s="9">
        <f>$Q$1*(G498-G497)</f>
        <v/>
      </c>
      <c r="R498" s="9">
        <f>$R$1*(H498-H497)</f>
        <v/>
      </c>
      <c r="S498" s="9">
        <f>$S$1*LN(I498/I497)</f>
        <v/>
      </c>
      <c r="T498" s="9">
        <f>$T$1*LN(J498/J497)</f>
        <v/>
      </c>
      <c r="U498" s="9">
        <f>$W$12+$W$4*M498+$W$5*N498+$W$6*O498+$W$7*P498+$W$8*Q498+$W$9*R498+$W$10*S498+$W$11*T498</f>
        <v/>
      </c>
      <c r="AA498" s="10">
        <f>INDEX(LINEST(L239:L498,M239:T498,TRUE,TRUE),1,9)*52</f>
        <v/>
      </c>
      <c r="AB498" s="9">
        <f>INDEX(LINEST(L239:L498,M239:T498,TRUE,TRUE),1,8)</f>
        <v/>
      </c>
      <c r="AC498" s="9">
        <f>INDEX(LINEST(L239:L498,M239:T498,TRUE,TRUE),1,7)</f>
        <v/>
      </c>
      <c r="AD498" s="9">
        <f>INDEX(LINEST(L239:L498,M239:T498,TRUE,TRUE),1,6)</f>
        <v/>
      </c>
      <c r="AE498" s="9">
        <f>INDEX(LINEST(L239:L498,M239:T498,TRUE,TRUE),1,5)</f>
        <v/>
      </c>
      <c r="AF498" s="9">
        <f>INDEX(LINEST(L239:L498,M239:T498,TRUE,TRUE),1,4)</f>
        <v/>
      </c>
      <c r="AG498" s="9">
        <f>INDEX(LINEST(L239:L498,M239:T498,TRUE,TRUE),1,3)</f>
        <v/>
      </c>
      <c r="AH498" s="9">
        <f>INDEX(LINEST(L239:L498,M239:T498,TRUE,TRUE),1,2)</f>
        <v/>
      </c>
      <c r="AI498" s="9">
        <f>INDEX(LINEST(L239:L498,M239:T498,TRUE,TRUE),1,1)</f>
        <v/>
      </c>
      <c r="AJ498" s="10">
        <f>INDEX(LINEST(L239:L498,M239:T498,TRUE,TRUE),3,1)</f>
        <v/>
      </c>
      <c r="AK498" s="9">
        <f>AA497/52+AB497*M498+AC497*N498+AD497*O498+AE497*P498+AF497*Q498+AG497*R498+AH497*S498+AI497*T498</f>
        <v/>
      </c>
      <c r="AL498" s="9">
        <f>AVERAGE(L238:L497)</f>
        <v/>
      </c>
    </row>
    <row r="499">
      <c r="A499" s="7" t="n">
        <v>41096</v>
      </c>
      <c r="B499" s="8" t="n">
        <v>1587</v>
      </c>
      <c r="C499" s="8" t="n">
        <v>2.1</v>
      </c>
      <c r="D499" s="8" t="n">
        <v>-0.53</v>
      </c>
      <c r="E499" s="8" t="n">
        <v>83.290001</v>
      </c>
      <c r="F499" s="8" t="n">
        <v>84.37</v>
      </c>
      <c r="G499" s="8" t="n">
        <v>17.1</v>
      </c>
      <c r="H499" s="8" t="n">
        <v>66.800003</v>
      </c>
      <c r="I499" s="8" t="n">
        <v>1354.680054</v>
      </c>
      <c r="J499" s="8" t="n">
        <v>76.50959</v>
      </c>
      <c r="L499" s="9">
        <f>LN(B499/B498)</f>
        <v/>
      </c>
      <c r="M499" s="9">
        <f>$M$1*(C499-C498)</f>
        <v/>
      </c>
      <c r="N499" s="9">
        <f>$N$1*(D499-D498)</f>
        <v/>
      </c>
      <c r="O499" s="9">
        <f>$O$1*LN(E499/E498)</f>
        <v/>
      </c>
      <c r="P499" s="9">
        <f>$P$1*LN(F499/F498)</f>
        <v/>
      </c>
      <c r="Q499" s="9">
        <f>$Q$1*(G499-G498)</f>
        <v/>
      </c>
      <c r="R499" s="9">
        <f>$R$1*(H499-H498)</f>
        <v/>
      </c>
      <c r="S499" s="9">
        <f>$S$1*LN(I499/I498)</f>
        <v/>
      </c>
      <c r="T499" s="9">
        <f>$T$1*LN(J499/J498)</f>
        <v/>
      </c>
      <c r="U499" s="9">
        <f>$W$12+$W$4*M499+$W$5*N499+$W$6*O499+$W$7*P499+$W$8*Q499+$W$9*R499+$W$10*S499+$W$11*T499</f>
        <v/>
      </c>
      <c r="AA499" s="10">
        <f>INDEX(LINEST(L240:L499,M240:T499,TRUE,TRUE),1,9)*52</f>
        <v/>
      </c>
      <c r="AB499" s="9">
        <f>INDEX(LINEST(L240:L499,M240:T499,TRUE,TRUE),1,8)</f>
        <v/>
      </c>
      <c r="AC499" s="9">
        <f>INDEX(LINEST(L240:L499,M240:T499,TRUE,TRUE),1,7)</f>
        <v/>
      </c>
      <c r="AD499" s="9">
        <f>INDEX(LINEST(L240:L499,M240:T499,TRUE,TRUE),1,6)</f>
        <v/>
      </c>
      <c r="AE499" s="9">
        <f>INDEX(LINEST(L240:L499,M240:T499,TRUE,TRUE),1,5)</f>
        <v/>
      </c>
      <c r="AF499" s="9">
        <f>INDEX(LINEST(L240:L499,M240:T499,TRUE,TRUE),1,4)</f>
        <v/>
      </c>
      <c r="AG499" s="9">
        <f>INDEX(LINEST(L240:L499,M240:T499,TRUE,TRUE),1,3)</f>
        <v/>
      </c>
      <c r="AH499" s="9">
        <f>INDEX(LINEST(L240:L499,M240:T499,TRUE,TRUE),1,2)</f>
        <v/>
      </c>
      <c r="AI499" s="9">
        <f>INDEX(LINEST(L240:L499,M240:T499,TRUE,TRUE),1,1)</f>
        <v/>
      </c>
      <c r="AJ499" s="10">
        <f>INDEX(LINEST(L240:L499,M240:T499,TRUE,TRUE),3,1)</f>
        <v/>
      </c>
      <c r="AK499" s="9">
        <f>AA498/52+AB498*M499+AC498*N499+AD498*O499+AE498*P499+AF498*Q499+AG498*R499+AH498*S499+AI498*T499</f>
        <v/>
      </c>
      <c r="AL499" s="9">
        <f>AVERAGE(L239:L498)</f>
        <v/>
      </c>
    </row>
    <row r="500">
      <c r="A500" s="7" t="n">
        <v>41103</v>
      </c>
      <c r="B500" s="8" t="n">
        <v>1595.5</v>
      </c>
      <c r="C500" s="8" t="n">
        <v>2.11</v>
      </c>
      <c r="D500" s="8" t="n">
        <v>-0.59</v>
      </c>
      <c r="E500" s="8" t="n">
        <v>83.300003</v>
      </c>
      <c r="F500" s="8" t="n">
        <v>87.15000000000001</v>
      </c>
      <c r="G500" s="8" t="n">
        <v>16.74</v>
      </c>
      <c r="H500" s="8" t="n">
        <v>63.299999</v>
      </c>
      <c r="I500" s="8" t="n">
        <v>1356.780029</v>
      </c>
      <c r="J500" s="8" t="n">
        <v>76.852478</v>
      </c>
      <c r="L500" s="9">
        <f>LN(B500/B499)</f>
        <v/>
      </c>
      <c r="M500" s="9">
        <f>$M$1*(C500-C499)</f>
        <v/>
      </c>
      <c r="N500" s="9">
        <f>$N$1*(D500-D499)</f>
        <v/>
      </c>
      <c r="O500" s="9">
        <f>$O$1*LN(E500/E499)</f>
        <v/>
      </c>
      <c r="P500" s="9">
        <f>$P$1*LN(F500/F499)</f>
        <v/>
      </c>
      <c r="Q500" s="9">
        <f>$Q$1*(G500-G499)</f>
        <v/>
      </c>
      <c r="R500" s="9">
        <f>$R$1*(H500-H499)</f>
        <v/>
      </c>
      <c r="S500" s="9">
        <f>$S$1*LN(I500/I499)</f>
        <v/>
      </c>
      <c r="T500" s="9">
        <f>$T$1*LN(J500/J499)</f>
        <v/>
      </c>
      <c r="U500" s="9">
        <f>$W$12+$W$4*M500+$W$5*N500+$W$6*O500+$W$7*P500+$W$8*Q500+$W$9*R500+$W$10*S500+$W$11*T500</f>
        <v/>
      </c>
      <c r="AA500" s="10">
        <f>INDEX(LINEST(L241:L500,M241:T500,TRUE,TRUE),1,9)*52</f>
        <v/>
      </c>
      <c r="AB500" s="9">
        <f>INDEX(LINEST(L241:L500,M241:T500,TRUE,TRUE),1,8)</f>
        <v/>
      </c>
      <c r="AC500" s="9">
        <f>INDEX(LINEST(L241:L500,M241:T500,TRUE,TRUE),1,7)</f>
        <v/>
      </c>
      <c r="AD500" s="9">
        <f>INDEX(LINEST(L241:L500,M241:T500,TRUE,TRUE),1,6)</f>
        <v/>
      </c>
      <c r="AE500" s="9">
        <f>INDEX(LINEST(L241:L500,M241:T500,TRUE,TRUE),1,5)</f>
        <v/>
      </c>
      <c r="AF500" s="9">
        <f>INDEX(LINEST(L241:L500,M241:T500,TRUE,TRUE),1,4)</f>
        <v/>
      </c>
      <c r="AG500" s="9">
        <f>INDEX(LINEST(L241:L500,M241:T500,TRUE,TRUE),1,3)</f>
        <v/>
      </c>
      <c r="AH500" s="9">
        <f>INDEX(LINEST(L241:L500,M241:T500,TRUE,TRUE),1,2)</f>
        <v/>
      </c>
      <c r="AI500" s="9">
        <f>INDEX(LINEST(L241:L500,M241:T500,TRUE,TRUE),1,1)</f>
        <v/>
      </c>
      <c r="AJ500" s="10">
        <f>INDEX(LINEST(L241:L500,M241:T500,TRUE,TRUE),3,1)</f>
        <v/>
      </c>
      <c r="AK500" s="9">
        <f>AA499/52+AB499*M500+AC499*N500+AD499*O500+AE499*P500+AF499*Q500+AG499*R500+AH499*S500+AI499*T500</f>
        <v/>
      </c>
      <c r="AL500" s="9">
        <f>AVERAGE(L240:L499)</f>
        <v/>
      </c>
    </row>
    <row r="501">
      <c r="A501" s="7" t="n">
        <v>41110</v>
      </c>
      <c r="B501" s="8" t="n">
        <v>1576.25</v>
      </c>
      <c r="C501" s="8" t="n">
        <v>2.16</v>
      </c>
      <c r="D501" s="8" t="n">
        <v>-0.67</v>
      </c>
      <c r="E501" s="8" t="n">
        <v>83.470001</v>
      </c>
      <c r="F501" s="8" t="n">
        <v>91.56</v>
      </c>
      <c r="G501" s="8" t="n">
        <v>16.27</v>
      </c>
      <c r="H501" s="8" t="n">
        <v>61.299999</v>
      </c>
      <c r="I501" s="8" t="n">
        <v>1362.660034</v>
      </c>
      <c r="J501" s="8" t="n">
        <v>77.085571</v>
      </c>
      <c r="L501" s="9">
        <f>LN(B501/B500)</f>
        <v/>
      </c>
      <c r="M501" s="9">
        <f>$M$1*(C501-C500)</f>
        <v/>
      </c>
      <c r="N501" s="9">
        <f>$N$1*(D501-D500)</f>
        <v/>
      </c>
      <c r="O501" s="9">
        <f>$O$1*LN(E501/E500)</f>
        <v/>
      </c>
      <c r="P501" s="9">
        <f>$P$1*LN(F501/F500)</f>
        <v/>
      </c>
      <c r="Q501" s="9">
        <f>$Q$1*(G501-G500)</f>
        <v/>
      </c>
      <c r="R501" s="9">
        <f>$R$1*(H501-H500)</f>
        <v/>
      </c>
      <c r="S501" s="9">
        <f>$S$1*LN(I501/I500)</f>
        <v/>
      </c>
      <c r="T501" s="9">
        <f>$T$1*LN(J501/J500)</f>
        <v/>
      </c>
      <c r="U501" s="9">
        <f>$W$12+$W$4*M501+$W$5*N501+$W$6*O501+$W$7*P501+$W$8*Q501+$W$9*R501+$W$10*S501+$W$11*T501</f>
        <v/>
      </c>
      <c r="AA501" s="10">
        <f>INDEX(LINEST(L242:L501,M242:T501,TRUE,TRUE),1,9)*52</f>
        <v/>
      </c>
      <c r="AB501" s="9">
        <f>INDEX(LINEST(L242:L501,M242:T501,TRUE,TRUE),1,8)</f>
        <v/>
      </c>
      <c r="AC501" s="9">
        <f>INDEX(LINEST(L242:L501,M242:T501,TRUE,TRUE),1,7)</f>
        <v/>
      </c>
      <c r="AD501" s="9">
        <f>INDEX(LINEST(L242:L501,M242:T501,TRUE,TRUE),1,6)</f>
        <v/>
      </c>
      <c r="AE501" s="9">
        <f>INDEX(LINEST(L242:L501,M242:T501,TRUE,TRUE),1,5)</f>
        <v/>
      </c>
      <c r="AF501" s="9">
        <f>INDEX(LINEST(L242:L501,M242:T501,TRUE,TRUE),1,4)</f>
        <v/>
      </c>
      <c r="AG501" s="9">
        <f>INDEX(LINEST(L242:L501,M242:T501,TRUE,TRUE),1,3)</f>
        <v/>
      </c>
      <c r="AH501" s="9">
        <f>INDEX(LINEST(L242:L501,M242:T501,TRUE,TRUE),1,2)</f>
        <v/>
      </c>
      <c r="AI501" s="9">
        <f>INDEX(LINEST(L242:L501,M242:T501,TRUE,TRUE),1,1)</f>
        <v/>
      </c>
      <c r="AJ501" s="10">
        <f>INDEX(LINEST(L242:L501,M242:T501,TRUE,TRUE),3,1)</f>
        <v/>
      </c>
      <c r="AK501" s="9">
        <f>AA500/52+AB500*M501+AC500*N501+AD500*O501+AE500*P501+AF500*Q501+AG500*R501+AH500*S501+AI500*T501</f>
        <v/>
      </c>
      <c r="AL501" s="9">
        <f>AVERAGE(L241:L500)</f>
        <v/>
      </c>
    </row>
    <row r="502">
      <c r="A502" s="7" t="n">
        <v>41117</v>
      </c>
      <c r="B502" s="8" t="n">
        <v>1618.25</v>
      </c>
      <c r="C502" s="8" t="n">
        <v>2.19</v>
      </c>
      <c r="D502" s="8" t="n">
        <v>-0.61</v>
      </c>
      <c r="E502" s="8" t="n">
        <v>82.709999</v>
      </c>
      <c r="F502" s="8" t="n">
        <v>90.13</v>
      </c>
      <c r="G502" s="8" t="n">
        <v>16.7</v>
      </c>
      <c r="H502" s="8" t="n">
        <v>69.699997</v>
      </c>
      <c r="I502" s="8" t="n">
        <v>1385.969971</v>
      </c>
      <c r="J502" s="8" t="n">
        <v>76.996475</v>
      </c>
      <c r="L502" s="9">
        <f>LN(B502/B501)</f>
        <v/>
      </c>
      <c r="M502" s="9">
        <f>$M$1*(C502-C501)</f>
        <v/>
      </c>
      <c r="N502" s="9">
        <f>$N$1*(D502-D501)</f>
        <v/>
      </c>
      <c r="O502" s="9">
        <f>$O$1*LN(E502/E501)</f>
        <v/>
      </c>
      <c r="P502" s="9">
        <f>$P$1*LN(F502/F501)</f>
        <v/>
      </c>
      <c r="Q502" s="9">
        <f>$Q$1*(G502-G501)</f>
        <v/>
      </c>
      <c r="R502" s="9">
        <f>$R$1*(H502-H501)</f>
        <v/>
      </c>
      <c r="S502" s="9">
        <f>$S$1*LN(I502/I501)</f>
        <v/>
      </c>
      <c r="T502" s="9">
        <f>$T$1*LN(J502/J501)</f>
        <v/>
      </c>
      <c r="U502" s="9">
        <f>$W$12+$W$4*M502+$W$5*N502+$W$6*O502+$W$7*P502+$W$8*Q502+$W$9*R502+$W$10*S502+$W$11*T502</f>
        <v/>
      </c>
      <c r="AA502" s="10">
        <f>INDEX(LINEST(L243:L502,M243:T502,TRUE,TRUE),1,9)*52</f>
        <v/>
      </c>
      <c r="AB502" s="9">
        <f>INDEX(LINEST(L243:L502,M243:T502,TRUE,TRUE),1,8)</f>
        <v/>
      </c>
      <c r="AC502" s="9">
        <f>INDEX(LINEST(L243:L502,M243:T502,TRUE,TRUE),1,7)</f>
        <v/>
      </c>
      <c r="AD502" s="9">
        <f>INDEX(LINEST(L243:L502,M243:T502,TRUE,TRUE),1,6)</f>
        <v/>
      </c>
      <c r="AE502" s="9">
        <f>INDEX(LINEST(L243:L502,M243:T502,TRUE,TRUE),1,5)</f>
        <v/>
      </c>
      <c r="AF502" s="9">
        <f>INDEX(LINEST(L243:L502,M243:T502,TRUE,TRUE),1,4)</f>
        <v/>
      </c>
      <c r="AG502" s="9">
        <f>INDEX(LINEST(L243:L502,M243:T502,TRUE,TRUE),1,3)</f>
        <v/>
      </c>
      <c r="AH502" s="9">
        <f>INDEX(LINEST(L243:L502,M243:T502,TRUE,TRUE),1,2)</f>
        <v/>
      </c>
      <c r="AI502" s="9">
        <f>INDEX(LINEST(L243:L502,M243:T502,TRUE,TRUE),1,1)</f>
        <v/>
      </c>
      <c r="AJ502" s="10">
        <f>INDEX(LINEST(L243:L502,M243:T502,TRUE,TRUE),3,1)</f>
        <v/>
      </c>
      <c r="AK502" s="9">
        <f>AA501/52+AB501*M502+AC501*N502+AD501*O502+AE501*P502+AF501*Q502+AG501*R502+AH501*S502+AI501*T502</f>
        <v/>
      </c>
      <c r="AL502" s="9">
        <f>AVERAGE(L242:L501)</f>
        <v/>
      </c>
    </row>
    <row r="503">
      <c r="A503" s="7" t="n">
        <v>41124</v>
      </c>
      <c r="B503" s="8" t="n">
        <v>1602</v>
      </c>
      <c r="C503" s="8" t="n">
        <v>2.26</v>
      </c>
      <c r="D503" s="8" t="n">
        <v>-0.66</v>
      </c>
      <c r="E503" s="8" t="n">
        <v>82.379997</v>
      </c>
      <c r="F503" s="8" t="n">
        <v>91.40000000000001</v>
      </c>
      <c r="G503" s="8" t="n">
        <v>15.64</v>
      </c>
      <c r="H503" s="8" t="n">
        <v>71.900002</v>
      </c>
      <c r="I503" s="8" t="n">
        <v>1390.98999</v>
      </c>
      <c r="J503" s="8" t="n">
        <v>76.941101</v>
      </c>
      <c r="L503" s="9">
        <f>LN(B503/B502)</f>
        <v/>
      </c>
      <c r="M503" s="9">
        <f>$M$1*(C503-C502)</f>
        <v/>
      </c>
      <c r="N503" s="9">
        <f>$N$1*(D503-D502)</f>
        <v/>
      </c>
      <c r="O503" s="9">
        <f>$O$1*LN(E503/E502)</f>
        <v/>
      </c>
      <c r="P503" s="9">
        <f>$P$1*LN(F503/F502)</f>
        <v/>
      </c>
      <c r="Q503" s="9">
        <f>$Q$1*(G503-G502)</f>
        <v/>
      </c>
      <c r="R503" s="9">
        <f>$R$1*(H503-H502)</f>
        <v/>
      </c>
      <c r="S503" s="9">
        <f>$S$1*LN(I503/I502)</f>
        <v/>
      </c>
      <c r="T503" s="9">
        <f>$T$1*LN(J503/J502)</f>
        <v/>
      </c>
      <c r="U503" s="9">
        <f>$W$12+$W$4*M503+$W$5*N503+$W$6*O503+$W$7*P503+$W$8*Q503+$W$9*R503+$W$10*S503+$W$11*T503</f>
        <v/>
      </c>
      <c r="AA503" s="10">
        <f>INDEX(LINEST(L244:L503,M244:T503,TRUE,TRUE),1,9)*52</f>
        <v/>
      </c>
      <c r="AB503" s="9">
        <f>INDEX(LINEST(L244:L503,M244:T503,TRUE,TRUE),1,8)</f>
        <v/>
      </c>
      <c r="AC503" s="9">
        <f>INDEX(LINEST(L244:L503,M244:T503,TRUE,TRUE),1,7)</f>
        <v/>
      </c>
      <c r="AD503" s="9">
        <f>INDEX(LINEST(L244:L503,M244:T503,TRUE,TRUE),1,6)</f>
        <v/>
      </c>
      <c r="AE503" s="9">
        <f>INDEX(LINEST(L244:L503,M244:T503,TRUE,TRUE),1,5)</f>
        <v/>
      </c>
      <c r="AF503" s="9">
        <f>INDEX(LINEST(L244:L503,M244:T503,TRUE,TRUE),1,4)</f>
        <v/>
      </c>
      <c r="AG503" s="9">
        <f>INDEX(LINEST(L244:L503,M244:T503,TRUE,TRUE),1,3)</f>
        <v/>
      </c>
      <c r="AH503" s="9">
        <f>INDEX(LINEST(L244:L503,M244:T503,TRUE,TRUE),1,2)</f>
        <v/>
      </c>
      <c r="AI503" s="9">
        <f>INDEX(LINEST(L244:L503,M244:T503,TRUE,TRUE),1,1)</f>
        <v/>
      </c>
      <c r="AJ503" s="10">
        <f>INDEX(LINEST(L244:L503,M244:T503,TRUE,TRUE),3,1)</f>
        <v/>
      </c>
      <c r="AK503" s="9">
        <f>AA502/52+AB502*M503+AC502*N503+AD502*O503+AE502*P503+AF502*Q503+AG502*R503+AH502*S503+AI502*T503</f>
        <v/>
      </c>
      <c r="AL503" s="9">
        <f>AVERAGE(L243:L502)</f>
        <v/>
      </c>
    </row>
    <row r="504">
      <c r="A504" s="7" t="n">
        <v>41131</v>
      </c>
      <c r="B504" s="8" t="n">
        <v>1618.5</v>
      </c>
      <c r="C504" s="8" t="n">
        <v>2.25</v>
      </c>
      <c r="D504" s="8" t="n">
        <v>-0.6</v>
      </c>
      <c r="E504" s="8" t="n">
        <v>82.550003</v>
      </c>
      <c r="F504" s="8" t="n">
        <v>92.94</v>
      </c>
      <c r="G504" s="8" t="n">
        <v>14.74</v>
      </c>
      <c r="H504" s="8" t="n">
        <v>70.099998</v>
      </c>
      <c r="I504" s="8" t="n">
        <v>1405.869995</v>
      </c>
      <c r="J504" s="8" t="n">
        <v>76.858681</v>
      </c>
      <c r="L504" s="9">
        <f>LN(B504/B503)</f>
        <v/>
      </c>
      <c r="M504" s="9">
        <f>$M$1*(C504-C503)</f>
        <v/>
      </c>
      <c r="N504" s="9">
        <f>$N$1*(D504-D503)</f>
        <v/>
      </c>
      <c r="O504" s="9">
        <f>$O$1*LN(E504/E503)</f>
        <v/>
      </c>
      <c r="P504" s="9">
        <f>$P$1*LN(F504/F503)</f>
        <v/>
      </c>
      <c r="Q504" s="9">
        <f>$Q$1*(G504-G503)</f>
        <v/>
      </c>
      <c r="R504" s="9">
        <f>$R$1*(H504-H503)</f>
        <v/>
      </c>
      <c r="S504" s="9">
        <f>$S$1*LN(I504/I503)</f>
        <v/>
      </c>
      <c r="T504" s="9">
        <f>$T$1*LN(J504/J503)</f>
        <v/>
      </c>
      <c r="U504" s="9">
        <f>$W$12+$W$4*M504+$W$5*N504+$W$6*O504+$W$7*P504+$W$8*Q504+$W$9*R504+$W$10*S504+$W$11*T504</f>
        <v/>
      </c>
      <c r="AA504" s="10">
        <f>INDEX(LINEST(L245:L504,M245:T504,TRUE,TRUE),1,9)*52</f>
        <v/>
      </c>
      <c r="AB504" s="9">
        <f>INDEX(LINEST(L245:L504,M245:T504,TRUE,TRUE),1,8)</f>
        <v/>
      </c>
      <c r="AC504" s="9">
        <f>INDEX(LINEST(L245:L504,M245:T504,TRUE,TRUE),1,7)</f>
        <v/>
      </c>
      <c r="AD504" s="9">
        <f>INDEX(LINEST(L245:L504,M245:T504,TRUE,TRUE),1,6)</f>
        <v/>
      </c>
      <c r="AE504" s="9">
        <f>INDEX(LINEST(L245:L504,M245:T504,TRUE,TRUE),1,5)</f>
        <v/>
      </c>
      <c r="AF504" s="9">
        <f>INDEX(LINEST(L245:L504,M245:T504,TRUE,TRUE),1,4)</f>
        <v/>
      </c>
      <c r="AG504" s="9">
        <f>INDEX(LINEST(L245:L504,M245:T504,TRUE,TRUE),1,3)</f>
        <v/>
      </c>
      <c r="AH504" s="9">
        <f>INDEX(LINEST(L245:L504,M245:T504,TRUE,TRUE),1,2)</f>
        <v/>
      </c>
      <c r="AI504" s="9">
        <f>INDEX(LINEST(L245:L504,M245:T504,TRUE,TRUE),1,1)</f>
        <v/>
      </c>
      <c r="AJ504" s="10">
        <f>INDEX(LINEST(L245:L504,M245:T504,TRUE,TRUE),3,1)</f>
        <v/>
      </c>
      <c r="AK504" s="9">
        <f>AA503/52+AB503*M504+AC503*N504+AD503*O504+AE503*P504+AF503*Q504+AG503*R504+AH503*S504+AI503*T504</f>
        <v/>
      </c>
      <c r="AL504" s="9">
        <f>AVERAGE(L244:L503)</f>
        <v/>
      </c>
    </row>
    <row r="505">
      <c r="A505" s="7" t="n">
        <v>41138</v>
      </c>
      <c r="B505" s="8" t="n">
        <v>1614.75</v>
      </c>
      <c r="C505" s="8" t="n">
        <v>2.24</v>
      </c>
      <c r="D505" s="8" t="n">
        <v>-0.43</v>
      </c>
      <c r="E505" s="8" t="n">
        <v>82.599998</v>
      </c>
      <c r="F505" s="8" t="n">
        <v>96</v>
      </c>
      <c r="G505" s="8" t="n">
        <v>13.45</v>
      </c>
      <c r="H505" s="8" t="n">
        <v>74</v>
      </c>
      <c r="I505" s="8" t="n">
        <v>1418.160034</v>
      </c>
      <c r="J505" s="8" t="n">
        <v>76.418892</v>
      </c>
      <c r="L505" s="9">
        <f>LN(B505/B504)</f>
        <v/>
      </c>
      <c r="M505" s="9">
        <f>$M$1*(C505-C504)</f>
        <v/>
      </c>
      <c r="N505" s="9">
        <f>$N$1*(D505-D504)</f>
        <v/>
      </c>
      <c r="O505" s="9">
        <f>$O$1*LN(E505/E504)</f>
        <v/>
      </c>
      <c r="P505" s="9">
        <f>$P$1*LN(F505/F504)</f>
        <v/>
      </c>
      <c r="Q505" s="9">
        <f>$Q$1*(G505-G504)</f>
        <v/>
      </c>
      <c r="R505" s="9">
        <f>$R$1*(H505-H504)</f>
        <v/>
      </c>
      <c r="S505" s="9">
        <f>$S$1*LN(I505/I504)</f>
        <v/>
      </c>
      <c r="T505" s="9">
        <f>$T$1*LN(J505/J504)</f>
        <v/>
      </c>
      <c r="U505" s="9">
        <f>$W$12+$W$4*M505+$W$5*N505+$W$6*O505+$W$7*P505+$W$8*Q505+$W$9*R505+$W$10*S505+$W$11*T505</f>
        <v/>
      </c>
      <c r="AA505" s="10">
        <f>INDEX(LINEST(L246:L505,M246:T505,TRUE,TRUE),1,9)*52</f>
        <v/>
      </c>
      <c r="AB505" s="9">
        <f>INDEX(LINEST(L246:L505,M246:T505,TRUE,TRUE),1,8)</f>
        <v/>
      </c>
      <c r="AC505" s="9">
        <f>INDEX(LINEST(L246:L505,M246:T505,TRUE,TRUE),1,7)</f>
        <v/>
      </c>
      <c r="AD505" s="9">
        <f>INDEX(LINEST(L246:L505,M246:T505,TRUE,TRUE),1,6)</f>
        <v/>
      </c>
      <c r="AE505" s="9">
        <f>INDEX(LINEST(L246:L505,M246:T505,TRUE,TRUE),1,5)</f>
        <v/>
      </c>
      <c r="AF505" s="9">
        <f>INDEX(LINEST(L246:L505,M246:T505,TRUE,TRUE),1,4)</f>
        <v/>
      </c>
      <c r="AG505" s="9">
        <f>INDEX(LINEST(L246:L505,M246:T505,TRUE,TRUE),1,3)</f>
        <v/>
      </c>
      <c r="AH505" s="9">
        <f>INDEX(LINEST(L246:L505,M246:T505,TRUE,TRUE),1,2)</f>
        <v/>
      </c>
      <c r="AI505" s="9">
        <f>INDEX(LINEST(L246:L505,M246:T505,TRUE,TRUE),1,1)</f>
        <v/>
      </c>
      <c r="AJ505" s="10">
        <f>INDEX(LINEST(L246:L505,M246:T505,TRUE,TRUE),3,1)</f>
        <v/>
      </c>
      <c r="AK505" s="9">
        <f>AA504/52+AB504*M505+AC504*N505+AD504*O505+AE504*P505+AF504*Q505+AG504*R505+AH504*S505+AI504*T505</f>
        <v/>
      </c>
      <c r="AL505" s="9">
        <f>AVERAGE(L245:L504)</f>
        <v/>
      </c>
    </row>
    <row r="506">
      <c r="A506" s="7" t="n">
        <v>41145</v>
      </c>
      <c r="B506" s="8" t="n">
        <v>1667</v>
      </c>
      <c r="C506" s="8" t="n">
        <v>2.28</v>
      </c>
      <c r="D506" s="8" t="n">
        <v>-0.6</v>
      </c>
      <c r="E506" s="8" t="n">
        <v>81.589996</v>
      </c>
      <c r="F506" s="8" t="n">
        <v>95.78</v>
      </c>
      <c r="G506" s="8" t="n">
        <v>15.18</v>
      </c>
      <c r="H506" s="8" t="n">
        <v>66.400002</v>
      </c>
      <c r="I506" s="8" t="n">
        <v>1411.130005</v>
      </c>
      <c r="J506" s="8" t="n">
        <v>76.82427199999999</v>
      </c>
      <c r="L506" s="9">
        <f>LN(B506/B505)</f>
        <v/>
      </c>
      <c r="M506" s="9">
        <f>$M$1*(C506-C505)</f>
        <v/>
      </c>
      <c r="N506" s="9">
        <f>$N$1*(D506-D505)</f>
        <v/>
      </c>
      <c r="O506" s="9">
        <f>$O$1*LN(E506/E505)</f>
        <v/>
      </c>
      <c r="P506" s="9">
        <f>$P$1*LN(F506/F505)</f>
        <v/>
      </c>
      <c r="Q506" s="9">
        <f>$Q$1*(G506-G505)</f>
        <v/>
      </c>
      <c r="R506" s="9">
        <f>$R$1*(H506-H505)</f>
        <v/>
      </c>
      <c r="S506" s="9">
        <f>$S$1*LN(I506/I505)</f>
        <v/>
      </c>
      <c r="T506" s="9">
        <f>$T$1*LN(J506/J505)</f>
        <v/>
      </c>
      <c r="U506" s="9">
        <f>$W$12+$W$4*M506+$W$5*N506+$W$6*O506+$W$7*P506+$W$8*Q506+$W$9*R506+$W$10*S506+$W$11*T506</f>
        <v/>
      </c>
      <c r="AA506" s="10">
        <f>INDEX(LINEST(L247:L506,M247:T506,TRUE,TRUE),1,9)*52</f>
        <v/>
      </c>
      <c r="AB506" s="9">
        <f>INDEX(LINEST(L247:L506,M247:T506,TRUE,TRUE),1,8)</f>
        <v/>
      </c>
      <c r="AC506" s="9">
        <f>INDEX(LINEST(L247:L506,M247:T506,TRUE,TRUE),1,7)</f>
        <v/>
      </c>
      <c r="AD506" s="9">
        <f>INDEX(LINEST(L247:L506,M247:T506,TRUE,TRUE),1,6)</f>
        <v/>
      </c>
      <c r="AE506" s="9">
        <f>INDEX(LINEST(L247:L506,M247:T506,TRUE,TRUE),1,5)</f>
        <v/>
      </c>
      <c r="AF506" s="9">
        <f>INDEX(LINEST(L247:L506,M247:T506,TRUE,TRUE),1,4)</f>
        <v/>
      </c>
      <c r="AG506" s="9">
        <f>INDEX(LINEST(L247:L506,M247:T506,TRUE,TRUE),1,3)</f>
        <v/>
      </c>
      <c r="AH506" s="9">
        <f>INDEX(LINEST(L247:L506,M247:T506,TRUE,TRUE),1,2)</f>
        <v/>
      </c>
      <c r="AI506" s="9">
        <f>INDEX(LINEST(L247:L506,M247:T506,TRUE,TRUE),1,1)</f>
        <v/>
      </c>
      <c r="AJ506" s="10">
        <f>INDEX(LINEST(L247:L506,M247:T506,TRUE,TRUE),3,1)</f>
        <v/>
      </c>
      <c r="AK506" s="9">
        <f>AA505/52+AB505*M506+AC505*N506+AD505*O506+AE505*P506+AF505*Q506+AG505*R506+AH505*S506+AI505*T506</f>
        <v/>
      </c>
      <c r="AL506" s="9">
        <f>AVERAGE(L246:L505)</f>
        <v/>
      </c>
    </row>
    <row r="507">
      <c r="A507" s="7" t="n">
        <v>41152</v>
      </c>
      <c r="B507" s="8" t="n">
        <v>1648.5</v>
      </c>
      <c r="C507" s="8" t="n">
        <v>2.25</v>
      </c>
      <c r="D507" s="8" t="n">
        <v>-0.68</v>
      </c>
      <c r="E507" s="8" t="n">
        <v>81.25</v>
      </c>
      <c r="F507" s="8" t="n">
        <v>96.47</v>
      </c>
      <c r="G507" s="8" t="n">
        <v>17.47</v>
      </c>
      <c r="H507" s="8" t="n">
        <v>68.699997</v>
      </c>
      <c r="I507" s="8" t="n">
        <v>1406.579956</v>
      </c>
      <c r="J507" s="8" t="n">
        <v>77.202217</v>
      </c>
      <c r="L507" s="9">
        <f>LN(B507/B506)</f>
        <v/>
      </c>
      <c r="M507" s="9">
        <f>$M$1*(C507-C506)</f>
        <v/>
      </c>
      <c r="N507" s="9">
        <f>$N$1*(D507-D506)</f>
        <v/>
      </c>
      <c r="O507" s="9">
        <f>$O$1*LN(E507/E506)</f>
        <v/>
      </c>
      <c r="P507" s="9">
        <f>$P$1*LN(F507/F506)</f>
        <v/>
      </c>
      <c r="Q507" s="9">
        <f>$Q$1*(G507-G506)</f>
        <v/>
      </c>
      <c r="R507" s="9">
        <f>$R$1*(H507-H506)</f>
        <v/>
      </c>
      <c r="S507" s="9">
        <f>$S$1*LN(I507/I506)</f>
        <v/>
      </c>
      <c r="T507" s="9">
        <f>$T$1*LN(J507/J506)</f>
        <v/>
      </c>
      <c r="U507" s="9">
        <f>$W$12+$W$4*M507+$W$5*N507+$W$6*O507+$W$7*P507+$W$8*Q507+$W$9*R507+$W$10*S507+$W$11*T507</f>
        <v/>
      </c>
      <c r="AA507" s="10">
        <f>INDEX(LINEST(L248:L507,M248:T507,TRUE,TRUE),1,9)*52</f>
        <v/>
      </c>
      <c r="AB507" s="9">
        <f>INDEX(LINEST(L248:L507,M248:T507,TRUE,TRUE),1,8)</f>
        <v/>
      </c>
      <c r="AC507" s="9">
        <f>INDEX(LINEST(L248:L507,M248:T507,TRUE,TRUE),1,7)</f>
        <v/>
      </c>
      <c r="AD507" s="9">
        <f>INDEX(LINEST(L248:L507,M248:T507,TRUE,TRUE),1,6)</f>
        <v/>
      </c>
      <c r="AE507" s="9">
        <f>INDEX(LINEST(L248:L507,M248:T507,TRUE,TRUE),1,5)</f>
        <v/>
      </c>
      <c r="AF507" s="9">
        <f>INDEX(LINEST(L248:L507,M248:T507,TRUE,TRUE),1,4)</f>
        <v/>
      </c>
      <c r="AG507" s="9">
        <f>INDEX(LINEST(L248:L507,M248:T507,TRUE,TRUE),1,3)</f>
        <v/>
      </c>
      <c r="AH507" s="9">
        <f>INDEX(LINEST(L248:L507,M248:T507,TRUE,TRUE),1,2)</f>
        <v/>
      </c>
      <c r="AI507" s="9">
        <f>INDEX(LINEST(L248:L507,M248:T507,TRUE,TRUE),1,1)</f>
        <v/>
      </c>
      <c r="AJ507" s="10">
        <f>INDEX(LINEST(L248:L507,M248:T507,TRUE,TRUE),3,1)</f>
        <v/>
      </c>
      <c r="AK507" s="9">
        <f>AA506/52+AB506*M507+AC506*N507+AD506*O507+AE506*P507+AF506*Q507+AG506*R507+AH506*S507+AI506*T507</f>
        <v/>
      </c>
      <c r="AL507" s="9">
        <f>AVERAGE(L247:L506)</f>
        <v/>
      </c>
    </row>
    <row r="508">
      <c r="A508" s="7" t="n">
        <v>41159</v>
      </c>
      <c r="B508" s="8" t="n">
        <v>1728</v>
      </c>
      <c r="C508" s="8" t="n">
        <v>2.35</v>
      </c>
      <c r="D508" s="8" t="n">
        <v>-0.68</v>
      </c>
      <c r="E508" s="8" t="n">
        <v>80.25</v>
      </c>
      <c r="F508" s="8" t="n">
        <v>96.41</v>
      </c>
      <c r="G508" s="8" t="n">
        <v>14.38</v>
      </c>
      <c r="H508" s="8" t="n">
        <v>68.400002</v>
      </c>
      <c r="I508" s="8" t="n">
        <v>1437.920044</v>
      </c>
      <c r="J508" s="8" t="n">
        <v>77.022499</v>
      </c>
      <c r="L508" s="9">
        <f>LN(B508/B507)</f>
        <v/>
      </c>
      <c r="M508" s="9">
        <f>$M$1*(C508-C507)</f>
        <v/>
      </c>
      <c r="N508" s="9">
        <f>$N$1*(D508-D507)</f>
        <v/>
      </c>
      <c r="O508" s="9">
        <f>$O$1*LN(E508/E507)</f>
        <v/>
      </c>
      <c r="P508" s="9">
        <f>$P$1*LN(F508/F507)</f>
        <v/>
      </c>
      <c r="Q508" s="9">
        <f>$Q$1*(G508-G507)</f>
        <v/>
      </c>
      <c r="R508" s="9">
        <f>$R$1*(H508-H507)</f>
        <v/>
      </c>
      <c r="S508" s="9">
        <f>$S$1*LN(I508/I507)</f>
        <v/>
      </c>
      <c r="T508" s="9">
        <f>$T$1*LN(J508/J507)</f>
        <v/>
      </c>
      <c r="U508" s="9">
        <f>$W$12+$W$4*M508+$W$5*N508+$W$6*O508+$W$7*P508+$W$8*Q508+$W$9*R508+$W$10*S508+$W$11*T508</f>
        <v/>
      </c>
      <c r="AA508" s="10">
        <f>INDEX(LINEST(L249:L508,M249:T508,TRUE,TRUE),1,9)*52</f>
        <v/>
      </c>
      <c r="AB508" s="9">
        <f>INDEX(LINEST(L249:L508,M249:T508,TRUE,TRUE),1,8)</f>
        <v/>
      </c>
      <c r="AC508" s="9">
        <f>INDEX(LINEST(L249:L508,M249:T508,TRUE,TRUE),1,7)</f>
        <v/>
      </c>
      <c r="AD508" s="9">
        <f>INDEX(LINEST(L249:L508,M249:T508,TRUE,TRUE),1,6)</f>
        <v/>
      </c>
      <c r="AE508" s="9">
        <f>INDEX(LINEST(L249:L508,M249:T508,TRUE,TRUE),1,5)</f>
        <v/>
      </c>
      <c r="AF508" s="9">
        <f>INDEX(LINEST(L249:L508,M249:T508,TRUE,TRUE),1,4)</f>
        <v/>
      </c>
      <c r="AG508" s="9">
        <f>INDEX(LINEST(L249:L508,M249:T508,TRUE,TRUE),1,3)</f>
        <v/>
      </c>
      <c r="AH508" s="9">
        <f>INDEX(LINEST(L249:L508,M249:T508,TRUE,TRUE),1,2)</f>
        <v/>
      </c>
      <c r="AI508" s="9">
        <f>INDEX(LINEST(L249:L508,M249:T508,TRUE,TRUE),1,1)</f>
        <v/>
      </c>
      <c r="AJ508" s="10">
        <f>INDEX(LINEST(L249:L508,M249:T508,TRUE,TRUE),3,1)</f>
        <v/>
      </c>
      <c r="AK508" s="9">
        <f>AA507/52+AB507*M508+AC507*N508+AD507*O508+AE507*P508+AF507*Q508+AG507*R508+AH507*S508+AI507*T508</f>
        <v/>
      </c>
      <c r="AL508" s="9">
        <f>AVERAGE(L248:L507)</f>
        <v/>
      </c>
    </row>
    <row r="509">
      <c r="A509" s="7" t="n">
        <v>41166</v>
      </c>
      <c r="B509" s="8" t="n">
        <v>1775.5</v>
      </c>
      <c r="C509" s="8" t="n">
        <v>2.64</v>
      </c>
      <c r="D509" s="8" t="n">
        <v>-0.76</v>
      </c>
      <c r="E509" s="8" t="n">
        <v>78.849998</v>
      </c>
      <c r="F509" s="8" t="n">
        <v>98.94</v>
      </c>
      <c r="G509" s="8" t="n">
        <v>14.51</v>
      </c>
      <c r="H509" s="8" t="n">
        <v>68.300003</v>
      </c>
      <c r="I509" s="8" t="n">
        <v>1465.77002</v>
      </c>
      <c r="J509" s="8" t="n">
        <v>76.66456599999999</v>
      </c>
      <c r="L509" s="9">
        <f>LN(B509/B508)</f>
        <v/>
      </c>
      <c r="M509" s="9">
        <f>$M$1*(C509-C508)</f>
        <v/>
      </c>
      <c r="N509" s="9">
        <f>$N$1*(D509-D508)</f>
        <v/>
      </c>
      <c r="O509" s="9">
        <f>$O$1*LN(E509/E508)</f>
        <v/>
      </c>
      <c r="P509" s="9">
        <f>$P$1*LN(F509/F508)</f>
        <v/>
      </c>
      <c r="Q509" s="9">
        <f>$Q$1*(G509-G508)</f>
        <v/>
      </c>
      <c r="R509" s="9">
        <f>$R$1*(H509-H508)</f>
        <v/>
      </c>
      <c r="S509" s="9">
        <f>$S$1*LN(I509/I508)</f>
        <v/>
      </c>
      <c r="T509" s="9">
        <f>$T$1*LN(J509/J508)</f>
        <v/>
      </c>
      <c r="U509" s="9">
        <f>$W$12+$W$4*M509+$W$5*N509+$W$6*O509+$W$7*P509+$W$8*Q509+$W$9*R509+$W$10*S509+$W$11*T509</f>
        <v/>
      </c>
      <c r="AA509" s="10">
        <f>INDEX(LINEST(L250:L509,M250:T509,TRUE,TRUE),1,9)*52</f>
        <v/>
      </c>
      <c r="AB509" s="9">
        <f>INDEX(LINEST(L250:L509,M250:T509,TRUE,TRUE),1,8)</f>
        <v/>
      </c>
      <c r="AC509" s="9">
        <f>INDEX(LINEST(L250:L509,M250:T509,TRUE,TRUE),1,7)</f>
        <v/>
      </c>
      <c r="AD509" s="9">
        <f>INDEX(LINEST(L250:L509,M250:T509,TRUE,TRUE),1,6)</f>
        <v/>
      </c>
      <c r="AE509" s="9">
        <f>INDEX(LINEST(L250:L509,M250:T509,TRUE,TRUE),1,5)</f>
        <v/>
      </c>
      <c r="AF509" s="9">
        <f>INDEX(LINEST(L250:L509,M250:T509,TRUE,TRUE),1,4)</f>
        <v/>
      </c>
      <c r="AG509" s="9">
        <f>INDEX(LINEST(L250:L509,M250:T509,TRUE,TRUE),1,3)</f>
        <v/>
      </c>
      <c r="AH509" s="9">
        <f>INDEX(LINEST(L250:L509,M250:T509,TRUE,TRUE),1,2)</f>
        <v/>
      </c>
      <c r="AI509" s="9">
        <f>INDEX(LINEST(L250:L509,M250:T509,TRUE,TRUE),1,1)</f>
        <v/>
      </c>
      <c r="AJ509" s="10">
        <f>INDEX(LINEST(L250:L509,M250:T509,TRUE,TRUE),3,1)</f>
        <v/>
      </c>
      <c r="AK509" s="9">
        <f>AA508/52+AB508*M509+AC508*N509+AD508*O509+AE508*P509+AF508*Q509+AG508*R509+AH508*S509+AI508*T509</f>
        <v/>
      </c>
      <c r="AL509" s="9">
        <f>AVERAGE(L249:L508)</f>
        <v/>
      </c>
    </row>
    <row r="510">
      <c r="A510" s="7" t="n">
        <v>41173</v>
      </c>
      <c r="B510" s="8" t="n">
        <v>1784.5</v>
      </c>
      <c r="C510" s="8" t="n">
        <v>2.48</v>
      </c>
      <c r="D510" s="8" t="n">
        <v>-0.71</v>
      </c>
      <c r="E510" s="8" t="n">
        <v>79.33000199999999</v>
      </c>
      <c r="F510" s="8" t="n">
        <v>92.64</v>
      </c>
      <c r="G510" s="8" t="n">
        <v>13.98</v>
      </c>
      <c r="H510" s="8" t="n">
        <v>59.599998</v>
      </c>
      <c r="I510" s="8" t="n">
        <v>1460.150024</v>
      </c>
      <c r="J510" s="8" t="n">
        <v>77.063766</v>
      </c>
      <c r="L510" s="9">
        <f>LN(B510/B509)</f>
        <v/>
      </c>
      <c r="M510" s="9">
        <f>$M$1*(C510-C509)</f>
        <v/>
      </c>
      <c r="N510" s="9">
        <f>$N$1*(D510-D509)</f>
        <v/>
      </c>
      <c r="O510" s="9">
        <f>$O$1*LN(E510/E509)</f>
        <v/>
      </c>
      <c r="P510" s="9">
        <f>$P$1*LN(F510/F509)</f>
        <v/>
      </c>
      <c r="Q510" s="9">
        <f>$Q$1*(G510-G509)</f>
        <v/>
      </c>
      <c r="R510" s="9">
        <f>$R$1*(H510-H509)</f>
        <v/>
      </c>
      <c r="S510" s="9">
        <f>$S$1*LN(I510/I509)</f>
        <v/>
      </c>
      <c r="T510" s="9">
        <f>$T$1*LN(J510/J509)</f>
        <v/>
      </c>
      <c r="U510" s="9">
        <f>$W$12+$W$4*M510+$W$5*N510+$W$6*O510+$W$7*P510+$W$8*Q510+$W$9*R510+$W$10*S510+$W$11*T510</f>
        <v/>
      </c>
      <c r="AA510" s="10">
        <f>INDEX(LINEST(L251:L510,M251:T510,TRUE,TRUE),1,9)*52</f>
        <v/>
      </c>
      <c r="AB510" s="9">
        <f>INDEX(LINEST(L251:L510,M251:T510,TRUE,TRUE),1,8)</f>
        <v/>
      </c>
      <c r="AC510" s="9">
        <f>INDEX(LINEST(L251:L510,M251:T510,TRUE,TRUE),1,7)</f>
        <v/>
      </c>
      <c r="AD510" s="9">
        <f>INDEX(LINEST(L251:L510,M251:T510,TRUE,TRUE),1,6)</f>
        <v/>
      </c>
      <c r="AE510" s="9">
        <f>INDEX(LINEST(L251:L510,M251:T510,TRUE,TRUE),1,5)</f>
        <v/>
      </c>
      <c r="AF510" s="9">
        <f>INDEX(LINEST(L251:L510,M251:T510,TRUE,TRUE),1,4)</f>
        <v/>
      </c>
      <c r="AG510" s="9">
        <f>INDEX(LINEST(L251:L510,M251:T510,TRUE,TRUE),1,3)</f>
        <v/>
      </c>
      <c r="AH510" s="9">
        <f>INDEX(LINEST(L251:L510,M251:T510,TRUE,TRUE),1,2)</f>
        <v/>
      </c>
      <c r="AI510" s="9">
        <f>INDEX(LINEST(L251:L510,M251:T510,TRUE,TRUE),1,1)</f>
        <v/>
      </c>
      <c r="AJ510" s="10">
        <f>INDEX(LINEST(L251:L510,M251:T510,TRUE,TRUE),3,1)</f>
        <v/>
      </c>
      <c r="AK510" s="9">
        <f>AA509/52+AB509*M510+AC509*N510+AD509*O510+AE509*P510+AF509*Q510+AG509*R510+AH509*S510+AI509*T510</f>
        <v/>
      </c>
      <c r="AL510" s="9">
        <f>AVERAGE(L250:L509)</f>
        <v/>
      </c>
    </row>
    <row r="511">
      <c r="A511" s="7" t="n">
        <v>41180</v>
      </c>
      <c r="B511" s="8" t="n">
        <v>1776</v>
      </c>
      <c r="C511" s="8" t="n">
        <v>2.42</v>
      </c>
      <c r="D511" s="8" t="n">
        <v>-0.77</v>
      </c>
      <c r="E511" s="8" t="n">
        <v>79.94000200000001</v>
      </c>
      <c r="F511" s="8" t="n">
        <v>92.18000000000001</v>
      </c>
      <c r="G511" s="8" t="n">
        <v>15.73</v>
      </c>
      <c r="H511" s="8" t="n">
        <v>60.470001</v>
      </c>
      <c r="I511" s="8" t="n">
        <v>1440.670044</v>
      </c>
      <c r="J511" s="8" t="n">
        <v>77.40801999999999</v>
      </c>
      <c r="L511" s="9">
        <f>LN(B511/B510)</f>
        <v/>
      </c>
      <c r="M511" s="9">
        <f>$M$1*(C511-C510)</f>
        <v/>
      </c>
      <c r="N511" s="9">
        <f>$N$1*(D511-D510)</f>
        <v/>
      </c>
      <c r="O511" s="9">
        <f>$O$1*LN(E511/E510)</f>
        <v/>
      </c>
      <c r="P511" s="9">
        <f>$P$1*LN(F511/F510)</f>
        <v/>
      </c>
      <c r="Q511" s="9">
        <f>$Q$1*(G511-G510)</f>
        <v/>
      </c>
      <c r="R511" s="9">
        <f>$R$1*(H511-H510)</f>
        <v/>
      </c>
      <c r="S511" s="9">
        <f>$S$1*LN(I511/I510)</f>
        <v/>
      </c>
      <c r="T511" s="9">
        <f>$T$1*LN(J511/J510)</f>
        <v/>
      </c>
      <c r="U511" s="9">
        <f>$W$12+$W$4*M511+$W$5*N511+$W$6*O511+$W$7*P511+$W$8*Q511+$W$9*R511+$W$10*S511+$W$11*T511</f>
        <v/>
      </c>
      <c r="AA511" s="10">
        <f>INDEX(LINEST(L252:L511,M252:T511,TRUE,TRUE),1,9)*52</f>
        <v/>
      </c>
      <c r="AB511" s="9">
        <f>INDEX(LINEST(L252:L511,M252:T511,TRUE,TRUE),1,8)</f>
        <v/>
      </c>
      <c r="AC511" s="9">
        <f>INDEX(LINEST(L252:L511,M252:T511,TRUE,TRUE),1,7)</f>
        <v/>
      </c>
      <c r="AD511" s="9">
        <f>INDEX(LINEST(L252:L511,M252:T511,TRUE,TRUE),1,6)</f>
        <v/>
      </c>
      <c r="AE511" s="9">
        <f>INDEX(LINEST(L252:L511,M252:T511,TRUE,TRUE),1,5)</f>
        <v/>
      </c>
      <c r="AF511" s="9">
        <f>INDEX(LINEST(L252:L511,M252:T511,TRUE,TRUE),1,4)</f>
        <v/>
      </c>
      <c r="AG511" s="9">
        <f>INDEX(LINEST(L252:L511,M252:T511,TRUE,TRUE),1,3)</f>
        <v/>
      </c>
      <c r="AH511" s="9">
        <f>INDEX(LINEST(L252:L511,M252:T511,TRUE,TRUE),1,2)</f>
        <v/>
      </c>
      <c r="AI511" s="9">
        <f>INDEX(LINEST(L252:L511,M252:T511,TRUE,TRUE),1,1)</f>
        <v/>
      </c>
      <c r="AJ511" s="10">
        <f>INDEX(LINEST(L252:L511,M252:T511,TRUE,TRUE),3,1)</f>
        <v/>
      </c>
      <c r="AK511" s="9">
        <f>AA510/52+AB510*M511+AC510*N511+AD510*O511+AE510*P511+AF510*Q511+AG510*R511+AH510*S511+AI510*T511</f>
        <v/>
      </c>
      <c r="AL511" s="9">
        <f>AVERAGE(L251:L510)</f>
        <v/>
      </c>
    </row>
    <row r="512">
      <c r="A512" s="7" t="n">
        <v>41187</v>
      </c>
      <c r="B512" s="8" t="n">
        <v>1784</v>
      </c>
      <c r="C512" s="8" t="n">
        <v>2.57</v>
      </c>
      <c r="D512" s="8" t="n">
        <v>-0.82</v>
      </c>
      <c r="E512" s="8" t="n">
        <v>79.339996</v>
      </c>
      <c r="F512" s="8" t="n">
        <v>89.87</v>
      </c>
      <c r="G512" s="8" t="n">
        <v>14.33</v>
      </c>
      <c r="H512" s="8" t="n">
        <v>60.400002</v>
      </c>
      <c r="I512" s="8" t="n">
        <v>1460.930054</v>
      </c>
      <c r="J512" s="8" t="n">
        <v>77.143845</v>
      </c>
      <c r="L512" s="9">
        <f>LN(B512/B511)</f>
        <v/>
      </c>
      <c r="M512" s="9">
        <f>$M$1*(C512-C511)</f>
        <v/>
      </c>
      <c r="N512" s="9">
        <f>$N$1*(D512-D511)</f>
        <v/>
      </c>
      <c r="O512" s="9">
        <f>$O$1*LN(E512/E511)</f>
        <v/>
      </c>
      <c r="P512" s="9">
        <f>$P$1*LN(F512/F511)</f>
        <v/>
      </c>
      <c r="Q512" s="9">
        <f>$Q$1*(G512-G511)</f>
        <v/>
      </c>
      <c r="R512" s="9">
        <f>$R$1*(H512-H511)</f>
        <v/>
      </c>
      <c r="S512" s="9">
        <f>$S$1*LN(I512/I511)</f>
        <v/>
      </c>
      <c r="T512" s="9">
        <f>$T$1*LN(J512/J511)</f>
        <v/>
      </c>
      <c r="U512" s="9">
        <f>$W$12+$W$4*M512+$W$5*N512+$W$6*O512+$W$7*P512+$W$8*Q512+$W$9*R512+$W$10*S512+$W$11*T512</f>
        <v/>
      </c>
      <c r="AA512" s="10">
        <f>INDEX(LINEST(L253:L512,M253:T512,TRUE,TRUE),1,9)*52</f>
        <v/>
      </c>
      <c r="AB512" s="9">
        <f>INDEX(LINEST(L253:L512,M253:T512,TRUE,TRUE),1,8)</f>
        <v/>
      </c>
      <c r="AC512" s="9">
        <f>INDEX(LINEST(L253:L512,M253:T512,TRUE,TRUE),1,7)</f>
        <v/>
      </c>
      <c r="AD512" s="9">
        <f>INDEX(LINEST(L253:L512,M253:T512,TRUE,TRUE),1,6)</f>
        <v/>
      </c>
      <c r="AE512" s="9">
        <f>INDEX(LINEST(L253:L512,M253:T512,TRUE,TRUE),1,5)</f>
        <v/>
      </c>
      <c r="AF512" s="9">
        <f>INDEX(LINEST(L253:L512,M253:T512,TRUE,TRUE),1,4)</f>
        <v/>
      </c>
      <c r="AG512" s="9">
        <f>INDEX(LINEST(L253:L512,M253:T512,TRUE,TRUE),1,3)</f>
        <v/>
      </c>
      <c r="AH512" s="9">
        <f>INDEX(LINEST(L253:L512,M253:T512,TRUE,TRUE),1,2)</f>
        <v/>
      </c>
      <c r="AI512" s="9">
        <f>INDEX(LINEST(L253:L512,M253:T512,TRUE,TRUE),1,1)</f>
        <v/>
      </c>
      <c r="AJ512" s="10">
        <f>INDEX(LINEST(L253:L512,M253:T512,TRUE,TRUE),3,1)</f>
        <v/>
      </c>
      <c r="AK512" s="9">
        <f>AA511/52+AB511*M512+AC511*N512+AD511*O512+AE511*P512+AF511*Q512+AG511*R512+AH511*S512+AI511*T512</f>
        <v/>
      </c>
      <c r="AL512" s="9">
        <f>AVERAGE(L252:L511)</f>
        <v/>
      </c>
    </row>
    <row r="513">
      <c r="A513" s="7" t="n">
        <v>41194</v>
      </c>
      <c r="B513" s="8" t="n">
        <v>1766.75</v>
      </c>
      <c r="C513" s="8" t="n">
        <v>2.47</v>
      </c>
      <c r="D513" s="8" t="n">
        <v>-0.78</v>
      </c>
      <c r="E513" s="8" t="n">
        <v>79.69000200000001</v>
      </c>
      <c r="F513" s="8" t="n">
        <v>91.83</v>
      </c>
      <c r="G513" s="8" t="n">
        <v>16.14</v>
      </c>
      <c r="H513" s="8" t="n">
        <v>61.400002</v>
      </c>
      <c r="I513" s="8" t="n">
        <v>1428.589966</v>
      </c>
      <c r="J513" s="8" t="n">
        <v>77.46109800000001</v>
      </c>
      <c r="L513" s="9">
        <f>LN(B513/B512)</f>
        <v/>
      </c>
      <c r="M513" s="9">
        <f>$M$1*(C513-C512)</f>
        <v/>
      </c>
      <c r="N513" s="9">
        <f>$N$1*(D513-D512)</f>
        <v/>
      </c>
      <c r="O513" s="9">
        <f>$O$1*LN(E513/E512)</f>
        <v/>
      </c>
      <c r="P513" s="9">
        <f>$P$1*LN(F513/F512)</f>
        <v/>
      </c>
      <c r="Q513" s="9">
        <f>$Q$1*(G513-G512)</f>
        <v/>
      </c>
      <c r="R513" s="9">
        <f>$R$1*(H513-H512)</f>
        <v/>
      </c>
      <c r="S513" s="9">
        <f>$S$1*LN(I513/I512)</f>
        <v/>
      </c>
      <c r="T513" s="9">
        <f>$T$1*LN(J513/J512)</f>
        <v/>
      </c>
      <c r="U513" s="9">
        <f>$W$12+$W$4*M513+$W$5*N513+$W$6*O513+$W$7*P513+$W$8*Q513+$W$9*R513+$W$10*S513+$W$11*T513</f>
        <v/>
      </c>
      <c r="AA513" s="10">
        <f>INDEX(LINEST(L254:L513,M254:T513,TRUE,TRUE),1,9)*52</f>
        <v/>
      </c>
      <c r="AB513" s="9">
        <f>INDEX(LINEST(L254:L513,M254:T513,TRUE,TRUE),1,8)</f>
        <v/>
      </c>
      <c r="AC513" s="9">
        <f>INDEX(LINEST(L254:L513,M254:T513,TRUE,TRUE),1,7)</f>
        <v/>
      </c>
      <c r="AD513" s="9">
        <f>INDEX(LINEST(L254:L513,M254:T513,TRUE,TRUE),1,6)</f>
        <v/>
      </c>
      <c r="AE513" s="9">
        <f>INDEX(LINEST(L254:L513,M254:T513,TRUE,TRUE),1,5)</f>
        <v/>
      </c>
      <c r="AF513" s="9">
        <f>INDEX(LINEST(L254:L513,M254:T513,TRUE,TRUE),1,4)</f>
        <v/>
      </c>
      <c r="AG513" s="9">
        <f>INDEX(LINEST(L254:L513,M254:T513,TRUE,TRUE),1,3)</f>
        <v/>
      </c>
      <c r="AH513" s="9">
        <f>INDEX(LINEST(L254:L513,M254:T513,TRUE,TRUE),1,2)</f>
        <v/>
      </c>
      <c r="AI513" s="9">
        <f>INDEX(LINEST(L254:L513,M254:T513,TRUE,TRUE),1,1)</f>
        <v/>
      </c>
      <c r="AJ513" s="10">
        <f>INDEX(LINEST(L254:L513,M254:T513,TRUE,TRUE),3,1)</f>
        <v/>
      </c>
      <c r="AK513" s="9">
        <f>AA512/52+AB512*M513+AC512*N513+AD512*O513+AE512*P513+AF512*Q513+AG512*R513+AH512*S513+AI512*T513</f>
        <v/>
      </c>
      <c r="AL513" s="9">
        <f>AVERAGE(L253:L512)</f>
        <v/>
      </c>
    </row>
    <row r="514">
      <c r="A514" s="7" t="n">
        <v>41201</v>
      </c>
      <c r="B514" s="8" t="n">
        <v>1737</v>
      </c>
      <c r="C514" s="8" t="n">
        <v>2.5</v>
      </c>
      <c r="D514" s="8" t="n">
        <v>-0.71</v>
      </c>
      <c r="E514" s="8" t="n">
        <v>79.639999</v>
      </c>
      <c r="F514" s="8" t="n">
        <v>90</v>
      </c>
      <c r="G514" s="8" t="n">
        <v>17.06</v>
      </c>
      <c r="H514" s="8" t="n">
        <v>68.5</v>
      </c>
      <c r="I514" s="8" t="n">
        <v>1433.189941</v>
      </c>
      <c r="J514" s="8" t="n">
        <v>77.20594</v>
      </c>
      <c r="L514" s="9">
        <f>LN(B514/B513)</f>
        <v/>
      </c>
      <c r="M514" s="9">
        <f>$M$1*(C514-C513)</f>
        <v/>
      </c>
      <c r="N514" s="9">
        <f>$N$1*(D514-D513)</f>
        <v/>
      </c>
      <c r="O514" s="9">
        <f>$O$1*LN(E514/E513)</f>
        <v/>
      </c>
      <c r="P514" s="9">
        <f>$P$1*LN(F514/F513)</f>
        <v/>
      </c>
      <c r="Q514" s="9">
        <f>$Q$1*(G514-G513)</f>
        <v/>
      </c>
      <c r="R514" s="9">
        <f>$R$1*(H514-H513)</f>
        <v/>
      </c>
      <c r="S514" s="9">
        <f>$S$1*LN(I514/I513)</f>
        <v/>
      </c>
      <c r="T514" s="9">
        <f>$T$1*LN(J514/J513)</f>
        <v/>
      </c>
      <c r="U514" s="9">
        <f>$W$12+$W$4*M514+$W$5*N514+$W$6*O514+$W$7*P514+$W$8*Q514+$W$9*R514+$W$10*S514+$W$11*T514</f>
        <v/>
      </c>
      <c r="AA514" s="10">
        <f>INDEX(LINEST(L255:L514,M255:T514,TRUE,TRUE),1,9)*52</f>
        <v/>
      </c>
      <c r="AB514" s="9">
        <f>INDEX(LINEST(L255:L514,M255:T514,TRUE,TRUE),1,8)</f>
        <v/>
      </c>
      <c r="AC514" s="9">
        <f>INDEX(LINEST(L255:L514,M255:T514,TRUE,TRUE),1,7)</f>
        <v/>
      </c>
      <c r="AD514" s="9">
        <f>INDEX(LINEST(L255:L514,M255:T514,TRUE,TRUE),1,6)</f>
        <v/>
      </c>
      <c r="AE514" s="9">
        <f>INDEX(LINEST(L255:L514,M255:T514,TRUE,TRUE),1,5)</f>
        <v/>
      </c>
      <c r="AF514" s="9">
        <f>INDEX(LINEST(L255:L514,M255:T514,TRUE,TRUE),1,4)</f>
        <v/>
      </c>
      <c r="AG514" s="9">
        <f>INDEX(LINEST(L255:L514,M255:T514,TRUE,TRUE),1,3)</f>
        <v/>
      </c>
      <c r="AH514" s="9">
        <f>INDEX(LINEST(L255:L514,M255:T514,TRUE,TRUE),1,2)</f>
        <v/>
      </c>
      <c r="AI514" s="9">
        <f>INDEX(LINEST(L255:L514,M255:T514,TRUE,TRUE),1,1)</f>
        <v/>
      </c>
      <c r="AJ514" s="10">
        <f>INDEX(LINEST(L255:L514,M255:T514,TRUE,TRUE),3,1)</f>
        <v/>
      </c>
      <c r="AK514" s="9">
        <f>AA513/52+AB513*M514+AC513*N514+AD513*O514+AE513*P514+AF513*Q514+AG513*R514+AH513*S514+AI513*T514</f>
        <v/>
      </c>
      <c r="AL514" s="9">
        <f>AVERAGE(L254:L513)</f>
        <v/>
      </c>
    </row>
    <row r="515">
      <c r="A515" s="7" t="n">
        <v>41208</v>
      </c>
      <c r="B515" s="8" t="n">
        <v>1716</v>
      </c>
      <c r="C515" s="8" t="n">
        <v>2.47</v>
      </c>
      <c r="D515" s="8" t="n">
        <v>-0.6899999999999999</v>
      </c>
      <c r="E515" s="8" t="n">
        <v>80.06999999999999</v>
      </c>
      <c r="F515" s="8" t="n">
        <v>85.84</v>
      </c>
      <c r="G515" s="8" t="n">
        <v>17.81</v>
      </c>
      <c r="H515" s="8" t="n">
        <v>73</v>
      </c>
      <c r="I515" s="8" t="n">
        <v>1411.939941</v>
      </c>
      <c r="J515" s="8" t="n">
        <v>77.261093</v>
      </c>
      <c r="L515" s="9">
        <f>LN(B515/B514)</f>
        <v/>
      </c>
      <c r="M515" s="9">
        <f>$M$1*(C515-C514)</f>
        <v/>
      </c>
      <c r="N515" s="9">
        <f>$N$1*(D515-D514)</f>
        <v/>
      </c>
      <c r="O515" s="9">
        <f>$O$1*LN(E515/E514)</f>
        <v/>
      </c>
      <c r="P515" s="9">
        <f>$P$1*LN(F515/F514)</f>
        <v/>
      </c>
      <c r="Q515" s="9">
        <f>$Q$1*(G515-G514)</f>
        <v/>
      </c>
      <c r="R515" s="9">
        <f>$R$1*(H515-H514)</f>
        <v/>
      </c>
      <c r="S515" s="9">
        <f>$S$1*LN(I515/I514)</f>
        <v/>
      </c>
      <c r="T515" s="9">
        <f>$T$1*LN(J515/J514)</f>
        <v/>
      </c>
      <c r="U515" s="9">
        <f>$W$12+$W$4*M515+$W$5*N515+$W$6*O515+$W$7*P515+$W$8*Q515+$W$9*R515+$W$10*S515+$W$11*T515</f>
        <v/>
      </c>
      <c r="AA515" s="10">
        <f>INDEX(LINEST(L256:L515,M256:T515,TRUE,TRUE),1,9)*52</f>
        <v/>
      </c>
      <c r="AB515" s="9">
        <f>INDEX(LINEST(L256:L515,M256:T515,TRUE,TRUE),1,8)</f>
        <v/>
      </c>
      <c r="AC515" s="9">
        <f>INDEX(LINEST(L256:L515,M256:T515,TRUE,TRUE),1,7)</f>
        <v/>
      </c>
      <c r="AD515" s="9">
        <f>INDEX(LINEST(L256:L515,M256:T515,TRUE,TRUE),1,6)</f>
        <v/>
      </c>
      <c r="AE515" s="9">
        <f>INDEX(LINEST(L256:L515,M256:T515,TRUE,TRUE),1,5)</f>
        <v/>
      </c>
      <c r="AF515" s="9">
        <f>INDEX(LINEST(L256:L515,M256:T515,TRUE,TRUE),1,4)</f>
        <v/>
      </c>
      <c r="AG515" s="9">
        <f>INDEX(LINEST(L256:L515,M256:T515,TRUE,TRUE),1,3)</f>
        <v/>
      </c>
      <c r="AH515" s="9">
        <f>INDEX(LINEST(L256:L515,M256:T515,TRUE,TRUE),1,2)</f>
        <v/>
      </c>
      <c r="AI515" s="9">
        <f>INDEX(LINEST(L256:L515,M256:T515,TRUE,TRUE),1,1)</f>
        <v/>
      </c>
      <c r="AJ515" s="10">
        <f>INDEX(LINEST(L256:L515,M256:T515,TRUE,TRUE),3,1)</f>
        <v/>
      </c>
      <c r="AK515" s="9">
        <f>AA514/52+AB514*M515+AC514*N515+AD514*O515+AE514*P515+AF514*Q515+AG514*R515+AH514*S515+AI514*T515</f>
        <v/>
      </c>
      <c r="AL515" s="9">
        <f>AVERAGE(L255:L514)</f>
        <v/>
      </c>
    </row>
    <row r="516">
      <c r="A516" s="7" t="n">
        <v>41215</v>
      </c>
      <c r="B516" s="8" t="n">
        <v>1685</v>
      </c>
      <c r="C516" s="8" t="n">
        <v>2.48</v>
      </c>
      <c r="D516" s="8" t="n">
        <v>-0.73</v>
      </c>
      <c r="E516" s="8" t="n">
        <v>80.589996</v>
      </c>
      <c r="F516" s="8" t="n">
        <v>84.90000000000001</v>
      </c>
      <c r="G516" s="8" t="n">
        <v>17.59</v>
      </c>
      <c r="H516" s="8" t="n">
        <v>72.300003</v>
      </c>
      <c r="I516" s="8" t="n">
        <v>1414.199951</v>
      </c>
      <c r="J516" s="8" t="n">
        <v>77.31822200000001</v>
      </c>
      <c r="L516" s="9">
        <f>LN(B516/B515)</f>
        <v/>
      </c>
      <c r="M516" s="9">
        <f>$M$1*(C516-C515)</f>
        <v/>
      </c>
      <c r="N516" s="9">
        <f>$N$1*(D516-D515)</f>
        <v/>
      </c>
      <c r="O516" s="9">
        <f>$O$1*LN(E516/E515)</f>
        <v/>
      </c>
      <c r="P516" s="9">
        <f>$P$1*LN(F516/F515)</f>
        <v/>
      </c>
      <c r="Q516" s="9">
        <f>$Q$1*(G516-G515)</f>
        <v/>
      </c>
      <c r="R516" s="9">
        <f>$R$1*(H516-H515)</f>
        <v/>
      </c>
      <c r="S516" s="9">
        <f>$S$1*LN(I516/I515)</f>
        <v/>
      </c>
      <c r="T516" s="9">
        <f>$T$1*LN(J516/J515)</f>
        <v/>
      </c>
      <c r="U516" s="9">
        <f>$W$12+$W$4*M516+$W$5*N516+$W$6*O516+$W$7*P516+$W$8*Q516+$W$9*R516+$W$10*S516+$W$11*T516</f>
        <v/>
      </c>
      <c r="AA516" s="10">
        <f>INDEX(LINEST(L257:L516,M257:T516,TRUE,TRUE),1,9)*52</f>
        <v/>
      </c>
      <c r="AB516" s="9">
        <f>INDEX(LINEST(L257:L516,M257:T516,TRUE,TRUE),1,8)</f>
        <v/>
      </c>
      <c r="AC516" s="9">
        <f>INDEX(LINEST(L257:L516,M257:T516,TRUE,TRUE),1,7)</f>
        <v/>
      </c>
      <c r="AD516" s="9">
        <f>INDEX(LINEST(L257:L516,M257:T516,TRUE,TRUE),1,6)</f>
        <v/>
      </c>
      <c r="AE516" s="9">
        <f>INDEX(LINEST(L257:L516,M257:T516,TRUE,TRUE),1,5)</f>
        <v/>
      </c>
      <c r="AF516" s="9">
        <f>INDEX(LINEST(L257:L516,M257:T516,TRUE,TRUE),1,4)</f>
        <v/>
      </c>
      <c r="AG516" s="9">
        <f>INDEX(LINEST(L257:L516,M257:T516,TRUE,TRUE),1,3)</f>
        <v/>
      </c>
      <c r="AH516" s="9">
        <f>INDEX(LINEST(L257:L516,M257:T516,TRUE,TRUE),1,2)</f>
        <v/>
      </c>
      <c r="AI516" s="9">
        <f>INDEX(LINEST(L257:L516,M257:T516,TRUE,TRUE),1,1)</f>
        <v/>
      </c>
      <c r="AJ516" s="10">
        <f>INDEX(LINEST(L257:L516,M257:T516,TRUE,TRUE),3,1)</f>
        <v/>
      </c>
      <c r="AK516" s="9">
        <f>AA515/52+AB515*M516+AC515*N516+AD515*O516+AE515*P516+AF515*Q516+AG515*R516+AH515*S516+AI515*T516</f>
        <v/>
      </c>
      <c r="AL516" s="9">
        <f>AVERAGE(L256:L515)</f>
        <v/>
      </c>
    </row>
    <row r="517">
      <c r="A517" s="7" t="n">
        <v>41222</v>
      </c>
      <c r="B517" s="8" t="n">
        <v>1738.25</v>
      </c>
      <c r="C517" s="8" t="n">
        <v>2.44</v>
      </c>
      <c r="D517" s="8" t="n">
        <v>-0.83</v>
      </c>
      <c r="E517" s="8" t="n">
        <v>81.029999</v>
      </c>
      <c r="F517" s="8" t="n">
        <v>86.08</v>
      </c>
      <c r="G517" s="8" t="n">
        <v>18.61</v>
      </c>
      <c r="H517" s="8" t="n">
        <v>59.099998</v>
      </c>
      <c r="I517" s="8" t="n">
        <v>1379.849976</v>
      </c>
      <c r="J517" s="8" t="n">
        <v>77.46333300000001</v>
      </c>
      <c r="L517" s="9">
        <f>LN(B517/B516)</f>
        <v/>
      </c>
      <c r="M517" s="9">
        <f>$M$1*(C517-C516)</f>
        <v/>
      </c>
      <c r="N517" s="9">
        <f>$N$1*(D517-D516)</f>
        <v/>
      </c>
      <c r="O517" s="9">
        <f>$O$1*LN(E517/E516)</f>
        <v/>
      </c>
      <c r="P517" s="9">
        <f>$P$1*LN(F517/F516)</f>
        <v/>
      </c>
      <c r="Q517" s="9">
        <f>$Q$1*(G517-G516)</f>
        <v/>
      </c>
      <c r="R517" s="9">
        <f>$R$1*(H517-H516)</f>
        <v/>
      </c>
      <c r="S517" s="9">
        <f>$S$1*LN(I517/I516)</f>
        <v/>
      </c>
      <c r="T517" s="9">
        <f>$T$1*LN(J517/J516)</f>
        <v/>
      </c>
      <c r="U517" s="9">
        <f>$W$12+$W$4*M517+$W$5*N517+$W$6*O517+$W$7*P517+$W$8*Q517+$W$9*R517+$W$10*S517+$W$11*T517</f>
        <v/>
      </c>
      <c r="AA517" s="10">
        <f>INDEX(LINEST(L258:L517,M258:T517,TRUE,TRUE),1,9)*52</f>
        <v/>
      </c>
      <c r="AB517" s="9">
        <f>INDEX(LINEST(L258:L517,M258:T517,TRUE,TRUE),1,8)</f>
        <v/>
      </c>
      <c r="AC517" s="9">
        <f>INDEX(LINEST(L258:L517,M258:T517,TRUE,TRUE),1,7)</f>
        <v/>
      </c>
      <c r="AD517" s="9">
        <f>INDEX(LINEST(L258:L517,M258:T517,TRUE,TRUE),1,6)</f>
        <v/>
      </c>
      <c r="AE517" s="9">
        <f>INDEX(LINEST(L258:L517,M258:T517,TRUE,TRUE),1,5)</f>
        <v/>
      </c>
      <c r="AF517" s="9">
        <f>INDEX(LINEST(L258:L517,M258:T517,TRUE,TRUE),1,4)</f>
        <v/>
      </c>
      <c r="AG517" s="9">
        <f>INDEX(LINEST(L258:L517,M258:T517,TRUE,TRUE),1,3)</f>
        <v/>
      </c>
      <c r="AH517" s="9">
        <f>INDEX(LINEST(L258:L517,M258:T517,TRUE,TRUE),1,2)</f>
        <v/>
      </c>
      <c r="AI517" s="9">
        <f>INDEX(LINEST(L258:L517,M258:T517,TRUE,TRUE),1,1)</f>
        <v/>
      </c>
      <c r="AJ517" s="10">
        <f>INDEX(LINEST(L258:L517,M258:T517,TRUE,TRUE),3,1)</f>
        <v/>
      </c>
      <c r="AK517" s="9">
        <f>AA516/52+AB516*M517+AC516*N517+AD516*O517+AE516*P517+AF516*Q517+AG516*R517+AH516*S517+AI516*T517</f>
        <v/>
      </c>
      <c r="AL517" s="9">
        <f>AVERAGE(L257:L516)</f>
        <v/>
      </c>
    </row>
    <row r="518">
      <c r="A518" s="7" t="n">
        <v>41229</v>
      </c>
      <c r="B518" s="8" t="n">
        <v>1713.5</v>
      </c>
      <c r="C518" s="8" t="n">
        <v>2.39</v>
      </c>
      <c r="D518" s="8" t="n">
        <v>-0.8100000000000001</v>
      </c>
      <c r="E518" s="8" t="n">
        <v>81.260002</v>
      </c>
      <c r="F518" s="8" t="n">
        <v>86.62</v>
      </c>
      <c r="G518" s="8" t="n">
        <v>16.41</v>
      </c>
      <c r="H518" s="8" t="n">
        <v>54.98</v>
      </c>
      <c r="I518" s="8" t="n">
        <v>1359.880005</v>
      </c>
      <c r="J518" s="8" t="n">
        <v>77.553192</v>
      </c>
      <c r="L518" s="9">
        <f>LN(B518/B517)</f>
        <v/>
      </c>
      <c r="M518" s="9">
        <f>$M$1*(C518-C517)</f>
        <v/>
      </c>
      <c r="N518" s="9">
        <f>$N$1*(D518-D517)</f>
        <v/>
      </c>
      <c r="O518" s="9">
        <f>$O$1*LN(E518/E517)</f>
        <v/>
      </c>
      <c r="P518" s="9">
        <f>$P$1*LN(F518/F517)</f>
        <v/>
      </c>
      <c r="Q518" s="9">
        <f>$Q$1*(G518-G517)</f>
        <v/>
      </c>
      <c r="R518" s="9">
        <f>$R$1*(H518-H517)</f>
        <v/>
      </c>
      <c r="S518" s="9">
        <f>$S$1*LN(I518/I517)</f>
        <v/>
      </c>
      <c r="T518" s="9">
        <f>$T$1*LN(J518/J517)</f>
        <v/>
      </c>
      <c r="U518" s="9">
        <f>$W$12+$W$4*M518+$W$5*N518+$W$6*O518+$W$7*P518+$W$8*Q518+$W$9*R518+$W$10*S518+$W$11*T518</f>
        <v/>
      </c>
      <c r="AA518" s="10">
        <f>INDEX(LINEST(L259:L518,M259:T518,TRUE,TRUE),1,9)*52</f>
        <v/>
      </c>
      <c r="AB518" s="9">
        <f>INDEX(LINEST(L259:L518,M259:T518,TRUE,TRUE),1,8)</f>
        <v/>
      </c>
      <c r="AC518" s="9">
        <f>INDEX(LINEST(L259:L518,M259:T518,TRUE,TRUE),1,7)</f>
        <v/>
      </c>
      <c r="AD518" s="9">
        <f>INDEX(LINEST(L259:L518,M259:T518,TRUE,TRUE),1,6)</f>
        <v/>
      </c>
      <c r="AE518" s="9">
        <f>INDEX(LINEST(L259:L518,M259:T518,TRUE,TRUE),1,5)</f>
        <v/>
      </c>
      <c r="AF518" s="9">
        <f>INDEX(LINEST(L259:L518,M259:T518,TRUE,TRUE),1,4)</f>
        <v/>
      </c>
      <c r="AG518" s="9">
        <f>INDEX(LINEST(L259:L518,M259:T518,TRUE,TRUE),1,3)</f>
        <v/>
      </c>
      <c r="AH518" s="9">
        <f>INDEX(LINEST(L259:L518,M259:T518,TRUE,TRUE),1,2)</f>
        <v/>
      </c>
      <c r="AI518" s="9">
        <f>INDEX(LINEST(L259:L518,M259:T518,TRUE,TRUE),1,1)</f>
        <v/>
      </c>
      <c r="AJ518" s="10">
        <f>INDEX(LINEST(L259:L518,M259:T518,TRUE,TRUE),3,1)</f>
        <v/>
      </c>
      <c r="AK518" s="9">
        <f>AA517/52+AB517*M518+AC517*N518+AD517*O518+AE517*P518+AF517*Q518+AG517*R518+AH517*S518+AI517*T518</f>
        <v/>
      </c>
      <c r="AL518" s="9">
        <f>AVERAGE(L258:L517)</f>
        <v/>
      </c>
    </row>
    <row r="519">
      <c r="A519" s="7" t="n">
        <v>41236</v>
      </c>
      <c r="B519" s="8" t="n">
        <v>1734.5</v>
      </c>
      <c r="C519" s="8" t="n">
        <v>2.42</v>
      </c>
      <c r="D519" s="8" t="n">
        <v>-0.72</v>
      </c>
      <c r="E519" s="8" t="n">
        <v>80.19000200000001</v>
      </c>
      <c r="F519" s="8" t="n">
        <v>87.01000000000001</v>
      </c>
      <c r="G519" s="8" t="n">
        <v>15.14</v>
      </c>
      <c r="H519" s="8" t="n">
        <v>53.900002</v>
      </c>
      <c r="I519" s="8" t="n">
        <v>1409.150024</v>
      </c>
      <c r="J519" s="8" t="n">
        <v>77.38041699999999</v>
      </c>
      <c r="L519" s="9">
        <f>LN(B519/B518)</f>
        <v/>
      </c>
      <c r="M519" s="9">
        <f>$M$1*(C519-C518)</f>
        <v/>
      </c>
      <c r="N519" s="9">
        <f>$N$1*(D519-D518)</f>
        <v/>
      </c>
      <c r="O519" s="9">
        <f>$O$1*LN(E519/E518)</f>
        <v/>
      </c>
      <c r="P519" s="9">
        <f>$P$1*LN(F519/F518)</f>
        <v/>
      </c>
      <c r="Q519" s="9">
        <f>$Q$1*(G519-G518)</f>
        <v/>
      </c>
      <c r="R519" s="9">
        <f>$R$1*(H519-H518)</f>
        <v/>
      </c>
      <c r="S519" s="9">
        <f>$S$1*LN(I519/I518)</f>
        <v/>
      </c>
      <c r="T519" s="9">
        <f>$T$1*LN(J519/J518)</f>
        <v/>
      </c>
      <c r="U519" s="9">
        <f>$W$12+$W$4*M519+$W$5*N519+$W$6*O519+$W$7*P519+$W$8*Q519+$W$9*R519+$W$10*S519+$W$11*T519</f>
        <v/>
      </c>
      <c r="AA519" s="10">
        <f>INDEX(LINEST(L260:L519,M260:T519,TRUE,TRUE),1,9)*52</f>
        <v/>
      </c>
      <c r="AB519" s="9">
        <f>INDEX(LINEST(L260:L519,M260:T519,TRUE,TRUE),1,8)</f>
        <v/>
      </c>
      <c r="AC519" s="9">
        <f>INDEX(LINEST(L260:L519,M260:T519,TRUE,TRUE),1,7)</f>
        <v/>
      </c>
      <c r="AD519" s="9">
        <f>INDEX(LINEST(L260:L519,M260:T519,TRUE,TRUE),1,6)</f>
        <v/>
      </c>
      <c r="AE519" s="9">
        <f>INDEX(LINEST(L260:L519,M260:T519,TRUE,TRUE),1,5)</f>
        <v/>
      </c>
      <c r="AF519" s="9">
        <f>INDEX(LINEST(L260:L519,M260:T519,TRUE,TRUE),1,4)</f>
        <v/>
      </c>
      <c r="AG519" s="9">
        <f>INDEX(LINEST(L260:L519,M260:T519,TRUE,TRUE),1,3)</f>
        <v/>
      </c>
      <c r="AH519" s="9">
        <f>INDEX(LINEST(L260:L519,M260:T519,TRUE,TRUE),1,2)</f>
        <v/>
      </c>
      <c r="AI519" s="9">
        <f>INDEX(LINEST(L260:L519,M260:T519,TRUE,TRUE),1,1)</f>
        <v/>
      </c>
      <c r="AJ519" s="10">
        <f>INDEX(LINEST(L260:L519,M260:T519,TRUE,TRUE),3,1)</f>
        <v/>
      </c>
      <c r="AK519" s="9">
        <f>AA518/52+AB518*M519+AC518*N519+AD518*O519+AE518*P519+AF518*Q519+AG518*R519+AH518*S519+AI518*T519</f>
        <v/>
      </c>
      <c r="AL519" s="9">
        <f>AVERAGE(L259:L518)</f>
        <v/>
      </c>
    </row>
    <row r="520">
      <c r="A520" s="7" t="n">
        <v>41243</v>
      </c>
      <c r="B520" s="8" t="n">
        <v>1726</v>
      </c>
      <c r="C520" s="8" t="n">
        <v>2.41</v>
      </c>
      <c r="D520" s="8" t="n">
        <v>-0.79</v>
      </c>
      <c r="E520" s="8" t="n">
        <v>80.150002</v>
      </c>
      <c r="F520" s="8" t="n">
        <v>88.54000000000001</v>
      </c>
      <c r="G520" s="8" t="n">
        <v>15.87</v>
      </c>
      <c r="H520" s="8" t="n">
        <v>51.799999</v>
      </c>
      <c r="I520" s="8" t="n">
        <v>1416.180054</v>
      </c>
      <c r="J520" s="8" t="n">
        <v>77.580833</v>
      </c>
      <c r="L520" s="9">
        <f>LN(B520/B519)</f>
        <v/>
      </c>
      <c r="M520" s="9">
        <f>$M$1*(C520-C519)</f>
        <v/>
      </c>
      <c r="N520" s="9">
        <f>$N$1*(D520-D519)</f>
        <v/>
      </c>
      <c r="O520" s="9">
        <f>$O$1*LN(E520/E519)</f>
        <v/>
      </c>
      <c r="P520" s="9">
        <f>$P$1*LN(F520/F519)</f>
        <v/>
      </c>
      <c r="Q520" s="9">
        <f>$Q$1*(G520-G519)</f>
        <v/>
      </c>
      <c r="R520" s="9">
        <f>$R$1*(H520-H519)</f>
        <v/>
      </c>
      <c r="S520" s="9">
        <f>$S$1*LN(I520/I519)</f>
        <v/>
      </c>
      <c r="T520" s="9">
        <f>$T$1*LN(J520/J519)</f>
        <v/>
      </c>
      <c r="U520" s="9">
        <f>$W$12+$W$4*M520+$W$5*N520+$W$6*O520+$W$7*P520+$W$8*Q520+$W$9*R520+$W$10*S520+$W$11*T520</f>
        <v/>
      </c>
      <c r="AA520" s="10">
        <f>INDEX(LINEST(L261:L520,M261:T520,TRUE,TRUE),1,9)*52</f>
        <v/>
      </c>
      <c r="AB520" s="9">
        <f>INDEX(LINEST(L261:L520,M261:T520,TRUE,TRUE),1,8)</f>
        <v/>
      </c>
      <c r="AC520" s="9">
        <f>INDEX(LINEST(L261:L520,M261:T520,TRUE,TRUE),1,7)</f>
        <v/>
      </c>
      <c r="AD520" s="9">
        <f>INDEX(LINEST(L261:L520,M261:T520,TRUE,TRUE),1,6)</f>
        <v/>
      </c>
      <c r="AE520" s="9">
        <f>INDEX(LINEST(L261:L520,M261:T520,TRUE,TRUE),1,5)</f>
        <v/>
      </c>
      <c r="AF520" s="9">
        <f>INDEX(LINEST(L261:L520,M261:T520,TRUE,TRUE),1,4)</f>
        <v/>
      </c>
      <c r="AG520" s="9">
        <f>INDEX(LINEST(L261:L520,M261:T520,TRUE,TRUE),1,3)</f>
        <v/>
      </c>
      <c r="AH520" s="9">
        <f>INDEX(LINEST(L261:L520,M261:T520,TRUE,TRUE),1,2)</f>
        <v/>
      </c>
      <c r="AI520" s="9">
        <f>INDEX(LINEST(L261:L520,M261:T520,TRUE,TRUE),1,1)</f>
        <v/>
      </c>
      <c r="AJ520" s="10">
        <f>INDEX(LINEST(L261:L520,M261:T520,TRUE,TRUE),3,1)</f>
        <v/>
      </c>
      <c r="AK520" s="9">
        <f>AA519/52+AB519*M520+AC519*N520+AD519*O520+AE519*P520+AF519*Q520+AG519*R520+AH519*S520+AI519*T520</f>
        <v/>
      </c>
      <c r="AL520" s="9">
        <f>AVERAGE(L260:L519)</f>
        <v/>
      </c>
    </row>
    <row r="521">
      <c r="A521" s="7" t="n">
        <v>41250</v>
      </c>
      <c r="B521" s="8" t="n">
        <v>1701.5</v>
      </c>
      <c r="C521" s="8" t="n">
        <v>2.5</v>
      </c>
      <c r="D521" s="8" t="n">
        <v>-0.86</v>
      </c>
      <c r="E521" s="8" t="n">
        <v>80.41999800000001</v>
      </c>
      <c r="F521" s="8" t="n">
        <v>85.45</v>
      </c>
      <c r="G521" s="8" t="n">
        <v>15.9</v>
      </c>
      <c r="H521" s="8" t="n">
        <v>53.299999</v>
      </c>
      <c r="I521" s="8" t="n">
        <v>1418.069946</v>
      </c>
      <c r="J521" s="8" t="n">
        <v>77.63372</v>
      </c>
      <c r="L521" s="9">
        <f>LN(B521/B520)</f>
        <v/>
      </c>
      <c r="M521" s="9">
        <f>$M$1*(C521-C520)</f>
        <v/>
      </c>
      <c r="N521" s="9">
        <f>$N$1*(D521-D520)</f>
        <v/>
      </c>
      <c r="O521" s="9">
        <f>$O$1*LN(E521/E520)</f>
        <v/>
      </c>
      <c r="P521" s="9">
        <f>$P$1*LN(F521/F520)</f>
        <v/>
      </c>
      <c r="Q521" s="9">
        <f>$Q$1*(G521-G520)</f>
        <v/>
      </c>
      <c r="R521" s="9">
        <f>$R$1*(H521-H520)</f>
        <v/>
      </c>
      <c r="S521" s="9">
        <f>$S$1*LN(I521/I520)</f>
        <v/>
      </c>
      <c r="T521" s="9">
        <f>$T$1*LN(J521/J520)</f>
        <v/>
      </c>
      <c r="U521" s="9">
        <f>$W$12+$W$4*M521+$W$5*N521+$W$6*O521+$W$7*P521+$W$8*Q521+$W$9*R521+$W$10*S521+$W$11*T521</f>
        <v/>
      </c>
      <c r="AA521" s="10">
        <f>INDEX(LINEST(L262:L521,M262:T521,TRUE,TRUE),1,9)*52</f>
        <v/>
      </c>
      <c r="AB521" s="9">
        <f>INDEX(LINEST(L262:L521,M262:T521,TRUE,TRUE),1,8)</f>
        <v/>
      </c>
      <c r="AC521" s="9">
        <f>INDEX(LINEST(L262:L521,M262:T521,TRUE,TRUE),1,7)</f>
        <v/>
      </c>
      <c r="AD521" s="9">
        <f>INDEX(LINEST(L262:L521,M262:T521,TRUE,TRUE),1,6)</f>
        <v/>
      </c>
      <c r="AE521" s="9">
        <f>INDEX(LINEST(L262:L521,M262:T521,TRUE,TRUE),1,5)</f>
        <v/>
      </c>
      <c r="AF521" s="9">
        <f>INDEX(LINEST(L262:L521,M262:T521,TRUE,TRUE),1,4)</f>
        <v/>
      </c>
      <c r="AG521" s="9">
        <f>INDEX(LINEST(L262:L521,M262:T521,TRUE,TRUE),1,3)</f>
        <v/>
      </c>
      <c r="AH521" s="9">
        <f>INDEX(LINEST(L262:L521,M262:T521,TRUE,TRUE),1,2)</f>
        <v/>
      </c>
      <c r="AI521" s="9">
        <f>INDEX(LINEST(L262:L521,M262:T521,TRUE,TRUE),1,1)</f>
        <v/>
      </c>
      <c r="AJ521" s="10">
        <f>INDEX(LINEST(L262:L521,M262:T521,TRUE,TRUE),3,1)</f>
        <v/>
      </c>
      <c r="AK521" s="9">
        <f>AA520/52+AB520*M521+AC520*N521+AD520*O521+AE520*P521+AF520*Q521+AG520*R521+AH520*S521+AI520*T521</f>
        <v/>
      </c>
      <c r="AL521" s="9">
        <f>AVERAGE(L261:L520)</f>
        <v/>
      </c>
    </row>
    <row r="522">
      <c r="A522" s="7" t="n">
        <v>41257</v>
      </c>
      <c r="B522" s="8" t="n">
        <v>1696.25</v>
      </c>
      <c r="C522" s="8" t="n">
        <v>2.46</v>
      </c>
      <c r="D522" s="8" t="n">
        <v>-0.74</v>
      </c>
      <c r="E522" s="8" t="n">
        <v>79.599998</v>
      </c>
      <c r="F522" s="8" t="n">
        <v>86.31999999999999</v>
      </c>
      <c r="G522" s="8" t="n">
        <v>17</v>
      </c>
      <c r="H522" s="8" t="n">
        <v>52.799999</v>
      </c>
      <c r="I522" s="8" t="n">
        <v>1413.579956</v>
      </c>
      <c r="J522" s="8" t="n">
        <v>77.418167</v>
      </c>
      <c r="L522" s="9">
        <f>LN(B522/B521)</f>
        <v/>
      </c>
      <c r="M522" s="9">
        <f>$M$1*(C522-C521)</f>
        <v/>
      </c>
      <c r="N522" s="9">
        <f>$N$1*(D522-D521)</f>
        <v/>
      </c>
      <c r="O522" s="9">
        <f>$O$1*LN(E522/E521)</f>
        <v/>
      </c>
      <c r="P522" s="9">
        <f>$P$1*LN(F522/F521)</f>
        <v/>
      </c>
      <c r="Q522" s="9">
        <f>$Q$1*(G522-G521)</f>
        <v/>
      </c>
      <c r="R522" s="9">
        <f>$R$1*(H522-H521)</f>
        <v/>
      </c>
      <c r="S522" s="9">
        <f>$S$1*LN(I522/I521)</f>
        <v/>
      </c>
      <c r="T522" s="9">
        <f>$T$1*LN(J522/J521)</f>
        <v/>
      </c>
      <c r="U522" s="9">
        <f>$W$12+$W$4*M522+$W$5*N522+$W$6*O522+$W$7*P522+$W$8*Q522+$W$9*R522+$W$10*S522+$W$11*T522</f>
        <v/>
      </c>
      <c r="AA522" s="10">
        <f>INDEX(LINEST(L263:L522,M263:T522,TRUE,TRUE),1,9)*52</f>
        <v/>
      </c>
      <c r="AB522" s="9">
        <f>INDEX(LINEST(L263:L522,M263:T522,TRUE,TRUE),1,8)</f>
        <v/>
      </c>
      <c r="AC522" s="9">
        <f>INDEX(LINEST(L263:L522,M263:T522,TRUE,TRUE),1,7)</f>
        <v/>
      </c>
      <c r="AD522" s="9">
        <f>INDEX(LINEST(L263:L522,M263:T522,TRUE,TRUE),1,6)</f>
        <v/>
      </c>
      <c r="AE522" s="9">
        <f>INDEX(LINEST(L263:L522,M263:T522,TRUE,TRUE),1,5)</f>
        <v/>
      </c>
      <c r="AF522" s="9">
        <f>INDEX(LINEST(L263:L522,M263:T522,TRUE,TRUE),1,4)</f>
        <v/>
      </c>
      <c r="AG522" s="9">
        <f>INDEX(LINEST(L263:L522,M263:T522,TRUE,TRUE),1,3)</f>
        <v/>
      </c>
      <c r="AH522" s="9">
        <f>INDEX(LINEST(L263:L522,M263:T522,TRUE,TRUE),1,2)</f>
        <v/>
      </c>
      <c r="AI522" s="9">
        <f>INDEX(LINEST(L263:L522,M263:T522,TRUE,TRUE),1,1)</f>
        <v/>
      </c>
      <c r="AJ522" s="10">
        <f>INDEX(LINEST(L263:L522,M263:T522,TRUE,TRUE),3,1)</f>
        <v/>
      </c>
      <c r="AK522" s="9">
        <f>AA521/52+AB521*M522+AC521*N522+AD521*O522+AE521*P522+AF521*Q522+AG521*R522+AH521*S522+AI521*T522</f>
        <v/>
      </c>
      <c r="AL522" s="9">
        <f>AVERAGE(L262:L521)</f>
        <v/>
      </c>
    </row>
    <row r="523">
      <c r="A523" s="7" t="n">
        <v>41264</v>
      </c>
      <c r="B523" s="8" t="n">
        <v>1651.5</v>
      </c>
      <c r="C523" s="8" t="n">
        <v>2.48</v>
      </c>
      <c r="D523" s="8" t="n">
        <v>-0.71</v>
      </c>
      <c r="E523" s="8" t="n">
        <v>79.620003</v>
      </c>
      <c r="F523" s="8" t="n">
        <v>88.2</v>
      </c>
      <c r="G523" s="8" t="n">
        <v>17.84</v>
      </c>
      <c r="H523" s="8" t="n">
        <v>55.299999</v>
      </c>
      <c r="I523" s="8" t="n">
        <v>1430.150024</v>
      </c>
      <c r="J523" s="8" t="n">
        <v>77.258247</v>
      </c>
      <c r="L523" s="9">
        <f>LN(B523/B522)</f>
        <v/>
      </c>
      <c r="M523" s="9">
        <f>$M$1*(C523-C522)</f>
        <v/>
      </c>
      <c r="N523" s="9">
        <f>$N$1*(D523-D522)</f>
        <v/>
      </c>
      <c r="O523" s="9">
        <f>$O$1*LN(E523/E522)</f>
        <v/>
      </c>
      <c r="P523" s="9">
        <f>$P$1*LN(F523/F522)</f>
        <v/>
      </c>
      <c r="Q523" s="9">
        <f>$Q$1*(G523-G522)</f>
        <v/>
      </c>
      <c r="R523" s="9">
        <f>$R$1*(H523-H522)</f>
        <v/>
      </c>
      <c r="S523" s="9">
        <f>$S$1*LN(I523/I522)</f>
        <v/>
      </c>
      <c r="T523" s="9">
        <f>$T$1*LN(J523/J522)</f>
        <v/>
      </c>
      <c r="U523" s="9">
        <f>$W$12+$W$4*M523+$W$5*N523+$W$6*O523+$W$7*P523+$W$8*Q523+$W$9*R523+$W$10*S523+$W$11*T523</f>
        <v/>
      </c>
      <c r="AA523" s="10">
        <f>INDEX(LINEST(L264:L523,M264:T523,TRUE,TRUE),1,9)*52</f>
        <v/>
      </c>
      <c r="AB523" s="9">
        <f>INDEX(LINEST(L264:L523,M264:T523,TRUE,TRUE),1,8)</f>
        <v/>
      </c>
      <c r="AC523" s="9">
        <f>INDEX(LINEST(L264:L523,M264:T523,TRUE,TRUE),1,7)</f>
        <v/>
      </c>
      <c r="AD523" s="9">
        <f>INDEX(LINEST(L264:L523,M264:T523,TRUE,TRUE),1,6)</f>
        <v/>
      </c>
      <c r="AE523" s="9">
        <f>INDEX(LINEST(L264:L523,M264:T523,TRUE,TRUE),1,5)</f>
        <v/>
      </c>
      <c r="AF523" s="9">
        <f>INDEX(LINEST(L264:L523,M264:T523,TRUE,TRUE),1,4)</f>
        <v/>
      </c>
      <c r="AG523" s="9">
        <f>INDEX(LINEST(L264:L523,M264:T523,TRUE,TRUE),1,3)</f>
        <v/>
      </c>
      <c r="AH523" s="9">
        <f>INDEX(LINEST(L264:L523,M264:T523,TRUE,TRUE),1,2)</f>
        <v/>
      </c>
      <c r="AI523" s="9">
        <f>INDEX(LINEST(L264:L523,M264:T523,TRUE,TRUE),1,1)</f>
        <v/>
      </c>
      <c r="AJ523" s="10">
        <f>INDEX(LINEST(L264:L523,M264:T523,TRUE,TRUE),3,1)</f>
        <v/>
      </c>
      <c r="AK523" s="9">
        <f>AA522/52+AB522*M523+AC522*N523+AD522*O523+AE522*P523+AF522*Q523+AG522*R523+AH522*S523+AI522*T523</f>
        <v/>
      </c>
      <c r="AL523" s="9">
        <f>AVERAGE(L263:L522)</f>
        <v/>
      </c>
    </row>
    <row r="524">
      <c r="A524" s="7" t="n">
        <v>41271</v>
      </c>
      <c r="B524" s="8" t="n">
        <v>1657.5</v>
      </c>
      <c r="C524" s="8" t="n">
        <v>2.46</v>
      </c>
      <c r="D524" s="8" t="n">
        <v>-0.73</v>
      </c>
      <c r="E524" s="8" t="n">
        <v>79.68000000000001</v>
      </c>
      <c r="F524" s="8" t="n">
        <v>90.66</v>
      </c>
      <c r="G524" s="8" t="n">
        <v>22.72</v>
      </c>
      <c r="H524" s="8" t="n">
        <v>56.700001</v>
      </c>
      <c r="I524" s="8" t="n">
        <v>1402.430054</v>
      </c>
      <c r="J524" s="8" t="n">
        <v>77.529938</v>
      </c>
      <c r="L524" s="9">
        <f>LN(B524/B523)</f>
        <v/>
      </c>
      <c r="M524" s="9">
        <f>$M$1*(C524-C523)</f>
        <v/>
      </c>
      <c r="N524" s="9">
        <f>$N$1*(D524-D523)</f>
        <v/>
      </c>
      <c r="O524" s="9">
        <f>$O$1*LN(E524/E523)</f>
        <v/>
      </c>
      <c r="P524" s="9">
        <f>$P$1*LN(F524/F523)</f>
        <v/>
      </c>
      <c r="Q524" s="9">
        <f>$Q$1*(G524-G523)</f>
        <v/>
      </c>
      <c r="R524" s="9">
        <f>$R$1*(H524-H523)</f>
        <v/>
      </c>
      <c r="S524" s="9">
        <f>$S$1*LN(I524/I523)</f>
        <v/>
      </c>
      <c r="T524" s="9">
        <f>$T$1*LN(J524/J523)</f>
        <v/>
      </c>
      <c r="U524" s="9">
        <f>$W$12+$W$4*M524+$W$5*N524+$W$6*O524+$W$7*P524+$W$8*Q524+$W$9*R524+$W$10*S524+$W$11*T524</f>
        <v/>
      </c>
      <c r="AA524" s="10">
        <f>INDEX(LINEST(L265:L524,M265:T524,TRUE,TRUE),1,9)*52</f>
        <v/>
      </c>
      <c r="AB524" s="9">
        <f>INDEX(LINEST(L265:L524,M265:T524,TRUE,TRUE),1,8)</f>
        <v/>
      </c>
      <c r="AC524" s="9">
        <f>INDEX(LINEST(L265:L524,M265:T524,TRUE,TRUE),1,7)</f>
        <v/>
      </c>
      <c r="AD524" s="9">
        <f>INDEX(LINEST(L265:L524,M265:T524,TRUE,TRUE),1,6)</f>
        <v/>
      </c>
      <c r="AE524" s="9">
        <f>INDEX(LINEST(L265:L524,M265:T524,TRUE,TRUE),1,5)</f>
        <v/>
      </c>
      <c r="AF524" s="9">
        <f>INDEX(LINEST(L265:L524,M265:T524,TRUE,TRUE),1,4)</f>
        <v/>
      </c>
      <c r="AG524" s="9">
        <f>INDEX(LINEST(L265:L524,M265:T524,TRUE,TRUE),1,3)</f>
        <v/>
      </c>
      <c r="AH524" s="9">
        <f>INDEX(LINEST(L265:L524,M265:T524,TRUE,TRUE),1,2)</f>
        <v/>
      </c>
      <c r="AI524" s="9">
        <f>INDEX(LINEST(L265:L524,M265:T524,TRUE,TRUE),1,1)</f>
        <v/>
      </c>
      <c r="AJ524" s="10">
        <f>INDEX(LINEST(L265:L524,M265:T524,TRUE,TRUE),3,1)</f>
        <v/>
      </c>
      <c r="AK524" s="9">
        <f>AA523/52+AB523*M524+AC523*N524+AD523*O524+AE523*P524+AF523*Q524+AG523*R524+AH523*S524+AI523*T524</f>
        <v/>
      </c>
      <c r="AL524" s="9">
        <f>AVERAGE(L264:L523)</f>
        <v/>
      </c>
    </row>
    <row r="525">
      <c r="A525" s="7" t="n">
        <v>41278</v>
      </c>
      <c r="B525" s="8" t="n">
        <v>1648</v>
      </c>
      <c r="C525" s="8" t="n">
        <v>2.48</v>
      </c>
      <c r="D525" s="8" t="n">
        <v>-0.55</v>
      </c>
      <c r="E525" s="8" t="n">
        <v>80.5</v>
      </c>
      <c r="F525" s="8" t="n">
        <v>93.12</v>
      </c>
      <c r="G525" s="8" t="n">
        <v>13.83</v>
      </c>
      <c r="H525" s="8" t="n">
        <v>62</v>
      </c>
      <c r="I525" s="8" t="n">
        <v>1466.469971</v>
      </c>
      <c r="J525" s="8" t="n">
        <v>77.18858299999999</v>
      </c>
      <c r="L525" s="9">
        <f>LN(B525/B524)</f>
        <v/>
      </c>
      <c r="M525" s="9">
        <f>$M$1*(C525-C524)</f>
        <v/>
      </c>
      <c r="N525" s="9">
        <f>$N$1*(D525-D524)</f>
        <v/>
      </c>
      <c r="O525" s="9">
        <f>$O$1*LN(E525/E524)</f>
        <v/>
      </c>
      <c r="P525" s="9">
        <f>$P$1*LN(F525/F524)</f>
        <v/>
      </c>
      <c r="Q525" s="9">
        <f>$Q$1*(G525-G524)</f>
        <v/>
      </c>
      <c r="R525" s="9">
        <f>$R$1*(H525-H524)</f>
        <v/>
      </c>
      <c r="S525" s="9">
        <f>$S$1*LN(I525/I524)</f>
        <v/>
      </c>
      <c r="T525" s="9">
        <f>$T$1*LN(J525/J524)</f>
        <v/>
      </c>
      <c r="U525" s="9">
        <f>$W$12+$W$4*M525+$W$5*N525+$W$6*O525+$W$7*P525+$W$8*Q525+$W$9*R525+$W$10*S525+$W$11*T525</f>
        <v/>
      </c>
      <c r="AA525" s="10">
        <f>INDEX(LINEST(L266:L525,M266:T525,TRUE,TRUE),1,9)*52</f>
        <v/>
      </c>
      <c r="AB525" s="9">
        <f>INDEX(LINEST(L266:L525,M266:T525,TRUE,TRUE),1,8)</f>
        <v/>
      </c>
      <c r="AC525" s="9">
        <f>INDEX(LINEST(L266:L525,M266:T525,TRUE,TRUE),1,7)</f>
        <v/>
      </c>
      <c r="AD525" s="9">
        <f>INDEX(LINEST(L266:L525,M266:T525,TRUE,TRUE),1,6)</f>
        <v/>
      </c>
      <c r="AE525" s="9">
        <f>INDEX(LINEST(L266:L525,M266:T525,TRUE,TRUE),1,5)</f>
        <v/>
      </c>
      <c r="AF525" s="9">
        <f>INDEX(LINEST(L266:L525,M266:T525,TRUE,TRUE),1,4)</f>
        <v/>
      </c>
      <c r="AG525" s="9">
        <f>INDEX(LINEST(L266:L525,M266:T525,TRUE,TRUE),1,3)</f>
        <v/>
      </c>
      <c r="AH525" s="9">
        <f>INDEX(LINEST(L266:L525,M266:T525,TRUE,TRUE),1,2)</f>
        <v/>
      </c>
      <c r="AI525" s="9">
        <f>INDEX(LINEST(L266:L525,M266:T525,TRUE,TRUE),1,1)</f>
        <v/>
      </c>
      <c r="AJ525" s="10">
        <f>INDEX(LINEST(L266:L525,M266:T525,TRUE,TRUE),3,1)</f>
        <v/>
      </c>
      <c r="AK525" s="9">
        <f>AA524/52+AB524*M525+AC524*N525+AD524*O525+AE524*P525+AF524*Q525+AG524*R525+AH524*S525+AI524*T525</f>
        <v/>
      </c>
      <c r="AL525" s="9">
        <f>AVERAGE(L265:L524)</f>
        <v/>
      </c>
    </row>
    <row r="526">
      <c r="A526" s="7" t="n">
        <v>41285</v>
      </c>
      <c r="B526" s="8" t="n">
        <v>1657.5</v>
      </c>
      <c r="C526" s="8" t="n">
        <v>2.52</v>
      </c>
      <c r="D526" s="8" t="n">
        <v>-0.63</v>
      </c>
      <c r="E526" s="8" t="n">
        <v>79.55999799999999</v>
      </c>
      <c r="F526" s="8" t="n">
        <v>93.59999999999999</v>
      </c>
      <c r="G526" s="8" t="n">
        <v>13.36</v>
      </c>
      <c r="H526" s="8" t="n">
        <v>59.200001</v>
      </c>
      <c r="I526" s="8" t="n">
        <v>1472.050049</v>
      </c>
      <c r="J526" s="8" t="n">
        <v>77.230362</v>
      </c>
      <c r="L526" s="9">
        <f>LN(B526/B525)</f>
        <v/>
      </c>
      <c r="M526" s="9">
        <f>$M$1*(C526-C525)</f>
        <v/>
      </c>
      <c r="N526" s="9">
        <f>$N$1*(D526-D525)</f>
        <v/>
      </c>
      <c r="O526" s="9">
        <f>$O$1*LN(E526/E525)</f>
        <v/>
      </c>
      <c r="P526" s="9">
        <f>$P$1*LN(F526/F525)</f>
        <v/>
      </c>
      <c r="Q526" s="9">
        <f>$Q$1*(G526-G525)</f>
        <v/>
      </c>
      <c r="R526" s="9">
        <f>$R$1*(H526-H525)</f>
        <v/>
      </c>
      <c r="S526" s="9">
        <f>$S$1*LN(I526/I525)</f>
        <v/>
      </c>
      <c r="T526" s="9">
        <f>$T$1*LN(J526/J525)</f>
        <v/>
      </c>
      <c r="U526" s="9">
        <f>$W$12+$W$4*M526+$W$5*N526+$W$6*O526+$W$7*P526+$W$8*Q526+$W$9*R526+$W$10*S526+$W$11*T526</f>
        <v/>
      </c>
      <c r="AA526" s="10">
        <f>INDEX(LINEST(L267:L526,M267:T526,TRUE,TRUE),1,9)*52</f>
        <v/>
      </c>
      <c r="AB526" s="9">
        <f>INDEX(LINEST(L267:L526,M267:T526,TRUE,TRUE),1,8)</f>
        <v/>
      </c>
      <c r="AC526" s="9">
        <f>INDEX(LINEST(L267:L526,M267:T526,TRUE,TRUE),1,7)</f>
        <v/>
      </c>
      <c r="AD526" s="9">
        <f>INDEX(LINEST(L267:L526,M267:T526,TRUE,TRUE),1,6)</f>
        <v/>
      </c>
      <c r="AE526" s="9">
        <f>INDEX(LINEST(L267:L526,M267:T526,TRUE,TRUE),1,5)</f>
        <v/>
      </c>
      <c r="AF526" s="9">
        <f>INDEX(LINEST(L267:L526,M267:T526,TRUE,TRUE),1,4)</f>
        <v/>
      </c>
      <c r="AG526" s="9">
        <f>INDEX(LINEST(L267:L526,M267:T526,TRUE,TRUE),1,3)</f>
        <v/>
      </c>
      <c r="AH526" s="9">
        <f>INDEX(LINEST(L267:L526,M267:T526,TRUE,TRUE),1,2)</f>
        <v/>
      </c>
      <c r="AI526" s="9">
        <f>INDEX(LINEST(L267:L526,M267:T526,TRUE,TRUE),1,1)</f>
        <v/>
      </c>
      <c r="AJ526" s="10">
        <f>INDEX(LINEST(L267:L526,M267:T526,TRUE,TRUE),3,1)</f>
        <v/>
      </c>
      <c r="AK526" s="9">
        <f>AA525/52+AB525*M526+AC525*N526+AD525*O526+AE525*P526+AF525*Q526+AG525*R526+AH525*S526+AI525*T526</f>
        <v/>
      </c>
      <c r="AL526" s="9">
        <f>AVERAGE(L266:L525)</f>
        <v/>
      </c>
    </row>
    <row r="527">
      <c r="A527" s="7" t="n">
        <v>41292</v>
      </c>
      <c r="B527" s="8" t="n">
        <v>1688.5</v>
      </c>
      <c r="C527" s="8" t="n">
        <v>2.53</v>
      </c>
      <c r="D527" s="8" t="n">
        <v>-0.66</v>
      </c>
      <c r="E527" s="8" t="n">
        <v>80.050003</v>
      </c>
      <c r="F527" s="8" t="n">
        <v>95.61</v>
      </c>
      <c r="G527" s="8" t="n">
        <v>12.46</v>
      </c>
      <c r="H527" s="8" t="n">
        <v>55.849998</v>
      </c>
      <c r="I527" s="8" t="n">
        <v>1485.97998</v>
      </c>
      <c r="J527" s="8" t="n">
        <v>77.286102</v>
      </c>
      <c r="L527" s="9">
        <f>LN(B527/B526)</f>
        <v/>
      </c>
      <c r="M527" s="9">
        <f>$M$1*(C527-C526)</f>
        <v/>
      </c>
      <c r="N527" s="9">
        <f>$N$1*(D527-D526)</f>
        <v/>
      </c>
      <c r="O527" s="9">
        <f>$O$1*LN(E527/E526)</f>
        <v/>
      </c>
      <c r="P527" s="9">
        <f>$P$1*LN(F527/F526)</f>
        <v/>
      </c>
      <c r="Q527" s="9">
        <f>$Q$1*(G527-G526)</f>
        <v/>
      </c>
      <c r="R527" s="9">
        <f>$R$1*(H527-H526)</f>
        <v/>
      </c>
      <c r="S527" s="9">
        <f>$S$1*LN(I527/I526)</f>
        <v/>
      </c>
      <c r="T527" s="9">
        <f>$T$1*LN(J527/J526)</f>
        <v/>
      </c>
      <c r="U527" s="9">
        <f>$W$12+$W$4*M527+$W$5*N527+$W$6*O527+$W$7*P527+$W$8*Q527+$W$9*R527+$W$10*S527+$W$11*T527</f>
        <v/>
      </c>
      <c r="AA527" s="10">
        <f>INDEX(LINEST(L268:L527,M268:T527,TRUE,TRUE),1,9)*52</f>
        <v/>
      </c>
      <c r="AB527" s="9">
        <f>INDEX(LINEST(L268:L527,M268:T527,TRUE,TRUE),1,8)</f>
        <v/>
      </c>
      <c r="AC527" s="9">
        <f>INDEX(LINEST(L268:L527,M268:T527,TRUE,TRUE),1,7)</f>
        <v/>
      </c>
      <c r="AD527" s="9">
        <f>INDEX(LINEST(L268:L527,M268:T527,TRUE,TRUE),1,6)</f>
        <v/>
      </c>
      <c r="AE527" s="9">
        <f>INDEX(LINEST(L268:L527,M268:T527,TRUE,TRUE),1,5)</f>
        <v/>
      </c>
      <c r="AF527" s="9">
        <f>INDEX(LINEST(L268:L527,M268:T527,TRUE,TRUE),1,4)</f>
        <v/>
      </c>
      <c r="AG527" s="9">
        <f>INDEX(LINEST(L268:L527,M268:T527,TRUE,TRUE),1,3)</f>
        <v/>
      </c>
      <c r="AH527" s="9">
        <f>INDEX(LINEST(L268:L527,M268:T527,TRUE,TRUE),1,2)</f>
        <v/>
      </c>
      <c r="AI527" s="9">
        <f>INDEX(LINEST(L268:L527,M268:T527,TRUE,TRUE),1,1)</f>
        <v/>
      </c>
      <c r="AJ527" s="10">
        <f>INDEX(LINEST(L268:L527,M268:T527,TRUE,TRUE),3,1)</f>
        <v/>
      </c>
      <c r="AK527" s="9">
        <f>AA526/52+AB526*M527+AC526*N527+AD526*O527+AE526*P527+AF526*Q527+AG526*R527+AH526*S527+AI526*T527</f>
        <v/>
      </c>
      <c r="AL527" s="9">
        <f>AVERAGE(L267:L526)</f>
        <v/>
      </c>
    </row>
    <row r="528">
      <c r="A528" s="7" t="n">
        <v>41299</v>
      </c>
      <c r="B528" s="8" t="n">
        <v>1660</v>
      </c>
      <c r="C528" s="8" t="n">
        <v>2.54</v>
      </c>
      <c r="D528" s="8" t="n">
        <v>-0.5600000000000001</v>
      </c>
      <c r="E528" s="8" t="n">
        <v>79.75</v>
      </c>
      <c r="F528" s="8" t="n">
        <v>95.15000000000001</v>
      </c>
      <c r="G528" s="8" t="n">
        <v>12.89</v>
      </c>
      <c r="H528" s="8" t="n">
        <v>66.199997</v>
      </c>
      <c r="I528" s="8" t="n">
        <v>1502.959961</v>
      </c>
      <c r="J528" s="8" t="n">
        <v>77.035309</v>
      </c>
      <c r="L528" s="9">
        <f>LN(B528/B527)</f>
        <v/>
      </c>
      <c r="M528" s="9">
        <f>$M$1*(C528-C527)</f>
        <v/>
      </c>
      <c r="N528" s="9">
        <f>$N$1*(D528-D527)</f>
        <v/>
      </c>
      <c r="O528" s="9">
        <f>$O$1*LN(E528/E527)</f>
        <v/>
      </c>
      <c r="P528" s="9">
        <f>$P$1*LN(F528/F527)</f>
        <v/>
      </c>
      <c r="Q528" s="9">
        <f>$Q$1*(G528-G527)</f>
        <v/>
      </c>
      <c r="R528" s="9">
        <f>$R$1*(H528-H527)</f>
        <v/>
      </c>
      <c r="S528" s="9">
        <f>$S$1*LN(I528/I527)</f>
        <v/>
      </c>
      <c r="T528" s="9">
        <f>$T$1*LN(J528/J527)</f>
        <v/>
      </c>
      <c r="U528" s="9">
        <f>$W$12+$W$4*M528+$W$5*N528+$W$6*O528+$W$7*P528+$W$8*Q528+$W$9*R528+$W$10*S528+$W$11*T528</f>
        <v/>
      </c>
      <c r="AA528" s="10">
        <f>INDEX(LINEST(L269:L528,M269:T528,TRUE,TRUE),1,9)*52</f>
        <v/>
      </c>
      <c r="AB528" s="9">
        <f>INDEX(LINEST(L269:L528,M269:T528,TRUE,TRUE),1,8)</f>
        <v/>
      </c>
      <c r="AC528" s="9">
        <f>INDEX(LINEST(L269:L528,M269:T528,TRUE,TRUE),1,7)</f>
        <v/>
      </c>
      <c r="AD528" s="9">
        <f>INDEX(LINEST(L269:L528,M269:T528,TRUE,TRUE),1,6)</f>
        <v/>
      </c>
      <c r="AE528" s="9">
        <f>INDEX(LINEST(L269:L528,M269:T528,TRUE,TRUE),1,5)</f>
        <v/>
      </c>
      <c r="AF528" s="9">
        <f>INDEX(LINEST(L269:L528,M269:T528,TRUE,TRUE),1,4)</f>
        <v/>
      </c>
      <c r="AG528" s="9">
        <f>INDEX(LINEST(L269:L528,M269:T528,TRUE,TRUE),1,3)</f>
        <v/>
      </c>
      <c r="AH528" s="9">
        <f>INDEX(LINEST(L269:L528,M269:T528,TRUE,TRUE),1,2)</f>
        <v/>
      </c>
      <c r="AI528" s="9">
        <f>INDEX(LINEST(L269:L528,M269:T528,TRUE,TRUE),1,1)</f>
        <v/>
      </c>
      <c r="AJ528" s="10">
        <f>INDEX(LINEST(L269:L528,M269:T528,TRUE,TRUE),3,1)</f>
        <v/>
      </c>
      <c r="AK528" s="9">
        <f>AA527/52+AB527*M528+AC527*N528+AD527*O528+AE527*P528+AF527*Q528+AG527*R528+AH527*S528+AI527*T528</f>
        <v/>
      </c>
      <c r="AL528" s="9">
        <f>AVERAGE(L268:L527)</f>
        <v/>
      </c>
    </row>
    <row r="529">
      <c r="A529" s="7" t="n">
        <v>41306</v>
      </c>
      <c r="B529" s="8" t="n">
        <v>1669</v>
      </c>
      <c r="C529" s="8" t="n">
        <v>2.59</v>
      </c>
      <c r="D529" s="8" t="n">
        <v>-0.55</v>
      </c>
      <c r="E529" s="8" t="n">
        <v>79.129997</v>
      </c>
      <c r="F529" s="8" t="n">
        <v>97.45999999999999</v>
      </c>
      <c r="G529" s="8" t="n">
        <v>12.9</v>
      </c>
      <c r="H529" s="8" t="n">
        <v>65</v>
      </c>
      <c r="I529" s="8" t="n">
        <v>1513.170044</v>
      </c>
      <c r="J529" s="8" t="n">
        <v>76.743065</v>
      </c>
      <c r="L529" s="9">
        <f>LN(B529/B528)</f>
        <v/>
      </c>
      <c r="M529" s="9">
        <f>$M$1*(C529-C528)</f>
        <v/>
      </c>
      <c r="N529" s="9">
        <f>$N$1*(D529-D528)</f>
        <v/>
      </c>
      <c r="O529" s="9">
        <f>$O$1*LN(E529/E528)</f>
        <v/>
      </c>
      <c r="P529" s="9">
        <f>$P$1*LN(F529/F528)</f>
        <v/>
      </c>
      <c r="Q529" s="9">
        <f>$Q$1*(G529-G528)</f>
        <v/>
      </c>
      <c r="R529" s="9">
        <f>$R$1*(H529-H528)</f>
        <v/>
      </c>
      <c r="S529" s="9">
        <f>$S$1*LN(I529/I528)</f>
        <v/>
      </c>
      <c r="T529" s="9">
        <f>$T$1*LN(J529/J528)</f>
        <v/>
      </c>
      <c r="U529" s="9">
        <f>$W$12+$W$4*M529+$W$5*N529+$W$6*O529+$W$7*P529+$W$8*Q529+$W$9*R529+$W$10*S529+$W$11*T529</f>
        <v/>
      </c>
      <c r="AA529" s="10">
        <f>INDEX(LINEST(L270:L529,M270:T529,TRUE,TRUE),1,9)*52</f>
        <v/>
      </c>
      <c r="AB529" s="9">
        <f>INDEX(LINEST(L270:L529,M270:T529,TRUE,TRUE),1,8)</f>
        <v/>
      </c>
      <c r="AC529" s="9">
        <f>INDEX(LINEST(L270:L529,M270:T529,TRUE,TRUE),1,7)</f>
        <v/>
      </c>
      <c r="AD529" s="9">
        <f>INDEX(LINEST(L270:L529,M270:T529,TRUE,TRUE),1,6)</f>
        <v/>
      </c>
      <c r="AE529" s="9">
        <f>INDEX(LINEST(L270:L529,M270:T529,TRUE,TRUE),1,5)</f>
        <v/>
      </c>
      <c r="AF529" s="9">
        <f>INDEX(LINEST(L270:L529,M270:T529,TRUE,TRUE),1,4)</f>
        <v/>
      </c>
      <c r="AG529" s="9">
        <f>INDEX(LINEST(L270:L529,M270:T529,TRUE,TRUE),1,3)</f>
        <v/>
      </c>
      <c r="AH529" s="9">
        <f>INDEX(LINEST(L270:L529,M270:T529,TRUE,TRUE),1,2)</f>
        <v/>
      </c>
      <c r="AI529" s="9">
        <f>INDEX(LINEST(L270:L529,M270:T529,TRUE,TRUE),1,1)</f>
        <v/>
      </c>
      <c r="AJ529" s="10">
        <f>INDEX(LINEST(L270:L529,M270:T529,TRUE,TRUE),3,1)</f>
        <v/>
      </c>
      <c r="AK529" s="9">
        <f>AA528/52+AB528*M529+AC528*N529+AD528*O529+AE528*P529+AF528*Q529+AG528*R529+AH528*S529+AI528*T529</f>
        <v/>
      </c>
      <c r="AL529" s="9">
        <f>AVERAGE(L269:L528)</f>
        <v/>
      </c>
    </row>
    <row r="530">
      <c r="A530" s="7" t="n">
        <v>41313</v>
      </c>
      <c r="B530" s="8" t="n">
        <v>1668.25</v>
      </c>
      <c r="C530" s="8" t="n">
        <v>2.56</v>
      </c>
      <c r="D530" s="8" t="n">
        <v>-0.57</v>
      </c>
      <c r="E530" s="8" t="n">
        <v>80.25</v>
      </c>
      <c r="F530" s="8" t="n">
        <v>95.70999999999999</v>
      </c>
      <c r="G530" s="8" t="n">
        <v>13.02</v>
      </c>
      <c r="H530" s="8" t="n">
        <v>61.5</v>
      </c>
      <c r="I530" s="8" t="n">
        <v>1517.930054</v>
      </c>
      <c r="J530" s="8" t="n">
        <v>76.980377</v>
      </c>
      <c r="L530" s="9">
        <f>LN(B530/B529)</f>
        <v/>
      </c>
      <c r="M530" s="9">
        <f>$M$1*(C530-C529)</f>
        <v/>
      </c>
      <c r="N530" s="9">
        <f>$N$1*(D530-D529)</f>
        <v/>
      </c>
      <c r="O530" s="9">
        <f>$O$1*LN(E530/E529)</f>
        <v/>
      </c>
      <c r="P530" s="9">
        <f>$P$1*LN(F530/F529)</f>
        <v/>
      </c>
      <c r="Q530" s="9">
        <f>$Q$1*(G530-G529)</f>
        <v/>
      </c>
      <c r="R530" s="9">
        <f>$R$1*(H530-H529)</f>
        <v/>
      </c>
      <c r="S530" s="9">
        <f>$S$1*LN(I530/I529)</f>
        <v/>
      </c>
      <c r="T530" s="9">
        <f>$T$1*LN(J530/J529)</f>
        <v/>
      </c>
      <c r="U530" s="9">
        <f>$W$12+$W$4*M530+$W$5*N530+$W$6*O530+$W$7*P530+$W$8*Q530+$W$9*R530+$W$10*S530+$W$11*T530</f>
        <v/>
      </c>
      <c r="AA530" s="10">
        <f>INDEX(LINEST(L271:L530,M271:T530,TRUE,TRUE),1,9)*52</f>
        <v/>
      </c>
      <c r="AB530" s="9">
        <f>INDEX(LINEST(L271:L530,M271:T530,TRUE,TRUE),1,8)</f>
        <v/>
      </c>
      <c r="AC530" s="9">
        <f>INDEX(LINEST(L271:L530,M271:T530,TRUE,TRUE),1,7)</f>
        <v/>
      </c>
      <c r="AD530" s="9">
        <f>INDEX(LINEST(L271:L530,M271:T530,TRUE,TRUE),1,6)</f>
        <v/>
      </c>
      <c r="AE530" s="9">
        <f>INDEX(LINEST(L271:L530,M271:T530,TRUE,TRUE),1,5)</f>
        <v/>
      </c>
      <c r="AF530" s="9">
        <f>INDEX(LINEST(L271:L530,M271:T530,TRUE,TRUE),1,4)</f>
        <v/>
      </c>
      <c r="AG530" s="9">
        <f>INDEX(LINEST(L271:L530,M271:T530,TRUE,TRUE),1,3)</f>
        <v/>
      </c>
      <c r="AH530" s="9">
        <f>INDEX(LINEST(L271:L530,M271:T530,TRUE,TRUE),1,2)</f>
        <v/>
      </c>
      <c r="AI530" s="9">
        <f>INDEX(LINEST(L271:L530,M271:T530,TRUE,TRUE),1,1)</f>
        <v/>
      </c>
      <c r="AJ530" s="10">
        <f>INDEX(LINEST(L271:L530,M271:T530,TRUE,TRUE),3,1)</f>
        <v/>
      </c>
      <c r="AK530" s="9">
        <f>AA529/52+AB529*M530+AC529*N530+AD529*O530+AE529*P530+AF529*Q530+AG529*R530+AH529*S530+AI529*T530</f>
        <v/>
      </c>
      <c r="AL530" s="9">
        <f>AVERAGE(L270:L529)</f>
        <v/>
      </c>
    </row>
    <row r="531">
      <c r="A531" s="7" t="n">
        <v>41320</v>
      </c>
      <c r="B531" s="8" t="n">
        <v>1612.25</v>
      </c>
      <c r="C531" s="8" t="n">
        <v>2.54</v>
      </c>
      <c r="D531" s="8" t="n">
        <v>-0.53</v>
      </c>
      <c r="E531" s="8" t="n">
        <v>80.58000199999999</v>
      </c>
      <c r="F531" s="8" t="n">
        <v>95.95</v>
      </c>
      <c r="G531" s="8" t="n">
        <v>12.46</v>
      </c>
      <c r="H531" s="8" t="n">
        <v>59.099998</v>
      </c>
      <c r="I531" s="8" t="n">
        <v>1519.790039</v>
      </c>
      <c r="J531" s="8" t="n">
        <v>76.959442</v>
      </c>
      <c r="L531" s="9">
        <f>LN(B531/B530)</f>
        <v/>
      </c>
      <c r="M531" s="9">
        <f>$M$1*(C531-C530)</f>
        <v/>
      </c>
      <c r="N531" s="9">
        <f>$N$1*(D531-D530)</f>
        <v/>
      </c>
      <c r="O531" s="9">
        <f>$O$1*LN(E531/E530)</f>
        <v/>
      </c>
      <c r="P531" s="9">
        <f>$P$1*LN(F531/F530)</f>
        <v/>
      </c>
      <c r="Q531" s="9">
        <f>$Q$1*(G531-G530)</f>
        <v/>
      </c>
      <c r="R531" s="9">
        <f>$R$1*(H531-H530)</f>
        <v/>
      </c>
      <c r="S531" s="9">
        <f>$S$1*LN(I531/I530)</f>
        <v/>
      </c>
      <c r="T531" s="9">
        <f>$T$1*LN(J531/J530)</f>
        <v/>
      </c>
      <c r="U531" s="9">
        <f>$W$12+$W$4*M531+$W$5*N531+$W$6*O531+$W$7*P531+$W$8*Q531+$W$9*R531+$W$10*S531+$W$11*T531</f>
        <v/>
      </c>
      <c r="AA531" s="10">
        <f>INDEX(LINEST(L272:L531,M272:T531,TRUE,TRUE),1,9)*52</f>
        <v/>
      </c>
      <c r="AB531" s="9">
        <f>INDEX(LINEST(L272:L531,M272:T531,TRUE,TRUE),1,8)</f>
        <v/>
      </c>
      <c r="AC531" s="9">
        <f>INDEX(LINEST(L272:L531,M272:T531,TRUE,TRUE),1,7)</f>
        <v/>
      </c>
      <c r="AD531" s="9">
        <f>INDEX(LINEST(L272:L531,M272:T531,TRUE,TRUE),1,6)</f>
        <v/>
      </c>
      <c r="AE531" s="9">
        <f>INDEX(LINEST(L272:L531,M272:T531,TRUE,TRUE),1,5)</f>
        <v/>
      </c>
      <c r="AF531" s="9">
        <f>INDEX(LINEST(L272:L531,M272:T531,TRUE,TRUE),1,4)</f>
        <v/>
      </c>
      <c r="AG531" s="9">
        <f>INDEX(LINEST(L272:L531,M272:T531,TRUE,TRUE),1,3)</f>
        <v/>
      </c>
      <c r="AH531" s="9">
        <f>INDEX(LINEST(L272:L531,M272:T531,TRUE,TRUE),1,2)</f>
        <v/>
      </c>
      <c r="AI531" s="9">
        <f>INDEX(LINEST(L272:L531,M272:T531,TRUE,TRUE),1,1)</f>
        <v/>
      </c>
      <c r="AJ531" s="10">
        <f>INDEX(LINEST(L272:L531,M272:T531,TRUE,TRUE),3,1)</f>
        <v/>
      </c>
      <c r="AK531" s="9">
        <f>AA530/52+AB530*M531+AC530*N531+AD530*O531+AE530*P531+AF530*Q531+AG530*R531+AH530*S531+AI530*T531</f>
        <v/>
      </c>
      <c r="AL531" s="9">
        <f>AVERAGE(L271:L530)</f>
        <v/>
      </c>
    </row>
    <row r="532">
      <c r="A532" s="7" t="n">
        <v>41327</v>
      </c>
      <c r="B532" s="8" t="n">
        <v>1576.5</v>
      </c>
      <c r="C532" s="8" t="n">
        <v>2.54</v>
      </c>
      <c r="D532" s="8" t="n">
        <v>-0.57</v>
      </c>
      <c r="E532" s="8" t="n">
        <v>81.480003</v>
      </c>
      <c r="F532" s="8" t="n">
        <v>93.12</v>
      </c>
      <c r="G532" s="8" t="n">
        <v>14.17</v>
      </c>
      <c r="H532" s="8" t="n">
        <v>58.599998</v>
      </c>
      <c r="I532" s="8" t="n">
        <v>1515.599976</v>
      </c>
      <c r="J532" s="8" t="n">
        <v>77.00129699999999</v>
      </c>
      <c r="L532" s="9">
        <f>LN(B532/B531)</f>
        <v/>
      </c>
      <c r="M532" s="9">
        <f>$M$1*(C532-C531)</f>
        <v/>
      </c>
      <c r="N532" s="9">
        <f>$N$1*(D532-D531)</f>
        <v/>
      </c>
      <c r="O532" s="9">
        <f>$O$1*LN(E532/E531)</f>
        <v/>
      </c>
      <c r="P532" s="9">
        <f>$P$1*LN(F532/F531)</f>
        <v/>
      </c>
      <c r="Q532" s="9">
        <f>$Q$1*(G532-G531)</f>
        <v/>
      </c>
      <c r="R532" s="9">
        <f>$R$1*(H532-H531)</f>
        <v/>
      </c>
      <c r="S532" s="9">
        <f>$S$1*LN(I532/I531)</f>
        <v/>
      </c>
      <c r="T532" s="9">
        <f>$T$1*LN(J532/J531)</f>
        <v/>
      </c>
      <c r="U532" s="9">
        <f>$W$12+$W$4*M532+$W$5*N532+$W$6*O532+$W$7*P532+$W$8*Q532+$W$9*R532+$W$10*S532+$W$11*T532</f>
        <v/>
      </c>
      <c r="AA532" s="10">
        <f>INDEX(LINEST(L273:L532,M273:T532,TRUE,TRUE),1,9)*52</f>
        <v/>
      </c>
      <c r="AB532" s="9">
        <f>INDEX(LINEST(L273:L532,M273:T532,TRUE,TRUE),1,8)</f>
        <v/>
      </c>
      <c r="AC532" s="9">
        <f>INDEX(LINEST(L273:L532,M273:T532,TRUE,TRUE),1,7)</f>
        <v/>
      </c>
      <c r="AD532" s="9">
        <f>INDEX(LINEST(L273:L532,M273:T532,TRUE,TRUE),1,6)</f>
        <v/>
      </c>
      <c r="AE532" s="9">
        <f>INDEX(LINEST(L273:L532,M273:T532,TRUE,TRUE),1,5)</f>
        <v/>
      </c>
      <c r="AF532" s="9">
        <f>INDEX(LINEST(L273:L532,M273:T532,TRUE,TRUE),1,4)</f>
        <v/>
      </c>
      <c r="AG532" s="9">
        <f>INDEX(LINEST(L273:L532,M273:T532,TRUE,TRUE),1,3)</f>
        <v/>
      </c>
      <c r="AH532" s="9">
        <f>INDEX(LINEST(L273:L532,M273:T532,TRUE,TRUE),1,2)</f>
        <v/>
      </c>
      <c r="AI532" s="9">
        <f>INDEX(LINEST(L273:L532,M273:T532,TRUE,TRUE),1,1)</f>
        <v/>
      </c>
      <c r="AJ532" s="10">
        <f>INDEX(LINEST(L273:L532,M273:T532,TRUE,TRUE),3,1)</f>
        <v/>
      </c>
      <c r="AK532" s="9">
        <f>AA531/52+AB531*M532+AC531*N532+AD531*O532+AE531*P532+AF531*Q532+AG531*R532+AH531*S532+AI531*T532</f>
        <v/>
      </c>
      <c r="AL532" s="9">
        <f>AVERAGE(L272:L531)</f>
        <v/>
      </c>
    </row>
    <row r="533">
      <c r="A533" s="7" t="n">
        <v>41334</v>
      </c>
      <c r="B533" s="8" t="n">
        <v>1582.25</v>
      </c>
      <c r="C533" s="8" t="n">
        <v>2.53</v>
      </c>
      <c r="D533" s="8" t="n">
        <v>-0.67</v>
      </c>
      <c r="E533" s="8" t="n">
        <v>82.30999799999999</v>
      </c>
      <c r="F533" s="8" t="n">
        <v>90.70999999999999</v>
      </c>
      <c r="G533" s="8" t="n">
        <v>15.36</v>
      </c>
      <c r="H533" s="8" t="n">
        <v>55</v>
      </c>
      <c r="I533" s="8" t="n">
        <v>1518.199951</v>
      </c>
      <c r="J533" s="8" t="n">
        <v>77.39157899999999</v>
      </c>
      <c r="L533" s="9">
        <f>LN(B533/B532)</f>
        <v/>
      </c>
      <c r="M533" s="9">
        <f>$M$1*(C533-C532)</f>
        <v/>
      </c>
      <c r="N533" s="9">
        <f>$N$1*(D533-D532)</f>
        <v/>
      </c>
      <c r="O533" s="9">
        <f>$O$1*LN(E533/E532)</f>
        <v/>
      </c>
      <c r="P533" s="9">
        <f>$P$1*LN(F533/F532)</f>
        <v/>
      </c>
      <c r="Q533" s="9">
        <f>$Q$1*(G533-G532)</f>
        <v/>
      </c>
      <c r="R533" s="9">
        <f>$R$1*(H533-H532)</f>
        <v/>
      </c>
      <c r="S533" s="9">
        <f>$S$1*LN(I533/I532)</f>
        <v/>
      </c>
      <c r="T533" s="9">
        <f>$T$1*LN(J533/J532)</f>
        <v/>
      </c>
      <c r="U533" s="9">
        <f>$W$12+$W$4*M533+$W$5*N533+$W$6*O533+$W$7*P533+$W$8*Q533+$W$9*R533+$W$10*S533+$W$11*T533</f>
        <v/>
      </c>
      <c r="AA533" s="10">
        <f>INDEX(LINEST(L274:L533,M274:T533,TRUE,TRUE),1,9)*52</f>
        <v/>
      </c>
      <c r="AB533" s="9">
        <f>INDEX(LINEST(L274:L533,M274:T533,TRUE,TRUE),1,8)</f>
        <v/>
      </c>
      <c r="AC533" s="9">
        <f>INDEX(LINEST(L274:L533,M274:T533,TRUE,TRUE),1,7)</f>
        <v/>
      </c>
      <c r="AD533" s="9">
        <f>INDEX(LINEST(L274:L533,M274:T533,TRUE,TRUE),1,6)</f>
        <v/>
      </c>
      <c r="AE533" s="9">
        <f>INDEX(LINEST(L274:L533,M274:T533,TRUE,TRUE),1,5)</f>
        <v/>
      </c>
      <c r="AF533" s="9">
        <f>INDEX(LINEST(L274:L533,M274:T533,TRUE,TRUE),1,4)</f>
        <v/>
      </c>
      <c r="AG533" s="9">
        <f>INDEX(LINEST(L274:L533,M274:T533,TRUE,TRUE),1,3)</f>
        <v/>
      </c>
      <c r="AH533" s="9">
        <f>INDEX(LINEST(L274:L533,M274:T533,TRUE,TRUE),1,2)</f>
        <v/>
      </c>
      <c r="AI533" s="9">
        <f>INDEX(LINEST(L274:L533,M274:T533,TRUE,TRUE),1,1)</f>
        <v/>
      </c>
      <c r="AJ533" s="10">
        <f>INDEX(LINEST(L274:L533,M274:T533,TRUE,TRUE),3,1)</f>
        <v/>
      </c>
      <c r="AK533" s="9">
        <f>AA532/52+AB532*M533+AC532*N533+AD532*O533+AE532*P533+AF532*Q533+AG532*R533+AH532*S533+AI532*T533</f>
        <v/>
      </c>
      <c r="AL533" s="9">
        <f>AVERAGE(L273:L532)</f>
        <v/>
      </c>
    </row>
    <row r="534">
      <c r="A534" s="7" t="n">
        <v>41341</v>
      </c>
      <c r="B534" s="8" t="n">
        <v>1581.75</v>
      </c>
      <c r="C534" s="8" t="n">
        <v>2.56</v>
      </c>
      <c r="D534" s="8" t="n">
        <v>-0.5</v>
      </c>
      <c r="E534" s="8" t="n">
        <v>82.699997</v>
      </c>
      <c r="F534" s="8" t="n">
        <v>92.01000000000001</v>
      </c>
      <c r="G534" s="8" t="n">
        <v>12.59</v>
      </c>
      <c r="H534" s="8" t="n">
        <v>58.099998</v>
      </c>
      <c r="I534" s="8" t="n">
        <v>1551.180054</v>
      </c>
      <c r="J534" s="8" t="n">
        <v>76.804092</v>
      </c>
      <c r="L534" s="9">
        <f>LN(B534/B533)</f>
        <v/>
      </c>
      <c r="M534" s="9">
        <f>$M$1*(C534-C533)</f>
        <v/>
      </c>
      <c r="N534" s="9">
        <f>$N$1*(D534-D533)</f>
        <v/>
      </c>
      <c r="O534" s="9">
        <f>$O$1*LN(E534/E533)</f>
        <v/>
      </c>
      <c r="P534" s="9">
        <f>$P$1*LN(F534/F533)</f>
        <v/>
      </c>
      <c r="Q534" s="9">
        <f>$Q$1*(G534-G533)</f>
        <v/>
      </c>
      <c r="R534" s="9">
        <f>$R$1*(H534-H533)</f>
        <v/>
      </c>
      <c r="S534" s="9">
        <f>$S$1*LN(I534/I533)</f>
        <v/>
      </c>
      <c r="T534" s="9">
        <f>$T$1*LN(J534/J533)</f>
        <v/>
      </c>
      <c r="U534" s="9">
        <f>$W$12+$W$4*M534+$W$5*N534+$W$6*O534+$W$7*P534+$W$8*Q534+$W$9*R534+$W$10*S534+$W$11*T534</f>
        <v/>
      </c>
      <c r="AA534" s="10">
        <f>INDEX(LINEST(L275:L534,M275:T534,TRUE,TRUE),1,9)*52</f>
        <v/>
      </c>
      <c r="AB534" s="9">
        <f>INDEX(LINEST(L275:L534,M275:T534,TRUE,TRUE),1,8)</f>
        <v/>
      </c>
      <c r="AC534" s="9">
        <f>INDEX(LINEST(L275:L534,M275:T534,TRUE,TRUE),1,7)</f>
        <v/>
      </c>
      <c r="AD534" s="9">
        <f>INDEX(LINEST(L275:L534,M275:T534,TRUE,TRUE),1,6)</f>
        <v/>
      </c>
      <c r="AE534" s="9">
        <f>INDEX(LINEST(L275:L534,M275:T534,TRUE,TRUE),1,5)</f>
        <v/>
      </c>
      <c r="AF534" s="9">
        <f>INDEX(LINEST(L275:L534,M275:T534,TRUE,TRUE),1,4)</f>
        <v/>
      </c>
      <c r="AG534" s="9">
        <f>INDEX(LINEST(L275:L534,M275:T534,TRUE,TRUE),1,3)</f>
        <v/>
      </c>
      <c r="AH534" s="9">
        <f>INDEX(LINEST(L275:L534,M275:T534,TRUE,TRUE),1,2)</f>
        <v/>
      </c>
      <c r="AI534" s="9">
        <f>INDEX(LINEST(L275:L534,M275:T534,TRUE,TRUE),1,1)</f>
        <v/>
      </c>
      <c r="AJ534" s="10">
        <f>INDEX(LINEST(L275:L534,M275:T534,TRUE,TRUE),3,1)</f>
        <v/>
      </c>
      <c r="AK534" s="9">
        <f>AA533/52+AB533*M534+AC533*N534+AD533*O534+AE533*P534+AF533*Q534+AG533*R534+AH533*S534+AI533*T534</f>
        <v/>
      </c>
      <c r="AL534" s="9">
        <f>AVERAGE(L274:L533)</f>
        <v/>
      </c>
    </row>
    <row r="535">
      <c r="A535" s="7" t="n">
        <v>41348</v>
      </c>
      <c r="B535" s="8" t="n">
        <v>1595.5</v>
      </c>
      <c r="C535" s="8" t="n">
        <v>2.56</v>
      </c>
      <c r="D535" s="8" t="n">
        <v>-0.55</v>
      </c>
      <c r="E535" s="8" t="n">
        <v>82.260002</v>
      </c>
      <c r="F535" s="8" t="n">
        <v>93.48999999999999</v>
      </c>
      <c r="G535" s="8" t="n">
        <v>11.3</v>
      </c>
      <c r="H535" s="8" t="n">
        <v>55.799999</v>
      </c>
      <c r="I535" s="8" t="n">
        <v>1560.699951</v>
      </c>
      <c r="J535" s="8" t="n">
        <v>77.07682800000001</v>
      </c>
      <c r="L535" s="9">
        <f>LN(B535/B534)</f>
        <v/>
      </c>
      <c r="M535" s="9">
        <f>$M$1*(C535-C534)</f>
        <v/>
      </c>
      <c r="N535" s="9">
        <f>$N$1*(D535-D534)</f>
        <v/>
      </c>
      <c r="O535" s="9">
        <f>$O$1*LN(E535/E534)</f>
        <v/>
      </c>
      <c r="P535" s="9">
        <f>$P$1*LN(F535/F534)</f>
        <v/>
      </c>
      <c r="Q535" s="9">
        <f>$Q$1*(G535-G534)</f>
        <v/>
      </c>
      <c r="R535" s="9">
        <f>$R$1*(H535-H534)</f>
        <v/>
      </c>
      <c r="S535" s="9">
        <f>$S$1*LN(I535/I534)</f>
        <v/>
      </c>
      <c r="T535" s="9">
        <f>$T$1*LN(J535/J534)</f>
        <v/>
      </c>
      <c r="U535" s="9">
        <f>$W$12+$W$4*M535+$W$5*N535+$W$6*O535+$W$7*P535+$W$8*Q535+$W$9*R535+$W$10*S535+$W$11*T535</f>
        <v/>
      </c>
      <c r="AA535" s="10">
        <f>INDEX(LINEST(L276:L535,M276:T535,TRUE,TRUE),1,9)*52</f>
        <v/>
      </c>
      <c r="AB535" s="9">
        <f>INDEX(LINEST(L276:L535,M276:T535,TRUE,TRUE),1,8)</f>
        <v/>
      </c>
      <c r="AC535" s="9">
        <f>INDEX(LINEST(L276:L535,M276:T535,TRUE,TRUE),1,7)</f>
        <v/>
      </c>
      <c r="AD535" s="9">
        <f>INDEX(LINEST(L276:L535,M276:T535,TRUE,TRUE),1,6)</f>
        <v/>
      </c>
      <c r="AE535" s="9">
        <f>INDEX(LINEST(L276:L535,M276:T535,TRUE,TRUE),1,5)</f>
        <v/>
      </c>
      <c r="AF535" s="9">
        <f>INDEX(LINEST(L276:L535,M276:T535,TRUE,TRUE),1,4)</f>
        <v/>
      </c>
      <c r="AG535" s="9">
        <f>INDEX(LINEST(L276:L535,M276:T535,TRUE,TRUE),1,3)</f>
        <v/>
      </c>
      <c r="AH535" s="9">
        <f>INDEX(LINEST(L276:L535,M276:T535,TRUE,TRUE),1,2)</f>
        <v/>
      </c>
      <c r="AI535" s="9">
        <f>INDEX(LINEST(L276:L535,M276:T535,TRUE,TRUE),1,1)</f>
        <v/>
      </c>
      <c r="AJ535" s="10">
        <f>INDEX(LINEST(L276:L535,M276:T535,TRUE,TRUE),3,1)</f>
        <v/>
      </c>
      <c r="AK535" s="9">
        <f>AA534/52+AB534*M535+AC534*N535+AD534*O535+AE534*P535+AF534*Q535+AG534*R535+AH534*S535+AI534*T535</f>
        <v/>
      </c>
      <c r="AL535" s="9">
        <f>AVERAGE(L275:L534)</f>
        <v/>
      </c>
    </row>
    <row r="536">
      <c r="A536" s="7" t="n">
        <v>41362</v>
      </c>
      <c r="B536" s="8" t="n">
        <v>1598.25</v>
      </c>
      <c r="C536" s="8" t="n">
        <v>2.51</v>
      </c>
      <c r="D536" s="8" t="n">
        <v>-0.64</v>
      </c>
      <c r="E536" s="8" t="n">
        <v>82.989998</v>
      </c>
      <c r="F536" s="8" t="n">
        <v>97.23999999999999</v>
      </c>
      <c r="G536" s="8" t="n">
        <v>12.7</v>
      </c>
      <c r="H536" s="8" t="n">
        <v>57.299999</v>
      </c>
      <c r="I536" s="8" t="n">
        <v>1569.189941</v>
      </c>
      <c r="J536" s="8" t="n">
        <v>77.44053599999999</v>
      </c>
      <c r="L536" s="9">
        <f>LN(B536/B535)</f>
        <v/>
      </c>
      <c r="M536" s="9">
        <f>$M$1*(C536-C535)</f>
        <v/>
      </c>
      <c r="N536" s="9">
        <f>$N$1*(D536-D535)</f>
        <v/>
      </c>
      <c r="O536" s="9">
        <f>$O$1*LN(E536/E535)</f>
        <v/>
      </c>
      <c r="P536" s="9">
        <f>$P$1*LN(F536/F535)</f>
        <v/>
      </c>
      <c r="Q536" s="9">
        <f>$Q$1*(G536-G535)</f>
        <v/>
      </c>
      <c r="R536" s="9">
        <f>$R$1*(H536-H535)</f>
        <v/>
      </c>
      <c r="S536" s="9">
        <f>$S$1*LN(I536/I535)</f>
        <v/>
      </c>
      <c r="T536" s="9">
        <f>$T$1*LN(J536/J535)</f>
        <v/>
      </c>
      <c r="U536" s="9">
        <f>$W$12+$W$4*M536+$W$5*N536+$W$6*O536+$W$7*P536+$W$8*Q536+$W$9*R536+$W$10*S536+$W$11*T536</f>
        <v/>
      </c>
      <c r="AA536" s="10">
        <f>INDEX(LINEST(L277:L536,M277:T536,TRUE,TRUE),1,9)*52</f>
        <v/>
      </c>
      <c r="AB536" s="9">
        <f>INDEX(LINEST(L277:L536,M277:T536,TRUE,TRUE),1,8)</f>
        <v/>
      </c>
      <c r="AC536" s="9">
        <f>INDEX(LINEST(L277:L536,M277:T536,TRUE,TRUE),1,7)</f>
        <v/>
      </c>
      <c r="AD536" s="9">
        <f>INDEX(LINEST(L277:L536,M277:T536,TRUE,TRUE),1,6)</f>
        <v/>
      </c>
      <c r="AE536" s="9">
        <f>INDEX(LINEST(L277:L536,M277:T536,TRUE,TRUE),1,5)</f>
        <v/>
      </c>
      <c r="AF536" s="9">
        <f>INDEX(LINEST(L277:L536,M277:T536,TRUE,TRUE),1,4)</f>
        <v/>
      </c>
      <c r="AG536" s="9">
        <f>INDEX(LINEST(L277:L536,M277:T536,TRUE,TRUE),1,3)</f>
        <v/>
      </c>
      <c r="AH536" s="9">
        <f>INDEX(LINEST(L277:L536,M277:T536,TRUE,TRUE),1,2)</f>
        <v/>
      </c>
      <c r="AI536" s="9">
        <f>INDEX(LINEST(L277:L536,M277:T536,TRUE,TRUE),1,1)</f>
        <v/>
      </c>
      <c r="AJ536" s="10">
        <f>INDEX(LINEST(L277:L536,M277:T536,TRUE,TRUE),3,1)</f>
        <v/>
      </c>
      <c r="AK536" s="9">
        <f>AA535/52+AB535*M536+AC535*N536+AD535*O536+AE535*P536+AF535*Q536+AG535*R536+AH535*S536+AI535*T536</f>
        <v/>
      </c>
      <c r="AL536" s="9">
        <f>AVERAGE(L276:L535)</f>
        <v/>
      </c>
    </row>
    <row r="537">
      <c r="A537" s="7" t="n">
        <v>41369</v>
      </c>
      <c r="B537" s="8" t="n">
        <v>1568</v>
      </c>
      <c r="C537" s="8" t="n">
        <v>2.46</v>
      </c>
      <c r="D537" s="8" t="n">
        <v>-0.74</v>
      </c>
      <c r="E537" s="8" t="n">
        <v>82.5</v>
      </c>
      <c r="F537" s="8" t="n">
        <v>92.76000000000001</v>
      </c>
      <c r="G537" s="8" t="n">
        <v>13.92</v>
      </c>
      <c r="H537" s="8" t="n">
        <v>54.799999</v>
      </c>
      <c r="I537" s="8" t="n">
        <v>1553.280029</v>
      </c>
      <c r="J537" s="8" t="n">
        <v>77.952263</v>
      </c>
      <c r="L537" s="9">
        <f>LN(B537/B536)</f>
        <v/>
      </c>
      <c r="M537" s="9">
        <f>$M$1*(C537-C536)</f>
        <v/>
      </c>
      <c r="N537" s="9">
        <f>$N$1*(D537-D536)</f>
        <v/>
      </c>
      <c r="O537" s="9">
        <f>$O$1*LN(E537/E536)</f>
        <v/>
      </c>
      <c r="P537" s="9">
        <f>$P$1*LN(F537/F536)</f>
        <v/>
      </c>
      <c r="Q537" s="9">
        <f>$Q$1*(G537-G536)</f>
        <v/>
      </c>
      <c r="R537" s="9">
        <f>$R$1*(H537-H536)</f>
        <v/>
      </c>
      <c r="S537" s="9">
        <f>$S$1*LN(I537/I536)</f>
        <v/>
      </c>
      <c r="T537" s="9">
        <f>$T$1*LN(J537/J536)</f>
        <v/>
      </c>
      <c r="U537" s="9">
        <f>$W$12+$W$4*M537+$W$5*N537+$W$6*O537+$W$7*P537+$W$8*Q537+$W$9*R537+$W$10*S537+$W$11*T537</f>
        <v/>
      </c>
      <c r="AA537" s="10">
        <f>INDEX(LINEST(L278:L537,M278:T537,TRUE,TRUE),1,9)*52</f>
        <v/>
      </c>
      <c r="AB537" s="9">
        <f>INDEX(LINEST(L278:L537,M278:T537,TRUE,TRUE),1,8)</f>
        <v/>
      </c>
      <c r="AC537" s="9">
        <f>INDEX(LINEST(L278:L537,M278:T537,TRUE,TRUE),1,7)</f>
        <v/>
      </c>
      <c r="AD537" s="9">
        <f>INDEX(LINEST(L278:L537,M278:T537,TRUE,TRUE),1,6)</f>
        <v/>
      </c>
      <c r="AE537" s="9">
        <f>INDEX(LINEST(L278:L537,M278:T537,TRUE,TRUE),1,5)</f>
        <v/>
      </c>
      <c r="AF537" s="9">
        <f>INDEX(LINEST(L278:L537,M278:T537,TRUE,TRUE),1,4)</f>
        <v/>
      </c>
      <c r="AG537" s="9">
        <f>INDEX(LINEST(L278:L537,M278:T537,TRUE,TRUE),1,3)</f>
        <v/>
      </c>
      <c r="AH537" s="9">
        <f>INDEX(LINEST(L278:L537,M278:T537,TRUE,TRUE),1,2)</f>
        <v/>
      </c>
      <c r="AI537" s="9">
        <f>INDEX(LINEST(L278:L537,M278:T537,TRUE,TRUE),1,1)</f>
        <v/>
      </c>
      <c r="AJ537" s="10">
        <f>INDEX(LINEST(L278:L537,M278:T537,TRUE,TRUE),3,1)</f>
        <v/>
      </c>
      <c r="AK537" s="9">
        <f>AA536/52+AB536*M537+AC536*N537+AD536*O537+AE536*P537+AF536*Q537+AG536*R537+AH536*S537+AI536*T537</f>
        <v/>
      </c>
      <c r="AL537" s="9">
        <f>AVERAGE(L277:L536)</f>
        <v/>
      </c>
    </row>
    <row r="538">
      <c r="A538" s="7" t="n">
        <v>41376</v>
      </c>
      <c r="B538" s="8" t="n">
        <v>1535.5</v>
      </c>
      <c r="C538" s="8" t="n">
        <v>2.43</v>
      </c>
      <c r="D538" s="8" t="n">
        <v>-0.68</v>
      </c>
      <c r="E538" s="8" t="n">
        <v>82.30999799999999</v>
      </c>
      <c r="F538" s="8" t="n">
        <v>91.23</v>
      </c>
      <c r="G538" s="8" t="n">
        <v>12.06</v>
      </c>
      <c r="H538" s="8" t="n">
        <v>53.099998</v>
      </c>
      <c r="I538" s="8" t="n">
        <v>1588.849976</v>
      </c>
      <c r="J538" s="8" t="n">
        <v>77.952263</v>
      </c>
      <c r="L538" s="9">
        <f>LN(B538/B537)</f>
        <v/>
      </c>
      <c r="M538" s="9">
        <f>$M$1*(C538-C537)</f>
        <v/>
      </c>
      <c r="N538" s="9">
        <f>$N$1*(D538-D537)</f>
        <v/>
      </c>
      <c r="O538" s="9">
        <f>$O$1*LN(E538/E537)</f>
        <v/>
      </c>
      <c r="P538" s="9">
        <f>$P$1*LN(F538/F537)</f>
        <v/>
      </c>
      <c r="Q538" s="9">
        <f>$Q$1*(G538-G537)</f>
        <v/>
      </c>
      <c r="R538" s="9">
        <f>$R$1*(H538-H537)</f>
        <v/>
      </c>
      <c r="S538" s="9">
        <f>$S$1*LN(I538/I537)</f>
        <v/>
      </c>
      <c r="T538" s="9">
        <f>$T$1*LN(J538/J537)</f>
        <v/>
      </c>
      <c r="U538" s="9">
        <f>$W$12+$W$4*M538+$W$5*N538+$W$6*O538+$W$7*P538+$W$8*Q538+$W$9*R538+$W$10*S538+$W$11*T538</f>
        <v/>
      </c>
      <c r="AA538" s="10">
        <f>INDEX(LINEST(L279:L538,M279:T538,TRUE,TRUE),1,9)*52</f>
        <v/>
      </c>
      <c r="AB538" s="9">
        <f>INDEX(LINEST(L279:L538,M279:T538,TRUE,TRUE),1,8)</f>
        <v/>
      </c>
      <c r="AC538" s="9">
        <f>INDEX(LINEST(L279:L538,M279:T538,TRUE,TRUE),1,7)</f>
        <v/>
      </c>
      <c r="AD538" s="9">
        <f>INDEX(LINEST(L279:L538,M279:T538,TRUE,TRUE),1,6)</f>
        <v/>
      </c>
      <c r="AE538" s="9">
        <f>INDEX(LINEST(L279:L538,M279:T538,TRUE,TRUE),1,5)</f>
        <v/>
      </c>
      <c r="AF538" s="9">
        <f>INDEX(LINEST(L279:L538,M279:T538,TRUE,TRUE),1,4)</f>
        <v/>
      </c>
      <c r="AG538" s="9">
        <f>INDEX(LINEST(L279:L538,M279:T538,TRUE,TRUE),1,3)</f>
        <v/>
      </c>
      <c r="AH538" s="9">
        <f>INDEX(LINEST(L279:L538,M279:T538,TRUE,TRUE),1,2)</f>
        <v/>
      </c>
      <c r="AI538" s="9">
        <f>INDEX(LINEST(L279:L538,M279:T538,TRUE,TRUE),1,1)</f>
        <v/>
      </c>
      <c r="AJ538" s="10">
        <f>INDEX(LINEST(L279:L538,M279:T538,TRUE,TRUE),3,1)</f>
        <v/>
      </c>
      <c r="AK538" s="9">
        <f>AA537/52+AB537*M538+AC537*N538+AD537*O538+AE537*P538+AF537*Q538+AG537*R538+AH537*S538+AI537*T538</f>
        <v/>
      </c>
      <c r="AL538" s="9">
        <f>AVERAGE(L278:L537)</f>
        <v/>
      </c>
    </row>
    <row r="539">
      <c r="A539" s="7" t="n">
        <v>41383</v>
      </c>
      <c r="B539" s="8" t="n">
        <v>1405.5</v>
      </c>
      <c r="C539" s="8" t="n">
        <v>2.32</v>
      </c>
      <c r="D539" s="8" t="n">
        <v>-0.59</v>
      </c>
      <c r="E539" s="8" t="n">
        <v>82.709999</v>
      </c>
      <c r="F539" s="8" t="n">
        <v>88.04000000000001</v>
      </c>
      <c r="G539" s="8" t="n">
        <v>14.97</v>
      </c>
      <c r="H539" s="8" t="n">
        <v>51.299999</v>
      </c>
      <c r="I539" s="8" t="n">
        <v>1555.25</v>
      </c>
      <c r="J539" s="8" t="n">
        <v>77.980362</v>
      </c>
      <c r="L539" s="9">
        <f>LN(B539/B538)</f>
        <v/>
      </c>
      <c r="M539" s="9">
        <f>$M$1*(C539-C538)</f>
        <v/>
      </c>
      <c r="N539" s="9">
        <f>$N$1*(D539-D538)</f>
        <v/>
      </c>
      <c r="O539" s="9">
        <f>$O$1*LN(E539/E538)</f>
        <v/>
      </c>
      <c r="P539" s="9">
        <f>$P$1*LN(F539/F538)</f>
        <v/>
      </c>
      <c r="Q539" s="9">
        <f>$Q$1*(G539-G538)</f>
        <v/>
      </c>
      <c r="R539" s="9">
        <f>$R$1*(H539-H538)</f>
        <v/>
      </c>
      <c r="S539" s="9">
        <f>$S$1*LN(I539/I538)</f>
        <v/>
      </c>
      <c r="T539" s="9">
        <f>$T$1*LN(J539/J538)</f>
        <v/>
      </c>
      <c r="U539" s="9">
        <f>$W$12+$W$4*M539+$W$5*N539+$W$6*O539+$W$7*P539+$W$8*Q539+$W$9*R539+$W$10*S539+$W$11*T539</f>
        <v/>
      </c>
      <c r="AA539" s="10">
        <f>INDEX(LINEST(L280:L539,M280:T539,TRUE,TRUE),1,9)*52</f>
        <v/>
      </c>
      <c r="AB539" s="9">
        <f>INDEX(LINEST(L280:L539,M280:T539,TRUE,TRUE),1,8)</f>
        <v/>
      </c>
      <c r="AC539" s="9">
        <f>INDEX(LINEST(L280:L539,M280:T539,TRUE,TRUE),1,7)</f>
        <v/>
      </c>
      <c r="AD539" s="9">
        <f>INDEX(LINEST(L280:L539,M280:T539,TRUE,TRUE),1,6)</f>
        <v/>
      </c>
      <c r="AE539" s="9">
        <f>INDEX(LINEST(L280:L539,M280:T539,TRUE,TRUE),1,5)</f>
        <v/>
      </c>
      <c r="AF539" s="9">
        <f>INDEX(LINEST(L280:L539,M280:T539,TRUE,TRUE),1,4)</f>
        <v/>
      </c>
      <c r="AG539" s="9">
        <f>INDEX(LINEST(L280:L539,M280:T539,TRUE,TRUE),1,3)</f>
        <v/>
      </c>
      <c r="AH539" s="9">
        <f>INDEX(LINEST(L280:L539,M280:T539,TRUE,TRUE),1,2)</f>
        <v/>
      </c>
      <c r="AI539" s="9">
        <f>INDEX(LINEST(L280:L539,M280:T539,TRUE,TRUE),1,1)</f>
        <v/>
      </c>
      <c r="AJ539" s="10">
        <f>INDEX(LINEST(L280:L539,M280:T539,TRUE,TRUE),3,1)</f>
        <v/>
      </c>
      <c r="AK539" s="9">
        <f>AA538/52+AB538*M539+AC538*N539+AD538*O539+AE538*P539+AF538*Q539+AG538*R539+AH538*S539+AI538*T539</f>
        <v/>
      </c>
      <c r="AL539" s="9">
        <f>AVERAGE(L279:L538)</f>
        <v/>
      </c>
    </row>
    <row r="540">
      <c r="A540" s="7" t="n">
        <v>41390</v>
      </c>
      <c r="B540" s="8" t="n">
        <v>1471.5</v>
      </c>
      <c r="C540" s="8" t="n">
        <v>2.38</v>
      </c>
      <c r="D540" s="8" t="n">
        <v>-0.68</v>
      </c>
      <c r="E540" s="8" t="n">
        <v>82.480003</v>
      </c>
      <c r="F540" s="8" t="n">
        <v>92.63</v>
      </c>
      <c r="G540" s="8" t="n">
        <v>13.61</v>
      </c>
      <c r="H540" s="8" t="n">
        <v>50.200001</v>
      </c>
      <c r="I540" s="8" t="n">
        <v>1582.23999</v>
      </c>
      <c r="J540" s="8" t="n">
        <v>78.155548</v>
      </c>
      <c r="L540" s="9">
        <f>LN(B540/B539)</f>
        <v/>
      </c>
      <c r="M540" s="9">
        <f>$M$1*(C540-C539)</f>
        <v/>
      </c>
      <c r="N540" s="9">
        <f>$N$1*(D540-D539)</f>
        <v/>
      </c>
      <c r="O540" s="9">
        <f>$O$1*LN(E540/E539)</f>
        <v/>
      </c>
      <c r="P540" s="9">
        <f>$P$1*LN(F540/F539)</f>
        <v/>
      </c>
      <c r="Q540" s="9">
        <f>$Q$1*(G540-G539)</f>
        <v/>
      </c>
      <c r="R540" s="9">
        <f>$R$1*(H540-H539)</f>
        <v/>
      </c>
      <c r="S540" s="9">
        <f>$S$1*LN(I540/I539)</f>
        <v/>
      </c>
      <c r="T540" s="9">
        <f>$T$1*LN(J540/J539)</f>
        <v/>
      </c>
      <c r="U540" s="9">
        <f>$W$12+$W$4*M540+$W$5*N540+$W$6*O540+$W$7*P540+$W$8*Q540+$W$9*R540+$W$10*S540+$W$11*T540</f>
        <v/>
      </c>
      <c r="AA540" s="10">
        <f>INDEX(LINEST(L281:L540,M281:T540,TRUE,TRUE),1,9)*52</f>
        <v/>
      </c>
      <c r="AB540" s="9">
        <f>INDEX(LINEST(L281:L540,M281:T540,TRUE,TRUE),1,8)</f>
        <v/>
      </c>
      <c r="AC540" s="9">
        <f>INDEX(LINEST(L281:L540,M281:T540,TRUE,TRUE),1,7)</f>
        <v/>
      </c>
      <c r="AD540" s="9">
        <f>INDEX(LINEST(L281:L540,M281:T540,TRUE,TRUE),1,6)</f>
        <v/>
      </c>
      <c r="AE540" s="9">
        <f>INDEX(LINEST(L281:L540,M281:T540,TRUE,TRUE),1,5)</f>
        <v/>
      </c>
      <c r="AF540" s="9">
        <f>INDEX(LINEST(L281:L540,M281:T540,TRUE,TRUE),1,4)</f>
        <v/>
      </c>
      <c r="AG540" s="9">
        <f>INDEX(LINEST(L281:L540,M281:T540,TRUE,TRUE),1,3)</f>
        <v/>
      </c>
      <c r="AH540" s="9">
        <f>INDEX(LINEST(L281:L540,M281:T540,TRUE,TRUE),1,2)</f>
        <v/>
      </c>
      <c r="AI540" s="9">
        <f>INDEX(LINEST(L281:L540,M281:T540,TRUE,TRUE),1,1)</f>
        <v/>
      </c>
      <c r="AJ540" s="10">
        <f>INDEX(LINEST(L281:L540,M281:T540,TRUE,TRUE),3,1)</f>
        <v/>
      </c>
      <c r="AK540" s="9">
        <f>AA539/52+AB539*M540+AC539*N540+AD539*O540+AE539*P540+AF539*Q540+AG539*R540+AH539*S540+AI539*T540</f>
        <v/>
      </c>
      <c r="AL540" s="9">
        <f>AVERAGE(L280:L539)</f>
        <v/>
      </c>
    </row>
    <row r="541">
      <c r="A541" s="7" t="n">
        <v>41397</v>
      </c>
      <c r="B541" s="8" t="n">
        <v>1469.25</v>
      </c>
      <c r="C541" s="8" t="n">
        <v>2.31</v>
      </c>
      <c r="D541" s="8" t="n">
        <v>-0.53</v>
      </c>
      <c r="E541" s="8" t="n">
        <v>82.099998</v>
      </c>
      <c r="F541" s="8" t="n">
        <v>95.25</v>
      </c>
      <c r="G541" s="8" t="n">
        <v>12.85</v>
      </c>
      <c r="H541" s="8" t="n">
        <v>49</v>
      </c>
      <c r="I541" s="8" t="n">
        <v>1614.420044</v>
      </c>
      <c r="J541" s="8" t="n">
        <v>77.946259</v>
      </c>
      <c r="L541" s="9">
        <f>LN(B541/B540)</f>
        <v/>
      </c>
      <c r="M541" s="9">
        <f>$M$1*(C541-C540)</f>
        <v/>
      </c>
      <c r="N541" s="9">
        <f>$N$1*(D541-D540)</f>
        <v/>
      </c>
      <c r="O541" s="9">
        <f>$O$1*LN(E541/E540)</f>
        <v/>
      </c>
      <c r="P541" s="9">
        <f>$P$1*LN(F541/F540)</f>
        <v/>
      </c>
      <c r="Q541" s="9">
        <f>$Q$1*(G541-G540)</f>
        <v/>
      </c>
      <c r="R541" s="9">
        <f>$R$1*(H541-H540)</f>
        <v/>
      </c>
      <c r="S541" s="9">
        <f>$S$1*LN(I541/I540)</f>
        <v/>
      </c>
      <c r="T541" s="9">
        <f>$T$1*LN(J541/J540)</f>
        <v/>
      </c>
      <c r="U541" s="9">
        <f>$W$12+$W$4*M541+$W$5*N541+$W$6*O541+$W$7*P541+$W$8*Q541+$W$9*R541+$W$10*S541+$W$11*T541</f>
        <v/>
      </c>
      <c r="AA541" s="10">
        <f>INDEX(LINEST(L282:L541,M282:T541,TRUE,TRUE),1,9)*52</f>
        <v/>
      </c>
      <c r="AB541" s="9">
        <f>INDEX(LINEST(L282:L541,M282:T541,TRUE,TRUE),1,8)</f>
        <v/>
      </c>
      <c r="AC541" s="9">
        <f>INDEX(LINEST(L282:L541,M282:T541,TRUE,TRUE),1,7)</f>
        <v/>
      </c>
      <c r="AD541" s="9">
        <f>INDEX(LINEST(L282:L541,M282:T541,TRUE,TRUE),1,6)</f>
        <v/>
      </c>
      <c r="AE541" s="9">
        <f>INDEX(LINEST(L282:L541,M282:T541,TRUE,TRUE),1,5)</f>
        <v/>
      </c>
      <c r="AF541" s="9">
        <f>INDEX(LINEST(L282:L541,M282:T541,TRUE,TRUE),1,4)</f>
        <v/>
      </c>
      <c r="AG541" s="9">
        <f>INDEX(LINEST(L282:L541,M282:T541,TRUE,TRUE),1,3)</f>
        <v/>
      </c>
      <c r="AH541" s="9">
        <f>INDEX(LINEST(L282:L541,M282:T541,TRUE,TRUE),1,2)</f>
        <v/>
      </c>
      <c r="AI541" s="9">
        <f>INDEX(LINEST(L282:L541,M282:T541,TRUE,TRUE),1,1)</f>
        <v/>
      </c>
      <c r="AJ541" s="10">
        <f>INDEX(LINEST(L282:L541,M282:T541,TRUE,TRUE),3,1)</f>
        <v/>
      </c>
      <c r="AK541" s="9">
        <f>AA540/52+AB540*M541+AC540*N541+AD540*O541+AE540*P541+AF540*Q541+AG540*R541+AH540*S541+AI540*T541</f>
        <v/>
      </c>
      <c r="AL541" s="9">
        <f>AVERAGE(L281:L540)</f>
        <v/>
      </c>
    </row>
    <row r="542">
      <c r="A542" s="7" t="n">
        <v>41404</v>
      </c>
      <c r="B542" s="8" t="n">
        <v>1426.5</v>
      </c>
      <c r="C542" s="8" t="n">
        <v>2.35</v>
      </c>
      <c r="D542" s="8" t="n">
        <v>-0.45</v>
      </c>
      <c r="E542" s="8" t="n">
        <v>83.139999</v>
      </c>
      <c r="F542" s="8" t="n">
        <v>95.81</v>
      </c>
      <c r="G542" s="8" t="n">
        <v>12.59</v>
      </c>
      <c r="H542" s="8" t="n">
        <v>55.32</v>
      </c>
      <c r="I542" s="8" t="n">
        <v>1633.699951</v>
      </c>
      <c r="J542" s="8" t="n">
        <v>77.58802</v>
      </c>
      <c r="L542" s="9">
        <f>LN(B542/B541)</f>
        <v/>
      </c>
      <c r="M542" s="9">
        <f>$M$1*(C542-C541)</f>
        <v/>
      </c>
      <c r="N542" s="9">
        <f>$N$1*(D542-D541)</f>
        <v/>
      </c>
      <c r="O542" s="9">
        <f>$O$1*LN(E542/E541)</f>
        <v/>
      </c>
      <c r="P542" s="9">
        <f>$P$1*LN(F542/F541)</f>
        <v/>
      </c>
      <c r="Q542" s="9">
        <f>$Q$1*(G542-G541)</f>
        <v/>
      </c>
      <c r="R542" s="9">
        <f>$R$1*(H542-H541)</f>
        <v/>
      </c>
      <c r="S542" s="9">
        <f>$S$1*LN(I542/I541)</f>
        <v/>
      </c>
      <c r="T542" s="9">
        <f>$T$1*LN(J542/J541)</f>
        <v/>
      </c>
      <c r="U542" s="9">
        <f>$W$12+$W$4*M542+$W$5*N542+$W$6*O542+$W$7*P542+$W$8*Q542+$W$9*R542+$W$10*S542+$W$11*T542</f>
        <v/>
      </c>
      <c r="AA542" s="10">
        <f>INDEX(LINEST(L283:L542,M283:T542,TRUE,TRUE),1,9)*52</f>
        <v/>
      </c>
      <c r="AB542" s="9">
        <f>INDEX(LINEST(L283:L542,M283:T542,TRUE,TRUE),1,8)</f>
        <v/>
      </c>
      <c r="AC542" s="9">
        <f>INDEX(LINEST(L283:L542,M283:T542,TRUE,TRUE),1,7)</f>
        <v/>
      </c>
      <c r="AD542" s="9">
        <f>INDEX(LINEST(L283:L542,M283:T542,TRUE,TRUE),1,6)</f>
        <v/>
      </c>
      <c r="AE542" s="9">
        <f>INDEX(LINEST(L283:L542,M283:T542,TRUE,TRUE),1,5)</f>
        <v/>
      </c>
      <c r="AF542" s="9">
        <f>INDEX(LINEST(L283:L542,M283:T542,TRUE,TRUE),1,4)</f>
        <v/>
      </c>
      <c r="AG542" s="9">
        <f>INDEX(LINEST(L283:L542,M283:T542,TRUE,TRUE),1,3)</f>
        <v/>
      </c>
      <c r="AH542" s="9">
        <f>INDEX(LINEST(L283:L542,M283:T542,TRUE,TRUE),1,2)</f>
        <v/>
      </c>
      <c r="AI542" s="9">
        <f>INDEX(LINEST(L283:L542,M283:T542,TRUE,TRUE),1,1)</f>
        <v/>
      </c>
      <c r="AJ542" s="10">
        <f>INDEX(LINEST(L283:L542,M283:T542,TRUE,TRUE),3,1)</f>
        <v/>
      </c>
      <c r="AK542" s="9">
        <f>AA541/52+AB541*M542+AC541*N542+AD541*O542+AE541*P542+AF541*Q542+AG541*R542+AH541*S542+AI541*T542</f>
        <v/>
      </c>
      <c r="AL542" s="9">
        <f>AVERAGE(L282:L541)</f>
        <v/>
      </c>
    </row>
    <row r="543">
      <c r="A543" s="7" t="n">
        <v>41411</v>
      </c>
      <c r="B543" s="8" t="n">
        <v>1368.75</v>
      </c>
      <c r="C543" s="8" t="n">
        <v>2.26</v>
      </c>
      <c r="D543" s="8" t="n">
        <v>-0.31</v>
      </c>
      <c r="E543" s="8" t="n">
        <v>84.279999</v>
      </c>
      <c r="F543" s="8" t="n">
        <v>95.72</v>
      </c>
      <c r="G543" s="8" t="n">
        <v>12.45</v>
      </c>
      <c r="H543" s="8" t="n">
        <v>61.299999</v>
      </c>
      <c r="I543" s="8" t="n">
        <v>1667.469971</v>
      </c>
      <c r="J543" s="8" t="n">
        <v>77.468666</v>
      </c>
      <c r="L543" s="9">
        <f>LN(B543/B542)</f>
        <v/>
      </c>
      <c r="M543" s="9">
        <f>$M$1*(C543-C542)</f>
        <v/>
      </c>
      <c r="N543" s="9">
        <f>$N$1*(D543-D542)</f>
        <v/>
      </c>
      <c r="O543" s="9">
        <f>$O$1*LN(E543/E542)</f>
        <v/>
      </c>
      <c r="P543" s="9">
        <f>$P$1*LN(F543/F542)</f>
        <v/>
      </c>
      <c r="Q543" s="9">
        <f>$Q$1*(G543-G542)</f>
        <v/>
      </c>
      <c r="R543" s="9">
        <f>$R$1*(H543-H542)</f>
        <v/>
      </c>
      <c r="S543" s="9">
        <f>$S$1*LN(I543/I542)</f>
        <v/>
      </c>
      <c r="T543" s="9">
        <f>$T$1*LN(J543/J542)</f>
        <v/>
      </c>
      <c r="U543" s="9">
        <f>$W$12+$W$4*M543+$W$5*N543+$W$6*O543+$W$7*P543+$W$8*Q543+$W$9*R543+$W$10*S543+$W$11*T543</f>
        <v/>
      </c>
      <c r="AA543" s="10">
        <f>INDEX(LINEST(L284:L543,M284:T543,TRUE,TRUE),1,9)*52</f>
        <v/>
      </c>
      <c r="AB543" s="9">
        <f>INDEX(LINEST(L284:L543,M284:T543,TRUE,TRUE),1,8)</f>
        <v/>
      </c>
      <c r="AC543" s="9">
        <f>INDEX(LINEST(L284:L543,M284:T543,TRUE,TRUE),1,7)</f>
        <v/>
      </c>
      <c r="AD543" s="9">
        <f>INDEX(LINEST(L284:L543,M284:T543,TRUE,TRUE),1,6)</f>
        <v/>
      </c>
      <c r="AE543" s="9">
        <f>INDEX(LINEST(L284:L543,M284:T543,TRUE,TRUE),1,5)</f>
        <v/>
      </c>
      <c r="AF543" s="9">
        <f>INDEX(LINEST(L284:L543,M284:T543,TRUE,TRUE),1,4)</f>
        <v/>
      </c>
      <c r="AG543" s="9">
        <f>INDEX(LINEST(L284:L543,M284:T543,TRUE,TRUE),1,3)</f>
        <v/>
      </c>
      <c r="AH543" s="9">
        <f>INDEX(LINEST(L284:L543,M284:T543,TRUE,TRUE),1,2)</f>
        <v/>
      </c>
      <c r="AI543" s="9">
        <f>INDEX(LINEST(L284:L543,M284:T543,TRUE,TRUE),1,1)</f>
        <v/>
      </c>
      <c r="AJ543" s="10">
        <f>INDEX(LINEST(L284:L543,M284:T543,TRUE,TRUE),3,1)</f>
        <v/>
      </c>
      <c r="AK543" s="9">
        <f>AA542/52+AB542*M543+AC542*N543+AD542*O543+AE542*P543+AF542*Q543+AG542*R543+AH542*S543+AI542*T543</f>
        <v/>
      </c>
      <c r="AL543" s="9">
        <f>AVERAGE(L283:L542)</f>
        <v/>
      </c>
    </row>
    <row r="544">
      <c r="A544" s="7" t="n">
        <v>41418</v>
      </c>
      <c r="B544" s="8" t="n">
        <v>1390.25</v>
      </c>
      <c r="C544" s="8" t="n">
        <v>2.27</v>
      </c>
      <c r="D544" s="8" t="n">
        <v>-0.26</v>
      </c>
      <c r="E544" s="8" t="n">
        <v>83.699997</v>
      </c>
      <c r="F544" s="8" t="n">
        <v>93.84</v>
      </c>
      <c r="G544" s="8" t="n">
        <v>13.99</v>
      </c>
      <c r="H544" s="8" t="n">
        <v>65.099998</v>
      </c>
      <c r="I544" s="8" t="n">
        <v>1649.599976</v>
      </c>
      <c r="J544" s="8" t="n">
        <v>77.166656</v>
      </c>
      <c r="L544" s="9">
        <f>LN(B544/B543)</f>
        <v/>
      </c>
      <c r="M544" s="9">
        <f>$M$1*(C544-C543)</f>
        <v/>
      </c>
      <c r="N544" s="9">
        <f>$N$1*(D544-D543)</f>
        <v/>
      </c>
      <c r="O544" s="9">
        <f>$O$1*LN(E544/E543)</f>
        <v/>
      </c>
      <c r="P544" s="9">
        <f>$P$1*LN(F544/F543)</f>
        <v/>
      </c>
      <c r="Q544" s="9">
        <f>$Q$1*(G544-G543)</f>
        <v/>
      </c>
      <c r="R544" s="9">
        <f>$R$1*(H544-H543)</f>
        <v/>
      </c>
      <c r="S544" s="9">
        <f>$S$1*LN(I544/I543)</f>
        <v/>
      </c>
      <c r="T544" s="9">
        <f>$T$1*LN(J544/J543)</f>
        <v/>
      </c>
      <c r="U544" s="9">
        <f>$W$12+$W$4*M544+$W$5*N544+$W$6*O544+$W$7*P544+$W$8*Q544+$W$9*R544+$W$10*S544+$W$11*T544</f>
        <v/>
      </c>
      <c r="AA544" s="10">
        <f>INDEX(LINEST(L285:L544,M285:T544,TRUE,TRUE),1,9)*52</f>
        <v/>
      </c>
      <c r="AB544" s="9">
        <f>INDEX(LINEST(L285:L544,M285:T544,TRUE,TRUE),1,8)</f>
        <v/>
      </c>
      <c r="AC544" s="9">
        <f>INDEX(LINEST(L285:L544,M285:T544,TRUE,TRUE),1,7)</f>
        <v/>
      </c>
      <c r="AD544" s="9">
        <f>INDEX(LINEST(L285:L544,M285:T544,TRUE,TRUE),1,6)</f>
        <v/>
      </c>
      <c r="AE544" s="9">
        <f>INDEX(LINEST(L285:L544,M285:T544,TRUE,TRUE),1,5)</f>
        <v/>
      </c>
      <c r="AF544" s="9">
        <f>INDEX(LINEST(L285:L544,M285:T544,TRUE,TRUE),1,4)</f>
        <v/>
      </c>
      <c r="AG544" s="9">
        <f>INDEX(LINEST(L285:L544,M285:T544,TRUE,TRUE),1,3)</f>
        <v/>
      </c>
      <c r="AH544" s="9">
        <f>INDEX(LINEST(L285:L544,M285:T544,TRUE,TRUE),1,2)</f>
        <v/>
      </c>
      <c r="AI544" s="9">
        <f>INDEX(LINEST(L285:L544,M285:T544,TRUE,TRUE),1,1)</f>
        <v/>
      </c>
      <c r="AJ544" s="10">
        <f>INDEX(LINEST(L285:L544,M285:T544,TRUE,TRUE),3,1)</f>
        <v/>
      </c>
      <c r="AK544" s="9">
        <f>AA543/52+AB543*M544+AC543*N544+AD543*O544+AE543*P544+AF543*Q544+AG543*R544+AH543*S544+AI543*T544</f>
        <v/>
      </c>
      <c r="AL544" s="9">
        <f>AVERAGE(L284:L543)</f>
        <v/>
      </c>
    </row>
    <row r="545">
      <c r="A545" s="7" t="n">
        <v>41425</v>
      </c>
      <c r="B545" s="8" t="n">
        <v>1394.5</v>
      </c>
      <c r="C545" s="8" t="n">
        <v>2.21</v>
      </c>
      <c r="D545" s="8" t="n">
        <v>-0.05</v>
      </c>
      <c r="E545" s="8" t="n">
        <v>83.379997</v>
      </c>
      <c r="F545" s="8" t="n">
        <v>91.93000000000001</v>
      </c>
      <c r="G545" s="8" t="n">
        <v>16.3</v>
      </c>
      <c r="H545" s="8" t="n">
        <v>80</v>
      </c>
      <c r="I545" s="8" t="n">
        <v>1630.73999</v>
      </c>
      <c r="J545" s="8" t="n">
        <v>76.625885</v>
      </c>
      <c r="L545" s="9">
        <f>LN(B545/B544)</f>
        <v/>
      </c>
      <c r="M545" s="9">
        <f>$M$1*(C545-C544)</f>
        <v/>
      </c>
      <c r="N545" s="9">
        <f>$N$1*(D545-D544)</f>
        <v/>
      </c>
      <c r="O545" s="9">
        <f>$O$1*LN(E545/E544)</f>
        <v/>
      </c>
      <c r="P545" s="9">
        <f>$P$1*LN(F545/F544)</f>
        <v/>
      </c>
      <c r="Q545" s="9">
        <f>$Q$1*(G545-G544)</f>
        <v/>
      </c>
      <c r="R545" s="9">
        <f>$R$1*(H545-H544)</f>
        <v/>
      </c>
      <c r="S545" s="9">
        <f>$S$1*LN(I545/I544)</f>
        <v/>
      </c>
      <c r="T545" s="9">
        <f>$T$1*LN(J545/J544)</f>
        <v/>
      </c>
      <c r="U545" s="9">
        <f>$W$12+$W$4*M545+$W$5*N545+$W$6*O545+$W$7*P545+$W$8*Q545+$W$9*R545+$W$10*S545+$W$11*T545</f>
        <v/>
      </c>
      <c r="AA545" s="10">
        <f>INDEX(LINEST(L286:L545,M286:T545,TRUE,TRUE),1,9)*52</f>
        <v/>
      </c>
      <c r="AB545" s="9">
        <f>INDEX(LINEST(L286:L545,M286:T545,TRUE,TRUE),1,8)</f>
        <v/>
      </c>
      <c r="AC545" s="9">
        <f>INDEX(LINEST(L286:L545,M286:T545,TRUE,TRUE),1,7)</f>
        <v/>
      </c>
      <c r="AD545" s="9">
        <f>INDEX(LINEST(L286:L545,M286:T545,TRUE,TRUE),1,6)</f>
        <v/>
      </c>
      <c r="AE545" s="9">
        <f>INDEX(LINEST(L286:L545,M286:T545,TRUE,TRUE),1,5)</f>
        <v/>
      </c>
      <c r="AF545" s="9">
        <f>INDEX(LINEST(L286:L545,M286:T545,TRUE,TRUE),1,4)</f>
        <v/>
      </c>
      <c r="AG545" s="9">
        <f>INDEX(LINEST(L286:L545,M286:T545,TRUE,TRUE),1,3)</f>
        <v/>
      </c>
      <c r="AH545" s="9">
        <f>INDEX(LINEST(L286:L545,M286:T545,TRUE,TRUE),1,2)</f>
        <v/>
      </c>
      <c r="AI545" s="9">
        <f>INDEX(LINEST(L286:L545,M286:T545,TRUE,TRUE),1,1)</f>
        <v/>
      </c>
      <c r="AJ545" s="10">
        <f>INDEX(LINEST(L286:L545,M286:T545,TRUE,TRUE),3,1)</f>
        <v/>
      </c>
      <c r="AK545" s="9">
        <f>AA544/52+AB544*M545+AC544*N545+AD544*O545+AE544*P545+AF544*Q545+AG544*R545+AH544*S545+AI544*T545</f>
        <v/>
      </c>
      <c r="AL545" s="9">
        <f>AVERAGE(L285:L544)</f>
        <v/>
      </c>
    </row>
    <row r="546">
      <c r="A546" s="7" t="n">
        <v>41432</v>
      </c>
      <c r="B546" s="8" t="n">
        <v>1386</v>
      </c>
      <c r="C546" s="8" t="n">
        <v>2.14</v>
      </c>
      <c r="D546" s="8" t="n">
        <v>0.03</v>
      </c>
      <c r="E546" s="8" t="n">
        <v>81.69000200000001</v>
      </c>
      <c r="F546" s="8" t="n">
        <v>96.11</v>
      </c>
      <c r="G546" s="8" t="n">
        <v>15.14</v>
      </c>
      <c r="H546" s="8" t="n">
        <v>81.5</v>
      </c>
      <c r="I546" s="8" t="n">
        <v>1643.380005</v>
      </c>
      <c r="J546" s="8" t="n">
        <v>76.411354</v>
      </c>
      <c r="L546" s="9">
        <f>LN(B546/B545)</f>
        <v/>
      </c>
      <c r="M546" s="9">
        <f>$M$1*(C546-C545)</f>
        <v/>
      </c>
      <c r="N546" s="9">
        <f>$N$1*(D546-D545)</f>
        <v/>
      </c>
      <c r="O546" s="9">
        <f>$O$1*LN(E546/E545)</f>
        <v/>
      </c>
      <c r="P546" s="9">
        <f>$P$1*LN(F546/F545)</f>
        <v/>
      </c>
      <c r="Q546" s="9">
        <f>$Q$1*(G546-G545)</f>
        <v/>
      </c>
      <c r="R546" s="9">
        <f>$R$1*(H546-H545)</f>
        <v/>
      </c>
      <c r="S546" s="9">
        <f>$S$1*LN(I546/I545)</f>
        <v/>
      </c>
      <c r="T546" s="9">
        <f>$T$1*LN(J546/J545)</f>
        <v/>
      </c>
      <c r="U546" s="9">
        <f>$W$12+$W$4*M546+$W$5*N546+$W$6*O546+$W$7*P546+$W$8*Q546+$W$9*R546+$W$10*S546+$W$11*T546</f>
        <v/>
      </c>
      <c r="AA546" s="10">
        <f>INDEX(LINEST(L287:L546,M287:T546,TRUE,TRUE),1,9)*52</f>
        <v/>
      </c>
      <c r="AB546" s="9">
        <f>INDEX(LINEST(L287:L546,M287:T546,TRUE,TRUE),1,8)</f>
        <v/>
      </c>
      <c r="AC546" s="9">
        <f>INDEX(LINEST(L287:L546,M287:T546,TRUE,TRUE),1,7)</f>
        <v/>
      </c>
      <c r="AD546" s="9">
        <f>INDEX(LINEST(L287:L546,M287:T546,TRUE,TRUE),1,6)</f>
        <v/>
      </c>
      <c r="AE546" s="9">
        <f>INDEX(LINEST(L287:L546,M287:T546,TRUE,TRUE),1,5)</f>
        <v/>
      </c>
      <c r="AF546" s="9">
        <f>INDEX(LINEST(L287:L546,M287:T546,TRUE,TRUE),1,4)</f>
        <v/>
      </c>
      <c r="AG546" s="9">
        <f>INDEX(LINEST(L287:L546,M287:T546,TRUE,TRUE),1,3)</f>
        <v/>
      </c>
      <c r="AH546" s="9">
        <f>INDEX(LINEST(L287:L546,M287:T546,TRUE,TRUE),1,2)</f>
        <v/>
      </c>
      <c r="AI546" s="9">
        <f>INDEX(LINEST(L287:L546,M287:T546,TRUE,TRUE),1,1)</f>
        <v/>
      </c>
      <c r="AJ546" s="10">
        <f>INDEX(LINEST(L287:L546,M287:T546,TRUE,TRUE),3,1)</f>
        <v/>
      </c>
      <c r="AK546" s="9">
        <f>AA545/52+AB545*M546+AC545*N546+AD545*O546+AE545*P546+AF545*Q546+AG545*R546+AH545*S546+AI545*T546</f>
        <v/>
      </c>
      <c r="AL546" s="9">
        <f>AVERAGE(L286:L545)</f>
        <v/>
      </c>
    </row>
    <row r="547">
      <c r="A547" s="7" t="n">
        <v>41439</v>
      </c>
      <c r="B547" s="8" t="n">
        <v>1391.25</v>
      </c>
      <c r="C547" s="8" t="n">
        <v>2.05</v>
      </c>
      <c r="D547" s="8" t="n">
        <v>0.09</v>
      </c>
      <c r="E547" s="8" t="n">
        <v>80.66999800000001</v>
      </c>
      <c r="F547" s="8" t="n">
        <v>97.83</v>
      </c>
      <c r="G547" s="8" t="n">
        <v>17.15</v>
      </c>
      <c r="H547" s="8" t="n">
        <v>78.5</v>
      </c>
      <c r="I547" s="8" t="n">
        <v>1626.72998</v>
      </c>
      <c r="J547" s="8" t="n">
        <v>76.53098300000001</v>
      </c>
      <c r="L547" s="9">
        <f>LN(B547/B546)</f>
        <v/>
      </c>
      <c r="M547" s="9">
        <f>$M$1*(C547-C546)</f>
        <v/>
      </c>
      <c r="N547" s="9">
        <f>$N$1*(D547-D546)</f>
        <v/>
      </c>
      <c r="O547" s="9">
        <f>$O$1*LN(E547/E546)</f>
        <v/>
      </c>
      <c r="P547" s="9">
        <f>$P$1*LN(F547/F546)</f>
        <v/>
      </c>
      <c r="Q547" s="9">
        <f>$Q$1*(G547-G546)</f>
        <v/>
      </c>
      <c r="R547" s="9">
        <f>$R$1*(H547-H546)</f>
        <v/>
      </c>
      <c r="S547" s="9">
        <f>$S$1*LN(I547/I546)</f>
        <v/>
      </c>
      <c r="T547" s="9">
        <f>$T$1*LN(J547/J546)</f>
        <v/>
      </c>
      <c r="U547" s="9">
        <f>$W$12+$W$4*M547+$W$5*N547+$W$6*O547+$W$7*P547+$W$8*Q547+$W$9*R547+$W$10*S547+$W$11*T547</f>
        <v/>
      </c>
      <c r="AA547" s="10">
        <f>INDEX(LINEST(L288:L547,M288:T547,TRUE,TRUE),1,9)*52</f>
        <v/>
      </c>
      <c r="AB547" s="9">
        <f>INDEX(LINEST(L288:L547,M288:T547,TRUE,TRUE),1,8)</f>
        <v/>
      </c>
      <c r="AC547" s="9">
        <f>INDEX(LINEST(L288:L547,M288:T547,TRUE,TRUE),1,7)</f>
        <v/>
      </c>
      <c r="AD547" s="9">
        <f>INDEX(LINEST(L288:L547,M288:T547,TRUE,TRUE),1,6)</f>
        <v/>
      </c>
      <c r="AE547" s="9">
        <f>INDEX(LINEST(L288:L547,M288:T547,TRUE,TRUE),1,5)</f>
        <v/>
      </c>
      <c r="AF547" s="9">
        <f>INDEX(LINEST(L288:L547,M288:T547,TRUE,TRUE),1,4)</f>
        <v/>
      </c>
      <c r="AG547" s="9">
        <f>INDEX(LINEST(L288:L547,M288:T547,TRUE,TRUE),1,3)</f>
        <v/>
      </c>
      <c r="AH547" s="9">
        <f>INDEX(LINEST(L288:L547,M288:T547,TRUE,TRUE),1,2)</f>
        <v/>
      </c>
      <c r="AI547" s="9">
        <f>INDEX(LINEST(L288:L547,M288:T547,TRUE,TRUE),1,1)</f>
        <v/>
      </c>
      <c r="AJ547" s="10">
        <f>INDEX(LINEST(L288:L547,M288:T547,TRUE,TRUE),3,1)</f>
        <v/>
      </c>
      <c r="AK547" s="9">
        <f>AA546/52+AB546*M547+AC546*N547+AD546*O547+AE546*P547+AF546*Q547+AG546*R547+AH546*S547+AI546*T547</f>
        <v/>
      </c>
      <c r="AL547" s="9">
        <f>AVERAGE(L287:L546)</f>
        <v/>
      </c>
    </row>
    <row r="548">
      <c r="A548" s="7" t="n">
        <v>41446</v>
      </c>
      <c r="B548" s="8" t="n">
        <v>1295.25</v>
      </c>
      <c r="C548" s="8" t="n">
        <v>1.93</v>
      </c>
      <c r="D548" s="8" t="n">
        <v>0.59</v>
      </c>
      <c r="E548" s="8" t="n">
        <v>82.31999999999999</v>
      </c>
      <c r="F548" s="8" t="n">
        <v>93.81</v>
      </c>
      <c r="G548" s="8" t="n">
        <v>18.9</v>
      </c>
      <c r="H548" s="8" t="n">
        <v>103.699997</v>
      </c>
      <c r="I548" s="8" t="n">
        <v>1592.430054</v>
      </c>
      <c r="J548" s="8" t="n">
        <v>75.00425</v>
      </c>
      <c r="L548" s="9">
        <f>LN(B548/B547)</f>
        <v/>
      </c>
      <c r="M548" s="9">
        <f>$M$1*(C548-C547)</f>
        <v/>
      </c>
      <c r="N548" s="9">
        <f>$N$1*(D548-D547)</f>
        <v/>
      </c>
      <c r="O548" s="9">
        <f>$O$1*LN(E548/E547)</f>
        <v/>
      </c>
      <c r="P548" s="9">
        <f>$P$1*LN(F548/F547)</f>
        <v/>
      </c>
      <c r="Q548" s="9">
        <f>$Q$1*(G548-G547)</f>
        <v/>
      </c>
      <c r="R548" s="9">
        <f>$R$1*(H548-H547)</f>
        <v/>
      </c>
      <c r="S548" s="9">
        <f>$S$1*LN(I548/I547)</f>
        <v/>
      </c>
      <c r="T548" s="9">
        <f>$T$1*LN(J548/J547)</f>
        <v/>
      </c>
      <c r="U548" s="9">
        <f>$W$12+$W$4*M548+$W$5*N548+$W$6*O548+$W$7*P548+$W$8*Q548+$W$9*R548+$W$10*S548+$W$11*T548</f>
        <v/>
      </c>
      <c r="AA548" s="10">
        <f>INDEX(LINEST(L289:L548,M289:T548,TRUE,TRUE),1,9)*52</f>
        <v/>
      </c>
      <c r="AB548" s="9">
        <f>INDEX(LINEST(L289:L548,M289:T548,TRUE,TRUE),1,8)</f>
        <v/>
      </c>
      <c r="AC548" s="9">
        <f>INDEX(LINEST(L289:L548,M289:T548,TRUE,TRUE),1,7)</f>
        <v/>
      </c>
      <c r="AD548" s="9">
        <f>INDEX(LINEST(L289:L548,M289:T548,TRUE,TRUE),1,6)</f>
        <v/>
      </c>
      <c r="AE548" s="9">
        <f>INDEX(LINEST(L289:L548,M289:T548,TRUE,TRUE),1,5)</f>
        <v/>
      </c>
      <c r="AF548" s="9">
        <f>INDEX(LINEST(L289:L548,M289:T548,TRUE,TRUE),1,4)</f>
        <v/>
      </c>
      <c r="AG548" s="9">
        <f>INDEX(LINEST(L289:L548,M289:T548,TRUE,TRUE),1,3)</f>
        <v/>
      </c>
      <c r="AH548" s="9">
        <f>INDEX(LINEST(L289:L548,M289:T548,TRUE,TRUE),1,2)</f>
        <v/>
      </c>
      <c r="AI548" s="9">
        <f>INDEX(LINEST(L289:L548,M289:T548,TRUE,TRUE),1,1)</f>
        <v/>
      </c>
      <c r="AJ548" s="10">
        <f>INDEX(LINEST(L289:L548,M289:T548,TRUE,TRUE),3,1)</f>
        <v/>
      </c>
      <c r="AK548" s="9">
        <f>AA547/52+AB547*M548+AC547*N548+AD547*O548+AE547*P548+AF547*Q548+AG547*R548+AH547*S548+AI547*T548</f>
        <v/>
      </c>
      <c r="AL548" s="9">
        <f>AVERAGE(L288:L547)</f>
        <v/>
      </c>
    </row>
    <row r="549">
      <c r="A549" s="7" t="n">
        <v>41453</v>
      </c>
      <c r="B549" s="8" t="n">
        <v>1192</v>
      </c>
      <c r="C549" s="8" t="n">
        <v>1.99</v>
      </c>
      <c r="D549" s="8" t="n">
        <v>0.53</v>
      </c>
      <c r="E549" s="8" t="n">
        <v>83.16999800000001</v>
      </c>
      <c r="F549" s="8" t="n">
        <v>96.36</v>
      </c>
      <c r="G549" s="8" t="n">
        <v>16.86</v>
      </c>
      <c r="H549" s="8" t="n">
        <v>99.800003</v>
      </c>
      <c r="I549" s="8" t="n">
        <v>1606.280029</v>
      </c>
      <c r="J549" s="8" t="n">
        <v>75.426376</v>
      </c>
      <c r="L549" s="9">
        <f>LN(B549/B548)</f>
        <v/>
      </c>
      <c r="M549" s="9">
        <f>$M$1*(C549-C548)</f>
        <v/>
      </c>
      <c r="N549" s="9">
        <f>$N$1*(D549-D548)</f>
        <v/>
      </c>
      <c r="O549" s="9">
        <f>$O$1*LN(E549/E548)</f>
        <v/>
      </c>
      <c r="P549" s="9">
        <f>$P$1*LN(F549/F548)</f>
        <v/>
      </c>
      <c r="Q549" s="9">
        <f>$Q$1*(G549-G548)</f>
        <v/>
      </c>
      <c r="R549" s="9">
        <f>$R$1*(H549-H548)</f>
        <v/>
      </c>
      <c r="S549" s="9">
        <f>$S$1*LN(I549/I548)</f>
        <v/>
      </c>
      <c r="T549" s="9">
        <f>$T$1*LN(J549/J548)</f>
        <v/>
      </c>
      <c r="U549" s="9">
        <f>$W$12+$W$4*M549+$W$5*N549+$W$6*O549+$W$7*P549+$W$8*Q549+$W$9*R549+$W$10*S549+$W$11*T549</f>
        <v/>
      </c>
      <c r="AA549" s="10">
        <f>INDEX(LINEST(L290:L549,M290:T549,TRUE,TRUE),1,9)*52</f>
        <v/>
      </c>
      <c r="AB549" s="9">
        <f>INDEX(LINEST(L290:L549,M290:T549,TRUE,TRUE),1,8)</f>
        <v/>
      </c>
      <c r="AC549" s="9">
        <f>INDEX(LINEST(L290:L549,M290:T549,TRUE,TRUE),1,7)</f>
        <v/>
      </c>
      <c r="AD549" s="9">
        <f>INDEX(LINEST(L290:L549,M290:T549,TRUE,TRUE),1,6)</f>
        <v/>
      </c>
      <c r="AE549" s="9">
        <f>INDEX(LINEST(L290:L549,M290:T549,TRUE,TRUE),1,5)</f>
        <v/>
      </c>
      <c r="AF549" s="9">
        <f>INDEX(LINEST(L290:L549,M290:T549,TRUE,TRUE),1,4)</f>
        <v/>
      </c>
      <c r="AG549" s="9">
        <f>INDEX(LINEST(L290:L549,M290:T549,TRUE,TRUE),1,3)</f>
        <v/>
      </c>
      <c r="AH549" s="9">
        <f>INDEX(LINEST(L290:L549,M290:T549,TRUE,TRUE),1,2)</f>
        <v/>
      </c>
      <c r="AI549" s="9">
        <f>INDEX(LINEST(L290:L549,M290:T549,TRUE,TRUE),1,1)</f>
        <v/>
      </c>
      <c r="AJ549" s="10">
        <f>INDEX(LINEST(L290:L549,M290:T549,TRUE,TRUE),3,1)</f>
        <v/>
      </c>
      <c r="AK549" s="9">
        <f>AA548/52+AB548*M549+AC548*N549+AD548*O549+AE548*P549+AF548*Q549+AG548*R549+AH548*S549+AI548*T549</f>
        <v/>
      </c>
      <c r="AL549" s="9">
        <f>AVERAGE(L289:L548)</f>
        <v/>
      </c>
    </row>
    <row r="550">
      <c r="A550" s="7" t="n">
        <v>41460</v>
      </c>
      <c r="B550" s="8" t="n">
        <v>1212.75</v>
      </c>
      <c r="C550" s="8" t="n">
        <v>2.07</v>
      </c>
      <c r="D550" s="8" t="n">
        <v>0.66</v>
      </c>
      <c r="E550" s="8" t="n">
        <v>84.41999800000001</v>
      </c>
      <c r="F550" s="8" t="n">
        <v>103.09</v>
      </c>
      <c r="G550" s="8" t="n">
        <v>14.89</v>
      </c>
      <c r="H550" s="8" t="n">
        <v>117.900002</v>
      </c>
      <c r="I550" s="8" t="n">
        <v>1631.890015</v>
      </c>
      <c r="J550" s="8" t="n">
        <v>74.600365</v>
      </c>
      <c r="L550" s="9">
        <f>LN(B550/B549)</f>
        <v/>
      </c>
      <c r="M550" s="9">
        <f>$M$1*(C550-C549)</f>
        <v/>
      </c>
      <c r="N550" s="9">
        <f>$N$1*(D550-D549)</f>
        <v/>
      </c>
      <c r="O550" s="9">
        <f>$O$1*LN(E550/E549)</f>
        <v/>
      </c>
      <c r="P550" s="9">
        <f>$P$1*LN(F550/F549)</f>
        <v/>
      </c>
      <c r="Q550" s="9">
        <f>$Q$1*(G550-G549)</f>
        <v/>
      </c>
      <c r="R550" s="9">
        <f>$R$1*(H550-H549)</f>
        <v/>
      </c>
      <c r="S550" s="9">
        <f>$S$1*LN(I550/I549)</f>
        <v/>
      </c>
      <c r="T550" s="9">
        <f>$T$1*LN(J550/J549)</f>
        <v/>
      </c>
      <c r="U550" s="9">
        <f>$W$12+$W$4*M550+$W$5*N550+$W$6*O550+$W$7*P550+$W$8*Q550+$W$9*R550+$W$10*S550+$W$11*T550</f>
        <v/>
      </c>
      <c r="AA550" s="10">
        <f>INDEX(LINEST(L291:L550,M291:T550,TRUE,TRUE),1,9)*52</f>
        <v/>
      </c>
      <c r="AB550" s="9">
        <f>INDEX(LINEST(L291:L550,M291:T550,TRUE,TRUE),1,8)</f>
        <v/>
      </c>
      <c r="AC550" s="9">
        <f>INDEX(LINEST(L291:L550,M291:T550,TRUE,TRUE),1,7)</f>
        <v/>
      </c>
      <c r="AD550" s="9">
        <f>INDEX(LINEST(L291:L550,M291:T550,TRUE,TRUE),1,6)</f>
        <v/>
      </c>
      <c r="AE550" s="9">
        <f>INDEX(LINEST(L291:L550,M291:T550,TRUE,TRUE),1,5)</f>
        <v/>
      </c>
      <c r="AF550" s="9">
        <f>INDEX(LINEST(L291:L550,M291:T550,TRUE,TRUE),1,4)</f>
        <v/>
      </c>
      <c r="AG550" s="9">
        <f>INDEX(LINEST(L291:L550,M291:T550,TRUE,TRUE),1,3)</f>
        <v/>
      </c>
      <c r="AH550" s="9">
        <f>INDEX(LINEST(L291:L550,M291:T550,TRUE,TRUE),1,2)</f>
        <v/>
      </c>
      <c r="AI550" s="9">
        <f>INDEX(LINEST(L291:L550,M291:T550,TRUE,TRUE),1,1)</f>
        <v/>
      </c>
      <c r="AJ550" s="10">
        <f>INDEX(LINEST(L291:L550,M291:T550,TRUE,TRUE),3,1)</f>
        <v/>
      </c>
      <c r="AK550" s="9">
        <f>AA549/52+AB549*M550+AC549*N550+AD549*O550+AE549*P550+AF549*Q550+AG549*R550+AH549*S550+AI549*T550</f>
        <v/>
      </c>
      <c r="AL550" s="9">
        <f>AVERAGE(L290:L549)</f>
        <v/>
      </c>
    </row>
    <row r="551">
      <c r="A551" s="7" t="n">
        <v>41467</v>
      </c>
      <c r="B551" s="8" t="n">
        <v>1279.75</v>
      </c>
      <c r="C551" s="8" t="n">
        <v>2.06</v>
      </c>
      <c r="D551" s="8" t="n">
        <v>0.55</v>
      </c>
      <c r="E551" s="8" t="n">
        <v>82.989998</v>
      </c>
      <c r="F551" s="8" t="n">
        <v>105.85</v>
      </c>
      <c r="G551" s="8" t="n">
        <v>13.84</v>
      </c>
      <c r="H551" s="8" t="n">
        <v>94.5</v>
      </c>
      <c r="I551" s="8" t="n">
        <v>1680.189941</v>
      </c>
      <c r="J551" s="8" t="n">
        <v>75.283997</v>
      </c>
      <c r="L551" s="9">
        <f>LN(B551/B550)</f>
        <v/>
      </c>
      <c r="M551" s="9">
        <f>$M$1*(C551-C550)</f>
        <v/>
      </c>
      <c r="N551" s="9">
        <f>$N$1*(D551-D550)</f>
        <v/>
      </c>
      <c r="O551" s="9">
        <f>$O$1*LN(E551/E550)</f>
        <v/>
      </c>
      <c r="P551" s="9">
        <f>$P$1*LN(F551/F550)</f>
        <v/>
      </c>
      <c r="Q551" s="9">
        <f>$Q$1*(G551-G550)</f>
        <v/>
      </c>
      <c r="R551" s="9">
        <f>$R$1*(H551-H550)</f>
        <v/>
      </c>
      <c r="S551" s="9">
        <f>$S$1*LN(I551/I550)</f>
        <v/>
      </c>
      <c r="T551" s="9">
        <f>$T$1*LN(J551/J550)</f>
        <v/>
      </c>
      <c r="U551" s="9">
        <f>$W$12+$W$4*M551+$W$5*N551+$W$6*O551+$W$7*P551+$W$8*Q551+$W$9*R551+$W$10*S551+$W$11*T551</f>
        <v/>
      </c>
      <c r="AA551" s="10">
        <f>INDEX(LINEST(L292:L551,M292:T551,TRUE,TRUE),1,9)*52</f>
        <v/>
      </c>
      <c r="AB551" s="9">
        <f>INDEX(LINEST(L292:L551,M292:T551,TRUE,TRUE),1,8)</f>
        <v/>
      </c>
      <c r="AC551" s="9">
        <f>INDEX(LINEST(L292:L551,M292:T551,TRUE,TRUE),1,7)</f>
        <v/>
      </c>
      <c r="AD551" s="9">
        <f>INDEX(LINEST(L292:L551,M292:T551,TRUE,TRUE),1,6)</f>
        <v/>
      </c>
      <c r="AE551" s="9">
        <f>INDEX(LINEST(L292:L551,M292:T551,TRUE,TRUE),1,5)</f>
        <v/>
      </c>
      <c r="AF551" s="9">
        <f>INDEX(LINEST(L292:L551,M292:T551,TRUE,TRUE),1,4)</f>
        <v/>
      </c>
      <c r="AG551" s="9">
        <f>INDEX(LINEST(L292:L551,M292:T551,TRUE,TRUE),1,3)</f>
        <v/>
      </c>
      <c r="AH551" s="9">
        <f>INDEX(LINEST(L292:L551,M292:T551,TRUE,TRUE),1,2)</f>
        <v/>
      </c>
      <c r="AI551" s="9">
        <f>INDEX(LINEST(L292:L551,M292:T551,TRUE,TRUE),1,1)</f>
        <v/>
      </c>
      <c r="AJ551" s="10">
        <f>INDEX(LINEST(L292:L551,M292:T551,TRUE,TRUE),3,1)</f>
        <v/>
      </c>
      <c r="AK551" s="9">
        <f>AA550/52+AB550*M551+AC550*N551+AD550*O551+AE550*P551+AF550*Q551+AG550*R551+AH550*S551+AI550*T551</f>
        <v/>
      </c>
      <c r="AL551" s="9">
        <f>AVERAGE(L291:L550)</f>
        <v/>
      </c>
    </row>
    <row r="552">
      <c r="A552" s="7" t="n">
        <v>41474</v>
      </c>
      <c r="B552" s="8" t="n">
        <v>1295.75</v>
      </c>
      <c r="C552" s="8" t="n">
        <v>2.21</v>
      </c>
      <c r="D552" s="8" t="n">
        <v>0.29</v>
      </c>
      <c r="E552" s="8" t="n">
        <v>82.58000199999999</v>
      </c>
      <c r="F552" s="8" t="n">
        <v>108</v>
      </c>
      <c r="G552" s="8" t="n">
        <v>12.54</v>
      </c>
      <c r="H552" s="8" t="n">
        <v>75.900002</v>
      </c>
      <c r="I552" s="8" t="n">
        <v>1692.089966</v>
      </c>
      <c r="J552" s="8" t="n">
        <v>75.784431</v>
      </c>
      <c r="L552" s="9">
        <f>LN(B552/B551)</f>
        <v/>
      </c>
      <c r="M552" s="9">
        <f>$M$1*(C552-C551)</f>
        <v/>
      </c>
      <c r="N552" s="9">
        <f>$N$1*(D552-D551)</f>
        <v/>
      </c>
      <c r="O552" s="9">
        <f>$O$1*LN(E552/E551)</f>
        <v/>
      </c>
      <c r="P552" s="9">
        <f>$P$1*LN(F552/F551)</f>
        <v/>
      </c>
      <c r="Q552" s="9">
        <f>$Q$1*(G552-G551)</f>
        <v/>
      </c>
      <c r="R552" s="9">
        <f>$R$1*(H552-H551)</f>
        <v/>
      </c>
      <c r="S552" s="9">
        <f>$S$1*LN(I552/I551)</f>
        <v/>
      </c>
      <c r="T552" s="9">
        <f>$T$1*LN(J552/J551)</f>
        <v/>
      </c>
      <c r="U552" s="9">
        <f>$W$12+$W$4*M552+$W$5*N552+$W$6*O552+$W$7*P552+$W$8*Q552+$W$9*R552+$W$10*S552+$W$11*T552</f>
        <v/>
      </c>
      <c r="AA552" s="10">
        <f>INDEX(LINEST(L293:L552,M293:T552,TRUE,TRUE),1,9)*52</f>
        <v/>
      </c>
      <c r="AB552" s="9">
        <f>INDEX(LINEST(L293:L552,M293:T552,TRUE,TRUE),1,8)</f>
        <v/>
      </c>
      <c r="AC552" s="9">
        <f>INDEX(LINEST(L293:L552,M293:T552,TRUE,TRUE),1,7)</f>
        <v/>
      </c>
      <c r="AD552" s="9">
        <f>INDEX(LINEST(L293:L552,M293:T552,TRUE,TRUE),1,6)</f>
        <v/>
      </c>
      <c r="AE552" s="9">
        <f>INDEX(LINEST(L293:L552,M293:T552,TRUE,TRUE),1,5)</f>
        <v/>
      </c>
      <c r="AF552" s="9">
        <f>INDEX(LINEST(L293:L552,M293:T552,TRUE,TRUE),1,4)</f>
        <v/>
      </c>
      <c r="AG552" s="9">
        <f>INDEX(LINEST(L293:L552,M293:T552,TRUE,TRUE),1,3)</f>
        <v/>
      </c>
      <c r="AH552" s="9">
        <f>INDEX(LINEST(L293:L552,M293:T552,TRUE,TRUE),1,2)</f>
        <v/>
      </c>
      <c r="AI552" s="9">
        <f>INDEX(LINEST(L293:L552,M293:T552,TRUE,TRUE),1,1)</f>
        <v/>
      </c>
      <c r="AJ552" s="10">
        <f>INDEX(LINEST(L293:L552,M293:T552,TRUE,TRUE),3,1)</f>
        <v/>
      </c>
      <c r="AK552" s="9">
        <f>AA551/52+AB551*M552+AC551*N552+AD551*O552+AE551*P552+AF551*Q552+AG551*R552+AH551*S552+AI551*T552</f>
        <v/>
      </c>
      <c r="AL552" s="9">
        <f>AVERAGE(L292:L551)</f>
        <v/>
      </c>
    </row>
    <row r="553">
      <c r="A553" s="7" t="n">
        <v>41481</v>
      </c>
      <c r="B553" s="8" t="n">
        <v>1331</v>
      </c>
      <c r="C553" s="8" t="n">
        <v>2.15</v>
      </c>
      <c r="D553" s="8" t="n">
        <v>0.43</v>
      </c>
      <c r="E553" s="8" t="n">
        <v>81.620003</v>
      </c>
      <c r="F553" s="8" t="n">
        <v>104.76</v>
      </c>
      <c r="G553" s="8" t="n">
        <v>12.72</v>
      </c>
      <c r="H553" s="8" t="n">
        <v>81.599998</v>
      </c>
      <c r="I553" s="8" t="n">
        <v>1691.650024</v>
      </c>
      <c r="J553" s="8" t="n">
        <v>75.60118900000001</v>
      </c>
      <c r="L553" s="9">
        <f>LN(B553/B552)</f>
        <v/>
      </c>
      <c r="M553" s="9">
        <f>$M$1*(C553-C552)</f>
        <v/>
      </c>
      <c r="N553" s="9">
        <f>$N$1*(D553-D552)</f>
        <v/>
      </c>
      <c r="O553" s="9">
        <f>$O$1*LN(E553/E552)</f>
        <v/>
      </c>
      <c r="P553" s="9">
        <f>$P$1*LN(F553/F552)</f>
        <v/>
      </c>
      <c r="Q553" s="9">
        <f>$Q$1*(G553-G552)</f>
        <v/>
      </c>
      <c r="R553" s="9">
        <f>$R$1*(H553-H552)</f>
        <v/>
      </c>
      <c r="S553" s="9">
        <f>$S$1*LN(I553/I552)</f>
        <v/>
      </c>
      <c r="T553" s="9">
        <f>$T$1*LN(J553/J552)</f>
        <v/>
      </c>
      <c r="U553" s="9">
        <f>$W$12+$W$4*M553+$W$5*N553+$W$6*O553+$W$7*P553+$W$8*Q553+$W$9*R553+$W$10*S553+$W$11*T553</f>
        <v/>
      </c>
      <c r="AA553" s="10">
        <f>INDEX(LINEST(L294:L553,M294:T553,TRUE,TRUE),1,9)*52</f>
        <v/>
      </c>
      <c r="AB553" s="9">
        <f>INDEX(LINEST(L294:L553,M294:T553,TRUE,TRUE),1,8)</f>
        <v/>
      </c>
      <c r="AC553" s="9">
        <f>INDEX(LINEST(L294:L553,M294:T553,TRUE,TRUE),1,7)</f>
        <v/>
      </c>
      <c r="AD553" s="9">
        <f>INDEX(LINEST(L294:L553,M294:T553,TRUE,TRUE),1,6)</f>
        <v/>
      </c>
      <c r="AE553" s="9">
        <f>INDEX(LINEST(L294:L553,M294:T553,TRUE,TRUE),1,5)</f>
        <v/>
      </c>
      <c r="AF553" s="9">
        <f>INDEX(LINEST(L294:L553,M294:T553,TRUE,TRUE),1,4)</f>
        <v/>
      </c>
      <c r="AG553" s="9">
        <f>INDEX(LINEST(L294:L553,M294:T553,TRUE,TRUE),1,3)</f>
        <v/>
      </c>
      <c r="AH553" s="9">
        <f>INDEX(LINEST(L294:L553,M294:T553,TRUE,TRUE),1,2)</f>
        <v/>
      </c>
      <c r="AI553" s="9">
        <f>INDEX(LINEST(L294:L553,M294:T553,TRUE,TRUE),1,1)</f>
        <v/>
      </c>
      <c r="AJ553" s="10">
        <f>INDEX(LINEST(L294:L553,M294:T553,TRUE,TRUE),3,1)</f>
        <v/>
      </c>
      <c r="AK553" s="9">
        <f>AA552/52+AB552*M553+AC552*N553+AD552*O553+AE552*P553+AF552*Q553+AG552*R553+AH552*S553+AI552*T553</f>
        <v/>
      </c>
      <c r="AL553" s="9">
        <f>AVERAGE(L293:L552)</f>
        <v/>
      </c>
    </row>
    <row r="554">
      <c r="A554" s="7" t="n">
        <v>41488</v>
      </c>
      <c r="B554" s="8" t="n">
        <v>1309.25</v>
      </c>
      <c r="C554" s="8" t="n">
        <v>2.21</v>
      </c>
      <c r="D554" s="8" t="n">
        <v>0.42</v>
      </c>
      <c r="E554" s="8" t="n">
        <v>81.910004</v>
      </c>
      <c r="F554" s="8" t="n">
        <v>106.94</v>
      </c>
      <c r="G554" s="8" t="n">
        <v>11.98</v>
      </c>
      <c r="H554" s="8" t="n">
        <v>73.199997</v>
      </c>
      <c r="I554" s="8" t="n">
        <v>1709.670044</v>
      </c>
      <c r="J554" s="8" t="n">
        <v>75.45636</v>
      </c>
      <c r="L554" s="9">
        <f>LN(B554/B553)</f>
        <v/>
      </c>
      <c r="M554" s="9">
        <f>$M$1*(C554-C553)</f>
        <v/>
      </c>
      <c r="N554" s="9">
        <f>$N$1*(D554-D553)</f>
        <v/>
      </c>
      <c r="O554" s="9">
        <f>$O$1*LN(E554/E553)</f>
        <v/>
      </c>
      <c r="P554" s="9">
        <f>$P$1*LN(F554/F553)</f>
        <v/>
      </c>
      <c r="Q554" s="9">
        <f>$Q$1*(G554-G553)</f>
        <v/>
      </c>
      <c r="R554" s="9">
        <f>$R$1*(H554-H553)</f>
        <v/>
      </c>
      <c r="S554" s="9">
        <f>$S$1*LN(I554/I553)</f>
        <v/>
      </c>
      <c r="T554" s="9">
        <f>$T$1*LN(J554/J553)</f>
        <v/>
      </c>
      <c r="U554" s="9">
        <f>$W$12+$W$4*M554+$W$5*N554+$W$6*O554+$W$7*P554+$W$8*Q554+$W$9*R554+$W$10*S554+$W$11*T554</f>
        <v/>
      </c>
      <c r="AA554" s="10">
        <f>INDEX(LINEST(L295:L554,M295:T554,TRUE,TRUE),1,9)*52</f>
        <v/>
      </c>
      <c r="AB554" s="9">
        <f>INDEX(LINEST(L295:L554,M295:T554,TRUE,TRUE),1,8)</f>
        <v/>
      </c>
      <c r="AC554" s="9">
        <f>INDEX(LINEST(L295:L554,M295:T554,TRUE,TRUE),1,7)</f>
        <v/>
      </c>
      <c r="AD554" s="9">
        <f>INDEX(LINEST(L295:L554,M295:T554,TRUE,TRUE),1,6)</f>
        <v/>
      </c>
      <c r="AE554" s="9">
        <f>INDEX(LINEST(L295:L554,M295:T554,TRUE,TRUE),1,5)</f>
        <v/>
      </c>
      <c r="AF554" s="9">
        <f>INDEX(LINEST(L295:L554,M295:T554,TRUE,TRUE),1,4)</f>
        <v/>
      </c>
      <c r="AG554" s="9">
        <f>INDEX(LINEST(L295:L554,M295:T554,TRUE,TRUE),1,3)</f>
        <v/>
      </c>
      <c r="AH554" s="9">
        <f>INDEX(LINEST(L295:L554,M295:T554,TRUE,TRUE),1,2)</f>
        <v/>
      </c>
      <c r="AI554" s="9">
        <f>INDEX(LINEST(L295:L554,M295:T554,TRUE,TRUE),1,1)</f>
        <v/>
      </c>
      <c r="AJ554" s="10">
        <f>INDEX(LINEST(L295:L554,M295:T554,TRUE,TRUE),3,1)</f>
        <v/>
      </c>
      <c r="AK554" s="9">
        <f>AA553/52+AB553*M554+AC553*N554+AD553*O554+AE553*P554+AF553*Q554+AG553*R554+AH553*S554+AI553*T554</f>
        <v/>
      </c>
      <c r="AL554" s="9">
        <f>AVERAGE(L294:L553)</f>
        <v/>
      </c>
    </row>
    <row r="555">
      <c r="A555" s="7" t="n">
        <v>41495</v>
      </c>
      <c r="B555" s="8" t="n">
        <v>1309</v>
      </c>
      <c r="C555" s="8" t="n">
        <v>2.24</v>
      </c>
      <c r="D555" s="8" t="n">
        <v>0.33</v>
      </c>
      <c r="E555" s="8" t="n">
        <v>81.129997</v>
      </c>
      <c r="F555" s="8" t="n">
        <v>106.04</v>
      </c>
      <c r="G555" s="8" t="n">
        <v>13.41</v>
      </c>
      <c r="H555" s="8" t="n">
        <v>75.400002</v>
      </c>
      <c r="I555" s="8" t="n">
        <v>1691.420044</v>
      </c>
      <c r="J555" s="8" t="n">
        <v>75.66821299999999</v>
      </c>
      <c r="L555" s="9">
        <f>LN(B555/B554)</f>
        <v/>
      </c>
      <c r="M555" s="9">
        <f>$M$1*(C555-C554)</f>
        <v/>
      </c>
      <c r="N555" s="9">
        <f>$N$1*(D555-D554)</f>
        <v/>
      </c>
      <c r="O555" s="9">
        <f>$O$1*LN(E555/E554)</f>
        <v/>
      </c>
      <c r="P555" s="9">
        <f>$P$1*LN(F555/F554)</f>
        <v/>
      </c>
      <c r="Q555" s="9">
        <f>$Q$1*(G555-G554)</f>
        <v/>
      </c>
      <c r="R555" s="9">
        <f>$R$1*(H555-H554)</f>
        <v/>
      </c>
      <c r="S555" s="9">
        <f>$S$1*LN(I555/I554)</f>
        <v/>
      </c>
      <c r="T555" s="9">
        <f>$T$1*LN(J555/J554)</f>
        <v/>
      </c>
      <c r="U555" s="9">
        <f>$W$12+$W$4*M555+$W$5*N555+$W$6*O555+$W$7*P555+$W$8*Q555+$W$9*R555+$W$10*S555+$W$11*T555</f>
        <v/>
      </c>
      <c r="AA555" s="10">
        <f>INDEX(LINEST(L296:L555,M296:T555,TRUE,TRUE),1,9)*52</f>
        <v/>
      </c>
      <c r="AB555" s="9">
        <f>INDEX(LINEST(L296:L555,M296:T555,TRUE,TRUE),1,8)</f>
        <v/>
      </c>
      <c r="AC555" s="9">
        <f>INDEX(LINEST(L296:L555,M296:T555,TRUE,TRUE),1,7)</f>
        <v/>
      </c>
      <c r="AD555" s="9">
        <f>INDEX(LINEST(L296:L555,M296:T555,TRUE,TRUE),1,6)</f>
        <v/>
      </c>
      <c r="AE555" s="9">
        <f>INDEX(LINEST(L296:L555,M296:T555,TRUE,TRUE),1,5)</f>
        <v/>
      </c>
      <c r="AF555" s="9">
        <f>INDEX(LINEST(L296:L555,M296:T555,TRUE,TRUE),1,4)</f>
        <v/>
      </c>
      <c r="AG555" s="9">
        <f>INDEX(LINEST(L296:L555,M296:T555,TRUE,TRUE),1,3)</f>
        <v/>
      </c>
      <c r="AH555" s="9">
        <f>INDEX(LINEST(L296:L555,M296:T555,TRUE,TRUE),1,2)</f>
        <v/>
      </c>
      <c r="AI555" s="9">
        <f>INDEX(LINEST(L296:L555,M296:T555,TRUE,TRUE),1,1)</f>
        <v/>
      </c>
      <c r="AJ555" s="10">
        <f>INDEX(LINEST(L296:L555,M296:T555,TRUE,TRUE),3,1)</f>
        <v/>
      </c>
      <c r="AK555" s="9">
        <f>AA554/52+AB554*M555+AC554*N555+AD554*O555+AE554*P555+AF554*Q555+AG554*R555+AH554*S555+AI554*T555</f>
        <v/>
      </c>
      <c r="AL555" s="9">
        <f>AVERAGE(L295:L554)</f>
        <v/>
      </c>
    </row>
    <row r="556">
      <c r="A556" s="7" t="n">
        <v>41502</v>
      </c>
      <c r="B556" s="8" t="n">
        <v>1369.25</v>
      </c>
      <c r="C556" s="8" t="n">
        <v>2.16</v>
      </c>
      <c r="D556" s="8" t="n">
        <v>0.68</v>
      </c>
      <c r="E556" s="8" t="n">
        <v>81.260002</v>
      </c>
      <c r="F556" s="8" t="n">
        <v>107.58</v>
      </c>
      <c r="G556" s="8" t="n">
        <v>14.37</v>
      </c>
      <c r="H556" s="8" t="n">
        <v>94.699997</v>
      </c>
      <c r="I556" s="8" t="n">
        <v>1655.829956</v>
      </c>
      <c r="J556" s="8" t="n">
        <v>74.736046</v>
      </c>
      <c r="L556" s="9">
        <f>LN(B556/B555)</f>
        <v/>
      </c>
      <c r="M556" s="9">
        <f>$M$1*(C556-C555)</f>
        <v/>
      </c>
      <c r="N556" s="9">
        <f>$N$1*(D556-D555)</f>
        <v/>
      </c>
      <c r="O556" s="9">
        <f>$O$1*LN(E556/E555)</f>
        <v/>
      </c>
      <c r="P556" s="9">
        <f>$P$1*LN(F556/F555)</f>
        <v/>
      </c>
      <c r="Q556" s="9">
        <f>$Q$1*(G556-G555)</f>
        <v/>
      </c>
      <c r="R556" s="9">
        <f>$R$1*(H556-H555)</f>
        <v/>
      </c>
      <c r="S556" s="9">
        <f>$S$1*LN(I556/I555)</f>
        <v/>
      </c>
      <c r="T556" s="9">
        <f>$T$1*LN(J556/J555)</f>
        <v/>
      </c>
      <c r="U556" s="9">
        <f>$W$12+$W$4*M556+$W$5*N556+$W$6*O556+$W$7*P556+$W$8*Q556+$W$9*R556+$W$10*S556+$W$11*T556</f>
        <v/>
      </c>
      <c r="AA556" s="10">
        <f>INDEX(LINEST(L297:L556,M297:T556,TRUE,TRUE),1,9)*52</f>
        <v/>
      </c>
      <c r="AB556" s="9">
        <f>INDEX(LINEST(L297:L556,M297:T556,TRUE,TRUE),1,8)</f>
        <v/>
      </c>
      <c r="AC556" s="9">
        <f>INDEX(LINEST(L297:L556,M297:T556,TRUE,TRUE),1,7)</f>
        <v/>
      </c>
      <c r="AD556" s="9">
        <f>INDEX(LINEST(L297:L556,M297:T556,TRUE,TRUE),1,6)</f>
        <v/>
      </c>
      <c r="AE556" s="9">
        <f>INDEX(LINEST(L297:L556,M297:T556,TRUE,TRUE),1,5)</f>
        <v/>
      </c>
      <c r="AF556" s="9">
        <f>INDEX(LINEST(L297:L556,M297:T556,TRUE,TRUE),1,4)</f>
        <v/>
      </c>
      <c r="AG556" s="9">
        <f>INDEX(LINEST(L297:L556,M297:T556,TRUE,TRUE),1,3)</f>
        <v/>
      </c>
      <c r="AH556" s="9">
        <f>INDEX(LINEST(L297:L556,M297:T556,TRUE,TRUE),1,2)</f>
        <v/>
      </c>
      <c r="AI556" s="9">
        <f>INDEX(LINEST(L297:L556,M297:T556,TRUE,TRUE),1,1)</f>
        <v/>
      </c>
      <c r="AJ556" s="10">
        <f>INDEX(LINEST(L297:L556,M297:T556,TRUE,TRUE),3,1)</f>
        <v/>
      </c>
      <c r="AK556" s="9">
        <f>AA555/52+AB555*M556+AC555*N556+AD555*O556+AE555*P556+AF555*Q556+AG555*R556+AH555*S556+AI555*T556</f>
        <v/>
      </c>
      <c r="AL556" s="9">
        <f>AVERAGE(L296:L555)</f>
        <v/>
      </c>
    </row>
    <row r="557">
      <c r="A557" s="7" t="n">
        <v>41509</v>
      </c>
      <c r="B557" s="8" t="n">
        <v>1377.5</v>
      </c>
      <c r="C557" s="8" t="n">
        <v>2.13</v>
      </c>
      <c r="D557" s="8" t="n">
        <v>0.6899999999999999</v>
      </c>
      <c r="E557" s="8" t="n">
        <v>81.339996</v>
      </c>
      <c r="F557" s="8" t="n">
        <v>106.48</v>
      </c>
      <c r="G557" s="8" t="n">
        <v>13.98</v>
      </c>
      <c r="H557" s="8" t="n">
        <v>99.800003</v>
      </c>
      <c r="I557" s="8" t="n">
        <v>1663.5</v>
      </c>
      <c r="J557" s="8" t="n">
        <v>74.78552999999999</v>
      </c>
      <c r="L557" s="9">
        <f>LN(B557/B556)</f>
        <v/>
      </c>
      <c r="M557" s="9">
        <f>$M$1*(C557-C556)</f>
        <v/>
      </c>
      <c r="N557" s="9">
        <f>$N$1*(D557-D556)</f>
        <v/>
      </c>
      <c r="O557" s="9">
        <f>$O$1*LN(E557/E556)</f>
        <v/>
      </c>
      <c r="P557" s="9">
        <f>$P$1*LN(F557/F556)</f>
        <v/>
      </c>
      <c r="Q557" s="9">
        <f>$Q$1*(G557-G556)</f>
        <v/>
      </c>
      <c r="R557" s="9">
        <f>$R$1*(H557-H556)</f>
        <v/>
      </c>
      <c r="S557" s="9">
        <f>$S$1*LN(I557/I556)</f>
        <v/>
      </c>
      <c r="T557" s="9">
        <f>$T$1*LN(J557/J556)</f>
        <v/>
      </c>
      <c r="U557" s="9">
        <f>$W$12+$W$4*M557+$W$5*N557+$W$6*O557+$W$7*P557+$W$8*Q557+$W$9*R557+$W$10*S557+$W$11*T557</f>
        <v/>
      </c>
      <c r="AA557" s="10">
        <f>INDEX(LINEST(L298:L557,M298:T557,TRUE,TRUE),1,9)*52</f>
        <v/>
      </c>
      <c r="AB557" s="9">
        <f>INDEX(LINEST(L298:L557,M298:T557,TRUE,TRUE),1,8)</f>
        <v/>
      </c>
      <c r="AC557" s="9">
        <f>INDEX(LINEST(L298:L557,M298:T557,TRUE,TRUE),1,7)</f>
        <v/>
      </c>
      <c r="AD557" s="9">
        <f>INDEX(LINEST(L298:L557,M298:T557,TRUE,TRUE),1,6)</f>
        <v/>
      </c>
      <c r="AE557" s="9">
        <f>INDEX(LINEST(L298:L557,M298:T557,TRUE,TRUE),1,5)</f>
        <v/>
      </c>
      <c r="AF557" s="9">
        <f>INDEX(LINEST(L298:L557,M298:T557,TRUE,TRUE),1,4)</f>
        <v/>
      </c>
      <c r="AG557" s="9">
        <f>INDEX(LINEST(L298:L557,M298:T557,TRUE,TRUE),1,3)</f>
        <v/>
      </c>
      <c r="AH557" s="9">
        <f>INDEX(LINEST(L298:L557,M298:T557,TRUE,TRUE),1,2)</f>
        <v/>
      </c>
      <c r="AI557" s="9">
        <f>INDEX(LINEST(L298:L557,M298:T557,TRUE,TRUE),1,1)</f>
        <v/>
      </c>
      <c r="AJ557" s="10">
        <f>INDEX(LINEST(L298:L557,M298:T557,TRUE,TRUE),3,1)</f>
        <v/>
      </c>
      <c r="AK557" s="9">
        <f>AA556/52+AB556*M557+AC556*N557+AD556*O557+AE556*P557+AF556*Q557+AG556*R557+AH556*S557+AI556*T557</f>
        <v/>
      </c>
      <c r="AL557" s="9">
        <f>AVERAGE(L297:L556)</f>
        <v/>
      </c>
    </row>
    <row r="558">
      <c r="A558" s="7" t="n">
        <v>41516</v>
      </c>
      <c r="B558" s="8" t="n">
        <v>1394.75</v>
      </c>
      <c r="C558" s="8" t="n">
        <v>2.1</v>
      </c>
      <c r="D558" s="8" t="n">
        <v>0.68</v>
      </c>
      <c r="E558" s="8" t="n">
        <v>82.089996</v>
      </c>
      <c r="F558" s="8" t="n">
        <v>107.98</v>
      </c>
      <c r="G558" s="8" t="n">
        <v>17.01</v>
      </c>
      <c r="H558" s="8" t="n">
        <v>103.5</v>
      </c>
      <c r="I558" s="8" t="n">
        <v>1632.969971</v>
      </c>
      <c r="J558" s="8" t="n">
        <v>75.00438699999999</v>
      </c>
      <c r="L558" s="9">
        <f>LN(B558/B557)</f>
        <v/>
      </c>
      <c r="M558" s="9">
        <f>$M$1*(C558-C557)</f>
        <v/>
      </c>
      <c r="N558" s="9">
        <f>$N$1*(D558-D557)</f>
        <v/>
      </c>
      <c r="O558" s="9">
        <f>$O$1*LN(E558/E557)</f>
        <v/>
      </c>
      <c r="P558" s="9">
        <f>$P$1*LN(F558/F557)</f>
        <v/>
      </c>
      <c r="Q558" s="9">
        <f>$Q$1*(G558-G557)</f>
        <v/>
      </c>
      <c r="R558" s="9">
        <f>$R$1*(H558-H557)</f>
        <v/>
      </c>
      <c r="S558" s="9">
        <f>$S$1*LN(I558/I557)</f>
        <v/>
      </c>
      <c r="T558" s="9">
        <f>$T$1*LN(J558/J557)</f>
        <v/>
      </c>
      <c r="U558" s="9">
        <f>$W$12+$W$4*M558+$W$5*N558+$W$6*O558+$W$7*P558+$W$8*Q558+$W$9*R558+$W$10*S558+$W$11*T558</f>
        <v/>
      </c>
      <c r="AA558" s="10">
        <f>INDEX(LINEST(L299:L558,M299:T558,TRUE,TRUE),1,9)*52</f>
        <v/>
      </c>
      <c r="AB558" s="9">
        <f>INDEX(LINEST(L299:L558,M299:T558,TRUE,TRUE),1,8)</f>
        <v/>
      </c>
      <c r="AC558" s="9">
        <f>INDEX(LINEST(L299:L558,M299:T558,TRUE,TRUE),1,7)</f>
        <v/>
      </c>
      <c r="AD558" s="9">
        <f>INDEX(LINEST(L299:L558,M299:T558,TRUE,TRUE),1,6)</f>
        <v/>
      </c>
      <c r="AE558" s="9">
        <f>INDEX(LINEST(L299:L558,M299:T558,TRUE,TRUE),1,5)</f>
        <v/>
      </c>
      <c r="AF558" s="9">
        <f>INDEX(LINEST(L299:L558,M299:T558,TRUE,TRUE),1,4)</f>
        <v/>
      </c>
      <c r="AG558" s="9">
        <f>INDEX(LINEST(L299:L558,M299:T558,TRUE,TRUE),1,3)</f>
        <v/>
      </c>
      <c r="AH558" s="9">
        <f>INDEX(LINEST(L299:L558,M299:T558,TRUE,TRUE),1,2)</f>
        <v/>
      </c>
      <c r="AI558" s="9">
        <f>INDEX(LINEST(L299:L558,M299:T558,TRUE,TRUE),1,1)</f>
        <v/>
      </c>
      <c r="AJ558" s="10">
        <f>INDEX(LINEST(L299:L558,M299:T558,TRUE,TRUE),3,1)</f>
        <v/>
      </c>
      <c r="AK558" s="9">
        <f>AA557/52+AB557*M558+AC557*N558+AD557*O558+AE557*P558+AF557*Q558+AG557*R558+AH557*S558+AI557*T558</f>
        <v/>
      </c>
      <c r="AL558" s="9">
        <f>AVERAGE(L298:L557)</f>
        <v/>
      </c>
    </row>
    <row r="559">
      <c r="A559" s="7" t="n">
        <v>41523</v>
      </c>
      <c r="B559" s="8" t="n">
        <v>1387</v>
      </c>
      <c r="C559" s="8" t="n">
        <v>2.07</v>
      </c>
      <c r="D559" s="8" t="n">
        <v>0.87</v>
      </c>
      <c r="E559" s="8" t="n">
        <v>82.150002</v>
      </c>
      <c r="F559" s="8" t="n">
        <v>110.62</v>
      </c>
      <c r="G559" s="8" t="n">
        <v>15.85</v>
      </c>
      <c r="H559" s="8" t="n">
        <v>105.5</v>
      </c>
      <c r="I559" s="8" t="n">
        <v>1655.170044</v>
      </c>
      <c r="J559" s="8" t="n">
        <v>74.486565</v>
      </c>
      <c r="L559" s="9">
        <f>LN(B559/B558)</f>
        <v/>
      </c>
      <c r="M559" s="9">
        <f>$M$1*(C559-C558)</f>
        <v/>
      </c>
      <c r="N559" s="9">
        <f>$N$1*(D559-D558)</f>
        <v/>
      </c>
      <c r="O559" s="9">
        <f>$O$1*LN(E559/E558)</f>
        <v/>
      </c>
      <c r="P559" s="9">
        <f>$P$1*LN(F559/F558)</f>
        <v/>
      </c>
      <c r="Q559" s="9">
        <f>$Q$1*(G559-G558)</f>
        <v/>
      </c>
      <c r="R559" s="9">
        <f>$R$1*(H559-H558)</f>
        <v/>
      </c>
      <c r="S559" s="9">
        <f>$S$1*LN(I559/I558)</f>
        <v/>
      </c>
      <c r="T559" s="9">
        <f>$T$1*LN(J559/J558)</f>
        <v/>
      </c>
      <c r="U559" s="9">
        <f>$W$12+$W$4*M559+$W$5*N559+$W$6*O559+$W$7*P559+$W$8*Q559+$W$9*R559+$W$10*S559+$W$11*T559</f>
        <v/>
      </c>
      <c r="AA559" s="10">
        <f>INDEX(LINEST(L300:L559,M300:T559,TRUE,TRUE),1,9)*52</f>
        <v/>
      </c>
      <c r="AB559" s="9">
        <f>INDEX(LINEST(L300:L559,M300:T559,TRUE,TRUE),1,8)</f>
        <v/>
      </c>
      <c r="AC559" s="9">
        <f>INDEX(LINEST(L300:L559,M300:T559,TRUE,TRUE),1,7)</f>
        <v/>
      </c>
      <c r="AD559" s="9">
        <f>INDEX(LINEST(L300:L559,M300:T559,TRUE,TRUE),1,6)</f>
        <v/>
      </c>
      <c r="AE559" s="9">
        <f>INDEX(LINEST(L300:L559,M300:T559,TRUE,TRUE),1,5)</f>
        <v/>
      </c>
      <c r="AF559" s="9">
        <f>INDEX(LINEST(L300:L559,M300:T559,TRUE,TRUE),1,4)</f>
        <v/>
      </c>
      <c r="AG559" s="9">
        <f>INDEX(LINEST(L300:L559,M300:T559,TRUE,TRUE),1,3)</f>
        <v/>
      </c>
      <c r="AH559" s="9">
        <f>INDEX(LINEST(L300:L559,M300:T559,TRUE,TRUE),1,2)</f>
        <v/>
      </c>
      <c r="AI559" s="9">
        <f>INDEX(LINEST(L300:L559,M300:T559,TRUE,TRUE),1,1)</f>
        <v/>
      </c>
      <c r="AJ559" s="10">
        <f>INDEX(LINEST(L300:L559,M300:T559,TRUE,TRUE),3,1)</f>
        <v/>
      </c>
      <c r="AK559" s="9">
        <f>AA558/52+AB558*M559+AC558*N559+AD558*O559+AE558*P559+AF558*Q559+AG558*R559+AH558*S559+AI558*T559</f>
        <v/>
      </c>
      <c r="AL559" s="9">
        <f>AVERAGE(L299:L558)</f>
        <v/>
      </c>
    </row>
    <row r="560">
      <c r="A560" s="7" t="n">
        <v>41530</v>
      </c>
      <c r="B560" s="8" t="n">
        <v>1318.5</v>
      </c>
      <c r="C560" s="8" t="n">
        <v>2.1</v>
      </c>
      <c r="D560" s="8" t="n">
        <v>0.8</v>
      </c>
      <c r="E560" s="8" t="n">
        <v>81.449997</v>
      </c>
      <c r="F560" s="8" t="n">
        <v>108.31</v>
      </c>
      <c r="G560" s="8" t="n">
        <v>14.16</v>
      </c>
      <c r="H560" s="8" t="n">
        <v>96.199997</v>
      </c>
      <c r="I560" s="8" t="n">
        <v>1687.98999</v>
      </c>
      <c r="J560" s="8" t="n">
        <v>74.776588</v>
      </c>
      <c r="L560" s="9">
        <f>LN(B560/B559)</f>
        <v/>
      </c>
      <c r="M560" s="9">
        <f>$M$1*(C560-C559)</f>
        <v/>
      </c>
      <c r="N560" s="9">
        <f>$N$1*(D560-D559)</f>
        <v/>
      </c>
      <c r="O560" s="9">
        <f>$O$1*LN(E560/E559)</f>
        <v/>
      </c>
      <c r="P560" s="9">
        <f>$P$1*LN(F560/F559)</f>
        <v/>
      </c>
      <c r="Q560" s="9">
        <f>$Q$1*(G560-G559)</f>
        <v/>
      </c>
      <c r="R560" s="9">
        <f>$R$1*(H560-H559)</f>
        <v/>
      </c>
      <c r="S560" s="9">
        <f>$S$1*LN(I560/I559)</f>
        <v/>
      </c>
      <c r="T560" s="9">
        <f>$T$1*LN(J560/J559)</f>
        <v/>
      </c>
      <c r="U560" s="9">
        <f>$W$12+$W$4*M560+$W$5*N560+$W$6*O560+$W$7*P560+$W$8*Q560+$W$9*R560+$W$10*S560+$W$11*T560</f>
        <v/>
      </c>
      <c r="AA560" s="10">
        <f>INDEX(LINEST(L301:L560,M301:T560,TRUE,TRUE),1,9)*52</f>
        <v/>
      </c>
      <c r="AB560" s="9">
        <f>INDEX(LINEST(L301:L560,M301:T560,TRUE,TRUE),1,8)</f>
        <v/>
      </c>
      <c r="AC560" s="9">
        <f>INDEX(LINEST(L301:L560,M301:T560,TRUE,TRUE),1,7)</f>
        <v/>
      </c>
      <c r="AD560" s="9">
        <f>INDEX(LINEST(L301:L560,M301:T560,TRUE,TRUE),1,6)</f>
        <v/>
      </c>
      <c r="AE560" s="9">
        <f>INDEX(LINEST(L301:L560,M301:T560,TRUE,TRUE),1,5)</f>
        <v/>
      </c>
      <c r="AF560" s="9">
        <f>INDEX(LINEST(L301:L560,M301:T560,TRUE,TRUE),1,4)</f>
        <v/>
      </c>
      <c r="AG560" s="9">
        <f>INDEX(LINEST(L301:L560,M301:T560,TRUE,TRUE),1,3)</f>
        <v/>
      </c>
      <c r="AH560" s="9">
        <f>INDEX(LINEST(L301:L560,M301:T560,TRUE,TRUE),1,2)</f>
        <v/>
      </c>
      <c r="AI560" s="9">
        <f>INDEX(LINEST(L301:L560,M301:T560,TRUE,TRUE),1,1)</f>
        <v/>
      </c>
      <c r="AJ560" s="10">
        <f>INDEX(LINEST(L301:L560,M301:T560,TRUE,TRUE),3,1)</f>
        <v/>
      </c>
      <c r="AK560" s="9">
        <f>AA559/52+AB559*M560+AC559*N560+AD559*O560+AE559*P560+AF559*Q560+AG559*R560+AH559*S560+AI559*T560</f>
        <v/>
      </c>
      <c r="AL560" s="9">
        <f>AVERAGE(L300:L559)</f>
        <v/>
      </c>
    </row>
    <row r="561">
      <c r="A561" s="7" t="n">
        <v>41537</v>
      </c>
      <c r="B561" s="8" t="n">
        <v>1349.25</v>
      </c>
      <c r="C561" s="8" t="n">
        <v>2.23</v>
      </c>
      <c r="D561" s="8" t="n">
        <v>0.52</v>
      </c>
      <c r="E561" s="8" t="n">
        <v>80.44000200000001</v>
      </c>
      <c r="F561" s="8" t="n">
        <v>104.7</v>
      </c>
      <c r="G561" s="8" t="n">
        <v>13.12</v>
      </c>
      <c r="H561" s="8" t="n">
        <v>77.699997</v>
      </c>
      <c r="I561" s="8" t="n">
        <v>1709.910034</v>
      </c>
      <c r="J561" s="8" t="n">
        <v>75.540695</v>
      </c>
      <c r="L561" s="9">
        <f>LN(B561/B560)</f>
        <v/>
      </c>
      <c r="M561" s="9">
        <f>$M$1*(C561-C560)</f>
        <v/>
      </c>
      <c r="N561" s="9">
        <f>$N$1*(D561-D560)</f>
        <v/>
      </c>
      <c r="O561" s="9">
        <f>$O$1*LN(E561/E560)</f>
        <v/>
      </c>
      <c r="P561" s="9">
        <f>$P$1*LN(F561/F560)</f>
        <v/>
      </c>
      <c r="Q561" s="9">
        <f>$Q$1*(G561-G560)</f>
        <v/>
      </c>
      <c r="R561" s="9">
        <f>$R$1*(H561-H560)</f>
        <v/>
      </c>
      <c r="S561" s="9">
        <f>$S$1*LN(I561/I560)</f>
        <v/>
      </c>
      <c r="T561" s="9">
        <f>$T$1*LN(J561/J560)</f>
        <v/>
      </c>
      <c r="U561" s="9">
        <f>$W$12+$W$4*M561+$W$5*N561+$W$6*O561+$W$7*P561+$W$8*Q561+$W$9*R561+$W$10*S561+$W$11*T561</f>
        <v/>
      </c>
      <c r="AA561" s="10">
        <f>INDEX(LINEST(L302:L561,M302:T561,TRUE,TRUE),1,9)*52</f>
        <v/>
      </c>
      <c r="AB561" s="9">
        <f>INDEX(LINEST(L302:L561,M302:T561,TRUE,TRUE),1,8)</f>
        <v/>
      </c>
      <c r="AC561" s="9">
        <f>INDEX(LINEST(L302:L561,M302:T561,TRUE,TRUE),1,7)</f>
        <v/>
      </c>
      <c r="AD561" s="9">
        <f>INDEX(LINEST(L302:L561,M302:T561,TRUE,TRUE),1,6)</f>
        <v/>
      </c>
      <c r="AE561" s="9">
        <f>INDEX(LINEST(L302:L561,M302:T561,TRUE,TRUE),1,5)</f>
        <v/>
      </c>
      <c r="AF561" s="9">
        <f>INDEX(LINEST(L302:L561,M302:T561,TRUE,TRUE),1,4)</f>
        <v/>
      </c>
      <c r="AG561" s="9">
        <f>INDEX(LINEST(L302:L561,M302:T561,TRUE,TRUE),1,3)</f>
        <v/>
      </c>
      <c r="AH561" s="9">
        <f>INDEX(LINEST(L302:L561,M302:T561,TRUE,TRUE),1,2)</f>
        <v/>
      </c>
      <c r="AI561" s="9">
        <f>INDEX(LINEST(L302:L561,M302:T561,TRUE,TRUE),1,1)</f>
        <v/>
      </c>
      <c r="AJ561" s="10">
        <f>INDEX(LINEST(L302:L561,M302:T561,TRUE,TRUE),3,1)</f>
        <v/>
      </c>
      <c r="AK561" s="9">
        <f>AA560/52+AB560*M561+AC560*N561+AD560*O561+AE560*P561+AF560*Q561+AG560*R561+AH560*S561+AI560*T561</f>
        <v/>
      </c>
      <c r="AL561" s="9">
        <f>AVERAGE(L301:L560)</f>
        <v/>
      </c>
    </row>
    <row r="562">
      <c r="A562" s="7" t="n">
        <v>41544</v>
      </c>
      <c r="B562" s="8" t="n">
        <v>1341</v>
      </c>
      <c r="C562" s="8" t="n">
        <v>2.18</v>
      </c>
      <c r="D562" s="8" t="n">
        <v>0.46</v>
      </c>
      <c r="E562" s="8" t="n">
        <v>80.269997</v>
      </c>
      <c r="F562" s="8" t="n">
        <v>102.86</v>
      </c>
      <c r="G562" s="8" t="n">
        <v>15.46</v>
      </c>
      <c r="H562" s="8" t="n">
        <v>78</v>
      </c>
      <c r="I562" s="8" t="n">
        <v>1691.75</v>
      </c>
      <c r="J562" s="8" t="n">
        <v>75.90863</v>
      </c>
      <c r="L562" s="9">
        <f>LN(B562/B561)</f>
        <v/>
      </c>
      <c r="M562" s="9">
        <f>$M$1*(C562-C561)</f>
        <v/>
      </c>
      <c r="N562" s="9">
        <f>$N$1*(D562-D561)</f>
        <v/>
      </c>
      <c r="O562" s="9">
        <f>$O$1*LN(E562/E561)</f>
        <v/>
      </c>
      <c r="P562" s="9">
        <f>$P$1*LN(F562/F561)</f>
        <v/>
      </c>
      <c r="Q562" s="9">
        <f>$Q$1*(G562-G561)</f>
        <v/>
      </c>
      <c r="R562" s="9">
        <f>$R$1*(H562-H561)</f>
        <v/>
      </c>
      <c r="S562" s="9">
        <f>$S$1*LN(I562/I561)</f>
        <v/>
      </c>
      <c r="T562" s="9">
        <f>$T$1*LN(J562/J561)</f>
        <v/>
      </c>
      <c r="U562" s="9">
        <f>$W$12+$W$4*M562+$W$5*N562+$W$6*O562+$W$7*P562+$W$8*Q562+$W$9*R562+$W$10*S562+$W$11*T562</f>
        <v/>
      </c>
      <c r="AA562" s="10">
        <f>INDEX(LINEST(L303:L562,M303:T562,TRUE,TRUE),1,9)*52</f>
        <v/>
      </c>
      <c r="AB562" s="9">
        <f>INDEX(LINEST(L303:L562,M303:T562,TRUE,TRUE),1,8)</f>
        <v/>
      </c>
      <c r="AC562" s="9">
        <f>INDEX(LINEST(L303:L562,M303:T562,TRUE,TRUE),1,7)</f>
        <v/>
      </c>
      <c r="AD562" s="9">
        <f>INDEX(LINEST(L303:L562,M303:T562,TRUE,TRUE),1,6)</f>
        <v/>
      </c>
      <c r="AE562" s="9">
        <f>INDEX(LINEST(L303:L562,M303:T562,TRUE,TRUE),1,5)</f>
        <v/>
      </c>
      <c r="AF562" s="9">
        <f>INDEX(LINEST(L303:L562,M303:T562,TRUE,TRUE),1,4)</f>
        <v/>
      </c>
      <c r="AG562" s="9">
        <f>INDEX(LINEST(L303:L562,M303:T562,TRUE,TRUE),1,3)</f>
        <v/>
      </c>
      <c r="AH562" s="9">
        <f>INDEX(LINEST(L303:L562,M303:T562,TRUE,TRUE),1,2)</f>
        <v/>
      </c>
      <c r="AI562" s="9">
        <f>INDEX(LINEST(L303:L562,M303:T562,TRUE,TRUE),1,1)</f>
        <v/>
      </c>
      <c r="AJ562" s="10">
        <f>INDEX(LINEST(L303:L562,M303:T562,TRUE,TRUE),3,1)</f>
        <v/>
      </c>
      <c r="AK562" s="9">
        <f>AA561/52+AB561*M562+AC561*N562+AD561*O562+AE561*P562+AF561*Q562+AG561*R562+AH561*S562+AI561*T562</f>
        <v/>
      </c>
      <c r="AL562" s="9">
        <f>AVERAGE(L302:L561)</f>
        <v/>
      </c>
    </row>
    <row r="563">
      <c r="A563" s="7" t="n">
        <v>41551</v>
      </c>
      <c r="B563" s="8" t="n">
        <v>1309.75</v>
      </c>
      <c r="C563" s="8" t="n">
        <v>2.2</v>
      </c>
      <c r="D563" s="8" t="n">
        <v>0.46</v>
      </c>
      <c r="E563" s="8" t="n">
        <v>80.120003</v>
      </c>
      <c r="F563" s="8" t="n">
        <v>103.83</v>
      </c>
      <c r="G563" s="8" t="n">
        <v>16.74</v>
      </c>
      <c r="H563" s="8" t="n">
        <v>82.5</v>
      </c>
      <c r="I563" s="8" t="n">
        <v>1690.5</v>
      </c>
      <c r="J563" s="8" t="n">
        <v>75.88108099999999</v>
      </c>
      <c r="L563" s="9">
        <f>LN(B563/B562)</f>
        <v/>
      </c>
      <c r="M563" s="9">
        <f>$M$1*(C563-C562)</f>
        <v/>
      </c>
      <c r="N563" s="9">
        <f>$N$1*(D563-D562)</f>
        <v/>
      </c>
      <c r="O563" s="9">
        <f>$O$1*LN(E563/E562)</f>
        <v/>
      </c>
      <c r="P563" s="9">
        <f>$P$1*LN(F563/F562)</f>
        <v/>
      </c>
      <c r="Q563" s="9">
        <f>$Q$1*(G563-G562)</f>
        <v/>
      </c>
      <c r="R563" s="9">
        <f>$R$1*(H563-H562)</f>
        <v/>
      </c>
      <c r="S563" s="9">
        <f>$S$1*LN(I563/I562)</f>
        <v/>
      </c>
      <c r="T563" s="9">
        <f>$T$1*LN(J563/J562)</f>
        <v/>
      </c>
      <c r="U563" s="9">
        <f>$W$12+$W$4*M563+$W$5*N563+$W$6*O563+$W$7*P563+$W$8*Q563+$W$9*R563+$W$10*S563+$W$11*T563</f>
        <v/>
      </c>
      <c r="AA563" s="10">
        <f>INDEX(LINEST(L304:L563,M304:T563,TRUE,TRUE),1,9)*52</f>
        <v/>
      </c>
      <c r="AB563" s="9">
        <f>INDEX(LINEST(L304:L563,M304:T563,TRUE,TRUE),1,8)</f>
        <v/>
      </c>
      <c r="AC563" s="9">
        <f>INDEX(LINEST(L304:L563,M304:T563,TRUE,TRUE),1,7)</f>
        <v/>
      </c>
      <c r="AD563" s="9">
        <f>INDEX(LINEST(L304:L563,M304:T563,TRUE,TRUE),1,6)</f>
        <v/>
      </c>
      <c r="AE563" s="9">
        <f>INDEX(LINEST(L304:L563,M304:T563,TRUE,TRUE),1,5)</f>
        <v/>
      </c>
      <c r="AF563" s="9">
        <f>INDEX(LINEST(L304:L563,M304:T563,TRUE,TRUE),1,4)</f>
        <v/>
      </c>
      <c r="AG563" s="9">
        <f>INDEX(LINEST(L304:L563,M304:T563,TRUE,TRUE),1,3)</f>
        <v/>
      </c>
      <c r="AH563" s="9">
        <f>INDEX(LINEST(L304:L563,M304:T563,TRUE,TRUE),1,2)</f>
        <v/>
      </c>
      <c r="AI563" s="9">
        <f>INDEX(LINEST(L304:L563,M304:T563,TRUE,TRUE),1,1)</f>
        <v/>
      </c>
      <c r="AJ563" s="10">
        <f>INDEX(LINEST(L304:L563,M304:T563,TRUE,TRUE),3,1)</f>
        <v/>
      </c>
      <c r="AK563" s="9">
        <f>AA562/52+AB562*M563+AC562*N563+AD562*O563+AE562*P563+AF562*Q563+AG562*R563+AH562*S563+AI562*T563</f>
        <v/>
      </c>
      <c r="AL563" s="9">
        <f>AVERAGE(L303:L562)</f>
        <v/>
      </c>
    </row>
    <row r="564">
      <c r="A564" s="7" t="n">
        <v>41558</v>
      </c>
      <c r="B564" s="8" t="n">
        <v>1265.5</v>
      </c>
      <c r="C564" s="8" t="n">
        <v>2.2</v>
      </c>
      <c r="D564" s="8" t="n">
        <v>0.5</v>
      </c>
      <c r="E564" s="8" t="n">
        <v>80.360001</v>
      </c>
      <c r="F564" s="8" t="n">
        <v>102.17</v>
      </c>
      <c r="G564" s="8" t="n">
        <v>15.72</v>
      </c>
      <c r="H564" s="8" t="n">
        <v>77.099998</v>
      </c>
      <c r="I564" s="8" t="n">
        <v>1703.199951</v>
      </c>
      <c r="J564" s="8" t="n">
        <v>75.888222</v>
      </c>
      <c r="L564" s="9">
        <f>LN(B564/B563)</f>
        <v/>
      </c>
      <c r="M564" s="9">
        <f>$M$1*(C564-C563)</f>
        <v/>
      </c>
      <c r="N564" s="9">
        <f>$N$1*(D564-D563)</f>
        <v/>
      </c>
      <c r="O564" s="9">
        <f>$O$1*LN(E564/E563)</f>
        <v/>
      </c>
      <c r="P564" s="9">
        <f>$P$1*LN(F564/F563)</f>
        <v/>
      </c>
      <c r="Q564" s="9">
        <f>$Q$1*(G564-G563)</f>
        <v/>
      </c>
      <c r="R564" s="9">
        <f>$R$1*(H564-H563)</f>
        <v/>
      </c>
      <c r="S564" s="9">
        <f>$S$1*LN(I564/I563)</f>
        <v/>
      </c>
      <c r="T564" s="9">
        <f>$T$1*LN(J564/J563)</f>
        <v/>
      </c>
      <c r="U564" s="9">
        <f>$W$12+$W$4*M564+$W$5*N564+$W$6*O564+$W$7*P564+$W$8*Q564+$W$9*R564+$W$10*S564+$W$11*T564</f>
        <v/>
      </c>
      <c r="AA564" s="10">
        <f>INDEX(LINEST(L305:L564,M305:T564,TRUE,TRUE),1,9)*52</f>
        <v/>
      </c>
      <c r="AB564" s="9">
        <f>INDEX(LINEST(L305:L564,M305:T564,TRUE,TRUE),1,8)</f>
        <v/>
      </c>
      <c r="AC564" s="9">
        <f>INDEX(LINEST(L305:L564,M305:T564,TRUE,TRUE),1,7)</f>
        <v/>
      </c>
      <c r="AD564" s="9">
        <f>INDEX(LINEST(L305:L564,M305:T564,TRUE,TRUE),1,6)</f>
        <v/>
      </c>
      <c r="AE564" s="9">
        <f>INDEX(LINEST(L305:L564,M305:T564,TRUE,TRUE),1,5)</f>
        <v/>
      </c>
      <c r="AF564" s="9">
        <f>INDEX(LINEST(L305:L564,M305:T564,TRUE,TRUE),1,4)</f>
        <v/>
      </c>
      <c r="AG564" s="9">
        <f>INDEX(LINEST(L305:L564,M305:T564,TRUE,TRUE),1,3)</f>
        <v/>
      </c>
      <c r="AH564" s="9">
        <f>INDEX(LINEST(L305:L564,M305:T564,TRUE,TRUE),1,2)</f>
        <v/>
      </c>
      <c r="AI564" s="9">
        <f>INDEX(LINEST(L305:L564,M305:T564,TRUE,TRUE),1,1)</f>
        <v/>
      </c>
      <c r="AJ564" s="10">
        <f>INDEX(LINEST(L305:L564,M305:T564,TRUE,TRUE),3,1)</f>
        <v/>
      </c>
      <c r="AK564" s="9">
        <f>AA563/52+AB563*M564+AC563*N564+AD563*O564+AE563*P564+AF563*Q564+AG563*R564+AH563*S564+AI563*T564</f>
        <v/>
      </c>
      <c r="AL564" s="9">
        <f>AVERAGE(L304:L563)</f>
        <v/>
      </c>
    </row>
    <row r="565">
      <c r="A565" s="7" t="n">
        <v>41565</v>
      </c>
      <c r="B565" s="8" t="n">
        <v>1316.5</v>
      </c>
      <c r="C565" s="8" t="n">
        <v>2.18</v>
      </c>
      <c r="D565" s="8" t="n">
        <v>0.42</v>
      </c>
      <c r="E565" s="8" t="n">
        <v>79.639999</v>
      </c>
      <c r="F565" s="8" t="n">
        <v>100.87</v>
      </c>
      <c r="G565" s="8" t="n">
        <v>13.04</v>
      </c>
      <c r="H565" s="8" t="n">
        <v>72.5</v>
      </c>
      <c r="I565" s="8" t="n">
        <v>1744.5</v>
      </c>
      <c r="J565" s="8" t="n">
        <v>76.37724300000001</v>
      </c>
      <c r="L565" s="9">
        <f>LN(B565/B564)</f>
        <v/>
      </c>
      <c r="M565" s="9">
        <f>$M$1*(C565-C564)</f>
        <v/>
      </c>
      <c r="N565" s="9">
        <f>$N$1*(D565-D564)</f>
        <v/>
      </c>
      <c r="O565" s="9">
        <f>$O$1*LN(E565/E564)</f>
        <v/>
      </c>
      <c r="P565" s="9">
        <f>$P$1*LN(F565/F564)</f>
        <v/>
      </c>
      <c r="Q565" s="9">
        <f>$Q$1*(G565-G564)</f>
        <v/>
      </c>
      <c r="R565" s="9">
        <f>$R$1*(H565-H564)</f>
        <v/>
      </c>
      <c r="S565" s="9">
        <f>$S$1*LN(I565/I564)</f>
        <v/>
      </c>
      <c r="T565" s="9">
        <f>$T$1*LN(J565/J564)</f>
        <v/>
      </c>
      <c r="U565" s="9">
        <f>$W$12+$W$4*M565+$W$5*N565+$W$6*O565+$W$7*P565+$W$8*Q565+$W$9*R565+$W$10*S565+$W$11*T565</f>
        <v/>
      </c>
      <c r="AA565" s="10">
        <f>INDEX(LINEST(L306:L565,M306:T565,TRUE,TRUE),1,9)*52</f>
        <v/>
      </c>
      <c r="AB565" s="9">
        <f>INDEX(LINEST(L306:L565,M306:T565,TRUE,TRUE),1,8)</f>
        <v/>
      </c>
      <c r="AC565" s="9">
        <f>INDEX(LINEST(L306:L565,M306:T565,TRUE,TRUE),1,7)</f>
        <v/>
      </c>
      <c r="AD565" s="9">
        <f>INDEX(LINEST(L306:L565,M306:T565,TRUE,TRUE),1,6)</f>
        <v/>
      </c>
      <c r="AE565" s="9">
        <f>INDEX(LINEST(L306:L565,M306:T565,TRUE,TRUE),1,5)</f>
        <v/>
      </c>
      <c r="AF565" s="9">
        <f>INDEX(LINEST(L306:L565,M306:T565,TRUE,TRUE),1,4)</f>
        <v/>
      </c>
      <c r="AG565" s="9">
        <f>INDEX(LINEST(L306:L565,M306:T565,TRUE,TRUE),1,3)</f>
        <v/>
      </c>
      <c r="AH565" s="9">
        <f>INDEX(LINEST(L306:L565,M306:T565,TRUE,TRUE),1,2)</f>
        <v/>
      </c>
      <c r="AI565" s="9">
        <f>INDEX(LINEST(L306:L565,M306:T565,TRUE,TRUE),1,1)</f>
        <v/>
      </c>
      <c r="AJ565" s="10">
        <f>INDEX(LINEST(L306:L565,M306:T565,TRUE,TRUE),3,1)</f>
        <v/>
      </c>
      <c r="AK565" s="9">
        <f>AA564/52+AB564*M565+AC564*N565+AD564*O565+AE564*P565+AF564*Q565+AG564*R565+AH564*S565+AI564*T565</f>
        <v/>
      </c>
      <c r="AL565" s="9">
        <f>AVERAGE(L305:L564)</f>
        <v/>
      </c>
    </row>
    <row r="566">
      <c r="A566" s="7" t="n">
        <v>41572</v>
      </c>
      <c r="B566" s="8" t="n">
        <v>1347.75</v>
      </c>
      <c r="C566" s="8" t="n">
        <v>2.19</v>
      </c>
      <c r="D566" s="8" t="n">
        <v>0.34</v>
      </c>
      <c r="E566" s="8" t="n">
        <v>79.18000000000001</v>
      </c>
      <c r="F566" s="8" t="n">
        <v>97.40000000000001</v>
      </c>
      <c r="G566" s="8" t="n">
        <v>13.09</v>
      </c>
      <c r="H566" s="8" t="n">
        <v>61.139999</v>
      </c>
      <c r="I566" s="8" t="n">
        <v>1759.77002</v>
      </c>
      <c r="J566" s="8" t="n">
        <v>76.55446600000001</v>
      </c>
      <c r="L566" s="9">
        <f>LN(B566/B565)</f>
        <v/>
      </c>
      <c r="M566" s="9">
        <f>$M$1*(C566-C565)</f>
        <v/>
      </c>
      <c r="N566" s="9">
        <f>$N$1*(D566-D565)</f>
        <v/>
      </c>
      <c r="O566" s="9">
        <f>$O$1*LN(E566/E565)</f>
        <v/>
      </c>
      <c r="P566" s="9">
        <f>$P$1*LN(F566/F565)</f>
        <v/>
      </c>
      <c r="Q566" s="9">
        <f>$Q$1*(G566-G565)</f>
        <v/>
      </c>
      <c r="R566" s="9">
        <f>$R$1*(H566-H565)</f>
        <v/>
      </c>
      <c r="S566" s="9">
        <f>$S$1*LN(I566/I565)</f>
        <v/>
      </c>
      <c r="T566" s="9">
        <f>$T$1*LN(J566/J565)</f>
        <v/>
      </c>
      <c r="U566" s="9">
        <f>$W$12+$W$4*M566+$W$5*N566+$W$6*O566+$W$7*P566+$W$8*Q566+$W$9*R566+$W$10*S566+$W$11*T566</f>
        <v/>
      </c>
      <c r="AA566" s="10">
        <f>INDEX(LINEST(L307:L566,M307:T566,TRUE,TRUE),1,9)*52</f>
        <v/>
      </c>
      <c r="AB566" s="9">
        <f>INDEX(LINEST(L307:L566,M307:T566,TRUE,TRUE),1,8)</f>
        <v/>
      </c>
      <c r="AC566" s="9">
        <f>INDEX(LINEST(L307:L566,M307:T566,TRUE,TRUE),1,7)</f>
        <v/>
      </c>
      <c r="AD566" s="9">
        <f>INDEX(LINEST(L307:L566,M307:T566,TRUE,TRUE),1,6)</f>
        <v/>
      </c>
      <c r="AE566" s="9">
        <f>INDEX(LINEST(L307:L566,M307:T566,TRUE,TRUE),1,5)</f>
        <v/>
      </c>
      <c r="AF566" s="9">
        <f>INDEX(LINEST(L307:L566,M307:T566,TRUE,TRUE),1,4)</f>
        <v/>
      </c>
      <c r="AG566" s="9">
        <f>INDEX(LINEST(L307:L566,M307:T566,TRUE,TRUE),1,3)</f>
        <v/>
      </c>
      <c r="AH566" s="9">
        <f>INDEX(LINEST(L307:L566,M307:T566,TRUE,TRUE),1,2)</f>
        <v/>
      </c>
      <c r="AI566" s="9">
        <f>INDEX(LINEST(L307:L566,M307:T566,TRUE,TRUE),1,1)</f>
        <v/>
      </c>
      <c r="AJ566" s="10">
        <f>INDEX(LINEST(L307:L566,M307:T566,TRUE,TRUE),3,1)</f>
        <v/>
      </c>
      <c r="AK566" s="9">
        <f>AA565/52+AB565*M566+AC565*N566+AD565*O566+AE565*P566+AF565*Q566+AG565*R566+AH565*S566+AI565*T566</f>
        <v/>
      </c>
      <c r="AL566" s="9">
        <f>AVERAGE(L306:L565)</f>
        <v/>
      </c>
    </row>
    <row r="567">
      <c r="A567" s="7" t="n">
        <v>41579</v>
      </c>
      <c r="B567" s="8" t="n">
        <v>1306.75</v>
      </c>
      <c r="C567" s="8" t="n">
        <v>2.15</v>
      </c>
      <c r="D567" s="8" t="n">
        <v>0.5</v>
      </c>
      <c r="E567" s="8" t="n">
        <v>80.730003</v>
      </c>
      <c r="F567" s="8" t="n">
        <v>94.56</v>
      </c>
      <c r="G567" s="8" t="n">
        <v>13.28</v>
      </c>
      <c r="H567" s="8" t="n">
        <v>69.599998</v>
      </c>
      <c r="I567" s="8" t="n">
        <v>1761.640015</v>
      </c>
      <c r="J567" s="8" t="n">
        <v>76.29183999999999</v>
      </c>
      <c r="L567" s="9">
        <f>LN(B567/B566)</f>
        <v/>
      </c>
      <c r="M567" s="9">
        <f>$M$1*(C567-C566)</f>
        <v/>
      </c>
      <c r="N567" s="9">
        <f>$N$1*(D567-D566)</f>
        <v/>
      </c>
      <c r="O567" s="9">
        <f>$O$1*LN(E567/E566)</f>
        <v/>
      </c>
      <c r="P567" s="9">
        <f>$P$1*LN(F567/F566)</f>
        <v/>
      </c>
      <c r="Q567" s="9">
        <f>$Q$1*(G567-G566)</f>
        <v/>
      </c>
      <c r="R567" s="9">
        <f>$R$1*(H567-H566)</f>
        <v/>
      </c>
      <c r="S567" s="9">
        <f>$S$1*LN(I567/I566)</f>
        <v/>
      </c>
      <c r="T567" s="9">
        <f>$T$1*LN(J567/J566)</f>
        <v/>
      </c>
      <c r="U567" s="9">
        <f>$W$12+$W$4*M567+$W$5*N567+$W$6*O567+$W$7*P567+$W$8*Q567+$W$9*R567+$W$10*S567+$W$11*T567</f>
        <v/>
      </c>
      <c r="AA567" s="10">
        <f>INDEX(LINEST(L308:L567,M308:T567,TRUE,TRUE),1,9)*52</f>
        <v/>
      </c>
      <c r="AB567" s="9">
        <f>INDEX(LINEST(L308:L567,M308:T567,TRUE,TRUE),1,8)</f>
        <v/>
      </c>
      <c r="AC567" s="9">
        <f>INDEX(LINEST(L308:L567,M308:T567,TRUE,TRUE),1,7)</f>
        <v/>
      </c>
      <c r="AD567" s="9">
        <f>INDEX(LINEST(L308:L567,M308:T567,TRUE,TRUE),1,6)</f>
        <v/>
      </c>
      <c r="AE567" s="9">
        <f>INDEX(LINEST(L308:L567,M308:T567,TRUE,TRUE),1,5)</f>
        <v/>
      </c>
      <c r="AF567" s="9">
        <f>INDEX(LINEST(L308:L567,M308:T567,TRUE,TRUE),1,4)</f>
        <v/>
      </c>
      <c r="AG567" s="9">
        <f>INDEX(LINEST(L308:L567,M308:T567,TRUE,TRUE),1,3)</f>
        <v/>
      </c>
      <c r="AH567" s="9">
        <f>INDEX(LINEST(L308:L567,M308:T567,TRUE,TRUE),1,2)</f>
        <v/>
      </c>
      <c r="AI567" s="9">
        <f>INDEX(LINEST(L308:L567,M308:T567,TRUE,TRUE),1,1)</f>
        <v/>
      </c>
      <c r="AJ567" s="10">
        <f>INDEX(LINEST(L308:L567,M308:T567,TRUE,TRUE),3,1)</f>
        <v/>
      </c>
      <c r="AK567" s="9">
        <f>AA566/52+AB566*M567+AC566*N567+AD566*O567+AE566*P567+AF566*Q567+AG566*R567+AH566*S567+AI566*T567</f>
        <v/>
      </c>
      <c r="AL567" s="9">
        <f>AVERAGE(L307:L566)</f>
        <v/>
      </c>
    </row>
    <row r="568">
      <c r="A568" s="7" t="n">
        <v>41586</v>
      </c>
      <c r="B568" s="8" t="n">
        <v>1285.5</v>
      </c>
      <c r="C568" s="8" t="n">
        <v>2.18</v>
      </c>
      <c r="D568" s="8" t="n">
        <v>0.59</v>
      </c>
      <c r="E568" s="8" t="n">
        <v>81.209999</v>
      </c>
      <c r="F568" s="8" t="n">
        <v>94.56</v>
      </c>
      <c r="G568" s="8" t="n">
        <v>12.9</v>
      </c>
      <c r="H568" s="8" t="n">
        <v>69.900002</v>
      </c>
      <c r="I568" s="8" t="n">
        <v>1770.609985</v>
      </c>
      <c r="J568" s="8" t="n">
        <v>75.844551</v>
      </c>
      <c r="L568" s="9">
        <f>LN(B568/B567)</f>
        <v/>
      </c>
      <c r="M568" s="9">
        <f>$M$1*(C568-C567)</f>
        <v/>
      </c>
      <c r="N568" s="9">
        <f>$N$1*(D568-D567)</f>
        <v/>
      </c>
      <c r="O568" s="9">
        <f>$O$1*LN(E568/E567)</f>
        <v/>
      </c>
      <c r="P568" s="9">
        <f>$P$1*LN(F568/F567)</f>
        <v/>
      </c>
      <c r="Q568" s="9">
        <f>$Q$1*(G568-G567)</f>
        <v/>
      </c>
      <c r="R568" s="9">
        <f>$R$1*(H568-H567)</f>
        <v/>
      </c>
      <c r="S568" s="9">
        <f>$S$1*LN(I568/I567)</f>
        <v/>
      </c>
      <c r="T568" s="9">
        <f>$T$1*LN(J568/J567)</f>
        <v/>
      </c>
      <c r="U568" s="9">
        <f>$W$12+$W$4*M568+$W$5*N568+$W$6*O568+$W$7*P568+$W$8*Q568+$W$9*R568+$W$10*S568+$W$11*T568</f>
        <v/>
      </c>
      <c r="AA568" s="10">
        <f>INDEX(LINEST(L309:L568,M309:T568,TRUE,TRUE),1,9)*52</f>
        <v/>
      </c>
      <c r="AB568" s="9">
        <f>INDEX(LINEST(L309:L568,M309:T568,TRUE,TRUE),1,8)</f>
        <v/>
      </c>
      <c r="AC568" s="9">
        <f>INDEX(LINEST(L309:L568,M309:T568,TRUE,TRUE),1,7)</f>
        <v/>
      </c>
      <c r="AD568" s="9">
        <f>INDEX(LINEST(L309:L568,M309:T568,TRUE,TRUE),1,6)</f>
        <v/>
      </c>
      <c r="AE568" s="9">
        <f>INDEX(LINEST(L309:L568,M309:T568,TRUE,TRUE),1,5)</f>
        <v/>
      </c>
      <c r="AF568" s="9">
        <f>INDEX(LINEST(L309:L568,M309:T568,TRUE,TRUE),1,4)</f>
        <v/>
      </c>
      <c r="AG568" s="9">
        <f>INDEX(LINEST(L309:L568,M309:T568,TRUE,TRUE),1,3)</f>
        <v/>
      </c>
      <c r="AH568" s="9">
        <f>INDEX(LINEST(L309:L568,M309:T568,TRUE,TRUE),1,2)</f>
        <v/>
      </c>
      <c r="AI568" s="9">
        <f>INDEX(LINEST(L309:L568,M309:T568,TRUE,TRUE),1,1)</f>
        <v/>
      </c>
      <c r="AJ568" s="10">
        <f>INDEX(LINEST(L309:L568,M309:T568,TRUE,TRUE),3,1)</f>
        <v/>
      </c>
      <c r="AK568" s="9">
        <f>AA567/52+AB567*M568+AC567*N568+AD567*O568+AE567*P568+AF567*Q568+AG567*R568+AH567*S568+AI567*T568</f>
        <v/>
      </c>
      <c r="AL568" s="9">
        <f>AVERAGE(L308:L567)</f>
        <v/>
      </c>
    </row>
    <row r="569">
      <c r="A569" s="7" t="n">
        <v>41593</v>
      </c>
      <c r="B569" s="8" t="n">
        <v>1287.25</v>
      </c>
      <c r="C569" s="8" t="n">
        <v>2.18</v>
      </c>
      <c r="D569" s="8" t="n">
        <v>0.53</v>
      </c>
      <c r="E569" s="8" t="n">
        <v>80.839996</v>
      </c>
      <c r="F569" s="8" t="n">
        <v>93.8</v>
      </c>
      <c r="G569" s="8" t="n">
        <v>12.19</v>
      </c>
      <c r="H569" s="8" t="n">
        <v>62.200001</v>
      </c>
      <c r="I569" s="8" t="n">
        <v>1798.180054</v>
      </c>
      <c r="J569" s="8" t="n">
        <v>76.22792099999999</v>
      </c>
      <c r="L569" s="9">
        <f>LN(B569/B568)</f>
        <v/>
      </c>
      <c r="M569" s="9">
        <f>$M$1*(C569-C568)</f>
        <v/>
      </c>
      <c r="N569" s="9">
        <f>$N$1*(D569-D568)</f>
        <v/>
      </c>
      <c r="O569" s="9">
        <f>$O$1*LN(E569/E568)</f>
        <v/>
      </c>
      <c r="P569" s="9">
        <f>$P$1*LN(F569/F568)</f>
        <v/>
      </c>
      <c r="Q569" s="9">
        <f>$Q$1*(G569-G568)</f>
        <v/>
      </c>
      <c r="R569" s="9">
        <f>$R$1*(H569-H568)</f>
        <v/>
      </c>
      <c r="S569" s="9">
        <f>$S$1*LN(I569/I568)</f>
        <v/>
      </c>
      <c r="T569" s="9">
        <f>$T$1*LN(J569/J568)</f>
        <v/>
      </c>
      <c r="U569" s="9">
        <f>$W$12+$W$4*M569+$W$5*N569+$W$6*O569+$W$7*P569+$W$8*Q569+$W$9*R569+$W$10*S569+$W$11*T569</f>
        <v/>
      </c>
      <c r="AA569" s="10">
        <f>INDEX(LINEST(L310:L569,M310:T569,TRUE,TRUE),1,9)*52</f>
        <v/>
      </c>
      <c r="AB569" s="9">
        <f>INDEX(LINEST(L310:L569,M310:T569,TRUE,TRUE),1,8)</f>
        <v/>
      </c>
      <c r="AC569" s="9">
        <f>INDEX(LINEST(L310:L569,M310:T569,TRUE,TRUE),1,7)</f>
        <v/>
      </c>
      <c r="AD569" s="9">
        <f>INDEX(LINEST(L310:L569,M310:T569,TRUE,TRUE),1,6)</f>
        <v/>
      </c>
      <c r="AE569" s="9">
        <f>INDEX(LINEST(L310:L569,M310:T569,TRUE,TRUE),1,5)</f>
        <v/>
      </c>
      <c r="AF569" s="9">
        <f>INDEX(LINEST(L310:L569,M310:T569,TRUE,TRUE),1,4)</f>
        <v/>
      </c>
      <c r="AG569" s="9">
        <f>INDEX(LINEST(L310:L569,M310:T569,TRUE,TRUE),1,3)</f>
        <v/>
      </c>
      <c r="AH569" s="9">
        <f>INDEX(LINEST(L310:L569,M310:T569,TRUE,TRUE),1,2)</f>
        <v/>
      </c>
      <c r="AI569" s="9">
        <f>INDEX(LINEST(L310:L569,M310:T569,TRUE,TRUE),1,1)</f>
        <v/>
      </c>
      <c r="AJ569" s="10">
        <f>INDEX(LINEST(L310:L569,M310:T569,TRUE,TRUE),3,1)</f>
        <v/>
      </c>
      <c r="AK569" s="9">
        <f>AA568/52+AB568*M569+AC568*N569+AD568*O569+AE568*P569+AF568*Q569+AG568*R569+AH568*S569+AI568*T569</f>
        <v/>
      </c>
      <c r="AL569" s="9">
        <f>AVERAGE(L309:L568)</f>
        <v/>
      </c>
    </row>
    <row r="570">
      <c r="A570" s="7" t="n">
        <v>41600</v>
      </c>
      <c r="B570" s="8" t="n">
        <v>1246.25</v>
      </c>
      <c r="C570" s="8" t="n">
        <v>2.19</v>
      </c>
      <c r="D570" s="8" t="n">
        <v>0.5600000000000001</v>
      </c>
      <c r="E570" s="8" t="n">
        <v>80.709999</v>
      </c>
      <c r="F570" s="8" t="n">
        <v>94.53</v>
      </c>
      <c r="G570" s="8" t="n">
        <v>12.26</v>
      </c>
      <c r="H570" s="8" t="n">
        <v>66.800003</v>
      </c>
      <c r="I570" s="8" t="n">
        <v>1804.76001</v>
      </c>
      <c r="J570" s="8" t="n">
        <v>76.14273799999999</v>
      </c>
      <c r="L570" s="9">
        <f>LN(B570/B569)</f>
        <v/>
      </c>
      <c r="M570" s="9">
        <f>$M$1*(C570-C569)</f>
        <v/>
      </c>
      <c r="N570" s="9">
        <f>$N$1*(D570-D569)</f>
        <v/>
      </c>
      <c r="O570" s="9">
        <f>$O$1*LN(E570/E569)</f>
        <v/>
      </c>
      <c r="P570" s="9">
        <f>$P$1*LN(F570/F569)</f>
        <v/>
      </c>
      <c r="Q570" s="9">
        <f>$Q$1*(G570-G569)</f>
        <v/>
      </c>
      <c r="R570" s="9">
        <f>$R$1*(H570-H569)</f>
        <v/>
      </c>
      <c r="S570" s="9">
        <f>$S$1*LN(I570/I569)</f>
        <v/>
      </c>
      <c r="T570" s="9">
        <f>$T$1*LN(J570/J569)</f>
        <v/>
      </c>
      <c r="U570" s="9">
        <f>$W$12+$W$4*M570+$W$5*N570+$W$6*O570+$W$7*P570+$W$8*Q570+$W$9*R570+$W$10*S570+$W$11*T570</f>
        <v/>
      </c>
      <c r="AA570" s="10">
        <f>INDEX(LINEST(L311:L570,M311:T570,TRUE,TRUE),1,9)*52</f>
        <v/>
      </c>
      <c r="AB570" s="9">
        <f>INDEX(LINEST(L311:L570,M311:T570,TRUE,TRUE),1,8)</f>
        <v/>
      </c>
      <c r="AC570" s="9">
        <f>INDEX(LINEST(L311:L570,M311:T570,TRUE,TRUE),1,7)</f>
        <v/>
      </c>
      <c r="AD570" s="9">
        <f>INDEX(LINEST(L311:L570,M311:T570,TRUE,TRUE),1,6)</f>
        <v/>
      </c>
      <c r="AE570" s="9">
        <f>INDEX(LINEST(L311:L570,M311:T570,TRUE,TRUE),1,5)</f>
        <v/>
      </c>
      <c r="AF570" s="9">
        <f>INDEX(LINEST(L311:L570,M311:T570,TRUE,TRUE),1,4)</f>
        <v/>
      </c>
      <c r="AG570" s="9">
        <f>INDEX(LINEST(L311:L570,M311:T570,TRUE,TRUE),1,3)</f>
        <v/>
      </c>
      <c r="AH570" s="9">
        <f>INDEX(LINEST(L311:L570,M311:T570,TRUE,TRUE),1,2)</f>
        <v/>
      </c>
      <c r="AI570" s="9">
        <f>INDEX(LINEST(L311:L570,M311:T570,TRUE,TRUE),1,1)</f>
        <v/>
      </c>
      <c r="AJ570" s="10">
        <f>INDEX(LINEST(L311:L570,M311:T570,TRUE,TRUE),3,1)</f>
        <v/>
      </c>
      <c r="AK570" s="9">
        <f>AA569/52+AB569*M570+AC569*N570+AD569*O570+AE569*P570+AF569*Q570+AG569*R570+AH569*S570+AI569*T570</f>
        <v/>
      </c>
      <c r="AL570" s="9">
        <f>AVERAGE(L310:L569)</f>
        <v/>
      </c>
    </row>
    <row r="571">
      <c r="A571" s="7" t="n">
        <v>41607</v>
      </c>
      <c r="B571" s="8" t="n">
        <v>1253</v>
      </c>
      <c r="C571" s="8" t="n">
        <v>2.15</v>
      </c>
      <c r="D571" s="8" t="n">
        <v>0.6</v>
      </c>
      <c r="E571" s="8" t="n">
        <v>80.68000000000001</v>
      </c>
      <c r="F571" s="8" t="n">
        <v>92.55</v>
      </c>
      <c r="G571" s="8" t="n">
        <v>13.7</v>
      </c>
      <c r="H571" s="8" t="n">
        <v>68</v>
      </c>
      <c r="I571" s="8" t="n">
        <v>1805.810059</v>
      </c>
      <c r="J571" s="8" t="n">
        <v>76.284752</v>
      </c>
      <c r="L571" s="9">
        <f>LN(B571/B570)</f>
        <v/>
      </c>
      <c r="M571" s="9">
        <f>$M$1*(C571-C570)</f>
        <v/>
      </c>
      <c r="N571" s="9">
        <f>$N$1*(D571-D570)</f>
        <v/>
      </c>
      <c r="O571" s="9">
        <f>$O$1*LN(E571/E570)</f>
        <v/>
      </c>
      <c r="P571" s="9">
        <f>$P$1*LN(F571/F570)</f>
        <v/>
      </c>
      <c r="Q571" s="9">
        <f>$Q$1*(G571-G570)</f>
        <v/>
      </c>
      <c r="R571" s="9">
        <f>$R$1*(H571-H570)</f>
        <v/>
      </c>
      <c r="S571" s="9">
        <f>$S$1*LN(I571/I570)</f>
        <v/>
      </c>
      <c r="T571" s="9">
        <f>$T$1*LN(J571/J570)</f>
        <v/>
      </c>
      <c r="U571" s="9">
        <f>$W$12+$W$4*M571+$W$5*N571+$W$6*O571+$W$7*P571+$W$8*Q571+$W$9*R571+$W$10*S571+$W$11*T571</f>
        <v/>
      </c>
      <c r="AA571" s="10">
        <f>INDEX(LINEST(L312:L571,M312:T571,TRUE,TRUE),1,9)*52</f>
        <v/>
      </c>
      <c r="AB571" s="9">
        <f>INDEX(LINEST(L312:L571,M312:T571,TRUE,TRUE),1,8)</f>
        <v/>
      </c>
      <c r="AC571" s="9">
        <f>INDEX(LINEST(L312:L571,M312:T571,TRUE,TRUE),1,7)</f>
        <v/>
      </c>
      <c r="AD571" s="9">
        <f>INDEX(LINEST(L312:L571,M312:T571,TRUE,TRUE),1,6)</f>
        <v/>
      </c>
      <c r="AE571" s="9">
        <f>INDEX(LINEST(L312:L571,M312:T571,TRUE,TRUE),1,5)</f>
        <v/>
      </c>
      <c r="AF571" s="9">
        <f>INDEX(LINEST(L312:L571,M312:T571,TRUE,TRUE),1,4)</f>
        <v/>
      </c>
      <c r="AG571" s="9">
        <f>INDEX(LINEST(L312:L571,M312:T571,TRUE,TRUE),1,3)</f>
        <v/>
      </c>
      <c r="AH571" s="9">
        <f>INDEX(LINEST(L312:L571,M312:T571,TRUE,TRUE),1,2)</f>
        <v/>
      </c>
      <c r="AI571" s="9">
        <f>INDEX(LINEST(L312:L571,M312:T571,TRUE,TRUE),1,1)</f>
        <v/>
      </c>
      <c r="AJ571" s="10">
        <f>INDEX(LINEST(L312:L571,M312:T571,TRUE,TRUE),3,1)</f>
        <v/>
      </c>
      <c r="AK571" s="9">
        <f>AA570/52+AB570*M571+AC570*N571+AD570*O571+AE570*P571+AF570*Q571+AG570*R571+AH570*S571+AI570*T571</f>
        <v/>
      </c>
      <c r="AL571" s="9">
        <f>AVERAGE(L311:L570)</f>
        <v/>
      </c>
    </row>
    <row r="572">
      <c r="A572" s="7" t="n">
        <v>41614</v>
      </c>
      <c r="B572" s="8" t="n">
        <v>1233</v>
      </c>
      <c r="C572" s="8" t="n">
        <v>2.11</v>
      </c>
      <c r="D572" s="8" t="n">
        <v>0.77</v>
      </c>
      <c r="E572" s="8" t="n">
        <v>80.269997</v>
      </c>
      <c r="F572" s="8" t="n">
        <v>97.48</v>
      </c>
      <c r="G572" s="8" t="n">
        <v>13.79</v>
      </c>
      <c r="H572" s="8" t="n">
        <v>69.199997</v>
      </c>
      <c r="I572" s="8" t="n">
        <v>1805.089966</v>
      </c>
      <c r="J572" s="8" t="n">
        <v>75.852951</v>
      </c>
      <c r="L572" s="9">
        <f>LN(B572/B571)</f>
        <v/>
      </c>
      <c r="M572" s="9">
        <f>$M$1*(C572-C571)</f>
        <v/>
      </c>
      <c r="N572" s="9">
        <f>$N$1*(D572-D571)</f>
        <v/>
      </c>
      <c r="O572" s="9">
        <f>$O$1*LN(E572/E571)</f>
        <v/>
      </c>
      <c r="P572" s="9">
        <f>$P$1*LN(F572/F571)</f>
        <v/>
      </c>
      <c r="Q572" s="9">
        <f>$Q$1*(G572-G571)</f>
        <v/>
      </c>
      <c r="R572" s="9">
        <f>$R$1*(H572-H571)</f>
        <v/>
      </c>
      <c r="S572" s="9">
        <f>$S$1*LN(I572/I571)</f>
        <v/>
      </c>
      <c r="T572" s="9">
        <f>$T$1*LN(J572/J571)</f>
        <v/>
      </c>
      <c r="U572" s="9">
        <f>$W$12+$W$4*M572+$W$5*N572+$W$6*O572+$W$7*P572+$W$8*Q572+$W$9*R572+$W$10*S572+$W$11*T572</f>
        <v/>
      </c>
      <c r="AA572" s="10">
        <f>INDEX(LINEST(L313:L572,M313:T572,TRUE,TRUE),1,9)*52</f>
        <v/>
      </c>
      <c r="AB572" s="9">
        <f>INDEX(LINEST(L313:L572,M313:T572,TRUE,TRUE),1,8)</f>
        <v/>
      </c>
      <c r="AC572" s="9">
        <f>INDEX(LINEST(L313:L572,M313:T572,TRUE,TRUE),1,7)</f>
        <v/>
      </c>
      <c r="AD572" s="9">
        <f>INDEX(LINEST(L313:L572,M313:T572,TRUE,TRUE),1,6)</f>
        <v/>
      </c>
      <c r="AE572" s="9">
        <f>INDEX(LINEST(L313:L572,M313:T572,TRUE,TRUE),1,5)</f>
        <v/>
      </c>
      <c r="AF572" s="9">
        <f>INDEX(LINEST(L313:L572,M313:T572,TRUE,TRUE),1,4)</f>
        <v/>
      </c>
      <c r="AG572" s="9">
        <f>INDEX(LINEST(L313:L572,M313:T572,TRUE,TRUE),1,3)</f>
        <v/>
      </c>
      <c r="AH572" s="9">
        <f>INDEX(LINEST(L313:L572,M313:T572,TRUE,TRUE),1,2)</f>
        <v/>
      </c>
      <c r="AI572" s="9">
        <f>INDEX(LINEST(L313:L572,M313:T572,TRUE,TRUE),1,1)</f>
        <v/>
      </c>
      <c r="AJ572" s="10">
        <f>INDEX(LINEST(L313:L572,M313:T572,TRUE,TRUE),3,1)</f>
        <v/>
      </c>
      <c r="AK572" s="9">
        <f>AA571/52+AB571*M572+AC571*N572+AD571*O572+AE571*P572+AF571*Q572+AG571*R572+AH571*S572+AI571*T572</f>
        <v/>
      </c>
      <c r="AL572" s="9">
        <f>AVERAGE(L312:L571)</f>
        <v/>
      </c>
    </row>
    <row r="573">
      <c r="A573" s="7" t="n">
        <v>41621</v>
      </c>
      <c r="B573" s="8" t="n">
        <v>1232</v>
      </c>
      <c r="C573" s="8" t="n">
        <v>2.16</v>
      </c>
      <c r="D573" s="8" t="n">
        <v>0.72</v>
      </c>
      <c r="E573" s="8" t="n">
        <v>80.209999</v>
      </c>
      <c r="F573" s="8" t="n">
        <v>96.27</v>
      </c>
      <c r="G573" s="8" t="n">
        <v>15.76</v>
      </c>
      <c r="H573" s="8" t="n">
        <v>72.599998</v>
      </c>
      <c r="I573" s="8" t="n">
        <v>1775.319946</v>
      </c>
      <c r="J573" s="8" t="n">
        <v>75.867172</v>
      </c>
      <c r="L573" s="9">
        <f>LN(B573/B572)</f>
        <v/>
      </c>
      <c r="M573" s="9">
        <f>$M$1*(C573-C572)</f>
        <v/>
      </c>
      <c r="N573" s="9">
        <f>$N$1*(D573-D572)</f>
        <v/>
      </c>
      <c r="O573" s="9">
        <f>$O$1*LN(E573/E572)</f>
        <v/>
      </c>
      <c r="P573" s="9">
        <f>$P$1*LN(F573/F572)</f>
        <v/>
      </c>
      <c r="Q573" s="9">
        <f>$Q$1*(G573-G572)</f>
        <v/>
      </c>
      <c r="R573" s="9">
        <f>$R$1*(H573-H572)</f>
        <v/>
      </c>
      <c r="S573" s="9">
        <f>$S$1*LN(I573/I572)</f>
        <v/>
      </c>
      <c r="T573" s="9">
        <f>$T$1*LN(J573/J572)</f>
        <v/>
      </c>
      <c r="U573" s="9">
        <f>$W$12+$W$4*M573+$W$5*N573+$W$6*O573+$W$7*P573+$W$8*Q573+$W$9*R573+$W$10*S573+$W$11*T573</f>
        <v/>
      </c>
      <c r="AA573" s="10">
        <f>INDEX(LINEST(L314:L573,M314:T573,TRUE,TRUE),1,9)*52</f>
        <v/>
      </c>
      <c r="AB573" s="9">
        <f>INDEX(LINEST(L314:L573,M314:T573,TRUE,TRUE),1,8)</f>
        <v/>
      </c>
      <c r="AC573" s="9">
        <f>INDEX(LINEST(L314:L573,M314:T573,TRUE,TRUE),1,7)</f>
        <v/>
      </c>
      <c r="AD573" s="9">
        <f>INDEX(LINEST(L314:L573,M314:T573,TRUE,TRUE),1,6)</f>
        <v/>
      </c>
      <c r="AE573" s="9">
        <f>INDEX(LINEST(L314:L573,M314:T573,TRUE,TRUE),1,5)</f>
        <v/>
      </c>
      <c r="AF573" s="9">
        <f>INDEX(LINEST(L314:L573,M314:T573,TRUE,TRUE),1,4)</f>
        <v/>
      </c>
      <c r="AG573" s="9">
        <f>INDEX(LINEST(L314:L573,M314:T573,TRUE,TRUE),1,3)</f>
        <v/>
      </c>
      <c r="AH573" s="9">
        <f>INDEX(LINEST(L314:L573,M314:T573,TRUE,TRUE),1,2)</f>
        <v/>
      </c>
      <c r="AI573" s="9">
        <f>INDEX(LINEST(L314:L573,M314:T573,TRUE,TRUE),1,1)</f>
        <v/>
      </c>
      <c r="AJ573" s="10">
        <f>INDEX(LINEST(L314:L573,M314:T573,TRUE,TRUE),3,1)</f>
        <v/>
      </c>
      <c r="AK573" s="9">
        <f>AA572/52+AB572*M573+AC572*N573+AD572*O573+AE572*P573+AF572*Q573+AG572*R573+AH572*S573+AI572*T573</f>
        <v/>
      </c>
      <c r="AL573" s="9">
        <f>AVERAGE(L313:L572)</f>
        <v/>
      </c>
    </row>
    <row r="574">
      <c r="A574" s="7" t="n">
        <v>41628</v>
      </c>
      <c r="B574" s="8" t="n">
        <v>1195.25</v>
      </c>
      <c r="C574" s="8" t="n">
        <v>2.16</v>
      </c>
      <c r="D574" s="8" t="n">
        <v>0.73</v>
      </c>
      <c r="E574" s="8" t="n">
        <v>80.58000199999999</v>
      </c>
      <c r="F574" s="8" t="n">
        <v>99.11</v>
      </c>
      <c r="G574" s="8" t="n">
        <v>13.79</v>
      </c>
      <c r="H574" s="8" t="n">
        <v>67.300003</v>
      </c>
      <c r="I574" s="8" t="n">
        <v>1818.319946</v>
      </c>
      <c r="J574" s="8" t="n">
        <v>76.016548</v>
      </c>
      <c r="L574" s="9">
        <f>LN(B574/B573)</f>
        <v/>
      </c>
      <c r="M574" s="9">
        <f>$M$1*(C574-C573)</f>
        <v/>
      </c>
      <c r="N574" s="9">
        <f>$N$1*(D574-D573)</f>
        <v/>
      </c>
      <c r="O574" s="9">
        <f>$O$1*LN(E574/E573)</f>
        <v/>
      </c>
      <c r="P574" s="9">
        <f>$P$1*LN(F574/F573)</f>
        <v/>
      </c>
      <c r="Q574" s="9">
        <f>$Q$1*(G574-G573)</f>
        <v/>
      </c>
      <c r="R574" s="9">
        <f>$R$1*(H574-H573)</f>
        <v/>
      </c>
      <c r="S574" s="9">
        <f>$S$1*LN(I574/I573)</f>
        <v/>
      </c>
      <c r="T574" s="9">
        <f>$T$1*LN(J574/J573)</f>
        <v/>
      </c>
      <c r="U574" s="9">
        <f>$W$12+$W$4*M574+$W$5*N574+$W$6*O574+$W$7*P574+$W$8*Q574+$W$9*R574+$W$10*S574+$W$11*T574</f>
        <v/>
      </c>
      <c r="AA574" s="10">
        <f>INDEX(LINEST(L315:L574,M315:T574,TRUE,TRUE),1,9)*52</f>
        <v/>
      </c>
      <c r="AB574" s="9">
        <f>INDEX(LINEST(L315:L574,M315:T574,TRUE,TRUE),1,8)</f>
        <v/>
      </c>
      <c r="AC574" s="9">
        <f>INDEX(LINEST(L315:L574,M315:T574,TRUE,TRUE),1,7)</f>
        <v/>
      </c>
      <c r="AD574" s="9">
        <f>INDEX(LINEST(L315:L574,M315:T574,TRUE,TRUE),1,6)</f>
        <v/>
      </c>
      <c r="AE574" s="9">
        <f>INDEX(LINEST(L315:L574,M315:T574,TRUE,TRUE),1,5)</f>
        <v/>
      </c>
      <c r="AF574" s="9">
        <f>INDEX(LINEST(L315:L574,M315:T574,TRUE,TRUE),1,4)</f>
        <v/>
      </c>
      <c r="AG574" s="9">
        <f>INDEX(LINEST(L315:L574,M315:T574,TRUE,TRUE),1,3)</f>
        <v/>
      </c>
      <c r="AH574" s="9">
        <f>INDEX(LINEST(L315:L574,M315:T574,TRUE,TRUE),1,2)</f>
        <v/>
      </c>
      <c r="AI574" s="9">
        <f>INDEX(LINEST(L315:L574,M315:T574,TRUE,TRUE),1,1)</f>
        <v/>
      </c>
      <c r="AJ574" s="10">
        <f>INDEX(LINEST(L315:L574,M315:T574,TRUE,TRUE),3,1)</f>
        <v/>
      </c>
      <c r="AK574" s="9">
        <f>AA573/52+AB573*M574+AC573*N574+AD573*O574+AE573*P574+AF573*Q574+AG573*R574+AH573*S574+AI573*T574</f>
        <v/>
      </c>
      <c r="AL574" s="9">
        <f>AVERAGE(L314:L573)</f>
        <v/>
      </c>
    </row>
    <row r="575">
      <c r="A575" s="7" t="n">
        <v>41635</v>
      </c>
      <c r="B575" s="8" t="n">
        <v>1214.5</v>
      </c>
      <c r="C575" s="8" t="n">
        <v>2.22</v>
      </c>
      <c r="D575" s="8" t="n">
        <v>0.8</v>
      </c>
      <c r="E575" s="8" t="n">
        <v>80.389999</v>
      </c>
      <c r="F575" s="8" t="n">
        <v>99.94</v>
      </c>
      <c r="G575" s="8" t="n">
        <v>12.46</v>
      </c>
      <c r="H575" s="8" t="n">
        <v>65.800003</v>
      </c>
      <c r="I575" s="8" t="n">
        <v>1841.400024</v>
      </c>
      <c r="J575" s="8" t="n">
        <v>75.860016</v>
      </c>
      <c r="L575" s="9">
        <f>LN(B575/B574)</f>
        <v/>
      </c>
      <c r="M575" s="9">
        <f>$M$1*(C575-C574)</f>
        <v/>
      </c>
      <c r="N575" s="9">
        <f>$N$1*(D575-D574)</f>
        <v/>
      </c>
      <c r="O575" s="9">
        <f>$O$1*LN(E575/E574)</f>
        <v/>
      </c>
      <c r="P575" s="9">
        <f>$P$1*LN(F575/F574)</f>
        <v/>
      </c>
      <c r="Q575" s="9">
        <f>$Q$1*(G575-G574)</f>
        <v/>
      </c>
      <c r="R575" s="9">
        <f>$R$1*(H575-H574)</f>
        <v/>
      </c>
      <c r="S575" s="9">
        <f>$S$1*LN(I575/I574)</f>
        <v/>
      </c>
      <c r="T575" s="9">
        <f>$T$1*LN(J575/J574)</f>
        <v/>
      </c>
      <c r="U575" s="9">
        <f>$W$12+$W$4*M575+$W$5*N575+$W$6*O575+$W$7*P575+$W$8*Q575+$W$9*R575+$W$10*S575+$W$11*T575</f>
        <v/>
      </c>
      <c r="AA575" s="10">
        <f>INDEX(LINEST(L316:L575,M316:T575,TRUE,TRUE),1,9)*52</f>
        <v/>
      </c>
      <c r="AB575" s="9">
        <f>INDEX(LINEST(L316:L575,M316:T575,TRUE,TRUE),1,8)</f>
        <v/>
      </c>
      <c r="AC575" s="9">
        <f>INDEX(LINEST(L316:L575,M316:T575,TRUE,TRUE),1,7)</f>
        <v/>
      </c>
      <c r="AD575" s="9">
        <f>INDEX(LINEST(L316:L575,M316:T575,TRUE,TRUE),1,6)</f>
        <v/>
      </c>
      <c r="AE575" s="9">
        <f>INDEX(LINEST(L316:L575,M316:T575,TRUE,TRUE),1,5)</f>
        <v/>
      </c>
      <c r="AF575" s="9">
        <f>INDEX(LINEST(L316:L575,M316:T575,TRUE,TRUE),1,4)</f>
        <v/>
      </c>
      <c r="AG575" s="9">
        <f>INDEX(LINEST(L316:L575,M316:T575,TRUE,TRUE),1,3)</f>
        <v/>
      </c>
      <c r="AH575" s="9">
        <f>INDEX(LINEST(L316:L575,M316:T575,TRUE,TRUE),1,2)</f>
        <v/>
      </c>
      <c r="AI575" s="9">
        <f>INDEX(LINEST(L316:L575,M316:T575,TRUE,TRUE),1,1)</f>
        <v/>
      </c>
      <c r="AJ575" s="10">
        <f>INDEX(LINEST(L316:L575,M316:T575,TRUE,TRUE),3,1)</f>
        <v/>
      </c>
      <c r="AK575" s="9">
        <f>AA574/52+AB574*M575+AC574*N575+AD574*O575+AE574*P575+AF574*Q575+AG574*R575+AH574*S575+AI574*T575</f>
        <v/>
      </c>
      <c r="AL575" s="9">
        <f>AVERAGE(L315:L574)</f>
        <v/>
      </c>
    </row>
    <row r="576">
      <c r="A576" s="7" t="n">
        <v>41642</v>
      </c>
      <c r="B576" s="8" t="n">
        <v>1234.5</v>
      </c>
      <c r="C576" s="8" t="n">
        <v>2.26</v>
      </c>
      <c r="D576" s="8" t="n">
        <v>0.75</v>
      </c>
      <c r="E576" s="8" t="n">
        <v>80.790001</v>
      </c>
      <c r="F576" s="8" t="n">
        <v>93.66</v>
      </c>
      <c r="G576" s="8" t="n">
        <v>13.76</v>
      </c>
      <c r="H576" s="8" t="n">
        <v>72.699997</v>
      </c>
      <c r="I576" s="8" t="n">
        <v>1831.369995</v>
      </c>
      <c r="J576" s="8" t="n">
        <v>75.938446</v>
      </c>
      <c r="L576" s="9">
        <f>LN(B576/B575)</f>
        <v/>
      </c>
      <c r="M576" s="9">
        <f>$M$1*(C576-C575)</f>
        <v/>
      </c>
      <c r="N576" s="9">
        <f>$N$1*(D576-D575)</f>
        <v/>
      </c>
      <c r="O576" s="9">
        <f>$O$1*LN(E576/E575)</f>
        <v/>
      </c>
      <c r="P576" s="9">
        <f>$P$1*LN(F576/F575)</f>
        <v/>
      </c>
      <c r="Q576" s="9">
        <f>$Q$1*(G576-G575)</f>
        <v/>
      </c>
      <c r="R576" s="9">
        <f>$R$1*(H576-H575)</f>
        <v/>
      </c>
      <c r="S576" s="9">
        <f>$S$1*LN(I576/I575)</f>
        <v/>
      </c>
      <c r="T576" s="9">
        <f>$T$1*LN(J576/J575)</f>
        <v/>
      </c>
      <c r="U576" s="9">
        <f>$W$12+$W$4*M576+$W$5*N576+$W$6*O576+$W$7*P576+$W$8*Q576+$W$9*R576+$W$10*S576+$W$11*T576</f>
        <v/>
      </c>
      <c r="AA576" s="10">
        <f>INDEX(LINEST(L317:L576,M317:T576,TRUE,TRUE),1,9)*52</f>
        <v/>
      </c>
      <c r="AB576" s="9">
        <f>INDEX(LINEST(L317:L576,M317:T576,TRUE,TRUE),1,8)</f>
        <v/>
      </c>
      <c r="AC576" s="9">
        <f>INDEX(LINEST(L317:L576,M317:T576,TRUE,TRUE),1,7)</f>
        <v/>
      </c>
      <c r="AD576" s="9">
        <f>INDEX(LINEST(L317:L576,M317:T576,TRUE,TRUE),1,6)</f>
        <v/>
      </c>
      <c r="AE576" s="9">
        <f>INDEX(LINEST(L317:L576,M317:T576,TRUE,TRUE),1,5)</f>
        <v/>
      </c>
      <c r="AF576" s="9">
        <f>INDEX(LINEST(L317:L576,M317:T576,TRUE,TRUE),1,4)</f>
        <v/>
      </c>
      <c r="AG576" s="9">
        <f>INDEX(LINEST(L317:L576,M317:T576,TRUE,TRUE),1,3)</f>
        <v/>
      </c>
      <c r="AH576" s="9">
        <f>INDEX(LINEST(L317:L576,M317:T576,TRUE,TRUE),1,2)</f>
        <v/>
      </c>
      <c r="AI576" s="9">
        <f>INDEX(LINEST(L317:L576,M317:T576,TRUE,TRUE),1,1)</f>
        <v/>
      </c>
      <c r="AJ576" s="10">
        <f>INDEX(LINEST(L317:L576,M317:T576,TRUE,TRUE),3,1)</f>
        <v/>
      </c>
      <c r="AK576" s="9">
        <f>AA575/52+AB575*M576+AC575*N576+AD575*O576+AE575*P576+AF575*Q576+AG575*R576+AH575*S576+AI575*T576</f>
        <v/>
      </c>
      <c r="AL576" s="9">
        <f>AVERAGE(L316:L575)</f>
        <v/>
      </c>
    </row>
    <row r="577">
      <c r="A577" s="7" t="n">
        <v>41649</v>
      </c>
      <c r="B577" s="8" t="n">
        <v>1244.25</v>
      </c>
      <c r="C577" s="8" t="n">
        <v>2.29</v>
      </c>
      <c r="D577" s="8" t="n">
        <v>0.59</v>
      </c>
      <c r="E577" s="8" t="n">
        <v>80.660004</v>
      </c>
      <c r="F577" s="8" t="n">
        <v>92.39</v>
      </c>
      <c r="G577" s="8" t="n">
        <v>12.14</v>
      </c>
      <c r="H577" s="8" t="n">
        <v>61.200001</v>
      </c>
      <c r="I577" s="8" t="n">
        <v>1842.369995</v>
      </c>
      <c r="J577" s="8" t="n">
        <v>76.33754</v>
      </c>
      <c r="L577" s="9">
        <f>LN(B577/B576)</f>
        <v/>
      </c>
      <c r="M577" s="9">
        <f>$M$1*(C577-C576)</f>
        <v/>
      </c>
      <c r="N577" s="9">
        <f>$N$1*(D577-D576)</f>
        <v/>
      </c>
      <c r="O577" s="9">
        <f>$O$1*LN(E577/E576)</f>
        <v/>
      </c>
      <c r="P577" s="9">
        <f>$P$1*LN(F577/F576)</f>
        <v/>
      </c>
      <c r="Q577" s="9">
        <f>$Q$1*(G577-G576)</f>
        <v/>
      </c>
      <c r="R577" s="9">
        <f>$R$1*(H577-H576)</f>
        <v/>
      </c>
      <c r="S577" s="9">
        <f>$S$1*LN(I577/I576)</f>
        <v/>
      </c>
      <c r="T577" s="9">
        <f>$T$1*LN(J577/J576)</f>
        <v/>
      </c>
      <c r="U577" s="9">
        <f>$W$12+$W$4*M577+$W$5*N577+$W$6*O577+$W$7*P577+$W$8*Q577+$W$9*R577+$W$10*S577+$W$11*T577</f>
        <v/>
      </c>
      <c r="AA577" s="10">
        <f>INDEX(LINEST(L318:L577,M318:T577,TRUE,TRUE),1,9)*52</f>
        <v/>
      </c>
      <c r="AB577" s="9">
        <f>INDEX(LINEST(L318:L577,M318:T577,TRUE,TRUE),1,8)</f>
        <v/>
      </c>
      <c r="AC577" s="9">
        <f>INDEX(LINEST(L318:L577,M318:T577,TRUE,TRUE),1,7)</f>
        <v/>
      </c>
      <c r="AD577" s="9">
        <f>INDEX(LINEST(L318:L577,M318:T577,TRUE,TRUE),1,6)</f>
        <v/>
      </c>
      <c r="AE577" s="9">
        <f>INDEX(LINEST(L318:L577,M318:T577,TRUE,TRUE),1,5)</f>
        <v/>
      </c>
      <c r="AF577" s="9">
        <f>INDEX(LINEST(L318:L577,M318:T577,TRUE,TRUE),1,4)</f>
        <v/>
      </c>
      <c r="AG577" s="9">
        <f>INDEX(LINEST(L318:L577,M318:T577,TRUE,TRUE),1,3)</f>
        <v/>
      </c>
      <c r="AH577" s="9">
        <f>INDEX(LINEST(L318:L577,M318:T577,TRUE,TRUE),1,2)</f>
        <v/>
      </c>
      <c r="AI577" s="9">
        <f>INDEX(LINEST(L318:L577,M318:T577,TRUE,TRUE),1,1)</f>
        <v/>
      </c>
      <c r="AJ577" s="10">
        <f>INDEX(LINEST(L318:L577,M318:T577,TRUE,TRUE),3,1)</f>
        <v/>
      </c>
      <c r="AK577" s="9">
        <f>AA576/52+AB576*M577+AC576*N577+AD576*O577+AE576*P577+AF576*Q577+AG576*R577+AH576*S577+AI576*T577</f>
        <v/>
      </c>
      <c r="AL577" s="9">
        <f>AVERAGE(L317:L576)</f>
        <v/>
      </c>
    </row>
    <row r="578">
      <c r="A578" s="7" t="n">
        <v>41656</v>
      </c>
      <c r="B578" s="8" t="n">
        <v>1250</v>
      </c>
      <c r="C578" s="8" t="n">
        <v>2.26</v>
      </c>
      <c r="D578" s="8" t="n">
        <v>0.58</v>
      </c>
      <c r="E578" s="8" t="n">
        <v>81.260002</v>
      </c>
      <c r="F578" s="8" t="n">
        <v>93.95999999999999</v>
      </c>
      <c r="G578" s="8" t="n">
        <v>12.44</v>
      </c>
      <c r="H578" s="8" t="n">
        <v>60.299999</v>
      </c>
      <c r="I578" s="8" t="n">
        <v>1838.699951</v>
      </c>
      <c r="J578" s="8" t="n">
        <v>76.444496</v>
      </c>
      <c r="L578" s="9">
        <f>LN(B578/B577)</f>
        <v/>
      </c>
      <c r="M578" s="9">
        <f>$M$1*(C578-C577)</f>
        <v/>
      </c>
      <c r="N578" s="9">
        <f>$N$1*(D578-D577)</f>
        <v/>
      </c>
      <c r="O578" s="9">
        <f>$O$1*LN(E578/E577)</f>
        <v/>
      </c>
      <c r="P578" s="9">
        <f>$P$1*LN(F578/F577)</f>
        <v/>
      </c>
      <c r="Q578" s="9">
        <f>$Q$1*(G578-G577)</f>
        <v/>
      </c>
      <c r="R578" s="9">
        <f>$R$1*(H578-H577)</f>
        <v/>
      </c>
      <c r="S578" s="9">
        <f>$S$1*LN(I578/I577)</f>
        <v/>
      </c>
      <c r="T578" s="9">
        <f>$T$1*LN(J578/J577)</f>
        <v/>
      </c>
      <c r="U578" s="9">
        <f>$W$12+$W$4*M578+$W$5*N578+$W$6*O578+$W$7*P578+$W$8*Q578+$W$9*R578+$W$10*S578+$W$11*T578</f>
        <v/>
      </c>
      <c r="AA578" s="10">
        <f>INDEX(LINEST(L319:L578,M319:T578,TRUE,TRUE),1,9)*52</f>
        <v/>
      </c>
      <c r="AB578" s="9">
        <f>INDEX(LINEST(L319:L578,M319:T578,TRUE,TRUE),1,8)</f>
        <v/>
      </c>
      <c r="AC578" s="9">
        <f>INDEX(LINEST(L319:L578,M319:T578,TRUE,TRUE),1,7)</f>
        <v/>
      </c>
      <c r="AD578" s="9">
        <f>INDEX(LINEST(L319:L578,M319:T578,TRUE,TRUE),1,6)</f>
        <v/>
      </c>
      <c r="AE578" s="9">
        <f>INDEX(LINEST(L319:L578,M319:T578,TRUE,TRUE),1,5)</f>
        <v/>
      </c>
      <c r="AF578" s="9">
        <f>INDEX(LINEST(L319:L578,M319:T578,TRUE,TRUE),1,4)</f>
        <v/>
      </c>
      <c r="AG578" s="9">
        <f>INDEX(LINEST(L319:L578,M319:T578,TRUE,TRUE),1,3)</f>
        <v/>
      </c>
      <c r="AH578" s="9">
        <f>INDEX(LINEST(L319:L578,M319:T578,TRUE,TRUE),1,2)</f>
        <v/>
      </c>
      <c r="AI578" s="9">
        <f>INDEX(LINEST(L319:L578,M319:T578,TRUE,TRUE),1,1)</f>
        <v/>
      </c>
      <c r="AJ578" s="10">
        <f>INDEX(LINEST(L319:L578,M319:T578,TRUE,TRUE),3,1)</f>
        <v/>
      </c>
      <c r="AK578" s="9">
        <f>AA577/52+AB577*M578+AC577*N578+AD577*O578+AE577*P578+AF577*Q578+AG577*R578+AH577*S578+AI577*T578</f>
        <v/>
      </c>
      <c r="AL578" s="9">
        <f>AVERAGE(L318:L577)</f>
        <v/>
      </c>
    </row>
    <row r="579">
      <c r="A579" s="7" t="n">
        <v>41663</v>
      </c>
      <c r="B579" s="8" t="n">
        <v>1267</v>
      </c>
      <c r="C579" s="8" t="n">
        <v>2.14</v>
      </c>
      <c r="D579" s="8" t="n">
        <v>0.61</v>
      </c>
      <c r="E579" s="8" t="n">
        <v>80.459999</v>
      </c>
      <c r="F579" s="8" t="n">
        <v>96.66</v>
      </c>
      <c r="G579" s="8" t="n">
        <v>18.14</v>
      </c>
      <c r="H579" s="8" t="n">
        <v>63.5</v>
      </c>
      <c r="I579" s="8" t="n">
        <v>1790.290039</v>
      </c>
      <c r="J579" s="8" t="n">
        <v>76.679733</v>
      </c>
      <c r="L579" s="9">
        <f>LN(B579/B578)</f>
        <v/>
      </c>
      <c r="M579" s="9">
        <f>$M$1*(C579-C578)</f>
        <v/>
      </c>
      <c r="N579" s="9">
        <f>$N$1*(D579-D578)</f>
        <v/>
      </c>
      <c r="O579" s="9">
        <f>$O$1*LN(E579/E578)</f>
        <v/>
      </c>
      <c r="P579" s="9">
        <f>$P$1*LN(F579/F578)</f>
        <v/>
      </c>
      <c r="Q579" s="9">
        <f>$Q$1*(G579-G578)</f>
        <v/>
      </c>
      <c r="R579" s="9">
        <f>$R$1*(H579-H578)</f>
        <v/>
      </c>
      <c r="S579" s="9">
        <f>$S$1*LN(I579/I578)</f>
        <v/>
      </c>
      <c r="T579" s="9">
        <f>$T$1*LN(J579/J578)</f>
        <v/>
      </c>
      <c r="U579" s="9">
        <f>$W$12+$W$4*M579+$W$5*N579+$W$6*O579+$W$7*P579+$W$8*Q579+$W$9*R579+$W$10*S579+$W$11*T579</f>
        <v/>
      </c>
      <c r="AA579" s="10">
        <f>INDEX(LINEST(L320:L579,M320:T579,TRUE,TRUE),1,9)*52</f>
        <v/>
      </c>
      <c r="AB579" s="9">
        <f>INDEX(LINEST(L320:L579,M320:T579,TRUE,TRUE),1,8)</f>
        <v/>
      </c>
      <c r="AC579" s="9">
        <f>INDEX(LINEST(L320:L579,M320:T579,TRUE,TRUE),1,7)</f>
        <v/>
      </c>
      <c r="AD579" s="9">
        <f>INDEX(LINEST(L320:L579,M320:T579,TRUE,TRUE),1,6)</f>
        <v/>
      </c>
      <c r="AE579" s="9">
        <f>INDEX(LINEST(L320:L579,M320:T579,TRUE,TRUE),1,5)</f>
        <v/>
      </c>
      <c r="AF579" s="9">
        <f>INDEX(LINEST(L320:L579,M320:T579,TRUE,TRUE),1,4)</f>
        <v/>
      </c>
      <c r="AG579" s="9">
        <f>INDEX(LINEST(L320:L579,M320:T579,TRUE,TRUE),1,3)</f>
        <v/>
      </c>
      <c r="AH579" s="9">
        <f>INDEX(LINEST(L320:L579,M320:T579,TRUE,TRUE),1,2)</f>
        <v/>
      </c>
      <c r="AI579" s="9">
        <f>INDEX(LINEST(L320:L579,M320:T579,TRUE,TRUE),1,1)</f>
        <v/>
      </c>
      <c r="AJ579" s="10">
        <f>INDEX(LINEST(L320:L579,M320:T579,TRUE,TRUE),3,1)</f>
        <v/>
      </c>
      <c r="AK579" s="9">
        <f>AA578/52+AB578*M579+AC578*N579+AD578*O579+AE578*P579+AF578*Q579+AG578*R579+AH578*S579+AI578*T579</f>
        <v/>
      </c>
      <c r="AL579" s="9">
        <f>AVERAGE(L319:L578)</f>
        <v/>
      </c>
    </row>
    <row r="580">
      <c r="A580" s="7" t="n">
        <v>41670</v>
      </c>
      <c r="B580" s="8" t="n">
        <v>1251</v>
      </c>
      <c r="C580" s="8" t="n">
        <v>2.14</v>
      </c>
      <c r="D580" s="8" t="n">
        <v>0.53</v>
      </c>
      <c r="E580" s="8" t="n">
        <v>81.269997</v>
      </c>
      <c r="F580" s="8" t="n">
        <v>97.55</v>
      </c>
      <c r="G580" s="8" t="n">
        <v>18.41</v>
      </c>
      <c r="H580" s="8" t="n">
        <v>64.699997</v>
      </c>
      <c r="I580" s="8" t="n">
        <v>1782.589966</v>
      </c>
      <c r="J580" s="8" t="n">
        <v>77.02898399999999</v>
      </c>
      <c r="L580" s="9">
        <f>LN(B580/B579)</f>
        <v/>
      </c>
      <c r="M580" s="9">
        <f>$M$1*(C580-C579)</f>
        <v/>
      </c>
      <c r="N580" s="9">
        <f>$N$1*(D580-D579)</f>
        <v/>
      </c>
      <c r="O580" s="9">
        <f>$O$1*LN(E580/E579)</f>
        <v/>
      </c>
      <c r="P580" s="9">
        <f>$P$1*LN(F580/F579)</f>
        <v/>
      </c>
      <c r="Q580" s="9">
        <f>$Q$1*(G580-G579)</f>
        <v/>
      </c>
      <c r="R580" s="9">
        <f>$R$1*(H580-H579)</f>
        <v/>
      </c>
      <c r="S580" s="9">
        <f>$S$1*LN(I580/I579)</f>
        <v/>
      </c>
      <c r="T580" s="9">
        <f>$T$1*LN(J580/J579)</f>
        <v/>
      </c>
      <c r="U580" s="9">
        <f>$W$12+$W$4*M580+$W$5*N580+$W$6*O580+$W$7*P580+$W$8*Q580+$W$9*R580+$W$10*S580+$W$11*T580</f>
        <v/>
      </c>
      <c r="AA580" s="10">
        <f>INDEX(LINEST(L321:L580,M321:T580,TRUE,TRUE),1,9)*52</f>
        <v/>
      </c>
      <c r="AB580" s="9">
        <f>INDEX(LINEST(L321:L580,M321:T580,TRUE,TRUE),1,8)</f>
        <v/>
      </c>
      <c r="AC580" s="9">
        <f>INDEX(LINEST(L321:L580,M321:T580,TRUE,TRUE),1,7)</f>
        <v/>
      </c>
      <c r="AD580" s="9">
        <f>INDEX(LINEST(L321:L580,M321:T580,TRUE,TRUE),1,6)</f>
        <v/>
      </c>
      <c r="AE580" s="9">
        <f>INDEX(LINEST(L321:L580,M321:T580,TRUE,TRUE),1,5)</f>
        <v/>
      </c>
      <c r="AF580" s="9">
        <f>INDEX(LINEST(L321:L580,M321:T580,TRUE,TRUE),1,4)</f>
        <v/>
      </c>
      <c r="AG580" s="9">
        <f>INDEX(LINEST(L321:L580,M321:T580,TRUE,TRUE),1,3)</f>
        <v/>
      </c>
      <c r="AH580" s="9">
        <f>INDEX(LINEST(L321:L580,M321:T580,TRUE,TRUE),1,2)</f>
        <v/>
      </c>
      <c r="AI580" s="9">
        <f>INDEX(LINEST(L321:L580,M321:T580,TRUE,TRUE),1,1)</f>
        <v/>
      </c>
      <c r="AJ580" s="10">
        <f>INDEX(LINEST(L321:L580,M321:T580,TRUE,TRUE),3,1)</f>
        <v/>
      </c>
      <c r="AK580" s="9">
        <f>AA579/52+AB579*M580+AC579*N580+AD579*O580+AE579*P580+AF579*Q580+AG579*R580+AH579*S580+AI579*T580</f>
        <v/>
      </c>
      <c r="AL580" s="9">
        <f>AVERAGE(L320:L579)</f>
        <v/>
      </c>
    </row>
    <row r="581">
      <c r="A581" s="7" t="n">
        <v>41677</v>
      </c>
      <c r="B581" s="8" t="n">
        <v>1259.25</v>
      </c>
      <c r="C581" s="8" t="n">
        <v>2.18</v>
      </c>
      <c r="D581" s="8" t="n">
        <v>0.53</v>
      </c>
      <c r="E581" s="8" t="n">
        <v>80.69000200000001</v>
      </c>
      <c r="F581" s="8" t="n">
        <v>99.98</v>
      </c>
      <c r="G581" s="8" t="n">
        <v>15.29</v>
      </c>
      <c r="H581" s="8" t="n">
        <v>64.699997</v>
      </c>
      <c r="I581" s="8" t="n">
        <v>1797.02002</v>
      </c>
      <c r="J581" s="8" t="n">
        <v>76.99754299999999</v>
      </c>
      <c r="L581" s="9">
        <f>LN(B581/B580)</f>
        <v/>
      </c>
      <c r="M581" s="9">
        <f>$M$1*(C581-C580)</f>
        <v/>
      </c>
      <c r="N581" s="9">
        <f>$N$1*(D581-D580)</f>
        <v/>
      </c>
      <c r="O581" s="9">
        <f>$O$1*LN(E581/E580)</f>
        <v/>
      </c>
      <c r="P581" s="9">
        <f>$P$1*LN(F581/F580)</f>
        <v/>
      </c>
      <c r="Q581" s="9">
        <f>$Q$1*(G581-G580)</f>
        <v/>
      </c>
      <c r="R581" s="9">
        <f>$R$1*(H581-H580)</f>
        <v/>
      </c>
      <c r="S581" s="9">
        <f>$S$1*LN(I581/I580)</f>
        <v/>
      </c>
      <c r="T581" s="9">
        <f>$T$1*LN(J581/J580)</f>
        <v/>
      </c>
      <c r="U581" s="9">
        <f>$W$12+$W$4*M581+$W$5*N581+$W$6*O581+$W$7*P581+$W$8*Q581+$W$9*R581+$W$10*S581+$W$11*T581</f>
        <v/>
      </c>
      <c r="AA581" s="10">
        <f>INDEX(LINEST(L322:L581,M322:T581,TRUE,TRUE),1,9)*52</f>
        <v/>
      </c>
      <c r="AB581" s="9">
        <f>INDEX(LINEST(L322:L581,M322:T581,TRUE,TRUE),1,8)</f>
        <v/>
      </c>
      <c r="AC581" s="9">
        <f>INDEX(LINEST(L322:L581,M322:T581,TRUE,TRUE),1,7)</f>
        <v/>
      </c>
      <c r="AD581" s="9">
        <f>INDEX(LINEST(L322:L581,M322:T581,TRUE,TRUE),1,6)</f>
        <v/>
      </c>
      <c r="AE581" s="9">
        <f>INDEX(LINEST(L322:L581,M322:T581,TRUE,TRUE),1,5)</f>
        <v/>
      </c>
      <c r="AF581" s="9">
        <f>INDEX(LINEST(L322:L581,M322:T581,TRUE,TRUE),1,4)</f>
        <v/>
      </c>
      <c r="AG581" s="9">
        <f>INDEX(LINEST(L322:L581,M322:T581,TRUE,TRUE),1,3)</f>
        <v/>
      </c>
      <c r="AH581" s="9">
        <f>INDEX(LINEST(L322:L581,M322:T581,TRUE,TRUE),1,2)</f>
        <v/>
      </c>
      <c r="AI581" s="9">
        <f>INDEX(LINEST(L322:L581,M322:T581,TRUE,TRUE),1,1)</f>
        <v/>
      </c>
      <c r="AJ581" s="10">
        <f>INDEX(LINEST(L322:L581,M322:T581,TRUE,TRUE),3,1)</f>
        <v/>
      </c>
      <c r="AK581" s="9">
        <f>AA580/52+AB580*M581+AC580*N581+AD580*O581+AE580*P581+AF580*Q581+AG580*R581+AH580*S581+AI580*T581</f>
        <v/>
      </c>
      <c r="AL581" s="9">
        <f>AVERAGE(L321:L580)</f>
        <v/>
      </c>
    </row>
    <row r="582">
      <c r="A582" s="7" t="n">
        <v>41684</v>
      </c>
      <c r="B582" s="8" t="n">
        <v>1320</v>
      </c>
      <c r="C582" s="8" t="n">
        <v>2.16</v>
      </c>
      <c r="D582" s="8" t="n">
        <v>0.59</v>
      </c>
      <c r="E582" s="8" t="n">
        <v>80.129997</v>
      </c>
      <c r="F582" s="8" t="n">
        <v>100.31</v>
      </c>
      <c r="G582" s="8" t="n">
        <v>13.57</v>
      </c>
      <c r="H582" s="8" t="n">
        <v>57.299999</v>
      </c>
      <c r="I582" s="8" t="n">
        <v>1838.630005</v>
      </c>
      <c r="J582" s="8" t="n">
        <v>76.961853</v>
      </c>
      <c r="L582" s="9">
        <f>LN(B582/B581)</f>
        <v/>
      </c>
      <c r="M582" s="9">
        <f>$M$1*(C582-C581)</f>
        <v/>
      </c>
      <c r="N582" s="9">
        <f>$N$1*(D582-D581)</f>
        <v/>
      </c>
      <c r="O582" s="9">
        <f>$O$1*LN(E582/E581)</f>
        <v/>
      </c>
      <c r="P582" s="9">
        <f>$P$1*LN(F582/F581)</f>
        <v/>
      </c>
      <c r="Q582" s="9">
        <f>$Q$1*(G582-G581)</f>
        <v/>
      </c>
      <c r="R582" s="9">
        <f>$R$1*(H582-H581)</f>
        <v/>
      </c>
      <c r="S582" s="9">
        <f>$S$1*LN(I582/I581)</f>
        <v/>
      </c>
      <c r="T582" s="9">
        <f>$T$1*LN(J582/J581)</f>
        <v/>
      </c>
      <c r="U582" s="9">
        <f>$W$12+$W$4*M582+$W$5*N582+$W$6*O582+$W$7*P582+$W$8*Q582+$W$9*R582+$W$10*S582+$W$11*T582</f>
        <v/>
      </c>
      <c r="AA582" s="10">
        <f>INDEX(LINEST(L323:L582,M323:T582,TRUE,TRUE),1,9)*52</f>
        <v/>
      </c>
      <c r="AB582" s="9">
        <f>INDEX(LINEST(L323:L582,M323:T582,TRUE,TRUE),1,8)</f>
        <v/>
      </c>
      <c r="AC582" s="9">
        <f>INDEX(LINEST(L323:L582,M323:T582,TRUE,TRUE),1,7)</f>
        <v/>
      </c>
      <c r="AD582" s="9">
        <f>INDEX(LINEST(L323:L582,M323:T582,TRUE,TRUE),1,6)</f>
        <v/>
      </c>
      <c r="AE582" s="9">
        <f>INDEX(LINEST(L323:L582,M323:T582,TRUE,TRUE),1,5)</f>
        <v/>
      </c>
      <c r="AF582" s="9">
        <f>INDEX(LINEST(L323:L582,M323:T582,TRUE,TRUE),1,4)</f>
        <v/>
      </c>
      <c r="AG582" s="9">
        <f>INDEX(LINEST(L323:L582,M323:T582,TRUE,TRUE),1,3)</f>
        <v/>
      </c>
      <c r="AH582" s="9">
        <f>INDEX(LINEST(L323:L582,M323:T582,TRUE,TRUE),1,2)</f>
        <v/>
      </c>
      <c r="AI582" s="9">
        <f>INDEX(LINEST(L323:L582,M323:T582,TRUE,TRUE),1,1)</f>
        <v/>
      </c>
      <c r="AJ582" s="10">
        <f>INDEX(LINEST(L323:L582,M323:T582,TRUE,TRUE),3,1)</f>
        <v/>
      </c>
      <c r="AK582" s="9">
        <f>AA581/52+AB581*M582+AC581*N582+AD581*O582+AE581*P582+AF581*Q582+AG581*R582+AH581*S582+AI581*T582</f>
        <v/>
      </c>
      <c r="AL582" s="9">
        <f>AVERAGE(L322:L581)</f>
        <v/>
      </c>
    </row>
    <row r="583">
      <c r="A583" s="7" t="n">
        <v>41691</v>
      </c>
      <c r="B583" s="8" t="n">
        <v>1323.25</v>
      </c>
      <c r="C583" s="8" t="n">
        <v>2.12</v>
      </c>
      <c r="D583" s="8" t="n">
        <v>0.61</v>
      </c>
      <c r="E583" s="8" t="n">
        <v>80.239998</v>
      </c>
      <c r="F583" s="8" t="n">
        <v>102.53</v>
      </c>
      <c r="G583" s="8" t="n">
        <v>14.68</v>
      </c>
      <c r="H583" s="8" t="n">
        <v>58.400002</v>
      </c>
      <c r="I583" s="8" t="n">
        <v>1836.25</v>
      </c>
      <c r="J583" s="8" t="n">
        <v>76.983276</v>
      </c>
      <c r="L583" s="9">
        <f>LN(B583/B582)</f>
        <v/>
      </c>
      <c r="M583" s="9">
        <f>$M$1*(C583-C582)</f>
        <v/>
      </c>
      <c r="N583" s="9">
        <f>$N$1*(D583-D582)</f>
        <v/>
      </c>
      <c r="O583" s="9">
        <f>$O$1*LN(E583/E582)</f>
        <v/>
      </c>
      <c r="P583" s="9">
        <f>$P$1*LN(F583/F582)</f>
        <v/>
      </c>
      <c r="Q583" s="9">
        <f>$Q$1*(G583-G582)</f>
        <v/>
      </c>
      <c r="R583" s="9">
        <f>$R$1*(H583-H582)</f>
        <v/>
      </c>
      <c r="S583" s="9">
        <f>$S$1*LN(I583/I582)</f>
        <v/>
      </c>
      <c r="T583" s="9">
        <f>$T$1*LN(J583/J582)</f>
        <v/>
      </c>
      <c r="U583" s="9">
        <f>$W$12+$W$4*M583+$W$5*N583+$W$6*O583+$W$7*P583+$W$8*Q583+$W$9*R583+$W$10*S583+$W$11*T583</f>
        <v/>
      </c>
      <c r="AA583" s="10">
        <f>INDEX(LINEST(L324:L583,M324:T583,TRUE,TRUE),1,9)*52</f>
        <v/>
      </c>
      <c r="AB583" s="9">
        <f>INDEX(LINEST(L324:L583,M324:T583,TRUE,TRUE),1,8)</f>
        <v/>
      </c>
      <c r="AC583" s="9">
        <f>INDEX(LINEST(L324:L583,M324:T583,TRUE,TRUE),1,7)</f>
        <v/>
      </c>
      <c r="AD583" s="9">
        <f>INDEX(LINEST(L324:L583,M324:T583,TRUE,TRUE),1,6)</f>
        <v/>
      </c>
      <c r="AE583" s="9">
        <f>INDEX(LINEST(L324:L583,M324:T583,TRUE,TRUE),1,5)</f>
        <v/>
      </c>
      <c r="AF583" s="9">
        <f>INDEX(LINEST(L324:L583,M324:T583,TRUE,TRUE),1,4)</f>
        <v/>
      </c>
      <c r="AG583" s="9">
        <f>INDEX(LINEST(L324:L583,M324:T583,TRUE,TRUE),1,3)</f>
        <v/>
      </c>
      <c r="AH583" s="9">
        <f>INDEX(LINEST(L324:L583,M324:T583,TRUE,TRUE),1,2)</f>
        <v/>
      </c>
      <c r="AI583" s="9">
        <f>INDEX(LINEST(L324:L583,M324:T583,TRUE,TRUE),1,1)</f>
        <v/>
      </c>
      <c r="AJ583" s="10">
        <f>INDEX(LINEST(L324:L583,M324:T583,TRUE,TRUE),3,1)</f>
        <v/>
      </c>
      <c r="AK583" s="9">
        <f>AA582/52+AB582*M583+AC582*N583+AD582*O583+AE582*P583+AF582*Q583+AG582*R583+AH582*S583+AI582*T583</f>
        <v/>
      </c>
      <c r="AL583" s="9">
        <f>AVERAGE(L323:L582)</f>
        <v/>
      </c>
    </row>
    <row r="584">
      <c r="A584" s="7" t="n">
        <v>41698</v>
      </c>
      <c r="B584" s="8" t="n">
        <v>1326.5</v>
      </c>
      <c r="C584" s="8" t="n">
        <v>2.17</v>
      </c>
      <c r="D584" s="8" t="n">
        <v>0.49</v>
      </c>
      <c r="E584" s="8" t="n">
        <v>79.779999</v>
      </c>
      <c r="F584" s="8" t="n">
        <v>102.88</v>
      </c>
      <c r="G584" s="8" t="n">
        <v>14</v>
      </c>
      <c r="H584" s="8" t="n">
        <v>57.700001</v>
      </c>
      <c r="I584" s="8" t="n">
        <v>1859.449951</v>
      </c>
      <c r="J584" s="8" t="n">
        <v>77.318909</v>
      </c>
      <c r="L584" s="9">
        <f>LN(B584/B583)</f>
        <v/>
      </c>
      <c r="M584" s="9">
        <f>$M$1*(C584-C583)</f>
        <v/>
      </c>
      <c r="N584" s="9">
        <f>$N$1*(D584-D583)</f>
        <v/>
      </c>
      <c r="O584" s="9">
        <f>$O$1*LN(E584/E583)</f>
        <v/>
      </c>
      <c r="P584" s="9">
        <f>$P$1*LN(F584/F583)</f>
        <v/>
      </c>
      <c r="Q584" s="9">
        <f>$Q$1*(G584-G583)</f>
        <v/>
      </c>
      <c r="R584" s="9">
        <f>$R$1*(H584-H583)</f>
        <v/>
      </c>
      <c r="S584" s="9">
        <f>$S$1*LN(I584/I583)</f>
        <v/>
      </c>
      <c r="T584" s="9">
        <f>$T$1*LN(J584/J583)</f>
        <v/>
      </c>
      <c r="U584" s="9">
        <f>$W$12+$W$4*M584+$W$5*N584+$W$6*O584+$W$7*P584+$W$8*Q584+$W$9*R584+$W$10*S584+$W$11*T584</f>
        <v/>
      </c>
      <c r="AA584" s="10">
        <f>INDEX(LINEST(L325:L584,M325:T584,TRUE,TRUE),1,9)*52</f>
        <v/>
      </c>
      <c r="AB584" s="9">
        <f>INDEX(LINEST(L325:L584,M325:T584,TRUE,TRUE),1,8)</f>
        <v/>
      </c>
      <c r="AC584" s="9">
        <f>INDEX(LINEST(L325:L584,M325:T584,TRUE,TRUE),1,7)</f>
        <v/>
      </c>
      <c r="AD584" s="9">
        <f>INDEX(LINEST(L325:L584,M325:T584,TRUE,TRUE),1,6)</f>
        <v/>
      </c>
      <c r="AE584" s="9">
        <f>INDEX(LINEST(L325:L584,M325:T584,TRUE,TRUE),1,5)</f>
        <v/>
      </c>
      <c r="AF584" s="9">
        <f>INDEX(LINEST(L325:L584,M325:T584,TRUE,TRUE),1,4)</f>
        <v/>
      </c>
      <c r="AG584" s="9">
        <f>INDEX(LINEST(L325:L584,M325:T584,TRUE,TRUE),1,3)</f>
        <v/>
      </c>
      <c r="AH584" s="9">
        <f>INDEX(LINEST(L325:L584,M325:T584,TRUE,TRUE),1,2)</f>
        <v/>
      </c>
      <c r="AI584" s="9">
        <f>INDEX(LINEST(L325:L584,M325:T584,TRUE,TRUE),1,1)</f>
        <v/>
      </c>
      <c r="AJ584" s="10">
        <f>INDEX(LINEST(L325:L584,M325:T584,TRUE,TRUE),3,1)</f>
        <v/>
      </c>
      <c r="AK584" s="9">
        <f>AA583/52+AB583*M584+AC583*N584+AD583*O584+AE583*P584+AF583*Q584+AG583*R584+AH583*S584+AI583*T584</f>
        <v/>
      </c>
      <c r="AL584" s="9">
        <f>AVERAGE(L324:L583)</f>
        <v/>
      </c>
    </row>
    <row r="585">
      <c r="A585" s="7" t="n">
        <v>41705</v>
      </c>
      <c r="B585" s="8" t="n">
        <v>1335.25</v>
      </c>
      <c r="C585" s="8" t="n">
        <v>2.23</v>
      </c>
      <c r="D585" s="8" t="n">
        <v>0.57</v>
      </c>
      <c r="E585" s="8" t="n">
        <v>79.720001</v>
      </c>
      <c r="F585" s="8" t="n">
        <v>102.82</v>
      </c>
      <c r="G585" s="8" t="n">
        <v>14.11</v>
      </c>
      <c r="H585" s="8" t="n">
        <v>58.200001</v>
      </c>
      <c r="I585" s="8" t="n">
        <v>1878.040039</v>
      </c>
      <c r="J585" s="8" t="n">
        <v>76.889618</v>
      </c>
      <c r="L585" s="9">
        <f>LN(B585/B584)</f>
        <v/>
      </c>
      <c r="M585" s="9">
        <f>$M$1*(C585-C584)</f>
        <v/>
      </c>
      <c r="N585" s="9">
        <f>$N$1*(D585-D584)</f>
        <v/>
      </c>
      <c r="O585" s="9">
        <f>$O$1*LN(E585/E584)</f>
        <v/>
      </c>
      <c r="P585" s="9">
        <f>$P$1*LN(F585/F584)</f>
        <v/>
      </c>
      <c r="Q585" s="9">
        <f>$Q$1*(G585-G584)</f>
        <v/>
      </c>
      <c r="R585" s="9">
        <f>$R$1*(H585-H584)</f>
        <v/>
      </c>
      <c r="S585" s="9">
        <f>$S$1*LN(I585/I584)</f>
        <v/>
      </c>
      <c r="T585" s="9">
        <f>$T$1*LN(J585/J584)</f>
        <v/>
      </c>
      <c r="U585" s="9">
        <f>$W$12+$W$4*M585+$W$5*N585+$W$6*O585+$W$7*P585+$W$8*Q585+$W$9*R585+$W$10*S585+$W$11*T585</f>
        <v/>
      </c>
      <c r="AA585" s="10">
        <f>INDEX(LINEST(L326:L585,M326:T585,TRUE,TRUE),1,9)*52</f>
        <v/>
      </c>
      <c r="AB585" s="9">
        <f>INDEX(LINEST(L326:L585,M326:T585,TRUE,TRUE),1,8)</f>
        <v/>
      </c>
      <c r="AC585" s="9">
        <f>INDEX(LINEST(L326:L585,M326:T585,TRUE,TRUE),1,7)</f>
        <v/>
      </c>
      <c r="AD585" s="9">
        <f>INDEX(LINEST(L326:L585,M326:T585,TRUE,TRUE),1,6)</f>
        <v/>
      </c>
      <c r="AE585" s="9">
        <f>INDEX(LINEST(L326:L585,M326:T585,TRUE,TRUE),1,5)</f>
        <v/>
      </c>
      <c r="AF585" s="9">
        <f>INDEX(LINEST(L326:L585,M326:T585,TRUE,TRUE),1,4)</f>
        <v/>
      </c>
      <c r="AG585" s="9">
        <f>INDEX(LINEST(L326:L585,M326:T585,TRUE,TRUE),1,3)</f>
        <v/>
      </c>
      <c r="AH585" s="9">
        <f>INDEX(LINEST(L326:L585,M326:T585,TRUE,TRUE),1,2)</f>
        <v/>
      </c>
      <c r="AI585" s="9">
        <f>INDEX(LINEST(L326:L585,M326:T585,TRUE,TRUE),1,1)</f>
        <v/>
      </c>
      <c r="AJ585" s="10">
        <f>INDEX(LINEST(L326:L585,M326:T585,TRUE,TRUE),3,1)</f>
        <v/>
      </c>
      <c r="AK585" s="9">
        <f>AA584/52+AB584*M585+AC584*N585+AD584*O585+AE584*P585+AF584*Q585+AG584*R585+AH584*S585+AI584*T585</f>
        <v/>
      </c>
      <c r="AL585" s="9">
        <f>AVERAGE(L325:L584)</f>
        <v/>
      </c>
    </row>
    <row r="586">
      <c r="A586" s="7" t="n">
        <v>41712</v>
      </c>
      <c r="B586" s="8" t="n">
        <v>1385</v>
      </c>
      <c r="C586" s="8" t="n">
        <v>2.17</v>
      </c>
      <c r="D586" s="8" t="n">
        <v>0.48</v>
      </c>
      <c r="E586" s="8" t="n">
        <v>79.44000200000001</v>
      </c>
      <c r="F586" s="8" t="n">
        <v>99.23</v>
      </c>
      <c r="G586" s="8" t="n">
        <v>17.82</v>
      </c>
      <c r="H586" s="8" t="n">
        <v>62.84</v>
      </c>
      <c r="I586" s="8" t="n">
        <v>1841.130005</v>
      </c>
      <c r="J586" s="8" t="n">
        <v>77.218727</v>
      </c>
      <c r="L586" s="9">
        <f>LN(B586/B585)</f>
        <v/>
      </c>
      <c r="M586" s="9">
        <f>$M$1*(C586-C585)</f>
        <v/>
      </c>
      <c r="N586" s="9">
        <f>$N$1*(D586-D585)</f>
        <v/>
      </c>
      <c r="O586" s="9">
        <f>$O$1*LN(E586/E585)</f>
        <v/>
      </c>
      <c r="P586" s="9">
        <f>$P$1*LN(F586/F585)</f>
        <v/>
      </c>
      <c r="Q586" s="9">
        <f>$Q$1*(G586-G585)</f>
        <v/>
      </c>
      <c r="R586" s="9">
        <f>$R$1*(H586-H585)</f>
        <v/>
      </c>
      <c r="S586" s="9">
        <f>$S$1*LN(I586/I585)</f>
        <v/>
      </c>
      <c r="T586" s="9">
        <f>$T$1*LN(J586/J585)</f>
        <v/>
      </c>
      <c r="U586" s="9">
        <f>$W$12+$W$4*M586+$W$5*N586+$W$6*O586+$W$7*P586+$W$8*Q586+$W$9*R586+$W$10*S586+$W$11*T586</f>
        <v/>
      </c>
      <c r="AA586" s="10">
        <f>INDEX(LINEST(L327:L586,M327:T586,TRUE,TRUE),1,9)*52</f>
        <v/>
      </c>
      <c r="AB586" s="9">
        <f>INDEX(LINEST(L327:L586,M327:T586,TRUE,TRUE),1,8)</f>
        <v/>
      </c>
      <c r="AC586" s="9">
        <f>INDEX(LINEST(L327:L586,M327:T586,TRUE,TRUE),1,7)</f>
        <v/>
      </c>
      <c r="AD586" s="9">
        <f>INDEX(LINEST(L327:L586,M327:T586,TRUE,TRUE),1,6)</f>
        <v/>
      </c>
      <c r="AE586" s="9">
        <f>INDEX(LINEST(L327:L586,M327:T586,TRUE,TRUE),1,5)</f>
        <v/>
      </c>
      <c r="AF586" s="9">
        <f>INDEX(LINEST(L327:L586,M327:T586,TRUE,TRUE),1,4)</f>
        <v/>
      </c>
      <c r="AG586" s="9">
        <f>INDEX(LINEST(L327:L586,M327:T586,TRUE,TRUE),1,3)</f>
        <v/>
      </c>
      <c r="AH586" s="9">
        <f>INDEX(LINEST(L327:L586,M327:T586,TRUE,TRUE),1,2)</f>
        <v/>
      </c>
      <c r="AI586" s="9">
        <f>INDEX(LINEST(L327:L586,M327:T586,TRUE,TRUE),1,1)</f>
        <v/>
      </c>
      <c r="AJ586" s="10">
        <f>INDEX(LINEST(L327:L586,M327:T586,TRUE,TRUE),3,1)</f>
        <v/>
      </c>
      <c r="AK586" s="9">
        <f>AA585/52+AB585*M586+AC585*N586+AD585*O586+AE585*P586+AF585*Q586+AG585*R586+AH585*S586+AI585*T586</f>
        <v/>
      </c>
      <c r="AL586" s="9">
        <f>AVERAGE(L326:L585)</f>
        <v/>
      </c>
    </row>
    <row r="587">
      <c r="A587" s="7" t="n">
        <v>41719</v>
      </c>
      <c r="B587" s="8" t="n">
        <v>1336</v>
      </c>
      <c r="C587" s="8" t="n">
        <v>2.14</v>
      </c>
      <c r="D587" s="8" t="n">
        <v>0.61</v>
      </c>
      <c r="E587" s="8" t="n">
        <v>80.110001</v>
      </c>
      <c r="F587" s="8" t="n">
        <v>99.97</v>
      </c>
      <c r="G587" s="8" t="n">
        <v>15</v>
      </c>
      <c r="H587" s="8" t="n">
        <v>60.799999</v>
      </c>
      <c r="I587" s="8" t="n">
        <v>1866.52002</v>
      </c>
      <c r="J587" s="8" t="n">
        <v>76.975517</v>
      </c>
      <c r="L587" s="9">
        <f>LN(B587/B586)</f>
        <v/>
      </c>
      <c r="M587" s="9">
        <f>$M$1*(C587-C586)</f>
        <v/>
      </c>
      <c r="N587" s="9">
        <f>$N$1*(D587-D586)</f>
        <v/>
      </c>
      <c r="O587" s="9">
        <f>$O$1*LN(E587/E586)</f>
        <v/>
      </c>
      <c r="P587" s="9">
        <f>$P$1*LN(F587/F586)</f>
        <v/>
      </c>
      <c r="Q587" s="9">
        <f>$Q$1*(G587-G586)</f>
        <v/>
      </c>
      <c r="R587" s="9">
        <f>$R$1*(H587-H586)</f>
        <v/>
      </c>
      <c r="S587" s="9">
        <f>$S$1*LN(I587/I586)</f>
        <v/>
      </c>
      <c r="T587" s="9">
        <f>$T$1*LN(J587/J586)</f>
        <v/>
      </c>
      <c r="U587" s="9">
        <f>$W$12+$W$4*M587+$W$5*N587+$W$6*O587+$W$7*P587+$W$8*Q587+$W$9*R587+$W$10*S587+$W$11*T587</f>
        <v/>
      </c>
      <c r="AA587" s="10">
        <f>INDEX(LINEST(L328:L587,M328:T587,TRUE,TRUE),1,9)*52</f>
        <v/>
      </c>
      <c r="AB587" s="9">
        <f>INDEX(LINEST(L328:L587,M328:T587,TRUE,TRUE),1,8)</f>
        <v/>
      </c>
      <c r="AC587" s="9">
        <f>INDEX(LINEST(L328:L587,M328:T587,TRUE,TRUE),1,7)</f>
        <v/>
      </c>
      <c r="AD587" s="9">
        <f>INDEX(LINEST(L328:L587,M328:T587,TRUE,TRUE),1,6)</f>
        <v/>
      </c>
      <c r="AE587" s="9">
        <f>INDEX(LINEST(L328:L587,M328:T587,TRUE,TRUE),1,5)</f>
        <v/>
      </c>
      <c r="AF587" s="9">
        <f>INDEX(LINEST(L328:L587,M328:T587,TRUE,TRUE),1,4)</f>
        <v/>
      </c>
      <c r="AG587" s="9">
        <f>INDEX(LINEST(L328:L587,M328:T587,TRUE,TRUE),1,3)</f>
        <v/>
      </c>
      <c r="AH587" s="9">
        <f>INDEX(LINEST(L328:L587,M328:T587,TRUE,TRUE),1,2)</f>
        <v/>
      </c>
      <c r="AI587" s="9">
        <f>INDEX(LINEST(L328:L587,M328:T587,TRUE,TRUE),1,1)</f>
        <v/>
      </c>
      <c r="AJ587" s="10">
        <f>INDEX(LINEST(L328:L587,M328:T587,TRUE,TRUE),3,1)</f>
        <v/>
      </c>
      <c r="AK587" s="9">
        <f>AA586/52+AB586*M587+AC586*N587+AD586*O587+AE586*P587+AF586*Q587+AG586*R587+AH586*S587+AI586*T587</f>
        <v/>
      </c>
      <c r="AL587" s="9">
        <f>AVERAGE(L327:L586)</f>
        <v/>
      </c>
    </row>
    <row r="588">
      <c r="A588" s="7" t="n">
        <v>41726</v>
      </c>
      <c r="B588" s="8" t="n">
        <v>1294.75</v>
      </c>
      <c r="C588" s="8" t="n">
        <v>2.13</v>
      </c>
      <c r="D588" s="8" t="n">
        <v>0.6</v>
      </c>
      <c r="E588" s="8" t="n">
        <v>80.18000000000001</v>
      </c>
      <c r="F588" s="8" t="n">
        <v>101.73</v>
      </c>
      <c r="G588" s="8" t="n">
        <v>14.41</v>
      </c>
      <c r="H588" s="8" t="n">
        <v>61.900002</v>
      </c>
      <c r="I588" s="8" t="n">
        <v>1857.619995</v>
      </c>
      <c r="J588" s="8" t="n">
        <v>77.197273</v>
      </c>
      <c r="L588" s="9">
        <f>LN(B588/B587)</f>
        <v/>
      </c>
      <c r="M588" s="9">
        <f>$M$1*(C588-C587)</f>
        <v/>
      </c>
      <c r="N588" s="9">
        <f>$N$1*(D588-D587)</f>
        <v/>
      </c>
      <c r="O588" s="9">
        <f>$O$1*LN(E588/E587)</f>
        <v/>
      </c>
      <c r="P588" s="9">
        <f>$P$1*LN(F588/F587)</f>
        <v/>
      </c>
      <c r="Q588" s="9">
        <f>$Q$1*(G588-G587)</f>
        <v/>
      </c>
      <c r="R588" s="9">
        <f>$R$1*(H588-H587)</f>
        <v/>
      </c>
      <c r="S588" s="9">
        <f>$S$1*LN(I588/I587)</f>
        <v/>
      </c>
      <c r="T588" s="9">
        <f>$T$1*LN(J588/J587)</f>
        <v/>
      </c>
      <c r="U588" s="9">
        <f>$W$12+$W$4*M588+$W$5*N588+$W$6*O588+$W$7*P588+$W$8*Q588+$W$9*R588+$W$10*S588+$W$11*T588</f>
        <v/>
      </c>
      <c r="AA588" s="10">
        <f>INDEX(LINEST(L329:L588,M329:T588,TRUE,TRUE),1,9)*52</f>
        <v/>
      </c>
      <c r="AB588" s="9">
        <f>INDEX(LINEST(L329:L588,M329:T588,TRUE,TRUE),1,8)</f>
        <v/>
      </c>
      <c r="AC588" s="9">
        <f>INDEX(LINEST(L329:L588,M329:T588,TRUE,TRUE),1,7)</f>
        <v/>
      </c>
      <c r="AD588" s="9">
        <f>INDEX(LINEST(L329:L588,M329:T588,TRUE,TRUE),1,6)</f>
        <v/>
      </c>
      <c r="AE588" s="9">
        <f>INDEX(LINEST(L329:L588,M329:T588,TRUE,TRUE),1,5)</f>
        <v/>
      </c>
      <c r="AF588" s="9">
        <f>INDEX(LINEST(L329:L588,M329:T588,TRUE,TRUE),1,4)</f>
        <v/>
      </c>
      <c r="AG588" s="9">
        <f>INDEX(LINEST(L329:L588,M329:T588,TRUE,TRUE),1,3)</f>
        <v/>
      </c>
      <c r="AH588" s="9">
        <f>INDEX(LINEST(L329:L588,M329:T588,TRUE,TRUE),1,2)</f>
        <v/>
      </c>
      <c r="AI588" s="9">
        <f>INDEX(LINEST(L329:L588,M329:T588,TRUE,TRUE),1,1)</f>
        <v/>
      </c>
      <c r="AJ588" s="10">
        <f>INDEX(LINEST(L329:L588,M329:T588,TRUE,TRUE),3,1)</f>
        <v/>
      </c>
      <c r="AK588" s="9">
        <f>AA587/52+AB587*M588+AC587*N588+AD587*O588+AE587*P588+AF587*Q588+AG587*R588+AH587*S588+AI587*T588</f>
        <v/>
      </c>
      <c r="AL588" s="9">
        <f>AVERAGE(L328:L587)</f>
        <v/>
      </c>
    </row>
    <row r="589">
      <c r="A589" s="7" t="n">
        <v>41733</v>
      </c>
      <c r="B589" s="8" t="n">
        <v>1297.25</v>
      </c>
      <c r="C589" s="8" t="n">
        <v>2.13</v>
      </c>
      <c r="D589" s="8" t="n">
        <v>0.61</v>
      </c>
      <c r="E589" s="8" t="n">
        <v>80.41999800000001</v>
      </c>
      <c r="F589" s="8" t="n">
        <v>101.16</v>
      </c>
      <c r="G589" s="8" t="n">
        <v>13.96</v>
      </c>
      <c r="H589" s="8" t="n">
        <v>58.799999</v>
      </c>
      <c r="I589" s="8" t="n">
        <v>1865.089966</v>
      </c>
      <c r="J589" s="8" t="n">
        <v>77.258163</v>
      </c>
      <c r="L589" s="9">
        <f>LN(B589/B588)</f>
        <v/>
      </c>
      <c r="M589" s="9">
        <f>$M$1*(C589-C588)</f>
        <v/>
      </c>
      <c r="N589" s="9">
        <f>$N$1*(D589-D588)</f>
        <v/>
      </c>
      <c r="O589" s="9">
        <f>$O$1*LN(E589/E588)</f>
        <v/>
      </c>
      <c r="P589" s="9">
        <f>$P$1*LN(F589/F588)</f>
        <v/>
      </c>
      <c r="Q589" s="9">
        <f>$Q$1*(G589-G588)</f>
        <v/>
      </c>
      <c r="R589" s="9">
        <f>$R$1*(H589-H588)</f>
        <v/>
      </c>
      <c r="S589" s="9">
        <f>$S$1*LN(I589/I588)</f>
        <v/>
      </c>
      <c r="T589" s="9">
        <f>$T$1*LN(J589/J588)</f>
        <v/>
      </c>
      <c r="U589" s="9">
        <f>$W$12+$W$4*M589+$W$5*N589+$W$6*O589+$W$7*P589+$W$8*Q589+$W$9*R589+$W$10*S589+$W$11*T589</f>
        <v/>
      </c>
      <c r="AA589" s="10">
        <f>INDEX(LINEST(L330:L589,M330:T589,TRUE,TRUE),1,9)*52</f>
        <v/>
      </c>
      <c r="AB589" s="9">
        <f>INDEX(LINEST(L330:L589,M330:T589,TRUE,TRUE),1,8)</f>
        <v/>
      </c>
      <c r="AC589" s="9">
        <f>INDEX(LINEST(L330:L589,M330:T589,TRUE,TRUE),1,7)</f>
        <v/>
      </c>
      <c r="AD589" s="9">
        <f>INDEX(LINEST(L330:L589,M330:T589,TRUE,TRUE),1,6)</f>
        <v/>
      </c>
      <c r="AE589" s="9">
        <f>INDEX(LINEST(L330:L589,M330:T589,TRUE,TRUE),1,5)</f>
        <v/>
      </c>
      <c r="AF589" s="9">
        <f>INDEX(LINEST(L330:L589,M330:T589,TRUE,TRUE),1,4)</f>
        <v/>
      </c>
      <c r="AG589" s="9">
        <f>INDEX(LINEST(L330:L589,M330:T589,TRUE,TRUE),1,3)</f>
        <v/>
      </c>
      <c r="AH589" s="9">
        <f>INDEX(LINEST(L330:L589,M330:T589,TRUE,TRUE),1,2)</f>
        <v/>
      </c>
      <c r="AI589" s="9">
        <f>INDEX(LINEST(L330:L589,M330:T589,TRUE,TRUE),1,1)</f>
        <v/>
      </c>
      <c r="AJ589" s="10">
        <f>INDEX(LINEST(L330:L589,M330:T589,TRUE,TRUE),3,1)</f>
        <v/>
      </c>
      <c r="AK589" s="9">
        <f>AA588/52+AB588*M589+AC588*N589+AD588*O589+AE588*P589+AF588*Q589+AG588*R589+AH588*S589+AI588*T589</f>
        <v/>
      </c>
      <c r="AL589" s="9">
        <f>AVERAGE(L329:L588)</f>
        <v/>
      </c>
    </row>
    <row r="590">
      <c r="A590" s="7" t="n">
        <v>41740</v>
      </c>
      <c r="B590" s="8" t="n">
        <v>1318</v>
      </c>
      <c r="C590" s="8" t="n">
        <v>2.13</v>
      </c>
      <c r="D590" s="8" t="n">
        <v>0.5</v>
      </c>
      <c r="E590" s="8" t="n">
        <v>79.449997</v>
      </c>
      <c r="F590" s="8" t="n">
        <v>103.68</v>
      </c>
      <c r="G590" s="8" t="n">
        <v>17.03</v>
      </c>
      <c r="H590" s="8" t="n">
        <v>58.599998</v>
      </c>
      <c r="I590" s="8" t="n">
        <v>1815.689941</v>
      </c>
      <c r="J590" s="8" t="n">
        <v>77.724136</v>
      </c>
      <c r="L590" s="9">
        <f>LN(B590/B589)</f>
        <v/>
      </c>
      <c r="M590" s="9">
        <f>$M$1*(C590-C589)</f>
        <v/>
      </c>
      <c r="N590" s="9">
        <f>$N$1*(D590-D589)</f>
        <v/>
      </c>
      <c r="O590" s="9">
        <f>$O$1*LN(E590/E589)</f>
        <v/>
      </c>
      <c r="P590" s="9">
        <f>$P$1*LN(F590/F589)</f>
        <v/>
      </c>
      <c r="Q590" s="9">
        <f>$Q$1*(G590-G589)</f>
        <v/>
      </c>
      <c r="R590" s="9">
        <f>$R$1*(H590-H589)</f>
        <v/>
      </c>
      <c r="S590" s="9">
        <f>$S$1*LN(I590/I589)</f>
        <v/>
      </c>
      <c r="T590" s="9">
        <f>$T$1*LN(J590/J589)</f>
        <v/>
      </c>
      <c r="U590" s="9">
        <f>$W$12+$W$4*M590+$W$5*N590+$W$6*O590+$W$7*P590+$W$8*Q590+$W$9*R590+$W$10*S590+$W$11*T590</f>
        <v/>
      </c>
      <c r="AA590" s="10">
        <f>INDEX(LINEST(L331:L590,M331:T590,TRUE,TRUE),1,9)*52</f>
        <v/>
      </c>
      <c r="AB590" s="9">
        <f>INDEX(LINEST(L331:L590,M331:T590,TRUE,TRUE),1,8)</f>
        <v/>
      </c>
      <c r="AC590" s="9">
        <f>INDEX(LINEST(L331:L590,M331:T590,TRUE,TRUE),1,7)</f>
        <v/>
      </c>
      <c r="AD590" s="9">
        <f>INDEX(LINEST(L331:L590,M331:T590,TRUE,TRUE),1,6)</f>
        <v/>
      </c>
      <c r="AE590" s="9">
        <f>INDEX(LINEST(L331:L590,M331:T590,TRUE,TRUE),1,5)</f>
        <v/>
      </c>
      <c r="AF590" s="9">
        <f>INDEX(LINEST(L331:L590,M331:T590,TRUE,TRUE),1,4)</f>
        <v/>
      </c>
      <c r="AG590" s="9">
        <f>INDEX(LINEST(L331:L590,M331:T590,TRUE,TRUE),1,3)</f>
        <v/>
      </c>
      <c r="AH590" s="9">
        <f>INDEX(LINEST(L331:L590,M331:T590,TRUE,TRUE),1,2)</f>
        <v/>
      </c>
      <c r="AI590" s="9">
        <f>INDEX(LINEST(L331:L590,M331:T590,TRUE,TRUE),1,1)</f>
        <v/>
      </c>
      <c r="AJ590" s="10">
        <f>INDEX(LINEST(L331:L590,M331:T590,TRUE,TRUE),3,1)</f>
        <v/>
      </c>
      <c r="AK590" s="9">
        <f>AA589/52+AB589*M590+AC589*N590+AD589*O590+AE589*P590+AF589*Q590+AG589*R590+AH589*S590+AI589*T590</f>
        <v/>
      </c>
      <c r="AL590" s="9">
        <f>AVERAGE(L330:L589)</f>
        <v/>
      </c>
    </row>
    <row r="591">
      <c r="A591" s="7" t="n">
        <v>41747</v>
      </c>
      <c r="B591" s="8" t="n">
        <v>1299</v>
      </c>
      <c r="C591" s="8" t="n">
        <v>2.21</v>
      </c>
      <c r="D591" s="8" t="n">
        <v>0.52</v>
      </c>
      <c r="E591" s="8" t="n">
        <v>79.83000199999999</v>
      </c>
      <c r="F591" s="8" t="n">
        <v>104.33</v>
      </c>
      <c r="G591" s="8" t="n">
        <v>13.36</v>
      </c>
      <c r="H591" s="8" t="n">
        <v>59.5</v>
      </c>
      <c r="I591" s="8" t="n">
        <v>1864.849976</v>
      </c>
      <c r="J591" s="8" t="n">
        <v>77.552071</v>
      </c>
      <c r="L591" s="9">
        <f>LN(B591/B590)</f>
        <v/>
      </c>
      <c r="M591" s="9">
        <f>$M$1*(C591-C590)</f>
        <v/>
      </c>
      <c r="N591" s="9">
        <f>$N$1*(D591-D590)</f>
        <v/>
      </c>
      <c r="O591" s="9">
        <f>$O$1*LN(E591/E590)</f>
        <v/>
      </c>
      <c r="P591" s="9">
        <f>$P$1*LN(F591/F590)</f>
        <v/>
      </c>
      <c r="Q591" s="9">
        <f>$Q$1*(G591-G590)</f>
        <v/>
      </c>
      <c r="R591" s="9">
        <f>$R$1*(H591-H590)</f>
        <v/>
      </c>
      <c r="S591" s="9">
        <f>$S$1*LN(I591/I590)</f>
        <v/>
      </c>
      <c r="T591" s="9">
        <f>$T$1*LN(J591/J590)</f>
        <v/>
      </c>
      <c r="U591" s="9">
        <f>$W$12+$W$4*M591+$W$5*N591+$W$6*O591+$W$7*P591+$W$8*Q591+$W$9*R591+$W$10*S591+$W$11*T591</f>
        <v/>
      </c>
      <c r="AA591" s="10">
        <f>INDEX(LINEST(L332:L591,M332:T591,TRUE,TRUE),1,9)*52</f>
        <v/>
      </c>
      <c r="AB591" s="9">
        <f>INDEX(LINEST(L332:L591,M332:T591,TRUE,TRUE),1,8)</f>
        <v/>
      </c>
      <c r="AC591" s="9">
        <f>INDEX(LINEST(L332:L591,M332:T591,TRUE,TRUE),1,7)</f>
        <v/>
      </c>
      <c r="AD591" s="9">
        <f>INDEX(LINEST(L332:L591,M332:T591,TRUE,TRUE),1,6)</f>
        <v/>
      </c>
      <c r="AE591" s="9">
        <f>INDEX(LINEST(L332:L591,M332:T591,TRUE,TRUE),1,5)</f>
        <v/>
      </c>
      <c r="AF591" s="9">
        <f>INDEX(LINEST(L332:L591,M332:T591,TRUE,TRUE),1,4)</f>
        <v/>
      </c>
      <c r="AG591" s="9">
        <f>INDEX(LINEST(L332:L591,M332:T591,TRUE,TRUE),1,3)</f>
        <v/>
      </c>
      <c r="AH591" s="9">
        <f>INDEX(LINEST(L332:L591,M332:T591,TRUE,TRUE),1,2)</f>
        <v/>
      </c>
      <c r="AI591" s="9">
        <f>INDEX(LINEST(L332:L591,M332:T591,TRUE,TRUE),1,1)</f>
        <v/>
      </c>
      <c r="AJ591" s="10">
        <f>INDEX(LINEST(L332:L591,M332:T591,TRUE,TRUE),3,1)</f>
        <v/>
      </c>
      <c r="AK591" s="9">
        <f>AA590/52+AB590*M591+AC590*N591+AD590*O591+AE590*P591+AF590*Q591+AG590*R591+AH590*S591+AI590*T591</f>
        <v/>
      </c>
      <c r="AL591" s="9">
        <f>AVERAGE(L331:L590)</f>
        <v/>
      </c>
    </row>
    <row r="592">
      <c r="A592" s="7" t="n">
        <v>41754</v>
      </c>
      <c r="B592" s="8" t="n">
        <v>1301.25</v>
      </c>
      <c r="C592" s="8" t="n">
        <v>2.2</v>
      </c>
      <c r="D592" s="8" t="n">
        <v>0.48</v>
      </c>
      <c r="E592" s="8" t="n">
        <v>79.769997</v>
      </c>
      <c r="F592" s="8" t="n">
        <v>100.85</v>
      </c>
      <c r="G592" s="8" t="n">
        <v>14.06</v>
      </c>
      <c r="H592" s="8" t="n">
        <v>57.799999</v>
      </c>
      <c r="I592" s="8" t="n">
        <v>1863.400024</v>
      </c>
      <c r="J592" s="8" t="n">
        <v>77.69544999999999</v>
      </c>
      <c r="L592" s="9">
        <f>LN(B592/B591)</f>
        <v/>
      </c>
      <c r="M592" s="9">
        <f>$M$1*(C592-C591)</f>
        <v/>
      </c>
      <c r="N592" s="9">
        <f>$N$1*(D592-D591)</f>
        <v/>
      </c>
      <c r="O592" s="9">
        <f>$O$1*LN(E592/E591)</f>
        <v/>
      </c>
      <c r="P592" s="9">
        <f>$P$1*LN(F592/F591)</f>
        <v/>
      </c>
      <c r="Q592" s="9">
        <f>$Q$1*(G592-G591)</f>
        <v/>
      </c>
      <c r="R592" s="9">
        <f>$R$1*(H592-H591)</f>
        <v/>
      </c>
      <c r="S592" s="9">
        <f>$S$1*LN(I592/I591)</f>
        <v/>
      </c>
      <c r="T592" s="9">
        <f>$T$1*LN(J592/J591)</f>
        <v/>
      </c>
      <c r="U592" s="9">
        <f>$W$12+$W$4*M592+$W$5*N592+$W$6*O592+$W$7*P592+$W$8*Q592+$W$9*R592+$W$10*S592+$W$11*T592</f>
        <v/>
      </c>
      <c r="AA592" s="10">
        <f>INDEX(LINEST(L333:L592,M333:T592,TRUE,TRUE),1,9)*52</f>
        <v/>
      </c>
      <c r="AB592" s="9">
        <f>INDEX(LINEST(L333:L592,M333:T592,TRUE,TRUE),1,8)</f>
        <v/>
      </c>
      <c r="AC592" s="9">
        <f>INDEX(LINEST(L333:L592,M333:T592,TRUE,TRUE),1,7)</f>
        <v/>
      </c>
      <c r="AD592" s="9">
        <f>INDEX(LINEST(L333:L592,M333:T592,TRUE,TRUE),1,6)</f>
        <v/>
      </c>
      <c r="AE592" s="9">
        <f>INDEX(LINEST(L333:L592,M333:T592,TRUE,TRUE),1,5)</f>
        <v/>
      </c>
      <c r="AF592" s="9">
        <f>INDEX(LINEST(L333:L592,M333:T592,TRUE,TRUE),1,4)</f>
        <v/>
      </c>
      <c r="AG592" s="9">
        <f>INDEX(LINEST(L333:L592,M333:T592,TRUE,TRUE),1,3)</f>
        <v/>
      </c>
      <c r="AH592" s="9">
        <f>INDEX(LINEST(L333:L592,M333:T592,TRUE,TRUE),1,2)</f>
        <v/>
      </c>
      <c r="AI592" s="9">
        <f>INDEX(LINEST(L333:L592,M333:T592,TRUE,TRUE),1,1)</f>
        <v/>
      </c>
      <c r="AJ592" s="10">
        <f>INDEX(LINEST(L333:L592,M333:T592,TRUE,TRUE),3,1)</f>
        <v/>
      </c>
      <c r="AK592" s="9">
        <f>AA591/52+AB591*M592+AC591*N592+AD591*O592+AE591*P592+AF591*Q592+AG591*R592+AH591*S592+AI591*T592</f>
        <v/>
      </c>
      <c r="AL592" s="9">
        <f>AVERAGE(L332:L591)</f>
        <v/>
      </c>
    </row>
    <row r="593">
      <c r="A593" s="7" t="n">
        <v>41761</v>
      </c>
      <c r="B593" s="8" t="n">
        <v>1281.25</v>
      </c>
      <c r="C593" s="8" t="n">
        <v>2.19</v>
      </c>
      <c r="D593" s="8" t="n">
        <v>0.41</v>
      </c>
      <c r="E593" s="8" t="n">
        <v>79.519997</v>
      </c>
      <c r="F593" s="8" t="n">
        <v>100.09</v>
      </c>
      <c r="G593" s="8" t="n">
        <v>12.91</v>
      </c>
      <c r="H593" s="8" t="n">
        <v>55.299999</v>
      </c>
      <c r="I593" s="8" t="n">
        <v>1881.140015</v>
      </c>
      <c r="J593" s="8" t="n">
        <v>78.045616</v>
      </c>
      <c r="L593" s="9">
        <f>LN(B593/B592)</f>
        <v/>
      </c>
      <c r="M593" s="9">
        <f>$M$1*(C593-C592)</f>
        <v/>
      </c>
      <c r="N593" s="9">
        <f>$N$1*(D593-D592)</f>
        <v/>
      </c>
      <c r="O593" s="9">
        <f>$O$1*LN(E593/E592)</f>
        <v/>
      </c>
      <c r="P593" s="9">
        <f>$P$1*LN(F593/F592)</f>
        <v/>
      </c>
      <c r="Q593" s="9">
        <f>$Q$1*(G593-G592)</f>
        <v/>
      </c>
      <c r="R593" s="9">
        <f>$R$1*(H593-H592)</f>
        <v/>
      </c>
      <c r="S593" s="9">
        <f>$S$1*LN(I593/I592)</f>
        <v/>
      </c>
      <c r="T593" s="9">
        <f>$T$1*LN(J593/J592)</f>
        <v/>
      </c>
      <c r="U593" s="9">
        <f>$W$12+$W$4*M593+$W$5*N593+$W$6*O593+$W$7*P593+$W$8*Q593+$W$9*R593+$W$10*S593+$W$11*T593</f>
        <v/>
      </c>
      <c r="AA593" s="10">
        <f>INDEX(LINEST(L334:L593,M334:T593,TRUE,TRUE),1,9)*52</f>
        <v/>
      </c>
      <c r="AB593" s="9">
        <f>INDEX(LINEST(L334:L593,M334:T593,TRUE,TRUE),1,8)</f>
        <v/>
      </c>
      <c r="AC593" s="9">
        <f>INDEX(LINEST(L334:L593,M334:T593,TRUE,TRUE),1,7)</f>
        <v/>
      </c>
      <c r="AD593" s="9">
        <f>INDEX(LINEST(L334:L593,M334:T593,TRUE,TRUE),1,6)</f>
        <v/>
      </c>
      <c r="AE593" s="9">
        <f>INDEX(LINEST(L334:L593,M334:T593,TRUE,TRUE),1,5)</f>
        <v/>
      </c>
      <c r="AF593" s="9">
        <f>INDEX(LINEST(L334:L593,M334:T593,TRUE,TRUE),1,4)</f>
        <v/>
      </c>
      <c r="AG593" s="9">
        <f>INDEX(LINEST(L334:L593,M334:T593,TRUE,TRUE),1,3)</f>
        <v/>
      </c>
      <c r="AH593" s="9">
        <f>INDEX(LINEST(L334:L593,M334:T593,TRUE,TRUE),1,2)</f>
        <v/>
      </c>
      <c r="AI593" s="9">
        <f>INDEX(LINEST(L334:L593,M334:T593,TRUE,TRUE),1,1)</f>
        <v/>
      </c>
      <c r="AJ593" s="10">
        <f>INDEX(LINEST(L334:L593,M334:T593,TRUE,TRUE),3,1)</f>
        <v/>
      </c>
      <c r="AK593" s="9">
        <f>AA592/52+AB592*M593+AC592*N593+AD592*O593+AE592*P593+AF592*Q593+AG592*R593+AH592*S593+AI592*T593</f>
        <v/>
      </c>
      <c r="AL593" s="9">
        <f>AVERAGE(L333:L592)</f>
        <v/>
      </c>
    </row>
    <row r="594">
      <c r="A594" s="7" t="n">
        <v>41768</v>
      </c>
      <c r="B594" s="8" t="n">
        <v>1291.25</v>
      </c>
      <c r="C594" s="8" t="n">
        <v>2.18</v>
      </c>
      <c r="D594" s="8" t="n">
        <v>0.44</v>
      </c>
      <c r="E594" s="8" t="n">
        <v>79.900002</v>
      </c>
      <c r="F594" s="8" t="n">
        <v>100.32</v>
      </c>
      <c r="G594" s="8" t="n">
        <v>12.92</v>
      </c>
      <c r="H594" s="8" t="n">
        <v>56.099998</v>
      </c>
      <c r="I594" s="8" t="n">
        <v>1878.47998</v>
      </c>
      <c r="J594" s="8" t="n">
        <v>78.052803</v>
      </c>
      <c r="L594" s="9">
        <f>LN(B594/B593)</f>
        <v/>
      </c>
      <c r="M594" s="9">
        <f>$M$1*(C594-C593)</f>
        <v/>
      </c>
      <c r="N594" s="9">
        <f>$N$1*(D594-D593)</f>
        <v/>
      </c>
      <c r="O594" s="9">
        <f>$O$1*LN(E594/E593)</f>
        <v/>
      </c>
      <c r="P594" s="9">
        <f>$P$1*LN(F594/F593)</f>
        <v/>
      </c>
      <c r="Q594" s="9">
        <f>$Q$1*(G594-G593)</f>
        <v/>
      </c>
      <c r="R594" s="9">
        <f>$R$1*(H594-H593)</f>
        <v/>
      </c>
      <c r="S594" s="9">
        <f>$S$1*LN(I594/I593)</f>
        <v/>
      </c>
      <c r="T594" s="9">
        <f>$T$1*LN(J594/J593)</f>
        <v/>
      </c>
      <c r="U594" s="9">
        <f>$W$12+$W$4*M594+$W$5*N594+$W$6*O594+$W$7*P594+$W$8*Q594+$W$9*R594+$W$10*S594+$W$11*T594</f>
        <v/>
      </c>
      <c r="AA594" s="10">
        <f>INDEX(LINEST(L335:L594,M335:T594,TRUE,TRUE),1,9)*52</f>
        <v/>
      </c>
      <c r="AB594" s="9">
        <f>INDEX(LINEST(L335:L594,M335:T594,TRUE,TRUE),1,8)</f>
        <v/>
      </c>
      <c r="AC594" s="9">
        <f>INDEX(LINEST(L335:L594,M335:T594,TRUE,TRUE),1,7)</f>
        <v/>
      </c>
      <c r="AD594" s="9">
        <f>INDEX(LINEST(L335:L594,M335:T594,TRUE,TRUE),1,6)</f>
        <v/>
      </c>
      <c r="AE594" s="9">
        <f>INDEX(LINEST(L335:L594,M335:T594,TRUE,TRUE),1,5)</f>
        <v/>
      </c>
      <c r="AF594" s="9">
        <f>INDEX(LINEST(L335:L594,M335:T594,TRUE,TRUE),1,4)</f>
        <v/>
      </c>
      <c r="AG594" s="9">
        <f>INDEX(LINEST(L335:L594,M335:T594,TRUE,TRUE),1,3)</f>
        <v/>
      </c>
      <c r="AH594" s="9">
        <f>INDEX(LINEST(L335:L594,M335:T594,TRUE,TRUE),1,2)</f>
        <v/>
      </c>
      <c r="AI594" s="9">
        <f>INDEX(LINEST(L335:L594,M335:T594,TRUE,TRUE),1,1)</f>
        <v/>
      </c>
      <c r="AJ594" s="10">
        <f>INDEX(LINEST(L335:L594,M335:T594,TRUE,TRUE),3,1)</f>
        <v/>
      </c>
      <c r="AK594" s="9">
        <f>AA593/52+AB593*M594+AC593*N594+AD593*O594+AE593*P594+AF593*Q594+AG593*R594+AH593*S594+AI593*T594</f>
        <v/>
      </c>
      <c r="AL594" s="9">
        <f>AVERAGE(L334:L593)</f>
        <v/>
      </c>
    </row>
    <row r="595">
      <c r="A595" s="7" t="n">
        <v>41775</v>
      </c>
      <c r="B595" s="8" t="n">
        <v>1291.5</v>
      </c>
      <c r="C595" s="8" t="n">
        <v>2.18</v>
      </c>
      <c r="D595" s="8" t="n">
        <v>0.34</v>
      </c>
      <c r="E595" s="8" t="n">
        <v>80.040001</v>
      </c>
      <c r="F595" s="8" t="n">
        <v>102.31</v>
      </c>
      <c r="G595" s="8" t="n">
        <v>12.44</v>
      </c>
      <c r="H595" s="8" t="n">
        <v>58.700001</v>
      </c>
      <c r="I595" s="8" t="n">
        <v>1877.859985</v>
      </c>
      <c r="J595" s="8" t="n">
        <v>78.418999</v>
      </c>
      <c r="L595" s="9">
        <f>LN(B595/B594)</f>
        <v/>
      </c>
      <c r="M595" s="9">
        <f>$M$1*(C595-C594)</f>
        <v/>
      </c>
      <c r="N595" s="9">
        <f>$N$1*(D595-D594)</f>
        <v/>
      </c>
      <c r="O595" s="9">
        <f>$O$1*LN(E595/E594)</f>
        <v/>
      </c>
      <c r="P595" s="9">
        <f>$P$1*LN(F595/F594)</f>
        <v/>
      </c>
      <c r="Q595" s="9">
        <f>$Q$1*(G595-G594)</f>
        <v/>
      </c>
      <c r="R595" s="9">
        <f>$R$1*(H595-H594)</f>
        <v/>
      </c>
      <c r="S595" s="9">
        <f>$S$1*LN(I595/I594)</f>
        <v/>
      </c>
      <c r="T595" s="9">
        <f>$T$1*LN(J595/J594)</f>
        <v/>
      </c>
      <c r="U595" s="9">
        <f>$W$12+$W$4*M595+$W$5*N595+$W$6*O595+$W$7*P595+$W$8*Q595+$W$9*R595+$W$10*S595+$W$11*T595</f>
        <v/>
      </c>
      <c r="AA595" s="10">
        <f>INDEX(LINEST(L336:L595,M336:T595,TRUE,TRUE),1,9)*52</f>
        <v/>
      </c>
      <c r="AB595" s="9">
        <f>INDEX(LINEST(L336:L595,M336:T595,TRUE,TRUE),1,8)</f>
        <v/>
      </c>
      <c r="AC595" s="9">
        <f>INDEX(LINEST(L336:L595,M336:T595,TRUE,TRUE),1,7)</f>
        <v/>
      </c>
      <c r="AD595" s="9">
        <f>INDEX(LINEST(L336:L595,M336:T595,TRUE,TRUE),1,6)</f>
        <v/>
      </c>
      <c r="AE595" s="9">
        <f>INDEX(LINEST(L336:L595,M336:T595,TRUE,TRUE),1,5)</f>
        <v/>
      </c>
      <c r="AF595" s="9">
        <f>INDEX(LINEST(L336:L595,M336:T595,TRUE,TRUE),1,4)</f>
        <v/>
      </c>
      <c r="AG595" s="9">
        <f>INDEX(LINEST(L336:L595,M336:T595,TRUE,TRUE),1,3)</f>
        <v/>
      </c>
      <c r="AH595" s="9">
        <f>INDEX(LINEST(L336:L595,M336:T595,TRUE,TRUE),1,2)</f>
        <v/>
      </c>
      <c r="AI595" s="9">
        <f>INDEX(LINEST(L336:L595,M336:T595,TRUE,TRUE),1,1)</f>
        <v/>
      </c>
      <c r="AJ595" s="10">
        <f>INDEX(LINEST(L336:L595,M336:T595,TRUE,TRUE),3,1)</f>
        <v/>
      </c>
      <c r="AK595" s="9">
        <f>AA594/52+AB594*M595+AC594*N595+AD594*O595+AE594*P595+AF594*Q595+AG594*R595+AH594*S595+AI594*T595</f>
        <v/>
      </c>
      <c r="AL595" s="9">
        <f>AVERAGE(L335:L594)</f>
        <v/>
      </c>
    </row>
    <row r="596">
      <c r="A596" s="7" t="n">
        <v>41782</v>
      </c>
      <c r="B596" s="8" t="n">
        <v>1291.5</v>
      </c>
      <c r="C596" s="8" t="n">
        <v>2.22</v>
      </c>
      <c r="D596" s="8" t="n">
        <v>0.32</v>
      </c>
      <c r="E596" s="8" t="n">
        <v>80.389999</v>
      </c>
      <c r="F596" s="8" t="n">
        <v>105.01</v>
      </c>
      <c r="G596" s="8" t="n">
        <v>11.36</v>
      </c>
      <c r="H596" s="8" t="n">
        <v>58.200001</v>
      </c>
      <c r="I596" s="8" t="n">
        <v>1900.530029</v>
      </c>
      <c r="J596" s="8" t="n">
        <v>78.440613</v>
      </c>
      <c r="L596" s="9">
        <f>LN(B596/B595)</f>
        <v/>
      </c>
      <c r="M596" s="9">
        <f>$M$1*(C596-C595)</f>
        <v/>
      </c>
      <c r="N596" s="9">
        <f>$N$1*(D596-D595)</f>
        <v/>
      </c>
      <c r="O596" s="9">
        <f>$O$1*LN(E596/E595)</f>
        <v/>
      </c>
      <c r="P596" s="9">
        <f>$P$1*LN(F596/F595)</f>
        <v/>
      </c>
      <c r="Q596" s="9">
        <f>$Q$1*(G596-G595)</f>
        <v/>
      </c>
      <c r="R596" s="9">
        <f>$R$1*(H596-H595)</f>
        <v/>
      </c>
      <c r="S596" s="9">
        <f>$S$1*LN(I596/I595)</f>
        <v/>
      </c>
      <c r="T596" s="9">
        <f>$T$1*LN(J596/J595)</f>
        <v/>
      </c>
      <c r="U596" s="9">
        <f>$W$12+$W$4*M596+$W$5*N596+$W$6*O596+$W$7*P596+$W$8*Q596+$W$9*R596+$W$10*S596+$W$11*T596</f>
        <v/>
      </c>
      <c r="AA596" s="10">
        <f>INDEX(LINEST(L337:L596,M337:T596,TRUE,TRUE),1,9)*52</f>
        <v/>
      </c>
      <c r="AB596" s="9">
        <f>INDEX(LINEST(L337:L596,M337:T596,TRUE,TRUE),1,8)</f>
        <v/>
      </c>
      <c r="AC596" s="9">
        <f>INDEX(LINEST(L337:L596,M337:T596,TRUE,TRUE),1,7)</f>
        <v/>
      </c>
      <c r="AD596" s="9">
        <f>INDEX(LINEST(L337:L596,M337:T596,TRUE,TRUE),1,6)</f>
        <v/>
      </c>
      <c r="AE596" s="9">
        <f>INDEX(LINEST(L337:L596,M337:T596,TRUE,TRUE),1,5)</f>
        <v/>
      </c>
      <c r="AF596" s="9">
        <f>INDEX(LINEST(L337:L596,M337:T596,TRUE,TRUE),1,4)</f>
        <v/>
      </c>
      <c r="AG596" s="9">
        <f>INDEX(LINEST(L337:L596,M337:T596,TRUE,TRUE),1,3)</f>
        <v/>
      </c>
      <c r="AH596" s="9">
        <f>INDEX(LINEST(L337:L596,M337:T596,TRUE,TRUE),1,2)</f>
        <v/>
      </c>
      <c r="AI596" s="9">
        <f>INDEX(LINEST(L337:L596,M337:T596,TRUE,TRUE),1,1)</f>
        <v/>
      </c>
      <c r="AJ596" s="10">
        <f>INDEX(LINEST(L337:L596,M337:T596,TRUE,TRUE),3,1)</f>
        <v/>
      </c>
      <c r="AK596" s="9">
        <f>AA595/52+AB595*M596+AC595*N596+AD595*O596+AE595*P596+AF595*Q596+AG595*R596+AH595*S596+AI595*T596</f>
        <v/>
      </c>
      <c r="AL596" s="9">
        <f>AVERAGE(L336:L595)</f>
        <v/>
      </c>
    </row>
    <row r="597">
      <c r="A597" s="7" t="n">
        <v>41789</v>
      </c>
      <c r="B597" s="8" t="n">
        <v>1250.5</v>
      </c>
      <c r="C597" s="8" t="n">
        <v>2.22</v>
      </c>
      <c r="D597" s="8" t="n">
        <v>0.26</v>
      </c>
      <c r="E597" s="8" t="n">
        <v>80.370003</v>
      </c>
      <c r="F597" s="8" t="n">
        <v>103.4</v>
      </c>
      <c r="G597" s="8" t="n">
        <v>11.4</v>
      </c>
      <c r="H597" s="8" t="n">
        <v>58.299999</v>
      </c>
      <c r="I597" s="8" t="n">
        <v>1923.569946</v>
      </c>
      <c r="J597" s="8" t="n">
        <v>78.756569</v>
      </c>
      <c r="L597" s="9">
        <f>LN(B597/B596)</f>
        <v/>
      </c>
      <c r="M597" s="9">
        <f>$M$1*(C597-C596)</f>
        <v/>
      </c>
      <c r="N597" s="9">
        <f>$N$1*(D597-D596)</f>
        <v/>
      </c>
      <c r="O597" s="9">
        <f>$O$1*LN(E597/E596)</f>
        <v/>
      </c>
      <c r="P597" s="9">
        <f>$P$1*LN(F597/F596)</f>
        <v/>
      </c>
      <c r="Q597" s="9">
        <f>$Q$1*(G597-G596)</f>
        <v/>
      </c>
      <c r="R597" s="9">
        <f>$R$1*(H597-H596)</f>
        <v/>
      </c>
      <c r="S597" s="9">
        <f>$S$1*LN(I597/I596)</f>
        <v/>
      </c>
      <c r="T597" s="9">
        <f>$T$1*LN(J597/J596)</f>
        <v/>
      </c>
      <c r="U597" s="9">
        <f>$W$12+$W$4*M597+$W$5*N597+$W$6*O597+$W$7*P597+$W$8*Q597+$W$9*R597+$W$10*S597+$W$11*T597</f>
        <v/>
      </c>
      <c r="AA597" s="10">
        <f>INDEX(LINEST(L338:L597,M338:T597,TRUE,TRUE),1,9)*52</f>
        <v/>
      </c>
      <c r="AB597" s="9">
        <f>INDEX(LINEST(L338:L597,M338:T597,TRUE,TRUE),1,8)</f>
        <v/>
      </c>
      <c r="AC597" s="9">
        <f>INDEX(LINEST(L338:L597,M338:T597,TRUE,TRUE),1,7)</f>
        <v/>
      </c>
      <c r="AD597" s="9">
        <f>INDEX(LINEST(L338:L597,M338:T597,TRUE,TRUE),1,6)</f>
        <v/>
      </c>
      <c r="AE597" s="9">
        <f>INDEX(LINEST(L338:L597,M338:T597,TRUE,TRUE),1,5)</f>
        <v/>
      </c>
      <c r="AF597" s="9">
        <f>INDEX(LINEST(L338:L597,M338:T597,TRUE,TRUE),1,4)</f>
        <v/>
      </c>
      <c r="AG597" s="9">
        <f>INDEX(LINEST(L338:L597,M338:T597,TRUE,TRUE),1,3)</f>
        <v/>
      </c>
      <c r="AH597" s="9">
        <f>INDEX(LINEST(L338:L597,M338:T597,TRUE,TRUE),1,2)</f>
        <v/>
      </c>
      <c r="AI597" s="9">
        <f>INDEX(LINEST(L338:L597,M338:T597,TRUE,TRUE),1,1)</f>
        <v/>
      </c>
      <c r="AJ597" s="10">
        <f>INDEX(LINEST(L338:L597,M338:T597,TRUE,TRUE),3,1)</f>
        <v/>
      </c>
      <c r="AK597" s="9">
        <f>AA596/52+AB596*M597+AC596*N597+AD596*O597+AE596*P597+AF596*Q597+AG596*R597+AH596*S597+AI596*T597</f>
        <v/>
      </c>
      <c r="AL597" s="9">
        <f>AVERAGE(L337:L596)</f>
        <v/>
      </c>
    </row>
    <row r="598">
      <c r="A598" s="7" t="n">
        <v>41796</v>
      </c>
      <c r="B598" s="8" t="n">
        <v>1247.5</v>
      </c>
      <c r="C598" s="8" t="n">
        <v>2.2</v>
      </c>
      <c r="D598" s="8" t="n">
        <v>0.4</v>
      </c>
      <c r="E598" s="8" t="n">
        <v>80.410004</v>
      </c>
      <c r="F598" s="8" t="n">
        <v>103.32</v>
      </c>
      <c r="G598" s="8" t="n">
        <v>10.73</v>
      </c>
      <c r="H598" s="8" t="n">
        <v>59.299999</v>
      </c>
      <c r="I598" s="8" t="n">
        <v>1949.439941</v>
      </c>
      <c r="J598" s="8" t="n">
        <v>78.337097</v>
      </c>
      <c r="L598" s="9">
        <f>LN(B598/B597)</f>
        <v/>
      </c>
      <c r="M598" s="9">
        <f>$M$1*(C598-C597)</f>
        <v/>
      </c>
      <c r="N598" s="9">
        <f>$N$1*(D598-D597)</f>
        <v/>
      </c>
      <c r="O598" s="9">
        <f>$O$1*LN(E598/E597)</f>
        <v/>
      </c>
      <c r="P598" s="9">
        <f>$P$1*LN(F598/F597)</f>
        <v/>
      </c>
      <c r="Q598" s="9">
        <f>$Q$1*(G598-G597)</f>
        <v/>
      </c>
      <c r="R598" s="9">
        <f>$R$1*(H598-H597)</f>
        <v/>
      </c>
      <c r="S598" s="9">
        <f>$S$1*LN(I598/I597)</f>
        <v/>
      </c>
      <c r="T598" s="9">
        <f>$T$1*LN(J598/J597)</f>
        <v/>
      </c>
      <c r="U598" s="9">
        <f>$W$12+$W$4*M598+$W$5*N598+$W$6*O598+$W$7*P598+$W$8*Q598+$W$9*R598+$W$10*S598+$W$11*T598</f>
        <v/>
      </c>
      <c r="AA598" s="10">
        <f>INDEX(LINEST(L339:L598,M339:T598,TRUE,TRUE),1,9)*52</f>
        <v/>
      </c>
      <c r="AB598" s="9">
        <f>INDEX(LINEST(L339:L598,M339:T598,TRUE,TRUE),1,8)</f>
        <v/>
      </c>
      <c r="AC598" s="9">
        <f>INDEX(LINEST(L339:L598,M339:T598,TRUE,TRUE),1,7)</f>
        <v/>
      </c>
      <c r="AD598" s="9">
        <f>INDEX(LINEST(L339:L598,M339:T598,TRUE,TRUE),1,6)</f>
        <v/>
      </c>
      <c r="AE598" s="9">
        <f>INDEX(LINEST(L339:L598,M339:T598,TRUE,TRUE),1,5)</f>
        <v/>
      </c>
      <c r="AF598" s="9">
        <f>INDEX(LINEST(L339:L598,M339:T598,TRUE,TRUE),1,4)</f>
        <v/>
      </c>
      <c r="AG598" s="9">
        <f>INDEX(LINEST(L339:L598,M339:T598,TRUE,TRUE),1,3)</f>
        <v/>
      </c>
      <c r="AH598" s="9">
        <f>INDEX(LINEST(L339:L598,M339:T598,TRUE,TRUE),1,2)</f>
        <v/>
      </c>
      <c r="AI598" s="9">
        <f>INDEX(LINEST(L339:L598,M339:T598,TRUE,TRUE),1,1)</f>
        <v/>
      </c>
      <c r="AJ598" s="10">
        <f>INDEX(LINEST(L339:L598,M339:T598,TRUE,TRUE),3,1)</f>
        <v/>
      </c>
      <c r="AK598" s="9">
        <f>AA597/52+AB597*M598+AC597*N598+AD597*O598+AE597*P598+AF597*Q598+AG597*R598+AH597*S598+AI597*T598</f>
        <v/>
      </c>
      <c r="AL598" s="9">
        <f>AVERAGE(L338:L597)</f>
        <v/>
      </c>
    </row>
    <row r="599">
      <c r="A599" s="7" t="n">
        <v>41803</v>
      </c>
      <c r="B599" s="8" t="n">
        <v>1273</v>
      </c>
      <c r="C599" s="8" t="n">
        <v>2.19</v>
      </c>
      <c r="D599" s="8" t="n">
        <v>0.41</v>
      </c>
      <c r="E599" s="8" t="n">
        <v>80.58000199999999</v>
      </c>
      <c r="F599" s="8" t="n">
        <v>107.49</v>
      </c>
      <c r="G599" s="8" t="n">
        <v>12.18</v>
      </c>
      <c r="H599" s="8" t="n">
        <v>58.400002</v>
      </c>
      <c r="I599" s="8" t="n">
        <v>1936.160034</v>
      </c>
      <c r="J599" s="8" t="n">
        <v>78.337097</v>
      </c>
      <c r="L599" s="9">
        <f>LN(B599/B598)</f>
        <v/>
      </c>
      <c r="M599" s="9">
        <f>$M$1*(C599-C598)</f>
        <v/>
      </c>
      <c r="N599" s="9">
        <f>$N$1*(D599-D598)</f>
        <v/>
      </c>
      <c r="O599" s="9">
        <f>$O$1*LN(E599/E598)</f>
        <v/>
      </c>
      <c r="P599" s="9">
        <f>$P$1*LN(F599/F598)</f>
        <v/>
      </c>
      <c r="Q599" s="9">
        <f>$Q$1*(G599-G598)</f>
        <v/>
      </c>
      <c r="R599" s="9">
        <f>$R$1*(H599-H598)</f>
        <v/>
      </c>
      <c r="S599" s="9">
        <f>$S$1*LN(I599/I598)</f>
        <v/>
      </c>
      <c r="T599" s="9">
        <f>$T$1*LN(J599/J598)</f>
        <v/>
      </c>
      <c r="U599" s="9">
        <f>$W$12+$W$4*M599+$W$5*N599+$W$6*O599+$W$7*P599+$W$8*Q599+$W$9*R599+$W$10*S599+$W$11*T599</f>
        <v/>
      </c>
      <c r="AA599" s="10">
        <f>INDEX(LINEST(L340:L599,M340:T599,TRUE,TRUE),1,9)*52</f>
        <v/>
      </c>
      <c r="AB599" s="9">
        <f>INDEX(LINEST(L340:L599,M340:T599,TRUE,TRUE),1,8)</f>
        <v/>
      </c>
      <c r="AC599" s="9">
        <f>INDEX(LINEST(L340:L599,M340:T599,TRUE,TRUE),1,7)</f>
        <v/>
      </c>
      <c r="AD599" s="9">
        <f>INDEX(LINEST(L340:L599,M340:T599,TRUE,TRUE),1,6)</f>
        <v/>
      </c>
      <c r="AE599" s="9">
        <f>INDEX(LINEST(L340:L599,M340:T599,TRUE,TRUE),1,5)</f>
        <v/>
      </c>
      <c r="AF599" s="9">
        <f>INDEX(LINEST(L340:L599,M340:T599,TRUE,TRUE),1,4)</f>
        <v/>
      </c>
      <c r="AG599" s="9">
        <f>INDEX(LINEST(L340:L599,M340:T599,TRUE,TRUE),1,3)</f>
        <v/>
      </c>
      <c r="AH599" s="9">
        <f>INDEX(LINEST(L340:L599,M340:T599,TRUE,TRUE),1,2)</f>
        <v/>
      </c>
      <c r="AI599" s="9">
        <f>INDEX(LINEST(L340:L599,M340:T599,TRUE,TRUE),1,1)</f>
        <v/>
      </c>
      <c r="AJ599" s="10">
        <f>INDEX(LINEST(L340:L599,M340:T599,TRUE,TRUE),3,1)</f>
        <v/>
      </c>
      <c r="AK599" s="9">
        <f>AA598/52+AB598*M599+AC598*N599+AD598*O599+AE598*P599+AF598*Q599+AG598*R599+AH598*S599+AI598*T599</f>
        <v/>
      </c>
      <c r="AL599" s="9">
        <f>AVERAGE(L339:L598)</f>
        <v/>
      </c>
    </row>
    <row r="600">
      <c r="A600" s="7" t="n">
        <v>41810</v>
      </c>
      <c r="B600" s="8" t="n">
        <v>1312.5</v>
      </c>
      <c r="C600" s="8" t="n">
        <v>2.28</v>
      </c>
      <c r="D600" s="8" t="n">
        <v>0.35</v>
      </c>
      <c r="E600" s="8" t="n">
        <v>80.370003</v>
      </c>
      <c r="F600" s="8" t="n">
        <v>107.95</v>
      </c>
      <c r="G600" s="8" t="n">
        <v>10.85</v>
      </c>
      <c r="H600" s="8" t="n">
        <v>54.900002</v>
      </c>
      <c r="I600" s="8" t="n">
        <v>1962.869995</v>
      </c>
      <c r="J600" s="8" t="n">
        <v>78.38027200000001</v>
      </c>
      <c r="L600" s="9">
        <f>LN(B600/B599)</f>
        <v/>
      </c>
      <c r="M600" s="9">
        <f>$M$1*(C600-C599)</f>
        <v/>
      </c>
      <c r="N600" s="9">
        <f>$N$1*(D600-D599)</f>
        <v/>
      </c>
      <c r="O600" s="9">
        <f>$O$1*LN(E600/E599)</f>
        <v/>
      </c>
      <c r="P600" s="9">
        <f>$P$1*LN(F600/F599)</f>
        <v/>
      </c>
      <c r="Q600" s="9">
        <f>$Q$1*(G600-G599)</f>
        <v/>
      </c>
      <c r="R600" s="9">
        <f>$R$1*(H600-H599)</f>
        <v/>
      </c>
      <c r="S600" s="9">
        <f>$S$1*LN(I600/I599)</f>
        <v/>
      </c>
      <c r="T600" s="9">
        <f>$T$1*LN(J600/J599)</f>
        <v/>
      </c>
      <c r="U600" s="9">
        <f>$W$12+$W$4*M600+$W$5*N600+$W$6*O600+$W$7*P600+$W$8*Q600+$W$9*R600+$W$10*S600+$W$11*T600</f>
        <v/>
      </c>
      <c r="AA600" s="10">
        <f>INDEX(LINEST(L341:L600,M341:T600,TRUE,TRUE),1,9)*52</f>
        <v/>
      </c>
      <c r="AB600" s="9">
        <f>INDEX(LINEST(L341:L600,M341:T600,TRUE,TRUE),1,8)</f>
        <v/>
      </c>
      <c r="AC600" s="9">
        <f>INDEX(LINEST(L341:L600,M341:T600,TRUE,TRUE),1,7)</f>
        <v/>
      </c>
      <c r="AD600" s="9">
        <f>INDEX(LINEST(L341:L600,M341:T600,TRUE,TRUE),1,6)</f>
        <v/>
      </c>
      <c r="AE600" s="9">
        <f>INDEX(LINEST(L341:L600,M341:T600,TRUE,TRUE),1,5)</f>
        <v/>
      </c>
      <c r="AF600" s="9">
        <f>INDEX(LINEST(L341:L600,M341:T600,TRUE,TRUE),1,4)</f>
        <v/>
      </c>
      <c r="AG600" s="9">
        <f>INDEX(LINEST(L341:L600,M341:T600,TRUE,TRUE),1,3)</f>
        <v/>
      </c>
      <c r="AH600" s="9">
        <f>INDEX(LINEST(L341:L600,M341:T600,TRUE,TRUE),1,2)</f>
        <v/>
      </c>
      <c r="AI600" s="9">
        <f>INDEX(LINEST(L341:L600,M341:T600,TRUE,TRUE),1,1)</f>
        <v/>
      </c>
      <c r="AJ600" s="10">
        <f>INDEX(LINEST(L341:L600,M341:T600,TRUE,TRUE),3,1)</f>
        <v/>
      </c>
      <c r="AK600" s="9">
        <f>AA599/52+AB599*M600+AC599*N600+AD599*O600+AE599*P600+AF599*Q600+AG599*R600+AH599*S600+AI599*T600</f>
        <v/>
      </c>
      <c r="AL600" s="9">
        <f>AVERAGE(L340:L599)</f>
        <v/>
      </c>
    </row>
    <row r="601">
      <c r="A601" s="7" t="n">
        <v>41817</v>
      </c>
      <c r="B601" s="8" t="n">
        <v>1317.5</v>
      </c>
      <c r="C601" s="8" t="n">
        <v>2.27</v>
      </c>
      <c r="D601" s="8" t="n">
        <v>0.27</v>
      </c>
      <c r="E601" s="8" t="n">
        <v>80.040001</v>
      </c>
      <c r="F601" s="8" t="n">
        <v>106.46</v>
      </c>
      <c r="G601" s="8" t="n">
        <v>11.26</v>
      </c>
      <c r="H601" s="8" t="n">
        <v>53.299999</v>
      </c>
      <c r="I601" s="8" t="n">
        <v>1960.959961</v>
      </c>
      <c r="J601" s="8" t="n">
        <v>78.704063</v>
      </c>
      <c r="L601" s="9">
        <f>LN(B601/B600)</f>
        <v/>
      </c>
      <c r="M601" s="9">
        <f>$M$1*(C601-C600)</f>
        <v/>
      </c>
      <c r="N601" s="9">
        <f>$N$1*(D601-D600)</f>
        <v/>
      </c>
      <c r="O601" s="9">
        <f>$O$1*LN(E601/E600)</f>
        <v/>
      </c>
      <c r="P601" s="9">
        <f>$P$1*LN(F601/F600)</f>
        <v/>
      </c>
      <c r="Q601" s="9">
        <f>$Q$1*(G601-G600)</f>
        <v/>
      </c>
      <c r="R601" s="9">
        <f>$R$1*(H601-H600)</f>
        <v/>
      </c>
      <c r="S601" s="9">
        <f>$S$1*LN(I601/I600)</f>
        <v/>
      </c>
      <c r="T601" s="9">
        <f>$T$1*LN(J601/J600)</f>
        <v/>
      </c>
      <c r="U601" s="9">
        <f>$W$12+$W$4*M601+$W$5*N601+$W$6*O601+$W$7*P601+$W$8*Q601+$W$9*R601+$W$10*S601+$W$11*T601</f>
        <v/>
      </c>
      <c r="AA601" s="10">
        <f>INDEX(LINEST(L342:L601,M342:T601,TRUE,TRUE),1,9)*52</f>
        <v/>
      </c>
      <c r="AB601" s="9">
        <f>INDEX(LINEST(L342:L601,M342:T601,TRUE,TRUE),1,8)</f>
        <v/>
      </c>
      <c r="AC601" s="9">
        <f>INDEX(LINEST(L342:L601,M342:T601,TRUE,TRUE),1,7)</f>
        <v/>
      </c>
      <c r="AD601" s="9">
        <f>INDEX(LINEST(L342:L601,M342:T601,TRUE,TRUE),1,6)</f>
        <v/>
      </c>
      <c r="AE601" s="9">
        <f>INDEX(LINEST(L342:L601,M342:T601,TRUE,TRUE),1,5)</f>
        <v/>
      </c>
      <c r="AF601" s="9">
        <f>INDEX(LINEST(L342:L601,M342:T601,TRUE,TRUE),1,4)</f>
        <v/>
      </c>
      <c r="AG601" s="9">
        <f>INDEX(LINEST(L342:L601,M342:T601,TRUE,TRUE),1,3)</f>
        <v/>
      </c>
      <c r="AH601" s="9">
        <f>INDEX(LINEST(L342:L601,M342:T601,TRUE,TRUE),1,2)</f>
        <v/>
      </c>
      <c r="AI601" s="9">
        <f>INDEX(LINEST(L342:L601,M342:T601,TRUE,TRUE),1,1)</f>
        <v/>
      </c>
      <c r="AJ601" s="10">
        <f>INDEX(LINEST(L342:L601,M342:T601,TRUE,TRUE),3,1)</f>
        <v/>
      </c>
      <c r="AK601" s="9">
        <f>AA600/52+AB600*M601+AC600*N601+AD600*O601+AE600*P601+AF600*Q601+AG600*R601+AH600*S601+AI600*T601</f>
        <v/>
      </c>
      <c r="AL601" s="9">
        <f>AVERAGE(L341:L600)</f>
        <v/>
      </c>
    </row>
    <row r="602">
      <c r="A602" s="7" t="n">
        <v>41824</v>
      </c>
      <c r="B602" s="8" t="n">
        <v>1319.25</v>
      </c>
      <c r="C602" s="8" t="n">
        <v>2.28</v>
      </c>
      <c r="D602" s="8" t="n">
        <v>0.37</v>
      </c>
      <c r="E602" s="8" t="n">
        <v>80.209999</v>
      </c>
      <c r="F602" s="8" t="n">
        <v>104.76</v>
      </c>
      <c r="G602" s="8" t="n">
        <v>10.32</v>
      </c>
      <c r="H602" s="8" t="n">
        <v>56.900002</v>
      </c>
      <c r="I602" s="8" t="n">
        <v>1985.439941</v>
      </c>
      <c r="J602" s="8" t="n">
        <v>78.290283</v>
      </c>
      <c r="L602" s="9">
        <f>LN(B602/B601)</f>
        <v/>
      </c>
      <c r="M602" s="9">
        <f>$M$1*(C602-C601)</f>
        <v/>
      </c>
      <c r="N602" s="9">
        <f>$N$1*(D602-D601)</f>
        <v/>
      </c>
      <c r="O602" s="9">
        <f>$O$1*LN(E602/E601)</f>
        <v/>
      </c>
      <c r="P602" s="9">
        <f>$P$1*LN(F602/F601)</f>
        <v/>
      </c>
      <c r="Q602" s="9">
        <f>$Q$1*(G602-G601)</f>
        <v/>
      </c>
      <c r="R602" s="9">
        <f>$R$1*(H602-H601)</f>
        <v/>
      </c>
      <c r="S602" s="9">
        <f>$S$1*LN(I602/I601)</f>
        <v/>
      </c>
      <c r="T602" s="9">
        <f>$T$1*LN(J602/J601)</f>
        <v/>
      </c>
      <c r="U602" s="9">
        <f>$W$12+$W$4*M602+$W$5*N602+$W$6*O602+$W$7*P602+$W$8*Q602+$W$9*R602+$W$10*S602+$W$11*T602</f>
        <v/>
      </c>
      <c r="AA602" s="10">
        <f>INDEX(LINEST(L343:L602,M343:T602,TRUE,TRUE),1,9)*52</f>
        <v/>
      </c>
      <c r="AB602" s="9">
        <f>INDEX(LINEST(L343:L602,M343:T602,TRUE,TRUE),1,8)</f>
        <v/>
      </c>
      <c r="AC602" s="9">
        <f>INDEX(LINEST(L343:L602,M343:T602,TRUE,TRUE),1,7)</f>
        <v/>
      </c>
      <c r="AD602" s="9">
        <f>INDEX(LINEST(L343:L602,M343:T602,TRUE,TRUE),1,6)</f>
        <v/>
      </c>
      <c r="AE602" s="9">
        <f>INDEX(LINEST(L343:L602,M343:T602,TRUE,TRUE),1,5)</f>
        <v/>
      </c>
      <c r="AF602" s="9">
        <f>INDEX(LINEST(L343:L602,M343:T602,TRUE,TRUE),1,4)</f>
        <v/>
      </c>
      <c r="AG602" s="9">
        <f>INDEX(LINEST(L343:L602,M343:T602,TRUE,TRUE),1,3)</f>
        <v/>
      </c>
      <c r="AH602" s="9">
        <f>INDEX(LINEST(L343:L602,M343:T602,TRUE,TRUE),1,2)</f>
        <v/>
      </c>
      <c r="AI602" s="9">
        <f>INDEX(LINEST(L343:L602,M343:T602,TRUE,TRUE),1,1)</f>
        <v/>
      </c>
      <c r="AJ602" s="10">
        <f>INDEX(LINEST(L343:L602,M343:T602,TRUE,TRUE),3,1)</f>
        <v/>
      </c>
      <c r="AK602" s="9">
        <f>AA601/52+AB601*M602+AC601*N602+AD601*O602+AE601*P602+AF601*Q602+AG601*R602+AH601*S602+AI601*T602</f>
        <v/>
      </c>
      <c r="AL602" s="9">
        <f>AVERAGE(L342:L601)</f>
        <v/>
      </c>
    </row>
    <row r="603">
      <c r="A603" s="7" t="n">
        <v>41831</v>
      </c>
      <c r="B603" s="8" t="n">
        <v>1335</v>
      </c>
      <c r="C603" s="8" t="n">
        <v>2.28</v>
      </c>
      <c r="D603" s="8" t="n">
        <v>0.25</v>
      </c>
      <c r="E603" s="8" t="n">
        <v>80.19000200000001</v>
      </c>
      <c r="F603" s="8" t="n">
        <v>101.48</v>
      </c>
      <c r="G603" s="8" t="n">
        <v>12.08</v>
      </c>
      <c r="H603" s="8" t="n">
        <v>54.799999</v>
      </c>
      <c r="I603" s="8" t="n">
        <v>1967.569946</v>
      </c>
      <c r="J603" s="8" t="n">
        <v>78.679543</v>
      </c>
      <c r="L603" s="9">
        <f>LN(B603/B602)</f>
        <v/>
      </c>
      <c r="M603" s="9">
        <f>$M$1*(C603-C602)</f>
        <v/>
      </c>
      <c r="N603" s="9">
        <f>$N$1*(D603-D602)</f>
        <v/>
      </c>
      <c r="O603" s="9">
        <f>$O$1*LN(E603/E602)</f>
        <v/>
      </c>
      <c r="P603" s="9">
        <f>$P$1*LN(F603/F602)</f>
        <v/>
      </c>
      <c r="Q603" s="9">
        <f>$Q$1*(G603-G602)</f>
        <v/>
      </c>
      <c r="R603" s="9">
        <f>$R$1*(H603-H602)</f>
        <v/>
      </c>
      <c r="S603" s="9">
        <f>$S$1*LN(I603/I602)</f>
        <v/>
      </c>
      <c r="T603" s="9">
        <f>$T$1*LN(J603/J602)</f>
        <v/>
      </c>
      <c r="U603" s="9">
        <f>$W$12+$W$4*M603+$W$5*N603+$W$6*O603+$W$7*P603+$W$8*Q603+$W$9*R603+$W$10*S603+$W$11*T603</f>
        <v/>
      </c>
      <c r="AA603" s="10">
        <f>INDEX(LINEST(L344:L603,M344:T603,TRUE,TRUE),1,9)*52</f>
        <v/>
      </c>
      <c r="AB603" s="9">
        <f>INDEX(LINEST(L344:L603,M344:T603,TRUE,TRUE),1,8)</f>
        <v/>
      </c>
      <c r="AC603" s="9">
        <f>INDEX(LINEST(L344:L603,M344:T603,TRUE,TRUE),1,7)</f>
        <v/>
      </c>
      <c r="AD603" s="9">
        <f>INDEX(LINEST(L344:L603,M344:T603,TRUE,TRUE),1,6)</f>
        <v/>
      </c>
      <c r="AE603" s="9">
        <f>INDEX(LINEST(L344:L603,M344:T603,TRUE,TRUE),1,5)</f>
        <v/>
      </c>
      <c r="AF603" s="9">
        <f>INDEX(LINEST(L344:L603,M344:T603,TRUE,TRUE),1,4)</f>
        <v/>
      </c>
      <c r="AG603" s="9">
        <f>INDEX(LINEST(L344:L603,M344:T603,TRUE,TRUE),1,3)</f>
        <v/>
      </c>
      <c r="AH603" s="9">
        <f>INDEX(LINEST(L344:L603,M344:T603,TRUE,TRUE),1,2)</f>
        <v/>
      </c>
      <c r="AI603" s="9">
        <f>INDEX(LINEST(L344:L603,M344:T603,TRUE,TRUE),1,1)</f>
        <v/>
      </c>
      <c r="AJ603" s="10">
        <f>INDEX(LINEST(L344:L603,M344:T603,TRUE,TRUE),3,1)</f>
        <v/>
      </c>
      <c r="AK603" s="9">
        <f>AA602/52+AB602*M603+AC602*N603+AD602*O603+AE602*P603+AF602*Q603+AG602*R603+AH602*S603+AI602*T603</f>
        <v/>
      </c>
      <c r="AL603" s="9">
        <f>AVERAGE(L343:L602)</f>
        <v/>
      </c>
    </row>
    <row r="604">
      <c r="A604" s="7" t="n">
        <v>41838</v>
      </c>
      <c r="B604" s="8" t="n">
        <v>1307.25</v>
      </c>
      <c r="C604" s="8" t="n">
        <v>2.24</v>
      </c>
      <c r="D604" s="8" t="n">
        <v>0.26</v>
      </c>
      <c r="E604" s="8" t="n">
        <v>80.519997</v>
      </c>
      <c r="F604" s="8" t="n">
        <v>103.83</v>
      </c>
      <c r="G604" s="8" t="n">
        <v>12.06</v>
      </c>
      <c r="H604" s="8" t="n">
        <v>54.400002</v>
      </c>
      <c r="I604" s="8" t="n">
        <v>1978.219971</v>
      </c>
      <c r="J604" s="8" t="n">
        <v>78.722786</v>
      </c>
      <c r="L604" s="9">
        <f>LN(B604/B603)</f>
        <v/>
      </c>
      <c r="M604" s="9">
        <f>$M$1*(C604-C603)</f>
        <v/>
      </c>
      <c r="N604" s="9">
        <f>$N$1*(D604-D603)</f>
        <v/>
      </c>
      <c r="O604" s="9">
        <f>$O$1*LN(E604/E603)</f>
        <v/>
      </c>
      <c r="P604" s="9">
        <f>$P$1*LN(F604/F603)</f>
        <v/>
      </c>
      <c r="Q604" s="9">
        <f>$Q$1*(G604-G603)</f>
        <v/>
      </c>
      <c r="R604" s="9">
        <f>$R$1*(H604-H603)</f>
        <v/>
      </c>
      <c r="S604" s="9">
        <f>$S$1*LN(I604/I603)</f>
        <v/>
      </c>
      <c r="T604" s="9">
        <f>$T$1*LN(J604/J603)</f>
        <v/>
      </c>
      <c r="U604" s="9">
        <f>$W$12+$W$4*M604+$W$5*N604+$W$6*O604+$W$7*P604+$W$8*Q604+$W$9*R604+$W$10*S604+$W$11*T604</f>
        <v/>
      </c>
      <c r="AA604" s="10">
        <f>INDEX(LINEST(L345:L604,M345:T604,TRUE,TRUE),1,9)*52</f>
        <v/>
      </c>
      <c r="AB604" s="9">
        <f>INDEX(LINEST(L345:L604,M345:T604,TRUE,TRUE),1,8)</f>
        <v/>
      </c>
      <c r="AC604" s="9">
        <f>INDEX(LINEST(L345:L604,M345:T604,TRUE,TRUE),1,7)</f>
        <v/>
      </c>
      <c r="AD604" s="9">
        <f>INDEX(LINEST(L345:L604,M345:T604,TRUE,TRUE),1,6)</f>
        <v/>
      </c>
      <c r="AE604" s="9">
        <f>INDEX(LINEST(L345:L604,M345:T604,TRUE,TRUE),1,5)</f>
        <v/>
      </c>
      <c r="AF604" s="9">
        <f>INDEX(LINEST(L345:L604,M345:T604,TRUE,TRUE),1,4)</f>
        <v/>
      </c>
      <c r="AG604" s="9">
        <f>INDEX(LINEST(L345:L604,M345:T604,TRUE,TRUE),1,3)</f>
        <v/>
      </c>
      <c r="AH604" s="9">
        <f>INDEX(LINEST(L345:L604,M345:T604,TRUE,TRUE),1,2)</f>
        <v/>
      </c>
      <c r="AI604" s="9">
        <f>INDEX(LINEST(L345:L604,M345:T604,TRUE,TRUE),1,1)</f>
        <v/>
      </c>
      <c r="AJ604" s="10">
        <f>INDEX(LINEST(L345:L604,M345:T604,TRUE,TRUE),3,1)</f>
        <v/>
      </c>
      <c r="AK604" s="9">
        <f>AA603/52+AB603*M604+AC603*N604+AD603*O604+AE603*P604+AF603*Q604+AG603*R604+AH603*S604+AI603*T604</f>
        <v/>
      </c>
      <c r="AL604" s="9">
        <f>AVERAGE(L344:L603)</f>
        <v/>
      </c>
    </row>
    <row r="605">
      <c r="A605" s="7" t="n">
        <v>41845</v>
      </c>
      <c r="B605" s="8" t="n">
        <v>1294.75</v>
      </c>
      <c r="C605" s="8" t="n">
        <v>2.28</v>
      </c>
      <c r="D605" s="8" t="n">
        <v>0.2</v>
      </c>
      <c r="E605" s="8" t="n">
        <v>81.029999</v>
      </c>
      <c r="F605" s="8" t="n">
        <v>105.23</v>
      </c>
      <c r="G605" s="8" t="n">
        <v>12.69</v>
      </c>
      <c r="H605" s="8" t="n">
        <v>54.43</v>
      </c>
      <c r="I605" s="8" t="n">
        <v>1978.339966</v>
      </c>
      <c r="J605" s="8" t="n">
        <v>78.802032</v>
      </c>
      <c r="L605" s="9">
        <f>LN(B605/B604)</f>
        <v/>
      </c>
      <c r="M605" s="9">
        <f>$M$1*(C605-C604)</f>
        <v/>
      </c>
      <c r="N605" s="9">
        <f>$N$1*(D605-D604)</f>
        <v/>
      </c>
      <c r="O605" s="9">
        <f>$O$1*LN(E605/E604)</f>
        <v/>
      </c>
      <c r="P605" s="9">
        <f>$P$1*LN(F605/F604)</f>
        <v/>
      </c>
      <c r="Q605" s="9">
        <f>$Q$1*(G605-G604)</f>
        <v/>
      </c>
      <c r="R605" s="9">
        <f>$R$1*(H605-H604)</f>
        <v/>
      </c>
      <c r="S605" s="9">
        <f>$S$1*LN(I605/I604)</f>
        <v/>
      </c>
      <c r="T605" s="9">
        <f>$T$1*LN(J605/J604)</f>
        <v/>
      </c>
      <c r="U605" s="9">
        <f>$W$12+$W$4*M605+$W$5*N605+$W$6*O605+$W$7*P605+$W$8*Q605+$W$9*R605+$W$10*S605+$W$11*T605</f>
        <v/>
      </c>
      <c r="AA605" s="10">
        <f>INDEX(LINEST(L346:L605,M346:T605,TRUE,TRUE),1,9)*52</f>
        <v/>
      </c>
      <c r="AB605" s="9">
        <f>INDEX(LINEST(L346:L605,M346:T605,TRUE,TRUE),1,8)</f>
        <v/>
      </c>
      <c r="AC605" s="9">
        <f>INDEX(LINEST(L346:L605,M346:T605,TRUE,TRUE),1,7)</f>
        <v/>
      </c>
      <c r="AD605" s="9">
        <f>INDEX(LINEST(L346:L605,M346:T605,TRUE,TRUE),1,6)</f>
        <v/>
      </c>
      <c r="AE605" s="9">
        <f>INDEX(LINEST(L346:L605,M346:T605,TRUE,TRUE),1,5)</f>
        <v/>
      </c>
      <c r="AF605" s="9">
        <f>INDEX(LINEST(L346:L605,M346:T605,TRUE,TRUE),1,4)</f>
        <v/>
      </c>
      <c r="AG605" s="9">
        <f>INDEX(LINEST(L346:L605,M346:T605,TRUE,TRUE),1,3)</f>
        <v/>
      </c>
      <c r="AH605" s="9">
        <f>INDEX(LINEST(L346:L605,M346:T605,TRUE,TRUE),1,2)</f>
        <v/>
      </c>
      <c r="AI605" s="9">
        <f>INDEX(LINEST(L346:L605,M346:T605,TRUE,TRUE),1,1)</f>
        <v/>
      </c>
      <c r="AJ605" s="10">
        <f>INDEX(LINEST(L346:L605,M346:T605,TRUE,TRUE),3,1)</f>
        <v/>
      </c>
      <c r="AK605" s="9">
        <f>AA604/52+AB604*M605+AC604*N605+AD604*O605+AE604*P605+AF604*Q605+AG604*R605+AH604*S605+AI604*T605</f>
        <v/>
      </c>
      <c r="AL605" s="9">
        <f>AVERAGE(L345:L604)</f>
        <v/>
      </c>
    </row>
    <row r="606">
      <c r="A606" s="7" t="n">
        <v>41852</v>
      </c>
      <c r="B606" s="8" t="n">
        <v>1291.25</v>
      </c>
      <c r="C606" s="8" t="n">
        <v>2.27</v>
      </c>
      <c r="D606" s="8" t="n">
        <v>0.25</v>
      </c>
      <c r="E606" s="8" t="n">
        <v>81.300003</v>
      </c>
      <c r="F606" s="8" t="n">
        <v>97.86</v>
      </c>
      <c r="G606" s="8" t="n">
        <v>17.03</v>
      </c>
      <c r="H606" s="8" t="n">
        <v>52.259998</v>
      </c>
      <c r="I606" s="8" t="n">
        <v>1925.150024</v>
      </c>
      <c r="J606" s="8" t="n">
        <v>78.80980700000001</v>
      </c>
      <c r="L606" s="9">
        <f>LN(B606/B605)</f>
        <v/>
      </c>
      <c r="M606" s="9">
        <f>$M$1*(C606-C605)</f>
        <v/>
      </c>
      <c r="N606" s="9">
        <f>$N$1*(D606-D605)</f>
        <v/>
      </c>
      <c r="O606" s="9">
        <f>$O$1*LN(E606/E605)</f>
        <v/>
      </c>
      <c r="P606" s="9">
        <f>$P$1*LN(F606/F605)</f>
        <v/>
      </c>
      <c r="Q606" s="9">
        <f>$Q$1*(G606-G605)</f>
        <v/>
      </c>
      <c r="R606" s="9">
        <f>$R$1*(H606-H605)</f>
        <v/>
      </c>
      <c r="S606" s="9">
        <f>$S$1*LN(I606/I605)</f>
        <v/>
      </c>
      <c r="T606" s="9">
        <f>$T$1*LN(J606/J605)</f>
        <v/>
      </c>
      <c r="U606" s="9">
        <f>$W$12+$W$4*M606+$W$5*N606+$W$6*O606+$W$7*P606+$W$8*Q606+$W$9*R606+$W$10*S606+$W$11*T606</f>
        <v/>
      </c>
      <c r="AA606" s="10">
        <f>INDEX(LINEST(L347:L606,M347:T606,TRUE,TRUE),1,9)*52</f>
        <v/>
      </c>
      <c r="AB606" s="9">
        <f>INDEX(LINEST(L347:L606,M347:T606,TRUE,TRUE),1,8)</f>
        <v/>
      </c>
      <c r="AC606" s="9">
        <f>INDEX(LINEST(L347:L606,M347:T606,TRUE,TRUE),1,7)</f>
        <v/>
      </c>
      <c r="AD606" s="9">
        <f>INDEX(LINEST(L347:L606,M347:T606,TRUE,TRUE),1,6)</f>
        <v/>
      </c>
      <c r="AE606" s="9">
        <f>INDEX(LINEST(L347:L606,M347:T606,TRUE,TRUE),1,5)</f>
        <v/>
      </c>
      <c r="AF606" s="9">
        <f>INDEX(LINEST(L347:L606,M347:T606,TRUE,TRUE),1,4)</f>
        <v/>
      </c>
      <c r="AG606" s="9">
        <f>INDEX(LINEST(L347:L606,M347:T606,TRUE,TRUE),1,3)</f>
        <v/>
      </c>
      <c r="AH606" s="9">
        <f>INDEX(LINEST(L347:L606,M347:T606,TRUE,TRUE),1,2)</f>
        <v/>
      </c>
      <c r="AI606" s="9">
        <f>INDEX(LINEST(L347:L606,M347:T606,TRUE,TRUE),1,1)</f>
        <v/>
      </c>
      <c r="AJ606" s="10">
        <f>INDEX(LINEST(L347:L606,M347:T606,TRUE,TRUE),3,1)</f>
        <v/>
      </c>
      <c r="AK606" s="9">
        <f>AA605/52+AB605*M606+AC605*N606+AD605*O606+AE605*P606+AF605*Q606+AG605*R606+AH605*S606+AI605*T606</f>
        <v/>
      </c>
      <c r="AL606" s="9">
        <f>AVERAGE(L346:L605)</f>
        <v/>
      </c>
    </row>
    <row r="607">
      <c r="A607" s="7" t="n">
        <v>41859</v>
      </c>
      <c r="B607" s="8" t="n">
        <v>1309.75</v>
      </c>
      <c r="C607" s="8" t="n">
        <v>2.25</v>
      </c>
      <c r="D607" s="8" t="n">
        <v>0.19</v>
      </c>
      <c r="E607" s="8" t="n">
        <v>81.389999</v>
      </c>
      <c r="F607" s="8" t="n">
        <v>97.61</v>
      </c>
      <c r="G607" s="8" t="n">
        <v>15.77</v>
      </c>
      <c r="H607" s="8" t="n">
        <v>62.470001</v>
      </c>
      <c r="I607" s="8" t="n">
        <v>1931.589966</v>
      </c>
      <c r="J607" s="8" t="n">
        <v>78.983131</v>
      </c>
      <c r="L607" s="9">
        <f>LN(B607/B606)</f>
        <v/>
      </c>
      <c r="M607" s="9">
        <f>$M$1*(C607-C606)</f>
        <v/>
      </c>
      <c r="N607" s="9">
        <f>$N$1*(D607-D606)</f>
        <v/>
      </c>
      <c r="O607" s="9">
        <f>$O$1*LN(E607/E606)</f>
        <v/>
      </c>
      <c r="P607" s="9">
        <f>$P$1*LN(F607/F606)</f>
        <v/>
      </c>
      <c r="Q607" s="9">
        <f>$Q$1*(G607-G606)</f>
        <v/>
      </c>
      <c r="R607" s="9">
        <f>$R$1*(H607-H606)</f>
        <v/>
      </c>
      <c r="S607" s="9">
        <f>$S$1*LN(I607/I606)</f>
        <v/>
      </c>
      <c r="T607" s="9">
        <f>$T$1*LN(J607/J606)</f>
        <v/>
      </c>
      <c r="U607" s="9">
        <f>$W$12+$W$4*M607+$W$5*N607+$W$6*O607+$W$7*P607+$W$8*Q607+$W$9*R607+$W$10*S607+$W$11*T607</f>
        <v/>
      </c>
      <c r="AA607" s="10">
        <f>INDEX(LINEST(L348:L607,M348:T607,TRUE,TRUE),1,9)*52</f>
        <v/>
      </c>
      <c r="AB607" s="9">
        <f>INDEX(LINEST(L348:L607,M348:T607,TRUE,TRUE),1,8)</f>
        <v/>
      </c>
      <c r="AC607" s="9">
        <f>INDEX(LINEST(L348:L607,M348:T607,TRUE,TRUE),1,7)</f>
        <v/>
      </c>
      <c r="AD607" s="9">
        <f>INDEX(LINEST(L348:L607,M348:T607,TRUE,TRUE),1,6)</f>
        <v/>
      </c>
      <c r="AE607" s="9">
        <f>INDEX(LINEST(L348:L607,M348:T607,TRUE,TRUE),1,5)</f>
        <v/>
      </c>
      <c r="AF607" s="9">
        <f>INDEX(LINEST(L348:L607,M348:T607,TRUE,TRUE),1,4)</f>
        <v/>
      </c>
      <c r="AG607" s="9">
        <f>INDEX(LINEST(L348:L607,M348:T607,TRUE,TRUE),1,3)</f>
        <v/>
      </c>
      <c r="AH607" s="9">
        <f>INDEX(LINEST(L348:L607,M348:T607,TRUE,TRUE),1,2)</f>
        <v/>
      </c>
      <c r="AI607" s="9">
        <f>INDEX(LINEST(L348:L607,M348:T607,TRUE,TRUE),1,1)</f>
        <v/>
      </c>
      <c r="AJ607" s="10">
        <f>INDEX(LINEST(L348:L607,M348:T607,TRUE,TRUE),3,1)</f>
        <v/>
      </c>
      <c r="AK607" s="9">
        <f>AA606/52+AB606*M607+AC606*N607+AD606*O607+AE606*P607+AF606*Q607+AG606*R607+AH606*S607+AI606*T607</f>
        <v/>
      </c>
      <c r="AL607" s="9">
        <f>AVERAGE(L347:L606)</f>
        <v/>
      </c>
    </row>
    <row r="608">
      <c r="A608" s="7" t="n">
        <v>41866</v>
      </c>
      <c r="B608" s="8" t="n">
        <v>1296</v>
      </c>
      <c r="C608" s="8" t="n">
        <v>2.18</v>
      </c>
      <c r="D608" s="8" t="n">
        <v>0.16</v>
      </c>
      <c r="E608" s="8" t="n">
        <v>81.41999800000001</v>
      </c>
      <c r="F608" s="8" t="n">
        <v>97.3</v>
      </c>
      <c r="G608" s="8" t="n">
        <v>13.15</v>
      </c>
      <c r="H608" s="8" t="n">
        <v>60.400002</v>
      </c>
      <c r="I608" s="8" t="n">
        <v>1955.060059</v>
      </c>
      <c r="J608" s="8" t="n">
        <v>79.35135699999999</v>
      </c>
      <c r="L608" s="9">
        <f>LN(B608/B607)</f>
        <v/>
      </c>
      <c r="M608" s="9">
        <f>$M$1*(C608-C607)</f>
        <v/>
      </c>
      <c r="N608" s="9">
        <f>$N$1*(D608-D607)</f>
        <v/>
      </c>
      <c r="O608" s="9">
        <f>$O$1*LN(E608/E607)</f>
        <v/>
      </c>
      <c r="P608" s="9">
        <f>$P$1*LN(F608/F607)</f>
        <v/>
      </c>
      <c r="Q608" s="9">
        <f>$Q$1*(G608-G607)</f>
        <v/>
      </c>
      <c r="R608" s="9">
        <f>$R$1*(H608-H607)</f>
        <v/>
      </c>
      <c r="S608" s="9">
        <f>$S$1*LN(I608/I607)</f>
        <v/>
      </c>
      <c r="T608" s="9">
        <f>$T$1*LN(J608/J607)</f>
        <v/>
      </c>
      <c r="U608" s="9">
        <f>$W$12+$W$4*M608+$W$5*N608+$W$6*O608+$W$7*P608+$W$8*Q608+$W$9*R608+$W$10*S608+$W$11*T608</f>
        <v/>
      </c>
      <c r="AA608" s="10">
        <f>INDEX(LINEST(L349:L608,M349:T608,TRUE,TRUE),1,9)*52</f>
        <v/>
      </c>
      <c r="AB608" s="9">
        <f>INDEX(LINEST(L349:L608,M349:T608,TRUE,TRUE),1,8)</f>
        <v/>
      </c>
      <c r="AC608" s="9">
        <f>INDEX(LINEST(L349:L608,M349:T608,TRUE,TRUE),1,7)</f>
        <v/>
      </c>
      <c r="AD608" s="9">
        <f>INDEX(LINEST(L349:L608,M349:T608,TRUE,TRUE),1,6)</f>
        <v/>
      </c>
      <c r="AE608" s="9">
        <f>INDEX(LINEST(L349:L608,M349:T608,TRUE,TRUE),1,5)</f>
        <v/>
      </c>
      <c r="AF608" s="9">
        <f>INDEX(LINEST(L349:L608,M349:T608,TRUE,TRUE),1,4)</f>
        <v/>
      </c>
      <c r="AG608" s="9">
        <f>INDEX(LINEST(L349:L608,M349:T608,TRUE,TRUE),1,3)</f>
        <v/>
      </c>
      <c r="AH608" s="9">
        <f>INDEX(LINEST(L349:L608,M349:T608,TRUE,TRUE),1,2)</f>
        <v/>
      </c>
      <c r="AI608" s="9">
        <f>INDEX(LINEST(L349:L608,M349:T608,TRUE,TRUE),1,1)</f>
        <v/>
      </c>
      <c r="AJ608" s="10">
        <f>INDEX(LINEST(L349:L608,M349:T608,TRUE,TRUE),3,1)</f>
        <v/>
      </c>
      <c r="AK608" s="9">
        <f>AA607/52+AB607*M608+AC607*N608+AD607*O608+AE607*P608+AF607*Q608+AG607*R608+AH607*S608+AI607*T608</f>
        <v/>
      </c>
      <c r="AL608" s="9">
        <f>AVERAGE(L348:L607)</f>
        <v/>
      </c>
    </row>
    <row r="609">
      <c r="A609" s="7" t="n">
        <v>41873</v>
      </c>
      <c r="B609" s="8" t="n">
        <v>1277.25</v>
      </c>
      <c r="C609" s="8" t="n">
        <v>2.14</v>
      </c>
      <c r="D609" s="8" t="n">
        <v>0.26</v>
      </c>
      <c r="E609" s="8" t="n">
        <v>82.339996</v>
      </c>
      <c r="F609" s="8" t="n">
        <v>93.61</v>
      </c>
      <c r="G609" s="8" t="n">
        <v>11.47</v>
      </c>
      <c r="H609" s="8" t="n">
        <v>59.84</v>
      </c>
      <c r="I609" s="8" t="n">
        <v>1988.400024</v>
      </c>
      <c r="J609" s="8" t="n">
        <v>79.11309799999999</v>
      </c>
      <c r="L609" s="9">
        <f>LN(B609/B608)</f>
        <v/>
      </c>
      <c r="M609" s="9">
        <f>$M$1*(C609-C608)</f>
        <v/>
      </c>
      <c r="N609" s="9">
        <f>$N$1*(D609-D608)</f>
        <v/>
      </c>
      <c r="O609" s="9">
        <f>$O$1*LN(E609/E608)</f>
        <v/>
      </c>
      <c r="P609" s="9">
        <f>$P$1*LN(F609/F608)</f>
        <v/>
      </c>
      <c r="Q609" s="9">
        <f>$Q$1*(G609-G608)</f>
        <v/>
      </c>
      <c r="R609" s="9">
        <f>$R$1*(H609-H608)</f>
        <v/>
      </c>
      <c r="S609" s="9">
        <f>$S$1*LN(I609/I608)</f>
        <v/>
      </c>
      <c r="T609" s="9">
        <f>$T$1*LN(J609/J608)</f>
        <v/>
      </c>
      <c r="U609" s="9">
        <f>$W$12+$W$4*M609+$W$5*N609+$W$6*O609+$W$7*P609+$W$8*Q609+$W$9*R609+$W$10*S609+$W$11*T609</f>
        <v/>
      </c>
      <c r="AA609" s="10">
        <f>INDEX(LINEST(L350:L609,M350:T609,TRUE,TRUE),1,9)*52</f>
        <v/>
      </c>
      <c r="AB609" s="9">
        <f>INDEX(LINEST(L350:L609,M350:T609,TRUE,TRUE),1,8)</f>
        <v/>
      </c>
      <c r="AC609" s="9">
        <f>INDEX(LINEST(L350:L609,M350:T609,TRUE,TRUE),1,7)</f>
        <v/>
      </c>
      <c r="AD609" s="9">
        <f>INDEX(LINEST(L350:L609,M350:T609,TRUE,TRUE),1,6)</f>
        <v/>
      </c>
      <c r="AE609" s="9">
        <f>INDEX(LINEST(L350:L609,M350:T609,TRUE,TRUE),1,5)</f>
        <v/>
      </c>
      <c r="AF609" s="9">
        <f>INDEX(LINEST(L350:L609,M350:T609,TRUE,TRUE),1,4)</f>
        <v/>
      </c>
      <c r="AG609" s="9">
        <f>INDEX(LINEST(L350:L609,M350:T609,TRUE,TRUE),1,3)</f>
        <v/>
      </c>
      <c r="AH609" s="9">
        <f>INDEX(LINEST(L350:L609,M350:T609,TRUE,TRUE),1,2)</f>
        <v/>
      </c>
      <c r="AI609" s="9">
        <f>INDEX(LINEST(L350:L609,M350:T609,TRUE,TRUE),1,1)</f>
        <v/>
      </c>
      <c r="AJ609" s="10">
        <f>INDEX(LINEST(L350:L609,M350:T609,TRUE,TRUE),3,1)</f>
        <v/>
      </c>
      <c r="AK609" s="9">
        <f>AA608/52+AB608*M609+AC608*N609+AD608*O609+AE608*P609+AF608*Q609+AG608*R609+AH608*S609+AI608*T609</f>
        <v/>
      </c>
      <c r="AL609" s="9">
        <f>AVERAGE(L349:L608)</f>
        <v/>
      </c>
    </row>
    <row r="610">
      <c r="A610" s="7" t="n">
        <v>41880</v>
      </c>
      <c r="B610" s="8" t="n">
        <v>1285.75</v>
      </c>
      <c r="C610" s="8" t="n">
        <v>2.12</v>
      </c>
      <c r="D610" s="8" t="n">
        <v>0.23</v>
      </c>
      <c r="E610" s="8" t="n">
        <v>82.75</v>
      </c>
      <c r="F610" s="8" t="n">
        <v>97.86</v>
      </c>
      <c r="G610" s="8" t="n">
        <v>11.98</v>
      </c>
      <c r="H610" s="8" t="n">
        <v>60.490002</v>
      </c>
      <c r="I610" s="8" t="n">
        <v>2003.369995</v>
      </c>
      <c r="J610" s="8" t="n">
        <v>79.416359</v>
      </c>
      <c r="L610" s="9">
        <f>LN(B610/B609)</f>
        <v/>
      </c>
      <c r="M610" s="9">
        <f>$M$1*(C610-C609)</f>
        <v/>
      </c>
      <c r="N610" s="9">
        <f>$N$1*(D610-D609)</f>
        <v/>
      </c>
      <c r="O610" s="9">
        <f>$O$1*LN(E610/E609)</f>
        <v/>
      </c>
      <c r="P610" s="9">
        <f>$P$1*LN(F610/F609)</f>
        <v/>
      </c>
      <c r="Q610" s="9">
        <f>$Q$1*(G610-G609)</f>
        <v/>
      </c>
      <c r="R610" s="9">
        <f>$R$1*(H610-H609)</f>
        <v/>
      </c>
      <c r="S610" s="9">
        <f>$S$1*LN(I610/I609)</f>
        <v/>
      </c>
      <c r="T610" s="9">
        <f>$T$1*LN(J610/J609)</f>
        <v/>
      </c>
      <c r="U610" s="9">
        <f>$W$12+$W$4*M610+$W$5*N610+$W$6*O610+$W$7*P610+$W$8*Q610+$W$9*R610+$W$10*S610+$W$11*T610</f>
        <v/>
      </c>
      <c r="AA610" s="10">
        <f>INDEX(LINEST(L351:L610,M351:T610,TRUE,TRUE),1,9)*52</f>
        <v/>
      </c>
      <c r="AB610" s="9">
        <f>INDEX(LINEST(L351:L610,M351:T610,TRUE,TRUE),1,8)</f>
        <v/>
      </c>
      <c r="AC610" s="9">
        <f>INDEX(LINEST(L351:L610,M351:T610,TRUE,TRUE),1,7)</f>
        <v/>
      </c>
      <c r="AD610" s="9">
        <f>INDEX(LINEST(L351:L610,M351:T610,TRUE,TRUE),1,6)</f>
        <v/>
      </c>
      <c r="AE610" s="9">
        <f>INDEX(LINEST(L351:L610,M351:T610,TRUE,TRUE),1,5)</f>
        <v/>
      </c>
      <c r="AF610" s="9">
        <f>INDEX(LINEST(L351:L610,M351:T610,TRUE,TRUE),1,4)</f>
        <v/>
      </c>
      <c r="AG610" s="9">
        <f>INDEX(LINEST(L351:L610,M351:T610,TRUE,TRUE),1,3)</f>
        <v/>
      </c>
      <c r="AH610" s="9">
        <f>INDEX(LINEST(L351:L610,M351:T610,TRUE,TRUE),1,2)</f>
        <v/>
      </c>
      <c r="AI610" s="9">
        <f>INDEX(LINEST(L351:L610,M351:T610,TRUE,TRUE),1,1)</f>
        <v/>
      </c>
      <c r="AJ610" s="10">
        <f>INDEX(LINEST(L351:L610,M351:T610,TRUE,TRUE),3,1)</f>
        <v/>
      </c>
      <c r="AK610" s="9">
        <f>AA609/52+AB609*M610+AC609*N610+AD609*O610+AE609*P610+AF609*Q610+AG609*R610+AH609*S610+AI609*T610</f>
        <v/>
      </c>
      <c r="AL610" s="9">
        <f>AVERAGE(L350:L609)</f>
        <v/>
      </c>
    </row>
    <row r="611">
      <c r="A611" s="7" t="n">
        <v>41887</v>
      </c>
      <c r="B611" s="8" t="n">
        <v>1266</v>
      </c>
      <c r="C611" s="8" t="n">
        <v>2.15</v>
      </c>
      <c r="D611" s="8" t="n">
        <v>0.31</v>
      </c>
      <c r="E611" s="8" t="n">
        <v>83.760002</v>
      </c>
      <c r="F611" s="8" t="n">
        <v>93.31999999999999</v>
      </c>
      <c r="G611" s="8" t="n">
        <v>12.09</v>
      </c>
      <c r="H611" s="8" t="n">
        <v>60.299999</v>
      </c>
      <c r="I611" s="8" t="n">
        <v>2007.709961</v>
      </c>
      <c r="J611" s="8" t="n">
        <v>79.11618</v>
      </c>
      <c r="L611" s="9">
        <f>LN(B611/B610)</f>
        <v/>
      </c>
      <c r="M611" s="9">
        <f>$M$1*(C611-C610)</f>
        <v/>
      </c>
      <c r="N611" s="9">
        <f>$N$1*(D611-D610)</f>
        <v/>
      </c>
      <c r="O611" s="9">
        <f>$O$1*LN(E611/E610)</f>
        <v/>
      </c>
      <c r="P611" s="9">
        <f>$P$1*LN(F611/F610)</f>
        <v/>
      </c>
      <c r="Q611" s="9">
        <f>$Q$1*(G611-G610)</f>
        <v/>
      </c>
      <c r="R611" s="9">
        <f>$R$1*(H611-H610)</f>
        <v/>
      </c>
      <c r="S611" s="9">
        <f>$S$1*LN(I611/I610)</f>
        <v/>
      </c>
      <c r="T611" s="9">
        <f>$T$1*LN(J611/J610)</f>
        <v/>
      </c>
      <c r="U611" s="9">
        <f>$W$12+$W$4*M611+$W$5*N611+$W$6*O611+$W$7*P611+$W$8*Q611+$W$9*R611+$W$10*S611+$W$11*T611</f>
        <v/>
      </c>
      <c r="AA611" s="10">
        <f>INDEX(LINEST(L352:L611,M352:T611,TRUE,TRUE),1,9)*52</f>
        <v/>
      </c>
      <c r="AB611" s="9">
        <f>INDEX(LINEST(L352:L611,M352:T611,TRUE,TRUE),1,8)</f>
        <v/>
      </c>
      <c r="AC611" s="9">
        <f>INDEX(LINEST(L352:L611,M352:T611,TRUE,TRUE),1,7)</f>
        <v/>
      </c>
      <c r="AD611" s="9">
        <f>INDEX(LINEST(L352:L611,M352:T611,TRUE,TRUE),1,6)</f>
        <v/>
      </c>
      <c r="AE611" s="9">
        <f>INDEX(LINEST(L352:L611,M352:T611,TRUE,TRUE),1,5)</f>
        <v/>
      </c>
      <c r="AF611" s="9">
        <f>INDEX(LINEST(L352:L611,M352:T611,TRUE,TRUE),1,4)</f>
        <v/>
      </c>
      <c r="AG611" s="9">
        <f>INDEX(LINEST(L352:L611,M352:T611,TRUE,TRUE),1,3)</f>
        <v/>
      </c>
      <c r="AH611" s="9">
        <f>INDEX(LINEST(L352:L611,M352:T611,TRUE,TRUE),1,2)</f>
        <v/>
      </c>
      <c r="AI611" s="9">
        <f>INDEX(LINEST(L352:L611,M352:T611,TRUE,TRUE),1,1)</f>
        <v/>
      </c>
      <c r="AJ611" s="10">
        <f>INDEX(LINEST(L352:L611,M352:T611,TRUE,TRUE),3,1)</f>
        <v/>
      </c>
      <c r="AK611" s="9">
        <f>AA610/52+AB610*M611+AC610*N611+AD610*O611+AE610*P611+AF610*Q611+AG610*R611+AH610*S611+AI610*T611</f>
        <v/>
      </c>
      <c r="AL611" s="9">
        <f>AVERAGE(L351:L610)</f>
        <v/>
      </c>
    </row>
    <row r="612">
      <c r="A612" s="7" t="n">
        <v>41894</v>
      </c>
      <c r="B612" s="8" t="n">
        <v>1231.5</v>
      </c>
      <c r="C612" s="8" t="n">
        <v>2.13</v>
      </c>
      <c r="D612" s="8" t="n">
        <v>0.49</v>
      </c>
      <c r="E612" s="8" t="n">
        <v>84.239998</v>
      </c>
      <c r="F612" s="8" t="n">
        <v>92.18000000000001</v>
      </c>
      <c r="G612" s="8" t="n">
        <v>13.31</v>
      </c>
      <c r="H612" s="8" t="n">
        <v>65.599998</v>
      </c>
      <c r="I612" s="8" t="n">
        <v>1985.540039</v>
      </c>
      <c r="J612" s="8" t="n">
        <v>78.58086400000001</v>
      </c>
      <c r="L612" s="9">
        <f>LN(B612/B611)</f>
        <v/>
      </c>
      <c r="M612" s="9">
        <f>$M$1*(C612-C611)</f>
        <v/>
      </c>
      <c r="N612" s="9">
        <f>$N$1*(D612-D611)</f>
        <v/>
      </c>
      <c r="O612" s="9">
        <f>$O$1*LN(E612/E611)</f>
        <v/>
      </c>
      <c r="P612" s="9">
        <f>$P$1*LN(F612/F611)</f>
        <v/>
      </c>
      <c r="Q612" s="9">
        <f>$Q$1*(G612-G611)</f>
        <v/>
      </c>
      <c r="R612" s="9">
        <f>$R$1*(H612-H611)</f>
        <v/>
      </c>
      <c r="S612" s="9">
        <f>$S$1*LN(I612/I611)</f>
        <v/>
      </c>
      <c r="T612" s="9">
        <f>$T$1*LN(J612/J611)</f>
        <v/>
      </c>
      <c r="U612" s="9">
        <f>$W$12+$W$4*M612+$W$5*N612+$W$6*O612+$W$7*P612+$W$8*Q612+$W$9*R612+$W$10*S612+$W$11*T612</f>
        <v/>
      </c>
      <c r="AA612" s="10">
        <f>INDEX(LINEST(L353:L612,M353:T612,TRUE,TRUE),1,9)*52</f>
        <v/>
      </c>
      <c r="AB612" s="9">
        <f>INDEX(LINEST(L353:L612,M353:T612,TRUE,TRUE),1,8)</f>
        <v/>
      </c>
      <c r="AC612" s="9">
        <f>INDEX(LINEST(L353:L612,M353:T612,TRUE,TRUE),1,7)</f>
        <v/>
      </c>
      <c r="AD612" s="9">
        <f>INDEX(LINEST(L353:L612,M353:T612,TRUE,TRUE),1,6)</f>
        <v/>
      </c>
      <c r="AE612" s="9">
        <f>INDEX(LINEST(L353:L612,M353:T612,TRUE,TRUE),1,5)</f>
        <v/>
      </c>
      <c r="AF612" s="9">
        <f>INDEX(LINEST(L353:L612,M353:T612,TRUE,TRUE),1,4)</f>
        <v/>
      </c>
      <c r="AG612" s="9">
        <f>INDEX(LINEST(L353:L612,M353:T612,TRUE,TRUE),1,3)</f>
        <v/>
      </c>
      <c r="AH612" s="9">
        <f>INDEX(LINEST(L353:L612,M353:T612,TRUE,TRUE),1,2)</f>
        <v/>
      </c>
      <c r="AI612" s="9">
        <f>INDEX(LINEST(L353:L612,M353:T612,TRUE,TRUE),1,1)</f>
        <v/>
      </c>
      <c r="AJ612" s="10">
        <f>INDEX(LINEST(L353:L612,M353:T612,TRUE,TRUE),3,1)</f>
        <v/>
      </c>
      <c r="AK612" s="9">
        <f>AA611/52+AB611*M612+AC611*N612+AD611*O612+AE611*P612+AF611*Q612+AG611*R612+AH611*S612+AI611*T612</f>
        <v/>
      </c>
      <c r="AL612" s="9">
        <f>AVERAGE(L352:L611)</f>
        <v/>
      </c>
    </row>
    <row r="613">
      <c r="A613" s="7" t="n">
        <v>41901</v>
      </c>
      <c r="B613" s="8" t="n">
        <v>1219.75</v>
      </c>
      <c r="C613" s="8" t="n">
        <v>2.03</v>
      </c>
      <c r="D613" s="8" t="n">
        <v>0.5600000000000001</v>
      </c>
      <c r="E613" s="8" t="n">
        <v>84.800003</v>
      </c>
      <c r="F613" s="8" t="n">
        <v>92.43000000000001</v>
      </c>
      <c r="G613" s="8" t="n">
        <v>12.11</v>
      </c>
      <c r="H613" s="8" t="n">
        <v>59.799999</v>
      </c>
      <c r="I613" s="8" t="n">
        <v>2010.400024</v>
      </c>
      <c r="J613" s="8" t="n">
        <v>78.61702699999999</v>
      </c>
      <c r="L613" s="9">
        <f>LN(B613/B612)</f>
        <v/>
      </c>
      <c r="M613" s="9">
        <f>$M$1*(C613-C612)</f>
        <v/>
      </c>
      <c r="N613" s="9">
        <f>$N$1*(D613-D612)</f>
        <v/>
      </c>
      <c r="O613" s="9">
        <f>$O$1*LN(E613/E612)</f>
        <v/>
      </c>
      <c r="P613" s="9">
        <f>$P$1*LN(F613/F612)</f>
        <v/>
      </c>
      <c r="Q613" s="9">
        <f>$Q$1*(G613-G612)</f>
        <v/>
      </c>
      <c r="R613" s="9">
        <f>$R$1*(H613-H612)</f>
        <v/>
      </c>
      <c r="S613" s="9">
        <f>$S$1*LN(I613/I612)</f>
        <v/>
      </c>
      <c r="T613" s="9">
        <f>$T$1*LN(J613/J612)</f>
        <v/>
      </c>
      <c r="U613" s="9">
        <f>$W$12+$W$4*M613+$W$5*N613+$W$6*O613+$W$7*P613+$W$8*Q613+$W$9*R613+$W$10*S613+$W$11*T613</f>
        <v/>
      </c>
      <c r="AA613" s="10">
        <f>INDEX(LINEST(L354:L613,M354:T613,TRUE,TRUE),1,9)*52</f>
        <v/>
      </c>
      <c r="AB613" s="9">
        <f>INDEX(LINEST(L354:L613,M354:T613,TRUE,TRUE),1,8)</f>
        <v/>
      </c>
      <c r="AC613" s="9">
        <f>INDEX(LINEST(L354:L613,M354:T613,TRUE,TRUE),1,7)</f>
        <v/>
      </c>
      <c r="AD613" s="9">
        <f>INDEX(LINEST(L354:L613,M354:T613,TRUE,TRUE),1,6)</f>
        <v/>
      </c>
      <c r="AE613" s="9">
        <f>INDEX(LINEST(L354:L613,M354:T613,TRUE,TRUE),1,5)</f>
        <v/>
      </c>
      <c r="AF613" s="9">
        <f>INDEX(LINEST(L354:L613,M354:T613,TRUE,TRUE),1,4)</f>
        <v/>
      </c>
      <c r="AG613" s="9">
        <f>INDEX(LINEST(L354:L613,M354:T613,TRUE,TRUE),1,3)</f>
        <v/>
      </c>
      <c r="AH613" s="9">
        <f>INDEX(LINEST(L354:L613,M354:T613,TRUE,TRUE),1,2)</f>
        <v/>
      </c>
      <c r="AI613" s="9">
        <f>INDEX(LINEST(L354:L613,M354:T613,TRUE,TRUE),1,1)</f>
        <v/>
      </c>
      <c r="AJ613" s="10">
        <f>INDEX(LINEST(L354:L613,M354:T613,TRUE,TRUE),3,1)</f>
        <v/>
      </c>
      <c r="AK613" s="9">
        <f>AA612/52+AB612*M613+AC612*N613+AD612*O613+AE612*P613+AF612*Q613+AG612*R613+AH612*S613+AI612*T613</f>
        <v/>
      </c>
      <c r="AL613" s="9">
        <f>AVERAGE(L353:L612)</f>
        <v/>
      </c>
    </row>
    <row r="614">
      <c r="A614" s="7" t="n">
        <v>41908</v>
      </c>
      <c r="B614" s="8" t="n">
        <v>1213.75</v>
      </c>
      <c r="C614" s="8" t="n">
        <v>1.97</v>
      </c>
      <c r="D614" s="8" t="n">
        <v>0.57</v>
      </c>
      <c r="E614" s="8" t="n">
        <v>85.639999</v>
      </c>
      <c r="F614" s="8" t="n">
        <v>95.55</v>
      </c>
      <c r="G614" s="8" t="n">
        <v>14.85</v>
      </c>
      <c r="H614" s="8" t="n">
        <v>64.5</v>
      </c>
      <c r="I614" s="8" t="n">
        <v>1982.849976</v>
      </c>
      <c r="J614" s="8" t="n">
        <v>78.89192199999999</v>
      </c>
      <c r="L614" s="9">
        <f>LN(B614/B613)</f>
        <v/>
      </c>
      <c r="M614" s="9">
        <f>$M$1*(C614-C613)</f>
        <v/>
      </c>
      <c r="N614" s="9">
        <f>$N$1*(D614-D613)</f>
        <v/>
      </c>
      <c r="O614" s="9">
        <f>$O$1*LN(E614/E613)</f>
        <v/>
      </c>
      <c r="P614" s="9">
        <f>$P$1*LN(F614/F613)</f>
        <v/>
      </c>
      <c r="Q614" s="9">
        <f>$Q$1*(G614-G613)</f>
        <v/>
      </c>
      <c r="R614" s="9">
        <f>$R$1*(H614-H613)</f>
        <v/>
      </c>
      <c r="S614" s="9">
        <f>$S$1*LN(I614/I613)</f>
        <v/>
      </c>
      <c r="T614" s="9">
        <f>$T$1*LN(J614/J613)</f>
        <v/>
      </c>
      <c r="U614" s="9">
        <f>$W$12+$W$4*M614+$W$5*N614+$W$6*O614+$W$7*P614+$W$8*Q614+$W$9*R614+$W$10*S614+$W$11*T614</f>
        <v/>
      </c>
      <c r="AA614" s="10">
        <f>INDEX(LINEST(L355:L614,M355:T614,TRUE,TRUE),1,9)*52</f>
        <v/>
      </c>
      <c r="AB614" s="9">
        <f>INDEX(LINEST(L355:L614,M355:T614,TRUE,TRUE),1,8)</f>
        <v/>
      </c>
      <c r="AC614" s="9">
        <f>INDEX(LINEST(L355:L614,M355:T614,TRUE,TRUE),1,7)</f>
        <v/>
      </c>
      <c r="AD614" s="9">
        <f>INDEX(LINEST(L355:L614,M355:T614,TRUE,TRUE),1,6)</f>
        <v/>
      </c>
      <c r="AE614" s="9">
        <f>INDEX(LINEST(L355:L614,M355:T614,TRUE,TRUE),1,5)</f>
        <v/>
      </c>
      <c r="AF614" s="9">
        <f>INDEX(LINEST(L355:L614,M355:T614,TRUE,TRUE),1,4)</f>
        <v/>
      </c>
      <c r="AG614" s="9">
        <f>INDEX(LINEST(L355:L614,M355:T614,TRUE,TRUE),1,3)</f>
        <v/>
      </c>
      <c r="AH614" s="9">
        <f>INDEX(LINEST(L355:L614,M355:T614,TRUE,TRUE),1,2)</f>
        <v/>
      </c>
      <c r="AI614" s="9">
        <f>INDEX(LINEST(L355:L614,M355:T614,TRUE,TRUE),1,1)</f>
        <v/>
      </c>
      <c r="AJ614" s="10">
        <f>INDEX(LINEST(L355:L614,M355:T614,TRUE,TRUE),3,1)</f>
        <v/>
      </c>
      <c r="AK614" s="9">
        <f>AA613/52+AB613*M614+AC613*N614+AD613*O614+AE613*P614+AF613*Q614+AG613*R614+AH613*S614+AI613*T614</f>
        <v/>
      </c>
      <c r="AL614" s="9">
        <f>AVERAGE(L354:L613)</f>
        <v/>
      </c>
    </row>
    <row r="615">
      <c r="A615" s="7" t="n">
        <v>41915</v>
      </c>
      <c r="B615" s="8" t="n">
        <v>1195</v>
      </c>
      <c r="C615" s="8" t="n">
        <v>1.93</v>
      </c>
      <c r="D615" s="8" t="n">
        <v>0.52</v>
      </c>
      <c r="E615" s="8" t="n">
        <v>86.69000200000001</v>
      </c>
      <c r="F615" s="8" t="n">
        <v>89.76000000000001</v>
      </c>
      <c r="G615" s="8" t="n">
        <v>14.55</v>
      </c>
      <c r="H615" s="8" t="n">
        <v>62.5</v>
      </c>
      <c r="I615" s="8" t="n">
        <v>1967.900024</v>
      </c>
      <c r="J615" s="8" t="n">
        <v>79.20275100000001</v>
      </c>
      <c r="L615" s="9">
        <f>LN(B615/B614)</f>
        <v/>
      </c>
      <c r="M615" s="9">
        <f>$M$1*(C615-C614)</f>
        <v/>
      </c>
      <c r="N615" s="9">
        <f>$N$1*(D615-D614)</f>
        <v/>
      </c>
      <c r="O615" s="9">
        <f>$O$1*LN(E615/E614)</f>
        <v/>
      </c>
      <c r="P615" s="9">
        <f>$P$1*LN(F615/F614)</f>
        <v/>
      </c>
      <c r="Q615" s="9">
        <f>$Q$1*(G615-G614)</f>
        <v/>
      </c>
      <c r="R615" s="9">
        <f>$R$1*(H615-H614)</f>
        <v/>
      </c>
      <c r="S615" s="9">
        <f>$S$1*LN(I615/I614)</f>
        <v/>
      </c>
      <c r="T615" s="9">
        <f>$T$1*LN(J615/J614)</f>
        <v/>
      </c>
      <c r="U615" s="9">
        <f>$W$12+$W$4*M615+$W$5*N615+$W$6*O615+$W$7*P615+$W$8*Q615+$W$9*R615+$W$10*S615+$W$11*T615</f>
        <v/>
      </c>
      <c r="AA615" s="10">
        <f>INDEX(LINEST(L356:L615,M356:T615,TRUE,TRUE),1,9)*52</f>
        <v/>
      </c>
      <c r="AB615" s="9">
        <f>INDEX(LINEST(L356:L615,M356:T615,TRUE,TRUE),1,8)</f>
        <v/>
      </c>
      <c r="AC615" s="9">
        <f>INDEX(LINEST(L356:L615,M356:T615,TRUE,TRUE),1,7)</f>
        <v/>
      </c>
      <c r="AD615" s="9">
        <f>INDEX(LINEST(L356:L615,M356:T615,TRUE,TRUE),1,6)</f>
        <v/>
      </c>
      <c r="AE615" s="9">
        <f>INDEX(LINEST(L356:L615,M356:T615,TRUE,TRUE),1,5)</f>
        <v/>
      </c>
      <c r="AF615" s="9">
        <f>INDEX(LINEST(L356:L615,M356:T615,TRUE,TRUE),1,4)</f>
        <v/>
      </c>
      <c r="AG615" s="9">
        <f>INDEX(LINEST(L356:L615,M356:T615,TRUE,TRUE),1,3)</f>
        <v/>
      </c>
      <c r="AH615" s="9">
        <f>INDEX(LINEST(L356:L615,M356:T615,TRUE,TRUE),1,2)</f>
        <v/>
      </c>
      <c r="AI615" s="9">
        <f>INDEX(LINEST(L356:L615,M356:T615,TRUE,TRUE),1,1)</f>
        <v/>
      </c>
      <c r="AJ615" s="10">
        <f>INDEX(LINEST(L356:L615,M356:T615,TRUE,TRUE),3,1)</f>
        <v/>
      </c>
      <c r="AK615" s="9">
        <f>AA614/52+AB614*M615+AC614*N615+AD614*O615+AE614*P615+AF614*Q615+AG614*R615+AH614*S615+AI614*T615</f>
        <v/>
      </c>
      <c r="AL615" s="9">
        <f>AVERAGE(L355:L614)</f>
        <v/>
      </c>
    </row>
    <row r="616">
      <c r="A616" s="7" t="n">
        <v>41922</v>
      </c>
      <c r="B616" s="8" t="n">
        <v>1219</v>
      </c>
      <c r="C616" s="8" t="n">
        <v>1.96</v>
      </c>
      <c r="D616" s="8" t="n">
        <v>0.35</v>
      </c>
      <c r="E616" s="8" t="n">
        <v>85.910004</v>
      </c>
      <c r="F616" s="8" t="n">
        <v>85.87</v>
      </c>
      <c r="G616" s="8" t="n">
        <v>21.24</v>
      </c>
      <c r="H616" s="8" t="n">
        <v>68.699997</v>
      </c>
      <c r="I616" s="8" t="n">
        <v>1906.130005</v>
      </c>
      <c r="J616" s="8" t="n">
        <v>79.702744</v>
      </c>
      <c r="L616" s="9">
        <f>LN(B616/B615)</f>
        <v/>
      </c>
      <c r="M616" s="9">
        <f>$M$1*(C616-C615)</f>
        <v/>
      </c>
      <c r="N616" s="9">
        <f>$N$1*(D616-D615)</f>
        <v/>
      </c>
      <c r="O616" s="9">
        <f>$O$1*LN(E616/E615)</f>
        <v/>
      </c>
      <c r="P616" s="9">
        <f>$P$1*LN(F616/F615)</f>
        <v/>
      </c>
      <c r="Q616" s="9">
        <f>$Q$1*(G616-G615)</f>
        <v/>
      </c>
      <c r="R616" s="9">
        <f>$R$1*(H616-H615)</f>
        <v/>
      </c>
      <c r="S616" s="9">
        <f>$S$1*LN(I616/I615)</f>
        <v/>
      </c>
      <c r="T616" s="9">
        <f>$T$1*LN(J616/J615)</f>
        <v/>
      </c>
      <c r="U616" s="9">
        <f>$W$12+$W$4*M616+$W$5*N616+$W$6*O616+$W$7*P616+$W$8*Q616+$W$9*R616+$W$10*S616+$W$11*T616</f>
        <v/>
      </c>
      <c r="AA616" s="10">
        <f>INDEX(LINEST(L357:L616,M357:T616,TRUE,TRUE),1,9)*52</f>
        <v/>
      </c>
      <c r="AB616" s="9">
        <f>INDEX(LINEST(L357:L616,M357:T616,TRUE,TRUE),1,8)</f>
        <v/>
      </c>
      <c r="AC616" s="9">
        <f>INDEX(LINEST(L357:L616,M357:T616,TRUE,TRUE),1,7)</f>
        <v/>
      </c>
      <c r="AD616" s="9">
        <f>INDEX(LINEST(L357:L616,M357:T616,TRUE,TRUE),1,6)</f>
        <v/>
      </c>
      <c r="AE616" s="9">
        <f>INDEX(LINEST(L357:L616,M357:T616,TRUE,TRUE),1,5)</f>
        <v/>
      </c>
      <c r="AF616" s="9">
        <f>INDEX(LINEST(L357:L616,M357:T616,TRUE,TRUE),1,4)</f>
        <v/>
      </c>
      <c r="AG616" s="9">
        <f>INDEX(LINEST(L357:L616,M357:T616,TRUE,TRUE),1,3)</f>
        <v/>
      </c>
      <c r="AH616" s="9">
        <f>INDEX(LINEST(L357:L616,M357:T616,TRUE,TRUE),1,2)</f>
        <v/>
      </c>
      <c r="AI616" s="9">
        <f>INDEX(LINEST(L357:L616,M357:T616,TRUE,TRUE),1,1)</f>
        <v/>
      </c>
      <c r="AJ616" s="10">
        <f>INDEX(LINEST(L357:L616,M357:T616,TRUE,TRUE),3,1)</f>
        <v/>
      </c>
      <c r="AK616" s="9">
        <f>AA615/52+AB615*M616+AC615*N616+AD615*O616+AE615*P616+AF615*Q616+AG615*R616+AH615*S616+AI615*T616</f>
        <v/>
      </c>
      <c r="AL616" s="9">
        <f>AVERAGE(L356:L615)</f>
        <v/>
      </c>
    </row>
    <row r="617">
      <c r="A617" s="7" t="n">
        <v>41929</v>
      </c>
      <c r="B617" s="8" t="n">
        <v>1234.25</v>
      </c>
      <c r="C617" s="8" t="n">
        <v>1.92</v>
      </c>
      <c r="D617" s="8" t="n">
        <v>0.3</v>
      </c>
      <c r="E617" s="8" t="n">
        <v>85.19000200000001</v>
      </c>
      <c r="F617" s="8" t="n">
        <v>82.8</v>
      </c>
      <c r="G617" s="8" t="n">
        <v>21.99</v>
      </c>
      <c r="H617" s="8" t="n">
        <v>82.900002</v>
      </c>
      <c r="I617" s="8" t="n">
        <v>1886.76001</v>
      </c>
      <c r="J617" s="8" t="n">
        <v>80.086761</v>
      </c>
      <c r="L617" s="9">
        <f>LN(B617/B616)</f>
        <v/>
      </c>
      <c r="M617" s="9">
        <f>$M$1*(C617-C616)</f>
        <v/>
      </c>
      <c r="N617" s="9">
        <f>$N$1*(D617-D616)</f>
        <v/>
      </c>
      <c r="O617" s="9">
        <f>$O$1*LN(E617/E616)</f>
        <v/>
      </c>
      <c r="P617" s="9">
        <f>$P$1*LN(F617/F616)</f>
        <v/>
      </c>
      <c r="Q617" s="9">
        <f>$Q$1*(G617-G616)</f>
        <v/>
      </c>
      <c r="R617" s="9">
        <f>$R$1*(H617-H616)</f>
        <v/>
      </c>
      <c r="S617" s="9">
        <f>$S$1*LN(I617/I616)</f>
        <v/>
      </c>
      <c r="T617" s="9">
        <f>$T$1*LN(J617/J616)</f>
        <v/>
      </c>
      <c r="U617" s="9">
        <f>$W$12+$W$4*M617+$W$5*N617+$W$6*O617+$W$7*P617+$W$8*Q617+$W$9*R617+$W$10*S617+$W$11*T617</f>
        <v/>
      </c>
      <c r="AA617" s="10">
        <f>INDEX(LINEST(L358:L617,M358:T617,TRUE,TRUE),1,9)*52</f>
        <v/>
      </c>
      <c r="AB617" s="9">
        <f>INDEX(LINEST(L358:L617,M358:T617,TRUE,TRUE),1,8)</f>
        <v/>
      </c>
      <c r="AC617" s="9">
        <f>INDEX(LINEST(L358:L617,M358:T617,TRUE,TRUE),1,7)</f>
        <v/>
      </c>
      <c r="AD617" s="9">
        <f>INDEX(LINEST(L358:L617,M358:T617,TRUE,TRUE),1,6)</f>
        <v/>
      </c>
      <c r="AE617" s="9">
        <f>INDEX(LINEST(L358:L617,M358:T617,TRUE,TRUE),1,5)</f>
        <v/>
      </c>
      <c r="AF617" s="9">
        <f>INDEX(LINEST(L358:L617,M358:T617,TRUE,TRUE),1,4)</f>
        <v/>
      </c>
      <c r="AG617" s="9">
        <f>INDEX(LINEST(L358:L617,M358:T617,TRUE,TRUE),1,3)</f>
        <v/>
      </c>
      <c r="AH617" s="9">
        <f>INDEX(LINEST(L358:L617,M358:T617,TRUE,TRUE),1,2)</f>
        <v/>
      </c>
      <c r="AI617" s="9">
        <f>INDEX(LINEST(L358:L617,M358:T617,TRUE,TRUE),1,1)</f>
        <v/>
      </c>
      <c r="AJ617" s="10">
        <f>INDEX(LINEST(L358:L617,M358:T617,TRUE,TRUE),3,1)</f>
        <v/>
      </c>
      <c r="AK617" s="9">
        <f>AA616/52+AB616*M617+AC616*N617+AD616*O617+AE616*P617+AF616*Q617+AG616*R617+AH616*S617+AI616*T617</f>
        <v/>
      </c>
      <c r="AL617" s="9">
        <f>AVERAGE(L357:L616)</f>
        <v/>
      </c>
    </row>
    <row r="618">
      <c r="A618" s="7" t="n">
        <v>41936</v>
      </c>
      <c r="B618" s="8" t="n">
        <v>1232.75</v>
      </c>
      <c r="C618" s="8" t="n">
        <v>1.9</v>
      </c>
      <c r="D618" s="8" t="n">
        <v>0.39</v>
      </c>
      <c r="E618" s="8" t="n">
        <v>85.730003</v>
      </c>
      <c r="F618" s="8" t="n">
        <v>81.27</v>
      </c>
      <c r="G618" s="8" t="n">
        <v>16.11</v>
      </c>
      <c r="H618" s="8" t="n">
        <v>81.610001</v>
      </c>
      <c r="I618" s="8" t="n">
        <v>1964.579956</v>
      </c>
      <c r="J618" s="8" t="n">
        <v>79.90559399999999</v>
      </c>
      <c r="L618" s="9">
        <f>LN(B618/B617)</f>
        <v/>
      </c>
      <c r="M618" s="9">
        <f>$M$1*(C618-C617)</f>
        <v/>
      </c>
      <c r="N618" s="9">
        <f>$N$1*(D618-D617)</f>
        <v/>
      </c>
      <c r="O618" s="9">
        <f>$O$1*LN(E618/E617)</f>
        <v/>
      </c>
      <c r="P618" s="9">
        <f>$P$1*LN(F618/F617)</f>
        <v/>
      </c>
      <c r="Q618" s="9">
        <f>$Q$1*(G618-G617)</f>
        <v/>
      </c>
      <c r="R618" s="9">
        <f>$R$1*(H618-H617)</f>
        <v/>
      </c>
      <c r="S618" s="9">
        <f>$S$1*LN(I618/I617)</f>
        <v/>
      </c>
      <c r="T618" s="9">
        <f>$T$1*LN(J618/J617)</f>
        <v/>
      </c>
      <c r="U618" s="9">
        <f>$W$12+$W$4*M618+$W$5*N618+$W$6*O618+$W$7*P618+$W$8*Q618+$W$9*R618+$W$10*S618+$W$11*T618</f>
        <v/>
      </c>
      <c r="AA618" s="10">
        <f>INDEX(LINEST(L359:L618,M359:T618,TRUE,TRUE),1,9)*52</f>
        <v/>
      </c>
      <c r="AB618" s="9">
        <f>INDEX(LINEST(L359:L618,M359:T618,TRUE,TRUE),1,8)</f>
        <v/>
      </c>
      <c r="AC618" s="9">
        <f>INDEX(LINEST(L359:L618,M359:T618,TRUE,TRUE),1,7)</f>
        <v/>
      </c>
      <c r="AD618" s="9">
        <f>INDEX(LINEST(L359:L618,M359:T618,TRUE,TRUE),1,6)</f>
        <v/>
      </c>
      <c r="AE618" s="9">
        <f>INDEX(LINEST(L359:L618,M359:T618,TRUE,TRUE),1,5)</f>
        <v/>
      </c>
      <c r="AF618" s="9">
        <f>INDEX(LINEST(L359:L618,M359:T618,TRUE,TRUE),1,4)</f>
        <v/>
      </c>
      <c r="AG618" s="9">
        <f>INDEX(LINEST(L359:L618,M359:T618,TRUE,TRUE),1,3)</f>
        <v/>
      </c>
      <c r="AH618" s="9">
        <f>INDEX(LINEST(L359:L618,M359:T618,TRUE,TRUE),1,2)</f>
        <v/>
      </c>
      <c r="AI618" s="9">
        <f>INDEX(LINEST(L359:L618,M359:T618,TRUE,TRUE),1,1)</f>
        <v/>
      </c>
      <c r="AJ618" s="10">
        <f>INDEX(LINEST(L359:L618,M359:T618,TRUE,TRUE),3,1)</f>
        <v/>
      </c>
      <c r="AK618" s="9">
        <f>AA617/52+AB617*M618+AC617*N618+AD617*O618+AE617*P618+AF617*Q618+AG617*R618+AH617*S618+AI617*T618</f>
        <v/>
      </c>
      <c r="AL618" s="9">
        <f>AVERAGE(L358:L617)</f>
        <v/>
      </c>
    </row>
    <row r="619">
      <c r="A619" s="7" t="n">
        <v>41943</v>
      </c>
      <c r="B619" s="8" t="n">
        <v>1164.25</v>
      </c>
      <c r="C619" s="8" t="n">
        <v>1.92</v>
      </c>
      <c r="D619" s="8" t="n">
        <v>0.43</v>
      </c>
      <c r="E619" s="8" t="n">
        <v>86.879997</v>
      </c>
      <c r="F619" s="8" t="n">
        <v>80.53</v>
      </c>
      <c r="G619" s="8" t="n">
        <v>14.03</v>
      </c>
      <c r="H619" s="8" t="n">
        <v>68.699997</v>
      </c>
      <c r="I619" s="8" t="n">
        <v>2018.050049</v>
      </c>
      <c r="J619" s="8" t="n">
        <v>79.76796</v>
      </c>
      <c r="L619" s="9">
        <f>LN(B619/B618)</f>
        <v/>
      </c>
      <c r="M619" s="9">
        <f>$M$1*(C619-C618)</f>
        <v/>
      </c>
      <c r="N619" s="9">
        <f>$N$1*(D619-D618)</f>
        <v/>
      </c>
      <c r="O619" s="9">
        <f>$O$1*LN(E619/E618)</f>
        <v/>
      </c>
      <c r="P619" s="9">
        <f>$P$1*LN(F619/F618)</f>
        <v/>
      </c>
      <c r="Q619" s="9">
        <f>$Q$1*(G619-G618)</f>
        <v/>
      </c>
      <c r="R619" s="9">
        <f>$R$1*(H619-H618)</f>
        <v/>
      </c>
      <c r="S619" s="9">
        <f>$S$1*LN(I619/I618)</f>
        <v/>
      </c>
      <c r="T619" s="9">
        <f>$T$1*LN(J619/J618)</f>
        <v/>
      </c>
      <c r="U619" s="9">
        <f>$W$12+$W$4*M619+$W$5*N619+$W$6*O619+$W$7*P619+$W$8*Q619+$W$9*R619+$W$10*S619+$W$11*T619</f>
        <v/>
      </c>
      <c r="AA619" s="10">
        <f>INDEX(LINEST(L360:L619,M360:T619,TRUE,TRUE),1,9)*52</f>
        <v/>
      </c>
      <c r="AB619" s="9">
        <f>INDEX(LINEST(L360:L619,M360:T619,TRUE,TRUE),1,8)</f>
        <v/>
      </c>
      <c r="AC619" s="9">
        <f>INDEX(LINEST(L360:L619,M360:T619,TRUE,TRUE),1,7)</f>
        <v/>
      </c>
      <c r="AD619" s="9">
        <f>INDEX(LINEST(L360:L619,M360:T619,TRUE,TRUE),1,6)</f>
        <v/>
      </c>
      <c r="AE619" s="9">
        <f>INDEX(LINEST(L360:L619,M360:T619,TRUE,TRUE),1,5)</f>
        <v/>
      </c>
      <c r="AF619" s="9">
        <f>INDEX(LINEST(L360:L619,M360:T619,TRUE,TRUE),1,4)</f>
        <v/>
      </c>
      <c r="AG619" s="9">
        <f>INDEX(LINEST(L360:L619,M360:T619,TRUE,TRUE),1,3)</f>
        <v/>
      </c>
      <c r="AH619" s="9">
        <f>INDEX(LINEST(L360:L619,M360:T619,TRUE,TRUE),1,2)</f>
        <v/>
      </c>
      <c r="AI619" s="9">
        <f>INDEX(LINEST(L360:L619,M360:T619,TRUE,TRUE),1,1)</f>
        <v/>
      </c>
      <c r="AJ619" s="10">
        <f>INDEX(LINEST(L360:L619,M360:T619,TRUE,TRUE),3,1)</f>
        <v/>
      </c>
      <c r="AK619" s="9">
        <f>AA618/52+AB618*M619+AC618*N619+AD618*O619+AE618*P619+AF618*Q619+AG618*R619+AH618*S619+AI618*T619</f>
        <v/>
      </c>
      <c r="AL619" s="9">
        <f>AVERAGE(L359:L618)</f>
        <v/>
      </c>
    </row>
    <row r="620">
      <c r="A620" s="7" t="n">
        <v>41950</v>
      </c>
      <c r="B620" s="8" t="n">
        <v>1154.5</v>
      </c>
      <c r="C620" s="8" t="n">
        <v>1.94</v>
      </c>
      <c r="D620" s="8" t="n">
        <v>0.38</v>
      </c>
      <c r="E620" s="8" t="n">
        <v>87.639999</v>
      </c>
      <c r="F620" s="8" t="n">
        <v>78.70999999999999</v>
      </c>
      <c r="G620" s="8" t="n">
        <v>13.12</v>
      </c>
      <c r="H620" s="8" t="n">
        <v>66.599998</v>
      </c>
      <c r="I620" s="8" t="n">
        <v>2031.920044</v>
      </c>
      <c r="J620" s="8" t="n">
        <v>79.783913</v>
      </c>
      <c r="L620" s="9">
        <f>LN(B620/B619)</f>
        <v/>
      </c>
      <c r="M620" s="9">
        <f>$M$1*(C620-C619)</f>
        <v/>
      </c>
      <c r="N620" s="9">
        <f>$N$1*(D620-D619)</f>
        <v/>
      </c>
      <c r="O620" s="9">
        <f>$O$1*LN(E620/E619)</f>
        <v/>
      </c>
      <c r="P620" s="9">
        <f>$P$1*LN(F620/F619)</f>
        <v/>
      </c>
      <c r="Q620" s="9">
        <f>$Q$1*(G620-G619)</f>
        <v/>
      </c>
      <c r="R620" s="9">
        <f>$R$1*(H620-H619)</f>
        <v/>
      </c>
      <c r="S620" s="9">
        <f>$S$1*LN(I620/I619)</f>
        <v/>
      </c>
      <c r="T620" s="9">
        <f>$T$1*LN(J620/J619)</f>
        <v/>
      </c>
      <c r="U620" s="9">
        <f>$W$12+$W$4*M620+$W$5*N620+$W$6*O620+$W$7*P620+$W$8*Q620+$W$9*R620+$W$10*S620+$W$11*T620</f>
        <v/>
      </c>
      <c r="AA620" s="10">
        <f>INDEX(LINEST(L361:L620,M361:T620,TRUE,TRUE),1,9)*52</f>
        <v/>
      </c>
      <c r="AB620" s="9">
        <f>INDEX(LINEST(L361:L620,M361:T620,TRUE,TRUE),1,8)</f>
        <v/>
      </c>
      <c r="AC620" s="9">
        <f>INDEX(LINEST(L361:L620,M361:T620,TRUE,TRUE),1,7)</f>
        <v/>
      </c>
      <c r="AD620" s="9">
        <f>INDEX(LINEST(L361:L620,M361:T620,TRUE,TRUE),1,6)</f>
        <v/>
      </c>
      <c r="AE620" s="9">
        <f>INDEX(LINEST(L361:L620,M361:T620,TRUE,TRUE),1,5)</f>
        <v/>
      </c>
      <c r="AF620" s="9">
        <f>INDEX(LINEST(L361:L620,M361:T620,TRUE,TRUE),1,4)</f>
        <v/>
      </c>
      <c r="AG620" s="9">
        <f>INDEX(LINEST(L361:L620,M361:T620,TRUE,TRUE),1,3)</f>
        <v/>
      </c>
      <c r="AH620" s="9">
        <f>INDEX(LINEST(L361:L620,M361:T620,TRUE,TRUE),1,2)</f>
        <v/>
      </c>
      <c r="AI620" s="9">
        <f>INDEX(LINEST(L361:L620,M361:T620,TRUE,TRUE),1,1)</f>
        <v/>
      </c>
      <c r="AJ620" s="10">
        <f>INDEX(LINEST(L361:L620,M361:T620,TRUE,TRUE),3,1)</f>
        <v/>
      </c>
      <c r="AK620" s="9">
        <f>AA619/52+AB619*M620+AC619*N620+AD619*O620+AE619*P620+AF619*Q620+AG619*R620+AH619*S620+AI619*T620</f>
        <v/>
      </c>
      <c r="AL620" s="9">
        <f>AVERAGE(L360:L619)</f>
        <v/>
      </c>
    </row>
    <row r="621">
      <c r="A621" s="7" t="n">
        <v>41957</v>
      </c>
      <c r="B621" s="8" t="n">
        <v>1169</v>
      </c>
      <c r="C621" s="8" t="n">
        <v>1.89</v>
      </c>
      <c r="D621" s="8" t="n">
        <v>0.43</v>
      </c>
      <c r="E621" s="8" t="n">
        <v>87.529999</v>
      </c>
      <c r="F621" s="8" t="n">
        <v>75.91</v>
      </c>
      <c r="G621" s="8" t="n">
        <v>13.31</v>
      </c>
      <c r="H621" s="8" t="n">
        <v>67</v>
      </c>
      <c r="I621" s="8" t="n">
        <v>2039.819946</v>
      </c>
      <c r="J621" s="8" t="n">
        <v>79.747604</v>
      </c>
      <c r="L621" s="9">
        <f>LN(B621/B620)</f>
        <v/>
      </c>
      <c r="M621" s="9">
        <f>$M$1*(C621-C620)</f>
        <v/>
      </c>
      <c r="N621" s="9">
        <f>$N$1*(D621-D620)</f>
        <v/>
      </c>
      <c r="O621" s="9">
        <f>$O$1*LN(E621/E620)</f>
        <v/>
      </c>
      <c r="P621" s="9">
        <f>$P$1*LN(F621/F620)</f>
        <v/>
      </c>
      <c r="Q621" s="9">
        <f>$Q$1*(G621-G620)</f>
        <v/>
      </c>
      <c r="R621" s="9">
        <f>$R$1*(H621-H620)</f>
        <v/>
      </c>
      <c r="S621" s="9">
        <f>$S$1*LN(I621/I620)</f>
        <v/>
      </c>
      <c r="T621" s="9">
        <f>$T$1*LN(J621/J620)</f>
        <v/>
      </c>
      <c r="U621" s="9">
        <f>$W$12+$W$4*M621+$W$5*N621+$W$6*O621+$W$7*P621+$W$8*Q621+$W$9*R621+$W$10*S621+$W$11*T621</f>
        <v/>
      </c>
      <c r="AA621" s="10">
        <f>INDEX(LINEST(L362:L621,M362:T621,TRUE,TRUE),1,9)*52</f>
        <v/>
      </c>
      <c r="AB621" s="9">
        <f>INDEX(LINEST(L362:L621,M362:T621,TRUE,TRUE),1,8)</f>
        <v/>
      </c>
      <c r="AC621" s="9">
        <f>INDEX(LINEST(L362:L621,M362:T621,TRUE,TRUE),1,7)</f>
        <v/>
      </c>
      <c r="AD621" s="9">
        <f>INDEX(LINEST(L362:L621,M362:T621,TRUE,TRUE),1,6)</f>
        <v/>
      </c>
      <c r="AE621" s="9">
        <f>INDEX(LINEST(L362:L621,M362:T621,TRUE,TRUE),1,5)</f>
        <v/>
      </c>
      <c r="AF621" s="9">
        <f>INDEX(LINEST(L362:L621,M362:T621,TRUE,TRUE),1,4)</f>
        <v/>
      </c>
      <c r="AG621" s="9">
        <f>INDEX(LINEST(L362:L621,M362:T621,TRUE,TRUE),1,3)</f>
        <v/>
      </c>
      <c r="AH621" s="9">
        <f>INDEX(LINEST(L362:L621,M362:T621,TRUE,TRUE),1,2)</f>
        <v/>
      </c>
      <c r="AI621" s="9">
        <f>INDEX(LINEST(L362:L621,M362:T621,TRUE,TRUE),1,1)</f>
        <v/>
      </c>
      <c r="AJ621" s="10">
        <f>INDEX(LINEST(L362:L621,M362:T621,TRUE,TRUE),3,1)</f>
        <v/>
      </c>
      <c r="AK621" s="9">
        <f>AA620/52+AB620*M621+AC620*N621+AD620*O621+AE620*P621+AF620*Q621+AG620*R621+AH620*S621+AI620*T621</f>
        <v/>
      </c>
      <c r="AL621" s="9">
        <f>AVERAGE(L361:L620)</f>
        <v/>
      </c>
    </row>
    <row r="622">
      <c r="A622" s="7" t="n">
        <v>41964</v>
      </c>
      <c r="B622" s="8" t="n">
        <v>1203.75</v>
      </c>
      <c r="C622" s="8" t="n">
        <v>1.86</v>
      </c>
      <c r="D622" s="8" t="n">
        <v>0.45</v>
      </c>
      <c r="E622" s="8" t="n">
        <v>88.30999799999999</v>
      </c>
      <c r="F622" s="8" t="n">
        <v>76.52</v>
      </c>
      <c r="G622" s="8" t="n">
        <v>12.9</v>
      </c>
      <c r="H622" s="8" t="n">
        <v>67</v>
      </c>
      <c r="I622" s="8" t="n">
        <v>2063.5</v>
      </c>
      <c r="J622" s="8" t="n">
        <v>79.77666499999999</v>
      </c>
      <c r="L622" s="9">
        <f>LN(B622/B621)</f>
        <v/>
      </c>
      <c r="M622" s="9">
        <f>$M$1*(C622-C621)</f>
        <v/>
      </c>
      <c r="N622" s="9">
        <f>$N$1*(D622-D621)</f>
        <v/>
      </c>
      <c r="O622" s="9">
        <f>$O$1*LN(E622/E621)</f>
        <v/>
      </c>
      <c r="P622" s="9">
        <f>$P$1*LN(F622/F621)</f>
        <v/>
      </c>
      <c r="Q622" s="9">
        <f>$Q$1*(G622-G621)</f>
        <v/>
      </c>
      <c r="R622" s="9">
        <f>$R$1*(H622-H621)</f>
        <v/>
      </c>
      <c r="S622" s="9">
        <f>$S$1*LN(I622/I621)</f>
        <v/>
      </c>
      <c r="T622" s="9">
        <f>$T$1*LN(J622/J621)</f>
        <v/>
      </c>
      <c r="U622" s="9">
        <f>$W$12+$W$4*M622+$W$5*N622+$W$6*O622+$W$7*P622+$W$8*Q622+$W$9*R622+$W$10*S622+$W$11*T622</f>
        <v/>
      </c>
      <c r="AA622" s="10">
        <f>INDEX(LINEST(L363:L622,M363:T622,TRUE,TRUE),1,9)*52</f>
        <v/>
      </c>
      <c r="AB622" s="9">
        <f>INDEX(LINEST(L363:L622,M363:T622,TRUE,TRUE),1,8)</f>
        <v/>
      </c>
      <c r="AC622" s="9">
        <f>INDEX(LINEST(L363:L622,M363:T622,TRUE,TRUE),1,7)</f>
        <v/>
      </c>
      <c r="AD622" s="9">
        <f>INDEX(LINEST(L363:L622,M363:T622,TRUE,TRUE),1,6)</f>
        <v/>
      </c>
      <c r="AE622" s="9">
        <f>INDEX(LINEST(L363:L622,M363:T622,TRUE,TRUE),1,5)</f>
        <v/>
      </c>
      <c r="AF622" s="9">
        <f>INDEX(LINEST(L363:L622,M363:T622,TRUE,TRUE),1,4)</f>
        <v/>
      </c>
      <c r="AG622" s="9">
        <f>INDEX(LINEST(L363:L622,M363:T622,TRUE,TRUE),1,3)</f>
        <v/>
      </c>
      <c r="AH622" s="9">
        <f>INDEX(LINEST(L363:L622,M363:T622,TRUE,TRUE),1,2)</f>
        <v/>
      </c>
      <c r="AI622" s="9">
        <f>INDEX(LINEST(L363:L622,M363:T622,TRUE,TRUE),1,1)</f>
        <v/>
      </c>
      <c r="AJ622" s="10">
        <f>INDEX(LINEST(L363:L622,M363:T622,TRUE,TRUE),3,1)</f>
        <v/>
      </c>
      <c r="AK622" s="9">
        <f>AA621/52+AB621*M622+AC621*N622+AD621*O622+AE621*P622+AF621*Q622+AG621*R622+AH621*S622+AI621*T622</f>
        <v/>
      </c>
      <c r="AL622" s="9">
        <f>AVERAGE(L362:L621)</f>
        <v/>
      </c>
    </row>
    <row r="623">
      <c r="A623" s="7" t="n">
        <v>41971</v>
      </c>
      <c r="B623" s="8" t="n">
        <v>1182.75</v>
      </c>
      <c r="C623" s="8" t="n">
        <v>1.79</v>
      </c>
      <c r="D623" s="8" t="n">
        <v>0.39</v>
      </c>
      <c r="E623" s="8" t="n">
        <v>88.360001</v>
      </c>
      <c r="F623" s="8" t="n">
        <v>65.94</v>
      </c>
      <c r="G623" s="8" t="n">
        <v>13.33</v>
      </c>
      <c r="H623" s="8" t="n">
        <v>66.599998</v>
      </c>
      <c r="I623" s="8" t="n">
        <v>2067.560059</v>
      </c>
      <c r="J623" s="8" t="n">
        <v>80.292023</v>
      </c>
      <c r="L623" s="9">
        <f>LN(B623/B622)</f>
        <v/>
      </c>
      <c r="M623" s="9">
        <f>$M$1*(C623-C622)</f>
        <v/>
      </c>
      <c r="N623" s="9">
        <f>$N$1*(D623-D622)</f>
        <v/>
      </c>
      <c r="O623" s="9">
        <f>$O$1*LN(E623/E622)</f>
        <v/>
      </c>
      <c r="P623" s="9">
        <f>$P$1*LN(F623/F622)</f>
        <v/>
      </c>
      <c r="Q623" s="9">
        <f>$Q$1*(G623-G622)</f>
        <v/>
      </c>
      <c r="R623" s="9">
        <f>$R$1*(H623-H622)</f>
        <v/>
      </c>
      <c r="S623" s="9">
        <f>$S$1*LN(I623/I622)</f>
        <v/>
      </c>
      <c r="T623" s="9">
        <f>$T$1*LN(J623/J622)</f>
        <v/>
      </c>
      <c r="U623" s="9">
        <f>$W$12+$W$4*M623+$W$5*N623+$W$6*O623+$W$7*P623+$W$8*Q623+$W$9*R623+$W$10*S623+$W$11*T623</f>
        <v/>
      </c>
      <c r="AA623" s="10">
        <f>INDEX(LINEST(L364:L623,M364:T623,TRUE,TRUE),1,9)*52</f>
        <v/>
      </c>
      <c r="AB623" s="9">
        <f>INDEX(LINEST(L364:L623,M364:T623,TRUE,TRUE),1,8)</f>
        <v/>
      </c>
      <c r="AC623" s="9">
        <f>INDEX(LINEST(L364:L623,M364:T623,TRUE,TRUE),1,7)</f>
        <v/>
      </c>
      <c r="AD623" s="9">
        <f>INDEX(LINEST(L364:L623,M364:T623,TRUE,TRUE),1,6)</f>
        <v/>
      </c>
      <c r="AE623" s="9">
        <f>INDEX(LINEST(L364:L623,M364:T623,TRUE,TRUE),1,5)</f>
        <v/>
      </c>
      <c r="AF623" s="9">
        <f>INDEX(LINEST(L364:L623,M364:T623,TRUE,TRUE),1,4)</f>
        <v/>
      </c>
      <c r="AG623" s="9">
        <f>INDEX(LINEST(L364:L623,M364:T623,TRUE,TRUE),1,3)</f>
        <v/>
      </c>
      <c r="AH623" s="9">
        <f>INDEX(LINEST(L364:L623,M364:T623,TRUE,TRUE),1,2)</f>
        <v/>
      </c>
      <c r="AI623" s="9">
        <f>INDEX(LINEST(L364:L623,M364:T623,TRUE,TRUE),1,1)</f>
        <v/>
      </c>
      <c r="AJ623" s="10">
        <f>INDEX(LINEST(L364:L623,M364:T623,TRUE,TRUE),3,1)</f>
        <v/>
      </c>
      <c r="AK623" s="9">
        <f>AA622/52+AB622*M623+AC622*N623+AD622*O623+AE622*P623+AF622*Q623+AG622*R623+AH622*S623+AI622*T623</f>
        <v/>
      </c>
      <c r="AL623" s="9">
        <f>AVERAGE(L363:L622)</f>
        <v/>
      </c>
    </row>
    <row r="624">
      <c r="A624" s="7" t="n">
        <v>41978</v>
      </c>
      <c r="B624" s="8" t="n">
        <v>1194</v>
      </c>
      <c r="C624" s="8" t="n">
        <v>1.75</v>
      </c>
      <c r="D624" s="8" t="n">
        <v>0.5600000000000001</v>
      </c>
      <c r="E624" s="8" t="n">
        <v>89.33000199999999</v>
      </c>
      <c r="F624" s="8" t="n">
        <v>65.89</v>
      </c>
      <c r="G624" s="8" t="n">
        <v>11.82</v>
      </c>
      <c r="H624" s="8" t="n">
        <v>64.800003</v>
      </c>
      <c r="I624" s="8" t="n">
        <v>2075.370117</v>
      </c>
      <c r="J624" s="8" t="n">
        <v>79.77681</v>
      </c>
      <c r="L624" s="9">
        <f>LN(B624/B623)</f>
        <v/>
      </c>
      <c r="M624" s="9">
        <f>$M$1*(C624-C623)</f>
        <v/>
      </c>
      <c r="N624" s="9">
        <f>$N$1*(D624-D623)</f>
        <v/>
      </c>
      <c r="O624" s="9">
        <f>$O$1*LN(E624/E623)</f>
        <v/>
      </c>
      <c r="P624" s="9">
        <f>$P$1*LN(F624/F623)</f>
        <v/>
      </c>
      <c r="Q624" s="9">
        <f>$Q$1*(G624-G623)</f>
        <v/>
      </c>
      <c r="R624" s="9">
        <f>$R$1*(H624-H623)</f>
        <v/>
      </c>
      <c r="S624" s="9">
        <f>$S$1*LN(I624/I623)</f>
        <v/>
      </c>
      <c r="T624" s="9">
        <f>$T$1*LN(J624/J623)</f>
        <v/>
      </c>
      <c r="U624" s="9">
        <f>$W$12+$W$4*M624+$W$5*N624+$W$6*O624+$W$7*P624+$W$8*Q624+$W$9*R624+$W$10*S624+$W$11*T624</f>
        <v/>
      </c>
      <c r="AA624" s="10">
        <f>INDEX(LINEST(L365:L624,M365:T624,TRUE,TRUE),1,9)*52</f>
        <v/>
      </c>
      <c r="AB624" s="9">
        <f>INDEX(LINEST(L365:L624,M365:T624,TRUE,TRUE),1,8)</f>
        <v/>
      </c>
      <c r="AC624" s="9">
        <f>INDEX(LINEST(L365:L624,M365:T624,TRUE,TRUE),1,7)</f>
        <v/>
      </c>
      <c r="AD624" s="9">
        <f>INDEX(LINEST(L365:L624,M365:T624,TRUE,TRUE),1,6)</f>
        <v/>
      </c>
      <c r="AE624" s="9">
        <f>INDEX(LINEST(L365:L624,M365:T624,TRUE,TRUE),1,5)</f>
        <v/>
      </c>
      <c r="AF624" s="9">
        <f>INDEX(LINEST(L365:L624,M365:T624,TRUE,TRUE),1,4)</f>
        <v/>
      </c>
      <c r="AG624" s="9">
        <f>INDEX(LINEST(L365:L624,M365:T624,TRUE,TRUE),1,3)</f>
        <v/>
      </c>
      <c r="AH624" s="9">
        <f>INDEX(LINEST(L365:L624,M365:T624,TRUE,TRUE),1,2)</f>
        <v/>
      </c>
      <c r="AI624" s="9">
        <f>INDEX(LINEST(L365:L624,M365:T624,TRUE,TRUE),1,1)</f>
        <v/>
      </c>
      <c r="AJ624" s="10">
        <f>INDEX(LINEST(L365:L624,M365:T624,TRUE,TRUE),3,1)</f>
        <v/>
      </c>
      <c r="AK624" s="9">
        <f>AA623/52+AB623*M624+AC623*N624+AD623*O624+AE623*P624+AF623*Q624+AG623*R624+AH623*S624+AI623*T624</f>
        <v/>
      </c>
      <c r="AL624" s="9">
        <f>AVERAGE(L364:L623)</f>
        <v/>
      </c>
    </row>
    <row r="625">
      <c r="A625" s="7" t="n">
        <v>41985</v>
      </c>
      <c r="B625" s="8" t="n">
        <v>1217</v>
      </c>
      <c r="C625" s="8" t="n">
        <v>1.64</v>
      </c>
      <c r="D625" s="8" t="n">
        <v>0.46</v>
      </c>
      <c r="E625" s="8" t="n">
        <v>88.360001</v>
      </c>
      <c r="F625" s="8" t="n">
        <v>57.81</v>
      </c>
      <c r="G625" s="8" t="n">
        <v>21.08</v>
      </c>
      <c r="H625" s="8" t="n">
        <v>68.199997</v>
      </c>
      <c r="I625" s="8" t="n">
        <v>2002.329956</v>
      </c>
      <c r="J625" s="8" t="n">
        <v>80.46090700000001</v>
      </c>
      <c r="L625" s="9">
        <f>LN(B625/B624)</f>
        <v/>
      </c>
      <c r="M625" s="9">
        <f>$M$1*(C625-C624)</f>
        <v/>
      </c>
      <c r="N625" s="9">
        <f>$N$1*(D625-D624)</f>
        <v/>
      </c>
      <c r="O625" s="9">
        <f>$O$1*LN(E625/E624)</f>
        <v/>
      </c>
      <c r="P625" s="9">
        <f>$P$1*LN(F625/F624)</f>
        <v/>
      </c>
      <c r="Q625" s="9">
        <f>$Q$1*(G625-G624)</f>
        <v/>
      </c>
      <c r="R625" s="9">
        <f>$R$1*(H625-H624)</f>
        <v/>
      </c>
      <c r="S625" s="9">
        <f>$S$1*LN(I625/I624)</f>
        <v/>
      </c>
      <c r="T625" s="9">
        <f>$T$1*LN(J625/J624)</f>
        <v/>
      </c>
      <c r="U625" s="9">
        <f>$W$12+$W$4*M625+$W$5*N625+$W$6*O625+$W$7*P625+$W$8*Q625+$W$9*R625+$W$10*S625+$W$11*T625</f>
        <v/>
      </c>
      <c r="AA625" s="10">
        <f>INDEX(LINEST(L366:L625,M366:T625,TRUE,TRUE),1,9)*52</f>
        <v/>
      </c>
      <c r="AB625" s="9">
        <f>INDEX(LINEST(L366:L625,M366:T625,TRUE,TRUE),1,8)</f>
        <v/>
      </c>
      <c r="AC625" s="9">
        <f>INDEX(LINEST(L366:L625,M366:T625,TRUE,TRUE),1,7)</f>
        <v/>
      </c>
      <c r="AD625" s="9">
        <f>INDEX(LINEST(L366:L625,M366:T625,TRUE,TRUE),1,6)</f>
        <v/>
      </c>
      <c r="AE625" s="9">
        <f>INDEX(LINEST(L366:L625,M366:T625,TRUE,TRUE),1,5)</f>
        <v/>
      </c>
      <c r="AF625" s="9">
        <f>INDEX(LINEST(L366:L625,M366:T625,TRUE,TRUE),1,4)</f>
        <v/>
      </c>
      <c r="AG625" s="9">
        <f>INDEX(LINEST(L366:L625,M366:T625,TRUE,TRUE),1,3)</f>
        <v/>
      </c>
      <c r="AH625" s="9">
        <f>INDEX(LINEST(L366:L625,M366:T625,TRUE,TRUE),1,2)</f>
        <v/>
      </c>
      <c r="AI625" s="9">
        <f>INDEX(LINEST(L366:L625,M366:T625,TRUE,TRUE),1,1)</f>
        <v/>
      </c>
      <c r="AJ625" s="10">
        <f>INDEX(LINEST(L366:L625,M366:T625,TRUE,TRUE),3,1)</f>
        <v/>
      </c>
      <c r="AK625" s="9">
        <f>AA624/52+AB624*M625+AC624*N625+AD624*O625+AE624*P625+AF624*Q625+AG624*R625+AH624*S625+AI624*T625</f>
        <v/>
      </c>
      <c r="AL625" s="9">
        <f>AVERAGE(L365:L624)</f>
        <v/>
      </c>
    </row>
    <row r="626">
      <c r="A626" s="7" t="n">
        <v>41992</v>
      </c>
      <c r="B626" s="8" t="n">
        <v>1195.5</v>
      </c>
      <c r="C626" s="8" t="n">
        <v>1.68</v>
      </c>
      <c r="D626" s="8" t="n">
        <v>0.49</v>
      </c>
      <c r="E626" s="8" t="n">
        <v>89.599998</v>
      </c>
      <c r="F626" s="8" t="n">
        <v>56.91</v>
      </c>
      <c r="G626" s="8" t="n">
        <v>16.49</v>
      </c>
      <c r="H626" s="8" t="n">
        <v>70.699997</v>
      </c>
      <c r="I626" s="8" t="n">
        <v>2070.649902</v>
      </c>
      <c r="J626" s="8" t="n">
        <v>80.25709500000001</v>
      </c>
      <c r="L626" s="9">
        <f>LN(B626/B625)</f>
        <v/>
      </c>
      <c r="M626" s="9">
        <f>$M$1*(C626-C625)</f>
        <v/>
      </c>
      <c r="N626" s="9">
        <f>$N$1*(D626-D625)</f>
        <v/>
      </c>
      <c r="O626" s="9">
        <f>$O$1*LN(E626/E625)</f>
        <v/>
      </c>
      <c r="P626" s="9">
        <f>$P$1*LN(F626/F625)</f>
        <v/>
      </c>
      <c r="Q626" s="9">
        <f>$Q$1*(G626-G625)</f>
        <v/>
      </c>
      <c r="R626" s="9">
        <f>$R$1*(H626-H625)</f>
        <v/>
      </c>
      <c r="S626" s="9">
        <f>$S$1*LN(I626/I625)</f>
        <v/>
      </c>
      <c r="T626" s="9">
        <f>$T$1*LN(J626/J625)</f>
        <v/>
      </c>
      <c r="U626" s="9">
        <f>$W$12+$W$4*M626+$W$5*N626+$W$6*O626+$W$7*P626+$W$8*Q626+$W$9*R626+$W$10*S626+$W$11*T626</f>
        <v/>
      </c>
      <c r="AA626" s="10">
        <f>INDEX(LINEST(L367:L626,M367:T626,TRUE,TRUE),1,9)*52</f>
        <v/>
      </c>
      <c r="AB626" s="9">
        <f>INDEX(LINEST(L367:L626,M367:T626,TRUE,TRUE),1,8)</f>
        <v/>
      </c>
      <c r="AC626" s="9">
        <f>INDEX(LINEST(L367:L626,M367:T626,TRUE,TRUE),1,7)</f>
        <v/>
      </c>
      <c r="AD626" s="9">
        <f>INDEX(LINEST(L367:L626,M367:T626,TRUE,TRUE),1,6)</f>
        <v/>
      </c>
      <c r="AE626" s="9">
        <f>INDEX(LINEST(L367:L626,M367:T626,TRUE,TRUE),1,5)</f>
        <v/>
      </c>
      <c r="AF626" s="9">
        <f>INDEX(LINEST(L367:L626,M367:T626,TRUE,TRUE),1,4)</f>
        <v/>
      </c>
      <c r="AG626" s="9">
        <f>INDEX(LINEST(L367:L626,M367:T626,TRUE,TRUE),1,3)</f>
        <v/>
      </c>
      <c r="AH626" s="9">
        <f>INDEX(LINEST(L367:L626,M367:T626,TRUE,TRUE),1,2)</f>
        <v/>
      </c>
      <c r="AI626" s="9">
        <f>INDEX(LINEST(L367:L626,M367:T626,TRUE,TRUE),1,1)</f>
        <v/>
      </c>
      <c r="AJ626" s="10">
        <f>INDEX(LINEST(L367:L626,M367:T626,TRUE,TRUE),3,1)</f>
        <v/>
      </c>
      <c r="AK626" s="9">
        <f>AA625/52+AB625*M626+AC625*N626+AD625*O626+AE625*P626+AF625*Q626+AG625*R626+AH625*S626+AI625*T626</f>
        <v/>
      </c>
      <c r="AL626" s="9">
        <f>AVERAGE(L366:L625)</f>
        <v/>
      </c>
    </row>
    <row r="627">
      <c r="A627" s="7" t="n">
        <v>41999</v>
      </c>
      <c r="B627" s="8" t="n">
        <v>1175.75</v>
      </c>
      <c r="C627" s="8" t="n">
        <v>1.67</v>
      </c>
      <c r="D627" s="8" t="n">
        <v>0.58</v>
      </c>
      <c r="E627" s="8" t="n">
        <v>90.029999</v>
      </c>
      <c r="F627" s="8" t="n">
        <v>54.59</v>
      </c>
      <c r="G627" s="8" t="n">
        <v>14.5</v>
      </c>
      <c r="H627" s="8" t="n">
        <v>55.400002</v>
      </c>
      <c r="I627" s="8" t="n">
        <v>2088.77002</v>
      </c>
      <c r="J627" s="8" t="n">
        <v>80.133118</v>
      </c>
      <c r="L627" s="9">
        <f>LN(B627/B626)</f>
        <v/>
      </c>
      <c r="M627" s="9">
        <f>$M$1*(C627-C626)</f>
        <v/>
      </c>
      <c r="N627" s="9">
        <f>$N$1*(D627-D626)</f>
        <v/>
      </c>
      <c r="O627" s="9">
        <f>$O$1*LN(E627/E626)</f>
        <v/>
      </c>
      <c r="P627" s="9">
        <f>$P$1*LN(F627/F626)</f>
        <v/>
      </c>
      <c r="Q627" s="9">
        <f>$Q$1*(G627-G626)</f>
        <v/>
      </c>
      <c r="R627" s="9">
        <f>$R$1*(H627-H626)</f>
        <v/>
      </c>
      <c r="S627" s="9">
        <f>$S$1*LN(I627/I626)</f>
        <v/>
      </c>
      <c r="T627" s="9">
        <f>$T$1*LN(J627/J626)</f>
        <v/>
      </c>
      <c r="U627" s="9">
        <f>$W$12+$W$4*M627+$W$5*N627+$W$6*O627+$W$7*P627+$W$8*Q627+$W$9*R627+$W$10*S627+$W$11*T627</f>
        <v/>
      </c>
      <c r="AA627" s="10">
        <f>INDEX(LINEST(L368:L627,M368:T627,TRUE,TRUE),1,9)*52</f>
        <v/>
      </c>
      <c r="AB627" s="9">
        <f>INDEX(LINEST(L368:L627,M368:T627,TRUE,TRUE),1,8)</f>
        <v/>
      </c>
      <c r="AC627" s="9">
        <f>INDEX(LINEST(L368:L627,M368:T627,TRUE,TRUE),1,7)</f>
        <v/>
      </c>
      <c r="AD627" s="9">
        <f>INDEX(LINEST(L368:L627,M368:T627,TRUE,TRUE),1,6)</f>
        <v/>
      </c>
      <c r="AE627" s="9">
        <f>INDEX(LINEST(L368:L627,M368:T627,TRUE,TRUE),1,5)</f>
        <v/>
      </c>
      <c r="AF627" s="9">
        <f>INDEX(LINEST(L368:L627,M368:T627,TRUE,TRUE),1,4)</f>
        <v/>
      </c>
      <c r="AG627" s="9">
        <f>INDEX(LINEST(L368:L627,M368:T627,TRUE,TRUE),1,3)</f>
        <v/>
      </c>
      <c r="AH627" s="9">
        <f>INDEX(LINEST(L368:L627,M368:T627,TRUE,TRUE),1,2)</f>
        <v/>
      </c>
      <c r="AI627" s="9">
        <f>INDEX(LINEST(L368:L627,M368:T627,TRUE,TRUE),1,1)</f>
        <v/>
      </c>
      <c r="AJ627" s="10">
        <f>INDEX(LINEST(L368:L627,M368:T627,TRUE,TRUE),3,1)</f>
        <v/>
      </c>
      <c r="AK627" s="9">
        <f>AA626/52+AB626*M627+AC626*N627+AD626*O627+AE626*P627+AF626*Q627+AG626*R627+AH626*S627+AI626*T627</f>
        <v/>
      </c>
      <c r="AL627" s="9">
        <f>AVERAGE(L367:L626)</f>
        <v/>
      </c>
    </row>
    <row r="628">
      <c r="A628" s="7" t="n">
        <v>42006</v>
      </c>
      <c r="B628" s="8" t="n">
        <v>1172</v>
      </c>
      <c r="C628" s="8" t="n">
        <v>1.71</v>
      </c>
      <c r="D628" s="8" t="n">
        <v>0.41</v>
      </c>
      <c r="E628" s="8" t="n">
        <v>91.08000199999999</v>
      </c>
      <c r="F628" s="8" t="n">
        <v>52.72</v>
      </c>
      <c r="G628" s="8" t="n">
        <v>17.79</v>
      </c>
      <c r="H628" s="8" t="n">
        <v>70</v>
      </c>
      <c r="I628" s="8" t="n">
        <v>2058.199951</v>
      </c>
      <c r="J628" s="8" t="n">
        <v>80.636932</v>
      </c>
      <c r="L628" s="9">
        <f>LN(B628/B627)</f>
        <v/>
      </c>
      <c r="M628" s="9">
        <f>$M$1*(C628-C627)</f>
        <v/>
      </c>
      <c r="N628" s="9">
        <f>$N$1*(D628-D627)</f>
        <v/>
      </c>
      <c r="O628" s="9">
        <f>$O$1*LN(E628/E627)</f>
        <v/>
      </c>
      <c r="P628" s="9">
        <f>$P$1*LN(F628/F627)</f>
        <v/>
      </c>
      <c r="Q628" s="9">
        <f>$Q$1*(G628-G627)</f>
        <v/>
      </c>
      <c r="R628" s="9">
        <f>$R$1*(H628-H627)</f>
        <v/>
      </c>
      <c r="S628" s="9">
        <f>$S$1*LN(I628/I627)</f>
        <v/>
      </c>
      <c r="T628" s="9">
        <f>$T$1*LN(J628/J627)</f>
        <v/>
      </c>
      <c r="U628" s="9">
        <f>$W$12+$W$4*M628+$W$5*N628+$W$6*O628+$W$7*P628+$W$8*Q628+$W$9*R628+$W$10*S628+$W$11*T628</f>
        <v/>
      </c>
      <c r="AA628" s="10">
        <f>INDEX(LINEST(L369:L628,M369:T628,TRUE,TRUE),1,9)*52</f>
        <v/>
      </c>
      <c r="AB628" s="9">
        <f>INDEX(LINEST(L369:L628,M369:T628,TRUE,TRUE),1,8)</f>
        <v/>
      </c>
      <c r="AC628" s="9">
        <f>INDEX(LINEST(L369:L628,M369:T628,TRUE,TRUE),1,7)</f>
        <v/>
      </c>
      <c r="AD628" s="9">
        <f>INDEX(LINEST(L369:L628,M369:T628,TRUE,TRUE),1,6)</f>
        <v/>
      </c>
      <c r="AE628" s="9">
        <f>INDEX(LINEST(L369:L628,M369:T628,TRUE,TRUE),1,5)</f>
        <v/>
      </c>
      <c r="AF628" s="9">
        <f>INDEX(LINEST(L369:L628,M369:T628,TRUE,TRUE),1,4)</f>
        <v/>
      </c>
      <c r="AG628" s="9">
        <f>INDEX(LINEST(L369:L628,M369:T628,TRUE,TRUE),1,3)</f>
        <v/>
      </c>
      <c r="AH628" s="9">
        <f>INDEX(LINEST(L369:L628,M369:T628,TRUE,TRUE),1,2)</f>
        <v/>
      </c>
      <c r="AI628" s="9">
        <f>INDEX(LINEST(L369:L628,M369:T628,TRUE,TRUE),1,1)</f>
        <v/>
      </c>
      <c r="AJ628" s="10">
        <f>INDEX(LINEST(L369:L628,M369:T628,TRUE,TRUE),3,1)</f>
        <v/>
      </c>
      <c r="AK628" s="9">
        <f>AA627/52+AB627*M628+AC627*N628+AD627*O628+AE627*P628+AF627*Q628+AG627*R628+AH627*S628+AI627*T628</f>
        <v/>
      </c>
      <c r="AL628" s="9">
        <f>AVERAGE(L368:L627)</f>
        <v/>
      </c>
    </row>
    <row r="629">
      <c r="A629" s="7" t="n">
        <v>42013</v>
      </c>
      <c r="B629" s="8" t="n">
        <v>1217.75</v>
      </c>
      <c r="C629" s="8" t="n">
        <v>1.62</v>
      </c>
      <c r="D629" s="8" t="n">
        <v>0.36</v>
      </c>
      <c r="E629" s="8" t="n">
        <v>91.94000200000001</v>
      </c>
      <c r="F629" s="8" t="n">
        <v>48.35</v>
      </c>
      <c r="G629" s="8" t="n">
        <v>17.55</v>
      </c>
      <c r="H629" s="8" t="n">
        <v>80.599998</v>
      </c>
      <c r="I629" s="8" t="n">
        <v>2044.810059</v>
      </c>
      <c r="J629" s="8" t="n">
        <v>81.07502700000001</v>
      </c>
      <c r="L629" s="9">
        <f>LN(B629/B628)</f>
        <v/>
      </c>
      <c r="M629" s="9">
        <f>$M$1*(C629-C628)</f>
        <v/>
      </c>
      <c r="N629" s="9">
        <f>$N$1*(D629-D628)</f>
        <v/>
      </c>
      <c r="O629" s="9">
        <f>$O$1*LN(E629/E628)</f>
        <v/>
      </c>
      <c r="P629" s="9">
        <f>$P$1*LN(F629/F628)</f>
        <v/>
      </c>
      <c r="Q629" s="9">
        <f>$Q$1*(G629-G628)</f>
        <v/>
      </c>
      <c r="R629" s="9">
        <f>$R$1*(H629-H628)</f>
        <v/>
      </c>
      <c r="S629" s="9">
        <f>$S$1*LN(I629/I628)</f>
        <v/>
      </c>
      <c r="T629" s="9">
        <f>$T$1*LN(J629/J628)</f>
        <v/>
      </c>
      <c r="U629" s="9">
        <f>$W$12+$W$4*M629+$W$5*N629+$W$6*O629+$W$7*P629+$W$8*Q629+$W$9*R629+$W$10*S629+$W$11*T629</f>
        <v/>
      </c>
      <c r="AA629" s="10">
        <f>INDEX(LINEST(L370:L629,M370:T629,TRUE,TRUE),1,9)*52</f>
        <v/>
      </c>
      <c r="AB629" s="9">
        <f>INDEX(LINEST(L370:L629,M370:T629,TRUE,TRUE),1,8)</f>
        <v/>
      </c>
      <c r="AC629" s="9">
        <f>INDEX(LINEST(L370:L629,M370:T629,TRUE,TRUE),1,7)</f>
        <v/>
      </c>
      <c r="AD629" s="9">
        <f>INDEX(LINEST(L370:L629,M370:T629,TRUE,TRUE),1,6)</f>
        <v/>
      </c>
      <c r="AE629" s="9">
        <f>INDEX(LINEST(L370:L629,M370:T629,TRUE,TRUE),1,5)</f>
        <v/>
      </c>
      <c r="AF629" s="9">
        <f>INDEX(LINEST(L370:L629,M370:T629,TRUE,TRUE),1,4)</f>
        <v/>
      </c>
      <c r="AG629" s="9">
        <f>INDEX(LINEST(L370:L629,M370:T629,TRUE,TRUE),1,3)</f>
        <v/>
      </c>
      <c r="AH629" s="9">
        <f>INDEX(LINEST(L370:L629,M370:T629,TRUE,TRUE),1,2)</f>
        <v/>
      </c>
      <c r="AI629" s="9">
        <f>INDEX(LINEST(L370:L629,M370:T629,TRUE,TRUE),1,1)</f>
        <v/>
      </c>
      <c r="AJ629" s="10">
        <f>INDEX(LINEST(L370:L629,M370:T629,TRUE,TRUE),3,1)</f>
        <v/>
      </c>
      <c r="AK629" s="9">
        <f>AA628/52+AB628*M629+AC628*N629+AD628*O629+AE628*P629+AF628*Q629+AG628*R629+AH628*S629+AI628*T629</f>
        <v/>
      </c>
      <c r="AL629" s="9">
        <f>AVERAGE(L369:L628)</f>
        <v/>
      </c>
    </row>
    <row r="630">
      <c r="A630" s="7" t="n">
        <v>42020</v>
      </c>
      <c r="B630" s="8" t="n">
        <v>1277.5</v>
      </c>
      <c r="C630" s="8" t="n">
        <v>1.6</v>
      </c>
      <c r="D630" s="8" t="n">
        <v>0.23</v>
      </c>
      <c r="E630" s="8" t="n">
        <v>92.519997</v>
      </c>
      <c r="F630" s="8" t="n">
        <v>48.49</v>
      </c>
      <c r="G630" s="8" t="n">
        <v>20.95</v>
      </c>
      <c r="H630" s="8" t="n">
        <v>92.599998</v>
      </c>
      <c r="I630" s="8" t="n">
        <v>2019.420044</v>
      </c>
      <c r="J630" s="8" t="n">
        <v>81.418228</v>
      </c>
      <c r="L630" s="9">
        <f>LN(B630/B629)</f>
        <v/>
      </c>
      <c r="M630" s="9">
        <f>$M$1*(C630-C629)</f>
        <v/>
      </c>
      <c r="N630" s="9">
        <f>$N$1*(D630-D629)</f>
        <v/>
      </c>
      <c r="O630" s="9">
        <f>$O$1*LN(E630/E629)</f>
        <v/>
      </c>
      <c r="P630" s="9">
        <f>$P$1*LN(F630/F629)</f>
        <v/>
      </c>
      <c r="Q630" s="9">
        <f>$Q$1*(G630-G629)</f>
        <v/>
      </c>
      <c r="R630" s="9">
        <f>$R$1*(H630-H629)</f>
        <v/>
      </c>
      <c r="S630" s="9">
        <f>$S$1*LN(I630/I629)</f>
        <v/>
      </c>
      <c r="T630" s="9">
        <f>$T$1*LN(J630/J629)</f>
        <v/>
      </c>
      <c r="U630" s="9">
        <f>$W$12+$W$4*M630+$W$5*N630+$W$6*O630+$W$7*P630+$W$8*Q630+$W$9*R630+$W$10*S630+$W$11*T630</f>
        <v/>
      </c>
      <c r="AA630" s="10">
        <f>INDEX(LINEST(L371:L630,M371:T630,TRUE,TRUE),1,9)*52</f>
        <v/>
      </c>
      <c r="AB630" s="9">
        <f>INDEX(LINEST(L371:L630,M371:T630,TRUE,TRUE),1,8)</f>
        <v/>
      </c>
      <c r="AC630" s="9">
        <f>INDEX(LINEST(L371:L630,M371:T630,TRUE,TRUE),1,7)</f>
        <v/>
      </c>
      <c r="AD630" s="9">
        <f>INDEX(LINEST(L371:L630,M371:T630,TRUE,TRUE),1,6)</f>
        <v/>
      </c>
      <c r="AE630" s="9">
        <f>INDEX(LINEST(L371:L630,M371:T630,TRUE,TRUE),1,5)</f>
        <v/>
      </c>
      <c r="AF630" s="9">
        <f>INDEX(LINEST(L371:L630,M371:T630,TRUE,TRUE),1,4)</f>
        <v/>
      </c>
      <c r="AG630" s="9">
        <f>INDEX(LINEST(L371:L630,M371:T630,TRUE,TRUE),1,3)</f>
        <v/>
      </c>
      <c r="AH630" s="9">
        <f>INDEX(LINEST(L371:L630,M371:T630,TRUE,TRUE),1,2)</f>
        <v/>
      </c>
      <c r="AI630" s="9">
        <f>INDEX(LINEST(L371:L630,M371:T630,TRUE,TRUE),1,1)</f>
        <v/>
      </c>
      <c r="AJ630" s="10">
        <f>INDEX(LINEST(L371:L630,M371:T630,TRUE,TRUE),3,1)</f>
        <v/>
      </c>
      <c r="AK630" s="9">
        <f>AA629/52+AB629*M630+AC629*N630+AD629*O630+AE629*P630+AF629*Q630+AG629*R630+AH629*S630+AI629*T630</f>
        <v/>
      </c>
      <c r="AL630" s="9">
        <f>AVERAGE(L370:L629)</f>
        <v/>
      </c>
    </row>
    <row r="631">
      <c r="A631" s="7" t="n">
        <v>42027</v>
      </c>
      <c r="B631" s="8" t="n">
        <v>1294.75</v>
      </c>
      <c r="C631" s="8" t="n">
        <v>1.6</v>
      </c>
      <c r="D631" s="8" t="n">
        <v>0.21</v>
      </c>
      <c r="E631" s="8" t="n">
        <v>95</v>
      </c>
      <c r="F631" s="8" t="n">
        <v>45.26</v>
      </c>
      <c r="G631" s="8" t="n">
        <v>16.66</v>
      </c>
      <c r="H631" s="8" t="n">
        <v>89.900002</v>
      </c>
      <c r="I631" s="8" t="n">
        <v>2051.820068</v>
      </c>
      <c r="J631" s="8" t="n">
        <v>81.571602</v>
      </c>
      <c r="L631" s="9">
        <f>LN(B631/B630)</f>
        <v/>
      </c>
      <c r="M631" s="9">
        <f>$M$1*(C631-C630)</f>
        <v/>
      </c>
      <c r="N631" s="9">
        <f>$N$1*(D631-D630)</f>
        <v/>
      </c>
      <c r="O631" s="9">
        <f>$O$1*LN(E631/E630)</f>
        <v/>
      </c>
      <c r="P631" s="9">
        <f>$P$1*LN(F631/F630)</f>
        <v/>
      </c>
      <c r="Q631" s="9">
        <f>$Q$1*(G631-G630)</f>
        <v/>
      </c>
      <c r="R631" s="9">
        <f>$R$1*(H631-H630)</f>
        <v/>
      </c>
      <c r="S631" s="9">
        <f>$S$1*LN(I631/I630)</f>
        <v/>
      </c>
      <c r="T631" s="9">
        <f>$T$1*LN(J631/J630)</f>
        <v/>
      </c>
      <c r="U631" s="9">
        <f>$W$12+$W$4*M631+$W$5*N631+$W$6*O631+$W$7*P631+$W$8*Q631+$W$9*R631+$W$10*S631+$W$11*T631</f>
        <v/>
      </c>
      <c r="AA631" s="10">
        <f>INDEX(LINEST(L372:L631,M372:T631,TRUE,TRUE),1,9)*52</f>
        <v/>
      </c>
      <c r="AB631" s="9">
        <f>INDEX(LINEST(L372:L631,M372:T631,TRUE,TRUE),1,8)</f>
        <v/>
      </c>
      <c r="AC631" s="9">
        <f>INDEX(LINEST(L372:L631,M372:T631,TRUE,TRUE),1,7)</f>
        <v/>
      </c>
      <c r="AD631" s="9">
        <f>INDEX(LINEST(L372:L631,M372:T631,TRUE,TRUE),1,6)</f>
        <v/>
      </c>
      <c r="AE631" s="9">
        <f>INDEX(LINEST(L372:L631,M372:T631,TRUE,TRUE),1,5)</f>
        <v/>
      </c>
      <c r="AF631" s="9">
        <f>INDEX(LINEST(L372:L631,M372:T631,TRUE,TRUE),1,4)</f>
        <v/>
      </c>
      <c r="AG631" s="9">
        <f>INDEX(LINEST(L372:L631,M372:T631,TRUE,TRUE),1,3)</f>
        <v/>
      </c>
      <c r="AH631" s="9">
        <f>INDEX(LINEST(L372:L631,M372:T631,TRUE,TRUE),1,2)</f>
        <v/>
      </c>
      <c r="AI631" s="9">
        <f>INDEX(LINEST(L372:L631,M372:T631,TRUE,TRUE),1,1)</f>
        <v/>
      </c>
      <c r="AJ631" s="10">
        <f>INDEX(LINEST(L372:L631,M372:T631,TRUE,TRUE),3,1)</f>
        <v/>
      </c>
      <c r="AK631" s="9">
        <f>AA630/52+AB630*M631+AC630*N631+AD630*O631+AE630*P631+AF630*Q631+AG630*R631+AH630*S631+AI630*T631</f>
        <v/>
      </c>
      <c r="AL631" s="9">
        <f>AVERAGE(L371:L630)</f>
        <v/>
      </c>
    </row>
    <row r="632">
      <c r="A632" s="7" t="n">
        <v>42034</v>
      </c>
      <c r="B632" s="8" t="n">
        <v>1260.25</v>
      </c>
      <c r="C632" s="8" t="n">
        <v>1.65</v>
      </c>
      <c r="D632" s="8" t="n">
        <v>0.03</v>
      </c>
      <c r="E632" s="8" t="n">
        <v>94.800003</v>
      </c>
      <c r="F632" s="8" t="n">
        <v>47.79</v>
      </c>
      <c r="G632" s="8" t="n">
        <v>20.97</v>
      </c>
      <c r="H632" s="8" t="n">
        <v>86.599998</v>
      </c>
      <c r="I632" s="8" t="n">
        <v>1994.98999</v>
      </c>
      <c r="J632" s="8" t="n">
        <v>82.06083700000001</v>
      </c>
      <c r="L632" s="9">
        <f>LN(B632/B631)</f>
        <v/>
      </c>
      <c r="M632" s="9">
        <f>$M$1*(C632-C631)</f>
        <v/>
      </c>
      <c r="N632" s="9">
        <f>$N$1*(D632-D631)</f>
        <v/>
      </c>
      <c r="O632" s="9">
        <f>$O$1*LN(E632/E631)</f>
        <v/>
      </c>
      <c r="P632" s="9">
        <f>$P$1*LN(F632/F631)</f>
        <v/>
      </c>
      <c r="Q632" s="9">
        <f>$Q$1*(G632-G631)</f>
        <v/>
      </c>
      <c r="R632" s="9">
        <f>$R$1*(H632-H631)</f>
        <v/>
      </c>
      <c r="S632" s="9">
        <f>$S$1*LN(I632/I631)</f>
        <v/>
      </c>
      <c r="T632" s="9">
        <f>$T$1*LN(J632/J631)</f>
        <v/>
      </c>
      <c r="U632" s="9">
        <f>$W$12+$W$4*M632+$W$5*N632+$W$6*O632+$W$7*P632+$W$8*Q632+$W$9*R632+$W$10*S632+$W$11*T632</f>
        <v/>
      </c>
      <c r="AA632" s="10">
        <f>INDEX(LINEST(L373:L632,M373:T632,TRUE,TRUE),1,9)*52</f>
        <v/>
      </c>
      <c r="AB632" s="9">
        <f>INDEX(LINEST(L373:L632,M373:T632,TRUE,TRUE),1,8)</f>
        <v/>
      </c>
      <c r="AC632" s="9">
        <f>INDEX(LINEST(L373:L632,M373:T632,TRUE,TRUE),1,7)</f>
        <v/>
      </c>
      <c r="AD632" s="9">
        <f>INDEX(LINEST(L373:L632,M373:T632,TRUE,TRUE),1,6)</f>
        <v/>
      </c>
      <c r="AE632" s="9">
        <f>INDEX(LINEST(L373:L632,M373:T632,TRUE,TRUE),1,5)</f>
        <v/>
      </c>
      <c r="AF632" s="9">
        <f>INDEX(LINEST(L373:L632,M373:T632,TRUE,TRUE),1,4)</f>
        <v/>
      </c>
      <c r="AG632" s="9">
        <f>INDEX(LINEST(L373:L632,M373:T632,TRUE,TRUE),1,3)</f>
        <v/>
      </c>
      <c r="AH632" s="9">
        <f>INDEX(LINEST(L373:L632,M373:T632,TRUE,TRUE),1,2)</f>
        <v/>
      </c>
      <c r="AI632" s="9">
        <f>INDEX(LINEST(L373:L632,M373:T632,TRUE,TRUE),1,1)</f>
        <v/>
      </c>
      <c r="AJ632" s="10">
        <f>INDEX(LINEST(L373:L632,M373:T632,TRUE,TRUE),3,1)</f>
        <v/>
      </c>
      <c r="AK632" s="9">
        <f>AA631/52+AB631*M632+AC631*N632+AD631*O632+AE631*P632+AF631*Q632+AG631*R632+AH631*S632+AI631*T632</f>
        <v/>
      </c>
      <c r="AL632" s="9">
        <f>AVERAGE(L372:L631)</f>
        <v/>
      </c>
    </row>
    <row r="633">
      <c r="A633" s="7" t="n">
        <v>42041</v>
      </c>
      <c r="B633" s="8" t="n">
        <v>1241</v>
      </c>
      <c r="C633" s="8" t="n">
        <v>1.71</v>
      </c>
      <c r="D633" s="8" t="n">
        <v>0.24</v>
      </c>
      <c r="E633" s="8" t="n">
        <v>94.699997</v>
      </c>
      <c r="F633" s="8" t="n">
        <v>51.66</v>
      </c>
      <c r="G633" s="8" t="n">
        <v>17.29</v>
      </c>
      <c r="H633" s="8" t="n">
        <v>93.699997</v>
      </c>
      <c r="I633" s="8" t="n">
        <v>2055.469971</v>
      </c>
      <c r="J633" s="8" t="n">
        <v>81.224152</v>
      </c>
      <c r="L633" s="9">
        <f>LN(B633/B632)</f>
        <v/>
      </c>
      <c r="M633" s="9">
        <f>$M$1*(C633-C632)</f>
        <v/>
      </c>
      <c r="N633" s="9">
        <f>$N$1*(D633-D632)</f>
        <v/>
      </c>
      <c r="O633" s="9">
        <f>$O$1*LN(E633/E632)</f>
        <v/>
      </c>
      <c r="P633" s="9">
        <f>$P$1*LN(F633/F632)</f>
        <v/>
      </c>
      <c r="Q633" s="9">
        <f>$Q$1*(G633-G632)</f>
        <v/>
      </c>
      <c r="R633" s="9">
        <f>$R$1*(H633-H632)</f>
        <v/>
      </c>
      <c r="S633" s="9">
        <f>$S$1*LN(I633/I632)</f>
        <v/>
      </c>
      <c r="T633" s="9">
        <f>$T$1*LN(J633/J632)</f>
        <v/>
      </c>
      <c r="U633" s="9">
        <f>$W$12+$W$4*M633+$W$5*N633+$W$6*O633+$W$7*P633+$W$8*Q633+$W$9*R633+$W$10*S633+$W$11*T633</f>
        <v/>
      </c>
      <c r="AA633" s="10">
        <f>INDEX(LINEST(L374:L633,M374:T633,TRUE,TRUE),1,9)*52</f>
        <v/>
      </c>
      <c r="AB633" s="9">
        <f>INDEX(LINEST(L374:L633,M374:T633,TRUE,TRUE),1,8)</f>
        <v/>
      </c>
      <c r="AC633" s="9">
        <f>INDEX(LINEST(L374:L633,M374:T633,TRUE,TRUE),1,7)</f>
        <v/>
      </c>
      <c r="AD633" s="9">
        <f>INDEX(LINEST(L374:L633,M374:T633,TRUE,TRUE),1,6)</f>
        <v/>
      </c>
      <c r="AE633" s="9">
        <f>INDEX(LINEST(L374:L633,M374:T633,TRUE,TRUE),1,5)</f>
        <v/>
      </c>
      <c r="AF633" s="9">
        <f>INDEX(LINEST(L374:L633,M374:T633,TRUE,TRUE),1,4)</f>
        <v/>
      </c>
      <c r="AG633" s="9">
        <f>INDEX(LINEST(L374:L633,M374:T633,TRUE,TRUE),1,3)</f>
        <v/>
      </c>
      <c r="AH633" s="9">
        <f>INDEX(LINEST(L374:L633,M374:T633,TRUE,TRUE),1,2)</f>
        <v/>
      </c>
      <c r="AI633" s="9">
        <f>INDEX(LINEST(L374:L633,M374:T633,TRUE,TRUE),1,1)</f>
        <v/>
      </c>
      <c r="AJ633" s="10">
        <f>INDEX(LINEST(L374:L633,M374:T633,TRUE,TRUE),3,1)</f>
        <v/>
      </c>
      <c r="AK633" s="9">
        <f>AA632/52+AB632*M633+AC632*N633+AD632*O633+AE632*P633+AF632*Q633+AG632*R633+AH632*S633+AI632*T633</f>
        <v/>
      </c>
      <c r="AL633" s="9">
        <f>AVERAGE(L373:L632)</f>
        <v/>
      </c>
    </row>
    <row r="634">
      <c r="A634" s="7" t="n">
        <v>42048</v>
      </c>
      <c r="B634" s="8" t="n">
        <v>1232.5</v>
      </c>
      <c r="C634" s="8" t="n">
        <v>1.68</v>
      </c>
      <c r="D634" s="8" t="n">
        <v>0.34</v>
      </c>
      <c r="E634" s="8" t="n">
        <v>94.199997</v>
      </c>
      <c r="F634" s="8" t="n">
        <v>52.66</v>
      </c>
      <c r="G634" s="8" t="n">
        <v>14.69</v>
      </c>
      <c r="H634" s="8" t="n">
        <v>91.400002</v>
      </c>
      <c r="I634" s="8" t="n">
        <v>2096.98999</v>
      </c>
      <c r="J634" s="8" t="n">
        <v>81.004745</v>
      </c>
      <c r="L634" s="9">
        <f>LN(B634/B633)</f>
        <v/>
      </c>
      <c r="M634" s="9">
        <f>$M$1*(C634-C633)</f>
        <v/>
      </c>
      <c r="N634" s="9">
        <f>$N$1*(D634-D633)</f>
        <v/>
      </c>
      <c r="O634" s="9">
        <f>$O$1*LN(E634/E633)</f>
        <v/>
      </c>
      <c r="P634" s="9">
        <f>$P$1*LN(F634/F633)</f>
        <v/>
      </c>
      <c r="Q634" s="9">
        <f>$Q$1*(G634-G633)</f>
        <v/>
      </c>
      <c r="R634" s="9">
        <f>$R$1*(H634-H633)</f>
        <v/>
      </c>
      <c r="S634" s="9">
        <f>$S$1*LN(I634/I633)</f>
        <v/>
      </c>
      <c r="T634" s="9">
        <f>$T$1*LN(J634/J633)</f>
        <v/>
      </c>
      <c r="U634" s="9">
        <f>$W$12+$W$4*M634+$W$5*N634+$W$6*O634+$W$7*P634+$W$8*Q634+$W$9*R634+$W$10*S634+$W$11*T634</f>
        <v/>
      </c>
      <c r="AA634" s="10">
        <f>INDEX(LINEST(L375:L634,M375:T634,TRUE,TRUE),1,9)*52</f>
        <v/>
      </c>
      <c r="AB634" s="9">
        <f>INDEX(LINEST(L375:L634,M375:T634,TRUE,TRUE),1,8)</f>
        <v/>
      </c>
      <c r="AC634" s="9">
        <f>INDEX(LINEST(L375:L634,M375:T634,TRUE,TRUE),1,7)</f>
        <v/>
      </c>
      <c r="AD634" s="9">
        <f>INDEX(LINEST(L375:L634,M375:T634,TRUE,TRUE),1,6)</f>
        <v/>
      </c>
      <c r="AE634" s="9">
        <f>INDEX(LINEST(L375:L634,M375:T634,TRUE,TRUE),1,5)</f>
        <v/>
      </c>
      <c r="AF634" s="9">
        <f>INDEX(LINEST(L375:L634,M375:T634,TRUE,TRUE),1,4)</f>
        <v/>
      </c>
      <c r="AG634" s="9">
        <f>INDEX(LINEST(L375:L634,M375:T634,TRUE,TRUE),1,3)</f>
        <v/>
      </c>
      <c r="AH634" s="9">
        <f>INDEX(LINEST(L375:L634,M375:T634,TRUE,TRUE),1,2)</f>
        <v/>
      </c>
      <c r="AI634" s="9">
        <f>INDEX(LINEST(L375:L634,M375:T634,TRUE,TRUE),1,1)</f>
        <v/>
      </c>
      <c r="AJ634" s="10">
        <f>INDEX(LINEST(L375:L634,M375:T634,TRUE,TRUE),3,1)</f>
        <v/>
      </c>
      <c r="AK634" s="9">
        <f>AA633/52+AB633*M634+AC633*N634+AD633*O634+AE633*P634+AF633*Q634+AG633*R634+AH633*S634+AI633*T634</f>
        <v/>
      </c>
      <c r="AL634" s="9">
        <f>AVERAGE(L374:L633)</f>
        <v/>
      </c>
    </row>
    <row r="635">
      <c r="A635" s="7" t="n">
        <v>42055</v>
      </c>
      <c r="B635" s="8" t="n">
        <v>1208.25</v>
      </c>
      <c r="C635" s="8" t="n">
        <v>1.75</v>
      </c>
      <c r="D635" s="8" t="n">
        <v>0.38</v>
      </c>
      <c r="E635" s="8" t="n">
        <v>94.25</v>
      </c>
      <c r="F635" s="8" t="n">
        <v>49.95</v>
      </c>
      <c r="G635" s="8" t="n">
        <v>14.3</v>
      </c>
      <c r="H635" s="8" t="n">
        <v>98.300003</v>
      </c>
      <c r="I635" s="8" t="n">
        <v>2110.300049</v>
      </c>
      <c r="J635" s="8" t="n">
        <v>80.851204</v>
      </c>
      <c r="L635" s="9">
        <f>LN(B635/B634)</f>
        <v/>
      </c>
      <c r="M635" s="9">
        <f>$M$1*(C635-C634)</f>
        <v/>
      </c>
      <c r="N635" s="9">
        <f>$N$1*(D635-D634)</f>
        <v/>
      </c>
      <c r="O635" s="9">
        <f>$O$1*LN(E635/E634)</f>
        <v/>
      </c>
      <c r="P635" s="9">
        <f>$P$1*LN(F635/F634)</f>
        <v/>
      </c>
      <c r="Q635" s="9">
        <f>$Q$1*(G635-G634)</f>
        <v/>
      </c>
      <c r="R635" s="9">
        <f>$R$1*(H635-H634)</f>
        <v/>
      </c>
      <c r="S635" s="9">
        <f>$S$1*LN(I635/I634)</f>
        <v/>
      </c>
      <c r="T635" s="9">
        <f>$T$1*LN(J635/J634)</f>
        <v/>
      </c>
      <c r="U635" s="9">
        <f>$W$12+$W$4*M635+$W$5*N635+$W$6*O635+$W$7*P635+$W$8*Q635+$W$9*R635+$W$10*S635+$W$11*T635</f>
        <v/>
      </c>
      <c r="AA635" s="10">
        <f>INDEX(LINEST(L376:L635,M376:T635,TRUE,TRUE),1,9)*52</f>
        <v/>
      </c>
      <c r="AB635" s="9">
        <f>INDEX(LINEST(L376:L635,M376:T635,TRUE,TRUE),1,8)</f>
        <v/>
      </c>
      <c r="AC635" s="9">
        <f>INDEX(LINEST(L376:L635,M376:T635,TRUE,TRUE),1,7)</f>
        <v/>
      </c>
      <c r="AD635" s="9">
        <f>INDEX(LINEST(L376:L635,M376:T635,TRUE,TRUE),1,6)</f>
        <v/>
      </c>
      <c r="AE635" s="9">
        <f>INDEX(LINEST(L376:L635,M376:T635,TRUE,TRUE),1,5)</f>
        <v/>
      </c>
      <c r="AF635" s="9">
        <f>INDEX(LINEST(L376:L635,M376:T635,TRUE,TRUE),1,4)</f>
        <v/>
      </c>
      <c r="AG635" s="9">
        <f>INDEX(LINEST(L376:L635,M376:T635,TRUE,TRUE),1,3)</f>
        <v/>
      </c>
      <c r="AH635" s="9">
        <f>INDEX(LINEST(L376:L635,M376:T635,TRUE,TRUE),1,2)</f>
        <v/>
      </c>
      <c r="AI635" s="9">
        <f>INDEX(LINEST(L376:L635,M376:T635,TRUE,TRUE),1,1)</f>
        <v/>
      </c>
      <c r="AJ635" s="10">
        <f>INDEX(LINEST(L376:L635,M376:T635,TRUE,TRUE),3,1)</f>
        <v/>
      </c>
      <c r="AK635" s="9">
        <f>AA634/52+AB634*M635+AC634*N635+AD634*O635+AE634*P635+AF634*Q635+AG634*R635+AH634*S635+AI634*T635</f>
        <v/>
      </c>
      <c r="AL635" s="9">
        <f>AVERAGE(L375:L634)</f>
        <v/>
      </c>
    </row>
    <row r="636">
      <c r="A636" s="7" t="n">
        <v>42062</v>
      </c>
      <c r="B636" s="8" t="n">
        <v>1214</v>
      </c>
      <c r="C636" s="8" t="n">
        <v>1.83</v>
      </c>
      <c r="D636" s="8" t="n">
        <v>0.17</v>
      </c>
      <c r="E636" s="8" t="n">
        <v>95.25</v>
      </c>
      <c r="F636" s="8" t="n">
        <v>49.84</v>
      </c>
      <c r="G636" s="8" t="n">
        <v>13.34</v>
      </c>
      <c r="H636" s="8" t="n">
        <v>91.400002</v>
      </c>
      <c r="I636" s="8" t="n">
        <v>2104.5</v>
      </c>
      <c r="J636" s="8" t="n">
        <v>81.326561</v>
      </c>
      <c r="L636" s="9">
        <f>LN(B636/B635)</f>
        <v/>
      </c>
      <c r="M636" s="9">
        <f>$M$1*(C636-C635)</f>
        <v/>
      </c>
      <c r="N636" s="9">
        <f>$N$1*(D636-D635)</f>
        <v/>
      </c>
      <c r="O636" s="9">
        <f>$O$1*LN(E636/E635)</f>
        <v/>
      </c>
      <c r="P636" s="9">
        <f>$P$1*LN(F636/F635)</f>
        <v/>
      </c>
      <c r="Q636" s="9">
        <f>$Q$1*(G636-G635)</f>
        <v/>
      </c>
      <c r="R636" s="9">
        <f>$R$1*(H636-H635)</f>
        <v/>
      </c>
      <c r="S636" s="9">
        <f>$S$1*LN(I636/I635)</f>
        <v/>
      </c>
      <c r="T636" s="9">
        <f>$T$1*LN(J636/J635)</f>
        <v/>
      </c>
      <c r="U636" s="9">
        <f>$W$12+$W$4*M636+$W$5*N636+$W$6*O636+$W$7*P636+$W$8*Q636+$W$9*R636+$W$10*S636+$W$11*T636</f>
        <v/>
      </c>
      <c r="AA636" s="10">
        <f>INDEX(LINEST(L377:L636,M377:T636,TRUE,TRUE),1,9)*52</f>
        <v/>
      </c>
      <c r="AB636" s="9">
        <f>INDEX(LINEST(L377:L636,M377:T636,TRUE,TRUE),1,8)</f>
        <v/>
      </c>
      <c r="AC636" s="9">
        <f>INDEX(LINEST(L377:L636,M377:T636,TRUE,TRUE),1,7)</f>
        <v/>
      </c>
      <c r="AD636" s="9">
        <f>INDEX(LINEST(L377:L636,M377:T636,TRUE,TRUE),1,6)</f>
        <v/>
      </c>
      <c r="AE636" s="9">
        <f>INDEX(LINEST(L377:L636,M377:T636,TRUE,TRUE),1,5)</f>
        <v/>
      </c>
      <c r="AF636" s="9">
        <f>INDEX(LINEST(L377:L636,M377:T636,TRUE,TRUE),1,4)</f>
        <v/>
      </c>
      <c r="AG636" s="9">
        <f>INDEX(LINEST(L377:L636,M377:T636,TRUE,TRUE),1,3)</f>
        <v/>
      </c>
      <c r="AH636" s="9">
        <f>INDEX(LINEST(L377:L636,M377:T636,TRUE,TRUE),1,2)</f>
        <v/>
      </c>
      <c r="AI636" s="9">
        <f>INDEX(LINEST(L377:L636,M377:T636,TRUE,TRUE),1,1)</f>
        <v/>
      </c>
      <c r="AJ636" s="10">
        <f>INDEX(LINEST(L377:L636,M377:T636,TRUE,TRUE),3,1)</f>
        <v/>
      </c>
      <c r="AK636" s="9">
        <f>AA635/52+AB635*M636+AC635*N636+AD635*O636+AE635*P636+AF635*Q636+AG635*R636+AH635*S636+AI635*T636</f>
        <v/>
      </c>
      <c r="AL636" s="9">
        <f>AVERAGE(L376:L635)</f>
        <v/>
      </c>
    </row>
    <row r="637">
      <c r="A637" s="7" t="n">
        <v>42069</v>
      </c>
      <c r="B637" s="8" t="n">
        <v>1175.75</v>
      </c>
      <c r="C637" s="8" t="n">
        <v>1.83</v>
      </c>
      <c r="D637" s="8" t="n">
        <v>0.41</v>
      </c>
      <c r="E637" s="8" t="n">
        <v>97.620003</v>
      </c>
      <c r="F637" s="8" t="n">
        <v>49.61</v>
      </c>
      <c r="G637" s="8" t="n">
        <v>15.2</v>
      </c>
      <c r="H637" s="8" t="n">
        <v>86.599998</v>
      </c>
      <c r="I637" s="8" t="n">
        <v>2071.26001</v>
      </c>
      <c r="J637" s="8" t="n">
        <v>80.36397599999999</v>
      </c>
      <c r="L637" s="9">
        <f>LN(B637/B636)</f>
        <v/>
      </c>
      <c r="M637" s="9">
        <f>$M$1*(C637-C636)</f>
        <v/>
      </c>
      <c r="N637" s="9">
        <f>$N$1*(D637-D636)</f>
        <v/>
      </c>
      <c r="O637" s="9">
        <f>$O$1*LN(E637/E636)</f>
        <v/>
      </c>
      <c r="P637" s="9">
        <f>$P$1*LN(F637/F636)</f>
        <v/>
      </c>
      <c r="Q637" s="9">
        <f>$Q$1*(G637-G636)</f>
        <v/>
      </c>
      <c r="R637" s="9">
        <f>$R$1*(H637-H636)</f>
        <v/>
      </c>
      <c r="S637" s="9">
        <f>$S$1*LN(I637/I636)</f>
        <v/>
      </c>
      <c r="T637" s="9">
        <f>$T$1*LN(J637/J636)</f>
        <v/>
      </c>
      <c r="U637" s="9">
        <f>$W$12+$W$4*M637+$W$5*N637+$W$6*O637+$W$7*P637+$W$8*Q637+$W$9*R637+$W$10*S637+$W$11*T637</f>
        <v/>
      </c>
      <c r="AA637" s="10">
        <f>INDEX(LINEST(L378:L637,M378:T637,TRUE,TRUE),1,9)*52</f>
        <v/>
      </c>
      <c r="AB637" s="9">
        <f>INDEX(LINEST(L378:L637,M378:T637,TRUE,TRUE),1,8)</f>
        <v/>
      </c>
      <c r="AC637" s="9">
        <f>INDEX(LINEST(L378:L637,M378:T637,TRUE,TRUE),1,7)</f>
        <v/>
      </c>
      <c r="AD637" s="9">
        <f>INDEX(LINEST(L378:L637,M378:T637,TRUE,TRUE),1,6)</f>
        <v/>
      </c>
      <c r="AE637" s="9">
        <f>INDEX(LINEST(L378:L637,M378:T637,TRUE,TRUE),1,5)</f>
        <v/>
      </c>
      <c r="AF637" s="9">
        <f>INDEX(LINEST(L378:L637,M378:T637,TRUE,TRUE),1,4)</f>
        <v/>
      </c>
      <c r="AG637" s="9">
        <f>INDEX(LINEST(L378:L637,M378:T637,TRUE,TRUE),1,3)</f>
        <v/>
      </c>
      <c r="AH637" s="9">
        <f>INDEX(LINEST(L378:L637,M378:T637,TRUE,TRUE),1,2)</f>
        <v/>
      </c>
      <c r="AI637" s="9">
        <f>INDEX(LINEST(L378:L637,M378:T637,TRUE,TRUE),1,1)</f>
        <v/>
      </c>
      <c r="AJ637" s="10">
        <f>INDEX(LINEST(L378:L637,M378:T637,TRUE,TRUE),3,1)</f>
        <v/>
      </c>
      <c r="AK637" s="9">
        <f>AA636/52+AB636*M637+AC636*N637+AD636*O637+AE636*P637+AF636*Q637+AG636*R637+AH636*S637+AI636*T637</f>
        <v/>
      </c>
      <c r="AL637" s="9">
        <f>AVERAGE(L377:L636)</f>
        <v/>
      </c>
    </row>
    <row r="638">
      <c r="A638" s="7" t="n">
        <v>42076</v>
      </c>
      <c r="B638" s="8" t="n">
        <v>1152</v>
      </c>
      <c r="C638" s="8" t="n">
        <v>1.69</v>
      </c>
      <c r="D638" s="8" t="n">
        <v>0.44</v>
      </c>
      <c r="E638" s="8" t="n">
        <v>100.330002</v>
      </c>
      <c r="F638" s="8" t="n">
        <v>44.88</v>
      </c>
      <c r="G638" s="8" t="n">
        <v>16</v>
      </c>
      <c r="H638" s="8" t="n">
        <v>86.099998</v>
      </c>
      <c r="I638" s="8" t="n">
        <v>2053.399902</v>
      </c>
      <c r="J638" s="8" t="n">
        <v>80.83281700000001</v>
      </c>
      <c r="L638" s="9">
        <f>LN(B638/B637)</f>
        <v/>
      </c>
      <c r="M638" s="9">
        <f>$M$1*(C638-C637)</f>
        <v/>
      </c>
      <c r="N638" s="9">
        <f>$N$1*(D638-D637)</f>
        <v/>
      </c>
      <c r="O638" s="9">
        <f>$O$1*LN(E638/E637)</f>
        <v/>
      </c>
      <c r="P638" s="9">
        <f>$P$1*LN(F638/F637)</f>
        <v/>
      </c>
      <c r="Q638" s="9">
        <f>$Q$1*(G638-G637)</f>
        <v/>
      </c>
      <c r="R638" s="9">
        <f>$R$1*(H638-H637)</f>
        <v/>
      </c>
      <c r="S638" s="9">
        <f>$S$1*LN(I638/I637)</f>
        <v/>
      </c>
      <c r="T638" s="9">
        <f>$T$1*LN(J638/J637)</f>
        <v/>
      </c>
      <c r="U638" s="9">
        <f>$W$12+$W$4*M638+$W$5*N638+$W$6*O638+$W$7*P638+$W$8*Q638+$W$9*R638+$W$10*S638+$W$11*T638</f>
        <v/>
      </c>
      <c r="AA638" s="10">
        <f>INDEX(LINEST(L379:L638,M379:T638,TRUE,TRUE),1,9)*52</f>
        <v/>
      </c>
      <c r="AB638" s="9">
        <f>INDEX(LINEST(L379:L638,M379:T638,TRUE,TRUE),1,8)</f>
        <v/>
      </c>
      <c r="AC638" s="9">
        <f>INDEX(LINEST(L379:L638,M379:T638,TRUE,TRUE),1,7)</f>
        <v/>
      </c>
      <c r="AD638" s="9">
        <f>INDEX(LINEST(L379:L638,M379:T638,TRUE,TRUE),1,6)</f>
        <v/>
      </c>
      <c r="AE638" s="9">
        <f>INDEX(LINEST(L379:L638,M379:T638,TRUE,TRUE),1,5)</f>
        <v/>
      </c>
      <c r="AF638" s="9">
        <f>INDEX(LINEST(L379:L638,M379:T638,TRUE,TRUE),1,4)</f>
        <v/>
      </c>
      <c r="AG638" s="9">
        <f>INDEX(LINEST(L379:L638,M379:T638,TRUE,TRUE),1,3)</f>
        <v/>
      </c>
      <c r="AH638" s="9">
        <f>INDEX(LINEST(L379:L638,M379:T638,TRUE,TRUE),1,2)</f>
        <v/>
      </c>
      <c r="AI638" s="9">
        <f>INDEX(LINEST(L379:L638,M379:T638,TRUE,TRUE),1,1)</f>
        <v/>
      </c>
      <c r="AJ638" s="10">
        <f>INDEX(LINEST(L379:L638,M379:T638,TRUE,TRUE),3,1)</f>
        <v/>
      </c>
      <c r="AK638" s="9">
        <f>AA637/52+AB637*M638+AC637*N638+AD637*O638+AE637*P638+AF637*Q638+AG637*R638+AH637*S638+AI637*T638</f>
        <v/>
      </c>
      <c r="AL638" s="9">
        <f>AVERAGE(L378:L637)</f>
        <v/>
      </c>
    </row>
    <row r="639">
      <c r="A639" s="7" t="n">
        <v>42083</v>
      </c>
      <c r="B639" s="8" t="n">
        <v>1183.1</v>
      </c>
      <c r="C639" s="8" t="n">
        <v>1.76</v>
      </c>
      <c r="D639" s="8" t="n">
        <v>0.17</v>
      </c>
      <c r="E639" s="8" t="n">
        <v>97.910004</v>
      </c>
      <c r="F639" s="8" t="n">
        <v>46</v>
      </c>
      <c r="G639" s="8" t="n">
        <v>13.02</v>
      </c>
      <c r="H639" s="8" t="n">
        <v>86.5</v>
      </c>
      <c r="I639" s="8" t="n">
        <v>2108.100098</v>
      </c>
      <c r="J639" s="8" t="n">
        <v>81.550766</v>
      </c>
      <c r="L639" s="9">
        <f>LN(B639/B638)</f>
        <v/>
      </c>
      <c r="M639" s="9">
        <f>$M$1*(C639-C638)</f>
        <v/>
      </c>
      <c r="N639" s="9">
        <f>$N$1*(D639-D638)</f>
        <v/>
      </c>
      <c r="O639" s="9">
        <f>$O$1*LN(E639/E638)</f>
        <v/>
      </c>
      <c r="P639" s="9">
        <f>$P$1*LN(F639/F638)</f>
        <v/>
      </c>
      <c r="Q639" s="9">
        <f>$Q$1*(G639-G638)</f>
        <v/>
      </c>
      <c r="R639" s="9">
        <f>$R$1*(H639-H638)</f>
        <v/>
      </c>
      <c r="S639" s="9">
        <f>$S$1*LN(I639/I638)</f>
        <v/>
      </c>
      <c r="T639" s="9">
        <f>$T$1*LN(J639/J638)</f>
        <v/>
      </c>
      <c r="U639" s="9">
        <f>$W$12+$W$4*M639+$W$5*N639+$W$6*O639+$W$7*P639+$W$8*Q639+$W$9*R639+$W$10*S639+$W$11*T639</f>
        <v/>
      </c>
      <c r="AA639" s="10">
        <f>INDEX(LINEST(L380:L639,M380:T639,TRUE,TRUE),1,9)*52</f>
        <v/>
      </c>
      <c r="AB639" s="9">
        <f>INDEX(LINEST(L380:L639,M380:T639,TRUE,TRUE),1,8)</f>
        <v/>
      </c>
      <c r="AC639" s="9">
        <f>INDEX(LINEST(L380:L639,M380:T639,TRUE,TRUE),1,7)</f>
        <v/>
      </c>
      <c r="AD639" s="9">
        <f>INDEX(LINEST(L380:L639,M380:T639,TRUE,TRUE),1,6)</f>
        <v/>
      </c>
      <c r="AE639" s="9">
        <f>INDEX(LINEST(L380:L639,M380:T639,TRUE,TRUE),1,5)</f>
        <v/>
      </c>
      <c r="AF639" s="9">
        <f>INDEX(LINEST(L380:L639,M380:T639,TRUE,TRUE),1,4)</f>
        <v/>
      </c>
      <c r="AG639" s="9">
        <f>INDEX(LINEST(L380:L639,M380:T639,TRUE,TRUE),1,3)</f>
        <v/>
      </c>
      <c r="AH639" s="9">
        <f>INDEX(LINEST(L380:L639,M380:T639,TRUE,TRUE),1,2)</f>
        <v/>
      </c>
      <c r="AI639" s="9">
        <f>INDEX(LINEST(L380:L639,M380:T639,TRUE,TRUE),1,1)</f>
        <v/>
      </c>
      <c r="AJ639" s="10">
        <f>INDEX(LINEST(L380:L639,M380:T639,TRUE,TRUE),3,1)</f>
        <v/>
      </c>
      <c r="AK639" s="9">
        <f>AA638/52+AB638*M639+AC638*N639+AD638*O639+AE638*P639+AF638*Q639+AG638*R639+AH638*S639+AI638*T639</f>
        <v/>
      </c>
      <c r="AL639" s="9">
        <f>AVERAGE(L379:L638)</f>
        <v/>
      </c>
    </row>
    <row r="640">
      <c r="A640" s="7" t="n">
        <v>42090</v>
      </c>
      <c r="B640" s="8" t="n">
        <v>1195.75</v>
      </c>
      <c r="C640" s="8" t="n">
        <v>1.76</v>
      </c>
      <c r="D640" s="8" t="n">
        <v>0.19</v>
      </c>
      <c r="E640" s="8" t="n">
        <v>97.290001</v>
      </c>
      <c r="F640" s="8" t="n">
        <v>48.83</v>
      </c>
      <c r="G640" s="8" t="n">
        <v>15.07</v>
      </c>
      <c r="H640" s="8" t="n">
        <v>86.199997</v>
      </c>
      <c r="I640" s="8" t="n">
        <v>2061.02002</v>
      </c>
      <c r="J640" s="8" t="n">
        <v>81.45549800000001</v>
      </c>
      <c r="L640" s="9">
        <f>LN(B640/B639)</f>
        <v/>
      </c>
      <c r="M640" s="9">
        <f>$M$1*(C640-C639)</f>
        <v/>
      </c>
      <c r="N640" s="9">
        <f>$N$1*(D640-D639)</f>
        <v/>
      </c>
      <c r="O640" s="9">
        <f>$O$1*LN(E640/E639)</f>
        <v/>
      </c>
      <c r="P640" s="9">
        <f>$P$1*LN(F640/F639)</f>
        <v/>
      </c>
      <c r="Q640" s="9">
        <f>$Q$1*(G640-G639)</f>
        <v/>
      </c>
      <c r="R640" s="9">
        <f>$R$1*(H640-H639)</f>
        <v/>
      </c>
      <c r="S640" s="9">
        <f>$S$1*LN(I640/I639)</f>
        <v/>
      </c>
      <c r="T640" s="9">
        <f>$T$1*LN(J640/J639)</f>
        <v/>
      </c>
      <c r="U640" s="9">
        <f>$W$12+$W$4*M640+$W$5*N640+$W$6*O640+$W$7*P640+$W$8*Q640+$W$9*R640+$W$10*S640+$W$11*T640</f>
        <v/>
      </c>
      <c r="AA640" s="10">
        <f>INDEX(LINEST(L381:L640,M381:T640,TRUE,TRUE),1,9)*52</f>
        <v/>
      </c>
      <c r="AB640" s="9">
        <f>INDEX(LINEST(L381:L640,M381:T640,TRUE,TRUE),1,8)</f>
        <v/>
      </c>
      <c r="AC640" s="9">
        <f>INDEX(LINEST(L381:L640,M381:T640,TRUE,TRUE),1,7)</f>
        <v/>
      </c>
      <c r="AD640" s="9">
        <f>INDEX(LINEST(L381:L640,M381:T640,TRUE,TRUE),1,6)</f>
        <v/>
      </c>
      <c r="AE640" s="9">
        <f>INDEX(LINEST(L381:L640,M381:T640,TRUE,TRUE),1,5)</f>
        <v/>
      </c>
      <c r="AF640" s="9">
        <f>INDEX(LINEST(L381:L640,M381:T640,TRUE,TRUE),1,4)</f>
        <v/>
      </c>
      <c r="AG640" s="9">
        <f>INDEX(LINEST(L381:L640,M381:T640,TRUE,TRUE),1,3)</f>
        <v/>
      </c>
      <c r="AH640" s="9">
        <f>INDEX(LINEST(L381:L640,M381:T640,TRUE,TRUE),1,2)</f>
        <v/>
      </c>
      <c r="AI640" s="9">
        <f>INDEX(LINEST(L381:L640,M381:T640,TRUE,TRUE),1,1)</f>
        <v/>
      </c>
      <c r="AJ640" s="10">
        <f>INDEX(LINEST(L381:L640,M381:T640,TRUE,TRUE),3,1)</f>
        <v/>
      </c>
      <c r="AK640" s="9">
        <f>AA639/52+AB639*M640+AC639*N640+AD639*O640+AE639*P640+AF639*Q640+AG639*R640+AH639*S640+AI639*T640</f>
        <v/>
      </c>
      <c r="AL640" s="9">
        <f>AVERAGE(L380:L639)</f>
        <v/>
      </c>
    </row>
    <row r="641">
      <c r="A641" s="7" t="n">
        <v>42097</v>
      </c>
      <c r="B641" s="8" t="n">
        <v>1198.5</v>
      </c>
      <c r="C641" s="8" t="n">
        <v>1.83</v>
      </c>
      <c r="D641" s="8" t="n">
        <v>0.02</v>
      </c>
      <c r="E641" s="8" t="n">
        <v>97.44000200000001</v>
      </c>
      <c r="F641" s="8" t="n">
        <v>49.13</v>
      </c>
      <c r="G641" s="8" t="n">
        <v>14.67</v>
      </c>
      <c r="H641" s="8" t="n">
        <v>84.300003</v>
      </c>
      <c r="I641" s="8" t="n">
        <v>2066.959961</v>
      </c>
      <c r="J641" s="8" t="n">
        <v>81.786163</v>
      </c>
      <c r="L641" s="9">
        <f>LN(B641/B640)</f>
        <v/>
      </c>
      <c r="M641" s="9">
        <f>$M$1*(C641-C640)</f>
        <v/>
      </c>
      <c r="N641" s="9">
        <f>$N$1*(D641-D640)</f>
        <v/>
      </c>
      <c r="O641" s="9">
        <f>$O$1*LN(E641/E640)</f>
        <v/>
      </c>
      <c r="P641" s="9">
        <f>$P$1*LN(F641/F640)</f>
        <v/>
      </c>
      <c r="Q641" s="9">
        <f>$Q$1*(G641-G640)</f>
        <v/>
      </c>
      <c r="R641" s="9">
        <f>$R$1*(H641-H640)</f>
        <v/>
      </c>
      <c r="S641" s="9">
        <f>$S$1*LN(I641/I640)</f>
        <v/>
      </c>
      <c r="T641" s="9">
        <f>$T$1*LN(J641/J640)</f>
        <v/>
      </c>
      <c r="U641" s="9">
        <f>$W$12+$W$4*M641+$W$5*N641+$W$6*O641+$W$7*P641+$W$8*Q641+$W$9*R641+$W$10*S641+$W$11*T641</f>
        <v/>
      </c>
      <c r="AA641" s="10">
        <f>INDEX(LINEST(L382:L641,M382:T641,TRUE,TRUE),1,9)*52</f>
        <v/>
      </c>
      <c r="AB641" s="9">
        <f>INDEX(LINEST(L382:L641,M382:T641,TRUE,TRUE),1,8)</f>
        <v/>
      </c>
      <c r="AC641" s="9">
        <f>INDEX(LINEST(L382:L641,M382:T641,TRUE,TRUE),1,7)</f>
        <v/>
      </c>
      <c r="AD641" s="9">
        <f>INDEX(LINEST(L382:L641,M382:T641,TRUE,TRUE),1,6)</f>
        <v/>
      </c>
      <c r="AE641" s="9">
        <f>INDEX(LINEST(L382:L641,M382:T641,TRUE,TRUE),1,5)</f>
        <v/>
      </c>
      <c r="AF641" s="9">
        <f>INDEX(LINEST(L382:L641,M382:T641,TRUE,TRUE),1,4)</f>
        <v/>
      </c>
      <c r="AG641" s="9">
        <f>INDEX(LINEST(L382:L641,M382:T641,TRUE,TRUE),1,3)</f>
        <v/>
      </c>
      <c r="AH641" s="9">
        <f>INDEX(LINEST(L382:L641,M382:T641,TRUE,TRUE),1,2)</f>
        <v/>
      </c>
      <c r="AI641" s="9">
        <f>INDEX(LINEST(L382:L641,M382:T641,TRUE,TRUE),1,1)</f>
        <v/>
      </c>
      <c r="AJ641" s="10">
        <f>INDEX(LINEST(L382:L641,M382:T641,TRUE,TRUE),3,1)</f>
        <v/>
      </c>
      <c r="AK641" s="9">
        <f>AA640/52+AB640*M641+AC640*N641+AD640*O641+AE640*P641+AF640*Q641+AG640*R641+AH640*S641+AI640*T641</f>
        <v/>
      </c>
      <c r="AL641" s="9">
        <f>AVERAGE(L381:L640)</f>
        <v/>
      </c>
    </row>
    <row r="642">
      <c r="A642" s="7" t="n">
        <v>42104</v>
      </c>
      <c r="B642" s="8" t="n">
        <v>1207.35</v>
      </c>
      <c r="C642" s="8" t="n">
        <v>1.82</v>
      </c>
      <c r="D642" s="8" t="n">
        <v>0.14</v>
      </c>
      <c r="E642" s="8" t="n">
        <v>99.389999</v>
      </c>
      <c r="F642" s="8" t="n">
        <v>51.63</v>
      </c>
      <c r="G642" s="8" t="n">
        <v>12.58</v>
      </c>
      <c r="H642" s="8" t="n">
        <v>77.800003</v>
      </c>
      <c r="I642" s="8" t="n">
        <v>2102.060059</v>
      </c>
      <c r="J642" s="8" t="n">
        <v>81.65406</v>
      </c>
      <c r="L642" s="9">
        <f>LN(B642/B641)</f>
        <v/>
      </c>
      <c r="M642" s="9">
        <f>$M$1*(C642-C641)</f>
        <v/>
      </c>
      <c r="N642" s="9">
        <f>$N$1*(D642-D641)</f>
        <v/>
      </c>
      <c r="O642" s="9">
        <f>$O$1*LN(E642/E641)</f>
        <v/>
      </c>
      <c r="P642" s="9">
        <f>$P$1*LN(F642/F641)</f>
        <v/>
      </c>
      <c r="Q642" s="9">
        <f>$Q$1*(G642-G641)</f>
        <v/>
      </c>
      <c r="R642" s="9">
        <f>$R$1*(H642-H641)</f>
        <v/>
      </c>
      <c r="S642" s="9">
        <f>$S$1*LN(I642/I641)</f>
        <v/>
      </c>
      <c r="T642" s="9">
        <f>$T$1*LN(J642/J641)</f>
        <v/>
      </c>
      <c r="U642" s="9">
        <f>$W$12+$W$4*M642+$W$5*N642+$W$6*O642+$W$7*P642+$W$8*Q642+$W$9*R642+$W$10*S642+$W$11*T642</f>
        <v/>
      </c>
      <c r="AA642" s="10">
        <f>INDEX(LINEST(L383:L642,M383:T642,TRUE,TRUE),1,9)*52</f>
        <v/>
      </c>
      <c r="AB642" s="9">
        <f>INDEX(LINEST(L383:L642,M383:T642,TRUE,TRUE),1,8)</f>
        <v/>
      </c>
      <c r="AC642" s="9">
        <f>INDEX(LINEST(L383:L642,M383:T642,TRUE,TRUE),1,7)</f>
        <v/>
      </c>
      <c r="AD642" s="9">
        <f>INDEX(LINEST(L383:L642,M383:T642,TRUE,TRUE),1,6)</f>
        <v/>
      </c>
      <c r="AE642" s="9">
        <f>INDEX(LINEST(L383:L642,M383:T642,TRUE,TRUE),1,5)</f>
        <v/>
      </c>
      <c r="AF642" s="9">
        <f>INDEX(LINEST(L383:L642,M383:T642,TRUE,TRUE),1,4)</f>
        <v/>
      </c>
      <c r="AG642" s="9">
        <f>INDEX(LINEST(L383:L642,M383:T642,TRUE,TRUE),1,3)</f>
        <v/>
      </c>
      <c r="AH642" s="9">
        <f>INDEX(LINEST(L383:L642,M383:T642,TRUE,TRUE),1,2)</f>
        <v/>
      </c>
      <c r="AI642" s="9">
        <f>INDEX(LINEST(L383:L642,M383:T642,TRUE,TRUE),1,1)</f>
        <v/>
      </c>
      <c r="AJ642" s="10">
        <f>INDEX(LINEST(L383:L642,M383:T642,TRUE,TRUE),3,1)</f>
        <v/>
      </c>
      <c r="AK642" s="9">
        <f>AA641/52+AB641*M642+AC641*N642+AD641*O642+AE641*P642+AF641*Q642+AG641*R642+AH641*S642+AI641*T642</f>
        <v/>
      </c>
      <c r="AL642" s="9">
        <f>AVERAGE(L382:L641)</f>
        <v/>
      </c>
    </row>
    <row r="643">
      <c r="A643" s="7" t="n">
        <v>42111</v>
      </c>
      <c r="B643" s="8" t="n">
        <v>1203.35</v>
      </c>
      <c r="C643" s="8" t="n">
        <v>1.89</v>
      </c>
      <c r="D643" s="8" t="n">
        <v>-0.02</v>
      </c>
      <c r="E643" s="8" t="n">
        <v>97.519997</v>
      </c>
      <c r="F643" s="8" t="n">
        <v>55.71</v>
      </c>
      <c r="G643" s="8" t="n">
        <v>13.89</v>
      </c>
      <c r="H643" s="8" t="n">
        <v>74.400002</v>
      </c>
      <c r="I643" s="8" t="n">
        <v>2081.179932</v>
      </c>
      <c r="J643" s="8" t="n">
        <v>81.962318</v>
      </c>
      <c r="L643" s="9">
        <f>LN(B643/B642)</f>
        <v/>
      </c>
      <c r="M643" s="9">
        <f>$M$1*(C643-C642)</f>
        <v/>
      </c>
      <c r="N643" s="9">
        <f>$N$1*(D643-D642)</f>
        <v/>
      </c>
      <c r="O643" s="9">
        <f>$O$1*LN(E643/E642)</f>
        <v/>
      </c>
      <c r="P643" s="9">
        <f>$P$1*LN(F643/F642)</f>
        <v/>
      </c>
      <c r="Q643" s="9">
        <f>$Q$1*(G643-G642)</f>
        <v/>
      </c>
      <c r="R643" s="9">
        <f>$R$1*(H643-H642)</f>
        <v/>
      </c>
      <c r="S643" s="9">
        <f>$S$1*LN(I643/I642)</f>
        <v/>
      </c>
      <c r="T643" s="9">
        <f>$T$1*LN(J643/J642)</f>
        <v/>
      </c>
      <c r="U643" s="9">
        <f>$W$12+$W$4*M643+$W$5*N643+$W$6*O643+$W$7*P643+$W$8*Q643+$W$9*R643+$W$10*S643+$W$11*T643</f>
        <v/>
      </c>
      <c r="AA643" s="10">
        <f>INDEX(LINEST(L384:L643,M384:T643,TRUE,TRUE),1,9)*52</f>
        <v/>
      </c>
      <c r="AB643" s="9">
        <f>INDEX(LINEST(L384:L643,M384:T643,TRUE,TRUE),1,8)</f>
        <v/>
      </c>
      <c r="AC643" s="9">
        <f>INDEX(LINEST(L384:L643,M384:T643,TRUE,TRUE),1,7)</f>
        <v/>
      </c>
      <c r="AD643" s="9">
        <f>INDEX(LINEST(L384:L643,M384:T643,TRUE,TRUE),1,6)</f>
        <v/>
      </c>
      <c r="AE643" s="9">
        <f>INDEX(LINEST(L384:L643,M384:T643,TRUE,TRUE),1,5)</f>
        <v/>
      </c>
      <c r="AF643" s="9">
        <f>INDEX(LINEST(L384:L643,M384:T643,TRUE,TRUE),1,4)</f>
        <v/>
      </c>
      <c r="AG643" s="9">
        <f>INDEX(LINEST(L384:L643,M384:T643,TRUE,TRUE),1,3)</f>
        <v/>
      </c>
      <c r="AH643" s="9">
        <f>INDEX(LINEST(L384:L643,M384:T643,TRUE,TRUE),1,2)</f>
        <v/>
      </c>
      <c r="AI643" s="9">
        <f>INDEX(LINEST(L384:L643,M384:T643,TRUE,TRUE),1,1)</f>
        <v/>
      </c>
      <c r="AJ643" s="10">
        <f>INDEX(LINEST(L384:L643,M384:T643,TRUE,TRUE),3,1)</f>
        <v/>
      </c>
      <c r="AK643" s="9">
        <f>AA642/52+AB642*M643+AC642*N643+AD642*O643+AE642*P643+AF642*Q643+AG642*R643+AH642*S643+AI642*T643</f>
        <v/>
      </c>
      <c r="AL643" s="9">
        <f>AVERAGE(L383:L642)</f>
        <v/>
      </c>
    </row>
    <row r="644">
      <c r="A644" s="7" t="n">
        <v>42118</v>
      </c>
      <c r="B644" s="8" t="n">
        <v>1183</v>
      </c>
      <c r="C644" s="8" t="n">
        <v>1.89</v>
      </c>
      <c r="D644" s="8" t="n">
        <v>0.04</v>
      </c>
      <c r="E644" s="8" t="n">
        <v>96.91999800000001</v>
      </c>
      <c r="F644" s="8" t="n">
        <v>55.98</v>
      </c>
      <c r="G644" s="8" t="n">
        <v>12.29</v>
      </c>
      <c r="H644" s="8" t="n">
        <v>71.599998</v>
      </c>
      <c r="I644" s="8" t="n">
        <v>2117.689941</v>
      </c>
      <c r="J644" s="8" t="n">
        <v>81.83757</v>
      </c>
      <c r="L644" s="9">
        <f>LN(B644/B643)</f>
        <v/>
      </c>
      <c r="M644" s="9">
        <f>$M$1*(C644-C643)</f>
        <v/>
      </c>
      <c r="N644" s="9">
        <f>$N$1*(D644-D643)</f>
        <v/>
      </c>
      <c r="O644" s="9">
        <f>$O$1*LN(E644/E643)</f>
        <v/>
      </c>
      <c r="P644" s="9">
        <f>$P$1*LN(F644/F643)</f>
        <v/>
      </c>
      <c r="Q644" s="9">
        <f>$Q$1*(G644-G643)</f>
        <v/>
      </c>
      <c r="R644" s="9">
        <f>$R$1*(H644-H643)</f>
        <v/>
      </c>
      <c r="S644" s="9">
        <f>$S$1*LN(I644/I643)</f>
        <v/>
      </c>
      <c r="T644" s="9">
        <f>$T$1*LN(J644/J643)</f>
        <v/>
      </c>
      <c r="U644" s="9">
        <f>$W$12+$W$4*M644+$W$5*N644+$W$6*O644+$W$7*P644+$W$8*Q644+$W$9*R644+$W$10*S644+$W$11*T644</f>
        <v/>
      </c>
      <c r="AA644" s="10">
        <f>INDEX(LINEST(L385:L644,M385:T644,TRUE,TRUE),1,9)*52</f>
        <v/>
      </c>
      <c r="AB644" s="9">
        <f>INDEX(LINEST(L385:L644,M385:T644,TRUE,TRUE),1,8)</f>
        <v/>
      </c>
      <c r="AC644" s="9">
        <f>INDEX(LINEST(L385:L644,M385:T644,TRUE,TRUE),1,7)</f>
        <v/>
      </c>
      <c r="AD644" s="9">
        <f>INDEX(LINEST(L385:L644,M385:T644,TRUE,TRUE),1,6)</f>
        <v/>
      </c>
      <c r="AE644" s="9">
        <f>INDEX(LINEST(L385:L644,M385:T644,TRUE,TRUE),1,5)</f>
        <v/>
      </c>
      <c r="AF644" s="9">
        <f>INDEX(LINEST(L385:L644,M385:T644,TRUE,TRUE),1,4)</f>
        <v/>
      </c>
      <c r="AG644" s="9">
        <f>INDEX(LINEST(L385:L644,M385:T644,TRUE,TRUE),1,3)</f>
        <v/>
      </c>
      <c r="AH644" s="9">
        <f>INDEX(LINEST(L385:L644,M385:T644,TRUE,TRUE),1,2)</f>
        <v/>
      </c>
      <c r="AI644" s="9">
        <f>INDEX(LINEST(L385:L644,M385:T644,TRUE,TRUE),1,1)</f>
        <v/>
      </c>
      <c r="AJ644" s="10">
        <f>INDEX(LINEST(L385:L644,M385:T644,TRUE,TRUE),3,1)</f>
        <v/>
      </c>
      <c r="AK644" s="9">
        <f>AA643/52+AB643*M644+AC643*N644+AD643*O644+AE643*P644+AF643*Q644+AG643*R644+AH643*S644+AI643*T644</f>
        <v/>
      </c>
      <c r="AL644" s="9">
        <f>AVERAGE(L384:L643)</f>
        <v/>
      </c>
    </row>
    <row r="645">
      <c r="A645" s="7" t="n">
        <v>42125</v>
      </c>
      <c r="B645" s="8" t="n">
        <v>1175.95</v>
      </c>
      <c r="C645" s="8" t="n">
        <v>1.94</v>
      </c>
      <c r="D645" s="8" t="n">
        <v>0.18</v>
      </c>
      <c r="E645" s="8" t="n">
        <v>95.300003</v>
      </c>
      <c r="F645" s="8" t="n">
        <v>59.1</v>
      </c>
      <c r="G645" s="8" t="n">
        <v>12.7</v>
      </c>
      <c r="H645" s="8" t="n">
        <v>78.900002</v>
      </c>
      <c r="I645" s="8" t="n">
        <v>2108.290039</v>
      </c>
      <c r="J645" s="8" t="n">
        <v>81.13694</v>
      </c>
      <c r="L645" s="9">
        <f>LN(B645/B644)</f>
        <v/>
      </c>
      <c r="M645" s="9">
        <f>$M$1*(C645-C644)</f>
        <v/>
      </c>
      <c r="N645" s="9">
        <f>$N$1*(D645-D644)</f>
        <v/>
      </c>
      <c r="O645" s="9">
        <f>$O$1*LN(E645/E644)</f>
        <v/>
      </c>
      <c r="P645" s="9">
        <f>$P$1*LN(F645/F644)</f>
        <v/>
      </c>
      <c r="Q645" s="9">
        <f>$Q$1*(G645-G644)</f>
        <v/>
      </c>
      <c r="R645" s="9">
        <f>$R$1*(H645-H644)</f>
        <v/>
      </c>
      <c r="S645" s="9">
        <f>$S$1*LN(I645/I644)</f>
        <v/>
      </c>
      <c r="T645" s="9">
        <f>$T$1*LN(J645/J644)</f>
        <v/>
      </c>
      <c r="U645" s="9">
        <f>$W$12+$W$4*M645+$W$5*N645+$W$6*O645+$W$7*P645+$W$8*Q645+$W$9*R645+$W$10*S645+$W$11*T645</f>
        <v/>
      </c>
      <c r="AA645" s="10">
        <f>INDEX(LINEST(L386:L645,M386:T645,TRUE,TRUE),1,9)*52</f>
        <v/>
      </c>
      <c r="AB645" s="9">
        <f>INDEX(LINEST(L386:L645,M386:T645,TRUE,TRUE),1,8)</f>
        <v/>
      </c>
      <c r="AC645" s="9">
        <f>INDEX(LINEST(L386:L645,M386:T645,TRUE,TRUE),1,7)</f>
        <v/>
      </c>
      <c r="AD645" s="9">
        <f>INDEX(LINEST(L386:L645,M386:T645,TRUE,TRUE),1,6)</f>
        <v/>
      </c>
      <c r="AE645" s="9">
        <f>INDEX(LINEST(L386:L645,M386:T645,TRUE,TRUE),1,5)</f>
        <v/>
      </c>
      <c r="AF645" s="9">
        <f>INDEX(LINEST(L386:L645,M386:T645,TRUE,TRUE),1,4)</f>
        <v/>
      </c>
      <c r="AG645" s="9">
        <f>INDEX(LINEST(L386:L645,M386:T645,TRUE,TRUE),1,3)</f>
        <v/>
      </c>
      <c r="AH645" s="9">
        <f>INDEX(LINEST(L386:L645,M386:T645,TRUE,TRUE),1,2)</f>
        <v/>
      </c>
      <c r="AI645" s="9">
        <f>INDEX(LINEST(L386:L645,M386:T645,TRUE,TRUE),1,1)</f>
        <v/>
      </c>
      <c r="AJ645" s="10">
        <f>INDEX(LINEST(L386:L645,M386:T645,TRUE,TRUE),3,1)</f>
        <v/>
      </c>
      <c r="AK645" s="9">
        <f>AA644/52+AB644*M645+AC644*N645+AD644*O645+AE644*P645+AF644*Q645+AG644*R645+AH644*S645+AI644*T645</f>
        <v/>
      </c>
      <c r="AL645" s="9">
        <f>AVERAGE(L385:L644)</f>
        <v/>
      </c>
    </row>
    <row r="646">
      <c r="A646" s="7" t="n">
        <v>42132</v>
      </c>
      <c r="B646" s="8" t="n">
        <v>1186</v>
      </c>
      <c r="C646" s="8" t="n">
        <v>1.88</v>
      </c>
      <c r="D646" s="8" t="n">
        <v>0.28</v>
      </c>
      <c r="E646" s="8" t="n">
        <v>94.790001</v>
      </c>
      <c r="F646" s="8" t="n">
        <v>59.41</v>
      </c>
      <c r="G646" s="8" t="n">
        <v>12.86</v>
      </c>
      <c r="H646" s="8" t="n">
        <v>80.900002</v>
      </c>
      <c r="I646" s="8" t="n">
        <v>2116.100098</v>
      </c>
      <c r="J646" s="8" t="n">
        <v>81.100128</v>
      </c>
      <c r="L646" s="9">
        <f>LN(B646/B645)</f>
        <v/>
      </c>
      <c r="M646" s="9">
        <f>$M$1*(C646-C645)</f>
        <v/>
      </c>
      <c r="N646" s="9">
        <f>$N$1*(D646-D645)</f>
        <v/>
      </c>
      <c r="O646" s="9">
        <f>$O$1*LN(E646/E645)</f>
        <v/>
      </c>
      <c r="P646" s="9">
        <f>$P$1*LN(F646/F645)</f>
        <v/>
      </c>
      <c r="Q646" s="9">
        <f>$Q$1*(G646-G645)</f>
        <v/>
      </c>
      <c r="R646" s="9">
        <f>$R$1*(H646-H645)</f>
        <v/>
      </c>
      <c r="S646" s="9">
        <f>$S$1*LN(I646/I645)</f>
        <v/>
      </c>
      <c r="T646" s="9">
        <f>$T$1*LN(J646/J645)</f>
        <v/>
      </c>
      <c r="U646" s="9">
        <f>$W$12+$W$4*M646+$W$5*N646+$W$6*O646+$W$7*P646+$W$8*Q646+$W$9*R646+$W$10*S646+$W$11*T646</f>
        <v/>
      </c>
      <c r="AA646" s="10">
        <f>INDEX(LINEST(L387:L646,M387:T646,TRUE,TRUE),1,9)*52</f>
        <v/>
      </c>
      <c r="AB646" s="9">
        <f>INDEX(LINEST(L387:L646,M387:T646,TRUE,TRUE),1,8)</f>
        <v/>
      </c>
      <c r="AC646" s="9">
        <f>INDEX(LINEST(L387:L646,M387:T646,TRUE,TRUE),1,7)</f>
        <v/>
      </c>
      <c r="AD646" s="9">
        <f>INDEX(LINEST(L387:L646,M387:T646,TRUE,TRUE),1,6)</f>
        <v/>
      </c>
      <c r="AE646" s="9">
        <f>INDEX(LINEST(L387:L646,M387:T646,TRUE,TRUE),1,5)</f>
        <v/>
      </c>
      <c r="AF646" s="9">
        <f>INDEX(LINEST(L387:L646,M387:T646,TRUE,TRUE),1,4)</f>
        <v/>
      </c>
      <c r="AG646" s="9">
        <f>INDEX(LINEST(L387:L646,M387:T646,TRUE,TRUE),1,3)</f>
        <v/>
      </c>
      <c r="AH646" s="9">
        <f>INDEX(LINEST(L387:L646,M387:T646,TRUE,TRUE),1,2)</f>
        <v/>
      </c>
      <c r="AI646" s="9">
        <f>INDEX(LINEST(L387:L646,M387:T646,TRUE,TRUE),1,1)</f>
        <v/>
      </c>
      <c r="AJ646" s="10">
        <f>INDEX(LINEST(L387:L646,M387:T646,TRUE,TRUE),3,1)</f>
        <v/>
      </c>
      <c r="AK646" s="9">
        <f>AA645/52+AB645*M646+AC645*N646+AD645*O646+AE645*P646+AF645*Q646+AG645*R646+AH645*S646+AI645*T646</f>
        <v/>
      </c>
      <c r="AL646" s="9">
        <f>AVERAGE(L386:L645)</f>
        <v/>
      </c>
    </row>
    <row r="647">
      <c r="A647" s="7" t="n">
        <v>42139</v>
      </c>
      <c r="B647" s="8" t="n">
        <v>1220.5</v>
      </c>
      <c r="C647" s="8" t="n">
        <v>1.83</v>
      </c>
      <c r="D647" s="8" t="n">
        <v>0.31</v>
      </c>
      <c r="E647" s="8" t="n">
        <v>93.139999</v>
      </c>
      <c r="F647" s="8" t="n">
        <v>59.73</v>
      </c>
      <c r="G647" s="8" t="n">
        <v>12.38</v>
      </c>
      <c r="H647" s="8" t="n">
        <v>83.199997</v>
      </c>
      <c r="I647" s="8" t="n">
        <v>2122.72998</v>
      </c>
      <c r="J647" s="8" t="n">
        <v>81.033974</v>
      </c>
      <c r="L647" s="9">
        <f>LN(B647/B646)</f>
        <v/>
      </c>
      <c r="M647" s="9">
        <f>$M$1*(C647-C646)</f>
        <v/>
      </c>
      <c r="N647" s="9">
        <f>$N$1*(D647-D646)</f>
        <v/>
      </c>
      <c r="O647" s="9">
        <f>$O$1*LN(E647/E646)</f>
        <v/>
      </c>
      <c r="P647" s="9">
        <f>$P$1*LN(F647/F646)</f>
        <v/>
      </c>
      <c r="Q647" s="9">
        <f>$Q$1*(G647-G646)</f>
        <v/>
      </c>
      <c r="R647" s="9">
        <f>$R$1*(H647-H646)</f>
        <v/>
      </c>
      <c r="S647" s="9">
        <f>$S$1*LN(I647/I646)</f>
        <v/>
      </c>
      <c r="T647" s="9">
        <f>$T$1*LN(J647/J646)</f>
        <v/>
      </c>
      <c r="U647" s="9">
        <f>$W$12+$W$4*M647+$W$5*N647+$W$6*O647+$W$7*P647+$W$8*Q647+$W$9*R647+$W$10*S647+$W$11*T647</f>
        <v/>
      </c>
      <c r="AA647" s="10">
        <f>INDEX(LINEST(L388:L647,M388:T647,TRUE,TRUE),1,9)*52</f>
        <v/>
      </c>
      <c r="AB647" s="9">
        <f>INDEX(LINEST(L388:L647,M388:T647,TRUE,TRUE),1,8)</f>
        <v/>
      </c>
      <c r="AC647" s="9">
        <f>INDEX(LINEST(L388:L647,M388:T647,TRUE,TRUE),1,7)</f>
        <v/>
      </c>
      <c r="AD647" s="9">
        <f>INDEX(LINEST(L388:L647,M388:T647,TRUE,TRUE),1,6)</f>
        <v/>
      </c>
      <c r="AE647" s="9">
        <f>INDEX(LINEST(L388:L647,M388:T647,TRUE,TRUE),1,5)</f>
        <v/>
      </c>
      <c r="AF647" s="9">
        <f>INDEX(LINEST(L388:L647,M388:T647,TRUE,TRUE),1,4)</f>
        <v/>
      </c>
      <c r="AG647" s="9">
        <f>INDEX(LINEST(L388:L647,M388:T647,TRUE,TRUE),1,3)</f>
        <v/>
      </c>
      <c r="AH647" s="9">
        <f>INDEX(LINEST(L388:L647,M388:T647,TRUE,TRUE),1,2)</f>
        <v/>
      </c>
      <c r="AI647" s="9">
        <f>INDEX(LINEST(L388:L647,M388:T647,TRUE,TRUE),1,1)</f>
        <v/>
      </c>
      <c r="AJ647" s="10">
        <f>INDEX(LINEST(L388:L647,M388:T647,TRUE,TRUE),3,1)</f>
        <v/>
      </c>
      <c r="AK647" s="9">
        <f>AA646/52+AB646*M647+AC646*N647+AD646*O647+AE646*P647+AF646*Q647+AG646*R647+AH646*S647+AI646*T647</f>
        <v/>
      </c>
      <c r="AL647" s="9">
        <f>AVERAGE(L387:L646)</f>
        <v/>
      </c>
    </row>
    <row r="648">
      <c r="A648" s="7" t="n">
        <v>42146</v>
      </c>
      <c r="B648" s="8" t="n">
        <v>1204.1</v>
      </c>
      <c r="C648" s="8" t="n">
        <v>1.87</v>
      </c>
      <c r="D648" s="8" t="n">
        <v>0.34</v>
      </c>
      <c r="E648" s="8" t="n">
        <v>96.010002</v>
      </c>
      <c r="F648" s="8" t="n">
        <v>58.88</v>
      </c>
      <c r="G648" s="8" t="n">
        <v>12.13</v>
      </c>
      <c r="H648" s="8" t="n">
        <v>87.66999800000001</v>
      </c>
      <c r="I648" s="8" t="n">
        <v>2126.060059</v>
      </c>
      <c r="J648" s="8" t="n">
        <v>80.73249800000001</v>
      </c>
      <c r="L648" s="9">
        <f>LN(B648/B647)</f>
        <v/>
      </c>
      <c r="M648" s="9">
        <f>$M$1*(C648-C647)</f>
        <v/>
      </c>
      <c r="N648" s="9">
        <f>$N$1*(D648-D647)</f>
        <v/>
      </c>
      <c r="O648" s="9">
        <f>$O$1*LN(E648/E647)</f>
        <v/>
      </c>
      <c r="P648" s="9">
        <f>$P$1*LN(F648/F647)</f>
        <v/>
      </c>
      <c r="Q648" s="9">
        <f>$Q$1*(G648-G647)</f>
        <v/>
      </c>
      <c r="R648" s="9">
        <f>$R$1*(H648-H647)</f>
        <v/>
      </c>
      <c r="S648" s="9">
        <f>$S$1*LN(I648/I647)</f>
        <v/>
      </c>
      <c r="T648" s="9">
        <f>$T$1*LN(J648/J647)</f>
        <v/>
      </c>
      <c r="U648" s="9">
        <f>$W$12+$W$4*M648+$W$5*N648+$W$6*O648+$W$7*P648+$W$8*Q648+$W$9*R648+$W$10*S648+$W$11*T648</f>
        <v/>
      </c>
      <c r="AA648" s="10">
        <f>INDEX(LINEST(L389:L648,M389:T648,TRUE,TRUE),1,9)*52</f>
        <v/>
      </c>
      <c r="AB648" s="9">
        <f>INDEX(LINEST(L389:L648,M389:T648,TRUE,TRUE),1,8)</f>
        <v/>
      </c>
      <c r="AC648" s="9">
        <f>INDEX(LINEST(L389:L648,M389:T648,TRUE,TRUE),1,7)</f>
        <v/>
      </c>
      <c r="AD648" s="9">
        <f>INDEX(LINEST(L389:L648,M389:T648,TRUE,TRUE),1,6)</f>
        <v/>
      </c>
      <c r="AE648" s="9">
        <f>INDEX(LINEST(L389:L648,M389:T648,TRUE,TRUE),1,5)</f>
        <v/>
      </c>
      <c r="AF648" s="9">
        <f>INDEX(LINEST(L389:L648,M389:T648,TRUE,TRUE),1,4)</f>
        <v/>
      </c>
      <c r="AG648" s="9">
        <f>INDEX(LINEST(L389:L648,M389:T648,TRUE,TRUE),1,3)</f>
        <v/>
      </c>
      <c r="AH648" s="9">
        <f>INDEX(LINEST(L389:L648,M389:T648,TRUE,TRUE),1,2)</f>
        <v/>
      </c>
      <c r="AI648" s="9">
        <f>INDEX(LINEST(L389:L648,M389:T648,TRUE,TRUE),1,1)</f>
        <v/>
      </c>
      <c r="AJ648" s="10">
        <f>INDEX(LINEST(L389:L648,M389:T648,TRUE,TRUE),3,1)</f>
        <v/>
      </c>
      <c r="AK648" s="9">
        <f>AA647/52+AB647*M648+AC647*N648+AD647*O648+AE647*P648+AF647*Q648+AG647*R648+AH647*S648+AI647*T648</f>
        <v/>
      </c>
      <c r="AL648" s="9">
        <f>AVERAGE(L388:L647)</f>
        <v/>
      </c>
    </row>
    <row r="649">
      <c r="A649" s="7" t="n">
        <v>42153</v>
      </c>
      <c r="B649" s="8" t="n">
        <v>1191.4</v>
      </c>
      <c r="C649" s="8" t="n">
        <v>1.8</v>
      </c>
      <c r="D649" s="8" t="n">
        <v>0.32</v>
      </c>
      <c r="E649" s="8" t="n">
        <v>96.910004</v>
      </c>
      <c r="F649" s="8" t="n">
        <v>60.25</v>
      </c>
      <c r="G649" s="8" t="n">
        <v>13.84</v>
      </c>
      <c r="H649" s="8" t="n">
        <v>82.699997</v>
      </c>
      <c r="I649" s="8" t="n">
        <v>2107.389893</v>
      </c>
      <c r="J649" s="8" t="n">
        <v>81.01190200000001</v>
      </c>
      <c r="L649" s="9">
        <f>LN(B649/B648)</f>
        <v/>
      </c>
      <c r="M649" s="9">
        <f>$M$1*(C649-C648)</f>
        <v/>
      </c>
      <c r="N649" s="9">
        <f>$N$1*(D649-D648)</f>
        <v/>
      </c>
      <c r="O649" s="9">
        <f>$O$1*LN(E649/E648)</f>
        <v/>
      </c>
      <c r="P649" s="9">
        <f>$P$1*LN(F649/F648)</f>
        <v/>
      </c>
      <c r="Q649" s="9">
        <f>$Q$1*(G649-G648)</f>
        <v/>
      </c>
      <c r="R649" s="9">
        <f>$R$1*(H649-H648)</f>
        <v/>
      </c>
      <c r="S649" s="9">
        <f>$S$1*LN(I649/I648)</f>
        <v/>
      </c>
      <c r="T649" s="9">
        <f>$T$1*LN(J649/J648)</f>
        <v/>
      </c>
      <c r="U649" s="9">
        <f>$W$12+$W$4*M649+$W$5*N649+$W$6*O649+$W$7*P649+$W$8*Q649+$W$9*R649+$W$10*S649+$W$11*T649</f>
        <v/>
      </c>
      <c r="AA649" s="10">
        <f>INDEX(LINEST(L390:L649,M390:T649,TRUE,TRUE),1,9)*52</f>
        <v/>
      </c>
      <c r="AB649" s="9">
        <f>INDEX(LINEST(L390:L649,M390:T649,TRUE,TRUE),1,8)</f>
        <v/>
      </c>
      <c r="AC649" s="9">
        <f>INDEX(LINEST(L390:L649,M390:T649,TRUE,TRUE),1,7)</f>
        <v/>
      </c>
      <c r="AD649" s="9">
        <f>INDEX(LINEST(L390:L649,M390:T649,TRUE,TRUE),1,6)</f>
        <v/>
      </c>
      <c r="AE649" s="9">
        <f>INDEX(LINEST(L390:L649,M390:T649,TRUE,TRUE),1,5)</f>
        <v/>
      </c>
      <c r="AF649" s="9">
        <f>INDEX(LINEST(L390:L649,M390:T649,TRUE,TRUE),1,4)</f>
        <v/>
      </c>
      <c r="AG649" s="9">
        <f>INDEX(LINEST(L390:L649,M390:T649,TRUE,TRUE),1,3)</f>
        <v/>
      </c>
      <c r="AH649" s="9">
        <f>INDEX(LINEST(L390:L649,M390:T649,TRUE,TRUE),1,2)</f>
        <v/>
      </c>
      <c r="AI649" s="9">
        <f>INDEX(LINEST(L390:L649,M390:T649,TRUE,TRUE),1,1)</f>
        <v/>
      </c>
      <c r="AJ649" s="10">
        <f>INDEX(LINEST(L390:L649,M390:T649,TRUE,TRUE),3,1)</f>
        <v/>
      </c>
      <c r="AK649" s="9">
        <f>AA648/52+AB648*M649+AC648*N649+AD648*O649+AE648*P649+AF648*Q649+AG648*R649+AH648*S649+AI648*T649</f>
        <v/>
      </c>
      <c r="AL649" s="9">
        <f>AVERAGE(L389:L648)</f>
        <v/>
      </c>
    </row>
    <row r="650">
      <c r="A650" s="7" t="n">
        <v>42160</v>
      </c>
      <c r="B650" s="8" t="n">
        <v>1164.6</v>
      </c>
      <c r="C650" s="8" t="n">
        <v>1.86</v>
      </c>
      <c r="D650" s="8" t="n">
        <v>0.55</v>
      </c>
      <c r="E650" s="8" t="n">
        <v>96.30999799999999</v>
      </c>
      <c r="F650" s="8" t="n">
        <v>59.11</v>
      </c>
      <c r="G650" s="8" t="n">
        <v>14.21</v>
      </c>
      <c r="H650" s="8" t="n">
        <v>88.900002</v>
      </c>
      <c r="I650" s="8" t="n">
        <v>2092.830078</v>
      </c>
      <c r="J650" s="8" t="n">
        <v>79.970184</v>
      </c>
      <c r="L650" s="9">
        <f>LN(B650/B649)</f>
        <v/>
      </c>
      <c r="M650" s="9">
        <f>$M$1*(C650-C649)</f>
        <v/>
      </c>
      <c r="N650" s="9">
        <f>$N$1*(D650-D649)</f>
        <v/>
      </c>
      <c r="O650" s="9">
        <f>$O$1*LN(E650/E649)</f>
        <v/>
      </c>
      <c r="P650" s="9">
        <f>$P$1*LN(F650/F649)</f>
        <v/>
      </c>
      <c r="Q650" s="9">
        <f>$Q$1*(G650-G649)</f>
        <v/>
      </c>
      <c r="R650" s="9">
        <f>$R$1*(H650-H649)</f>
        <v/>
      </c>
      <c r="S650" s="9">
        <f>$S$1*LN(I650/I649)</f>
        <v/>
      </c>
      <c r="T650" s="9">
        <f>$T$1*LN(J650/J649)</f>
        <v/>
      </c>
      <c r="U650" s="9">
        <f>$W$12+$W$4*M650+$W$5*N650+$W$6*O650+$W$7*P650+$W$8*Q650+$W$9*R650+$W$10*S650+$W$11*T650</f>
        <v/>
      </c>
      <c r="AA650" s="10">
        <f>INDEX(LINEST(L391:L650,M391:T650,TRUE,TRUE),1,9)*52</f>
        <v/>
      </c>
      <c r="AB650" s="9">
        <f>INDEX(LINEST(L391:L650,M391:T650,TRUE,TRUE),1,8)</f>
        <v/>
      </c>
      <c r="AC650" s="9">
        <f>INDEX(LINEST(L391:L650,M391:T650,TRUE,TRUE),1,7)</f>
        <v/>
      </c>
      <c r="AD650" s="9">
        <f>INDEX(LINEST(L391:L650,M391:T650,TRUE,TRUE),1,6)</f>
        <v/>
      </c>
      <c r="AE650" s="9">
        <f>INDEX(LINEST(L391:L650,M391:T650,TRUE,TRUE),1,5)</f>
        <v/>
      </c>
      <c r="AF650" s="9">
        <f>INDEX(LINEST(L391:L650,M391:T650,TRUE,TRUE),1,4)</f>
        <v/>
      </c>
      <c r="AG650" s="9">
        <f>INDEX(LINEST(L391:L650,M391:T650,TRUE,TRUE),1,3)</f>
        <v/>
      </c>
      <c r="AH650" s="9">
        <f>INDEX(LINEST(L391:L650,M391:T650,TRUE,TRUE),1,2)</f>
        <v/>
      </c>
      <c r="AI650" s="9">
        <f>INDEX(LINEST(L391:L650,M391:T650,TRUE,TRUE),1,1)</f>
        <v/>
      </c>
      <c r="AJ650" s="10">
        <f>INDEX(LINEST(L391:L650,M391:T650,TRUE,TRUE),3,1)</f>
        <v/>
      </c>
      <c r="AK650" s="9">
        <f>AA649/52+AB649*M650+AC649*N650+AD649*O650+AE649*P650+AF649*Q650+AG649*R650+AH649*S650+AI649*T650</f>
        <v/>
      </c>
      <c r="AL650" s="9">
        <f>AVERAGE(L390:L649)</f>
        <v/>
      </c>
    </row>
    <row r="651">
      <c r="A651" s="7" t="n">
        <v>42167</v>
      </c>
      <c r="B651" s="8" t="n">
        <v>1182.8</v>
      </c>
      <c r="C651" s="8" t="n">
        <v>1.84</v>
      </c>
      <c r="D651" s="8" t="n">
        <v>0.55</v>
      </c>
      <c r="E651" s="8" t="n">
        <v>94.970001</v>
      </c>
      <c r="F651" s="8" t="n">
        <v>59.96</v>
      </c>
      <c r="G651" s="8" t="n">
        <v>13.78</v>
      </c>
      <c r="H651" s="8" t="n">
        <v>87.699997</v>
      </c>
      <c r="I651" s="8" t="n">
        <v>2094.110107</v>
      </c>
      <c r="J651" s="8" t="n">
        <v>79.99231</v>
      </c>
      <c r="L651" s="9">
        <f>LN(B651/B650)</f>
        <v/>
      </c>
      <c r="M651" s="9">
        <f>$M$1*(C651-C650)</f>
        <v/>
      </c>
      <c r="N651" s="9">
        <f>$N$1*(D651-D650)</f>
        <v/>
      </c>
      <c r="O651" s="9">
        <f>$O$1*LN(E651/E650)</f>
        <v/>
      </c>
      <c r="P651" s="9">
        <f>$P$1*LN(F651/F650)</f>
        <v/>
      </c>
      <c r="Q651" s="9">
        <f>$Q$1*(G651-G650)</f>
        <v/>
      </c>
      <c r="R651" s="9">
        <f>$R$1*(H651-H650)</f>
        <v/>
      </c>
      <c r="S651" s="9">
        <f>$S$1*LN(I651/I650)</f>
        <v/>
      </c>
      <c r="T651" s="9">
        <f>$T$1*LN(J651/J650)</f>
        <v/>
      </c>
      <c r="U651" s="9">
        <f>$W$12+$W$4*M651+$W$5*N651+$W$6*O651+$W$7*P651+$W$8*Q651+$W$9*R651+$W$10*S651+$W$11*T651</f>
        <v/>
      </c>
      <c r="AA651" s="10">
        <f>INDEX(LINEST(L392:L651,M392:T651,TRUE,TRUE),1,9)*52</f>
        <v/>
      </c>
      <c r="AB651" s="9">
        <f>INDEX(LINEST(L392:L651,M392:T651,TRUE,TRUE),1,8)</f>
        <v/>
      </c>
      <c r="AC651" s="9">
        <f>INDEX(LINEST(L392:L651,M392:T651,TRUE,TRUE),1,7)</f>
        <v/>
      </c>
      <c r="AD651" s="9">
        <f>INDEX(LINEST(L392:L651,M392:T651,TRUE,TRUE),1,6)</f>
        <v/>
      </c>
      <c r="AE651" s="9">
        <f>INDEX(LINEST(L392:L651,M392:T651,TRUE,TRUE),1,5)</f>
        <v/>
      </c>
      <c r="AF651" s="9">
        <f>INDEX(LINEST(L392:L651,M392:T651,TRUE,TRUE),1,4)</f>
        <v/>
      </c>
      <c r="AG651" s="9">
        <f>INDEX(LINEST(L392:L651,M392:T651,TRUE,TRUE),1,3)</f>
        <v/>
      </c>
      <c r="AH651" s="9">
        <f>INDEX(LINEST(L392:L651,M392:T651,TRUE,TRUE),1,2)</f>
        <v/>
      </c>
      <c r="AI651" s="9">
        <f>INDEX(LINEST(L392:L651,M392:T651,TRUE,TRUE),1,1)</f>
        <v/>
      </c>
      <c r="AJ651" s="10">
        <f>INDEX(LINEST(L392:L651,M392:T651,TRUE,TRUE),3,1)</f>
        <v/>
      </c>
      <c r="AK651" s="9">
        <f>AA650/52+AB650*M651+AC650*N651+AD650*O651+AE650*P651+AF650*Q651+AG650*R651+AH650*S651+AI650*T651</f>
        <v/>
      </c>
      <c r="AL651" s="9">
        <f>AVERAGE(L391:L650)</f>
        <v/>
      </c>
    </row>
    <row r="652">
      <c r="A652" s="7" t="n">
        <v>42174</v>
      </c>
      <c r="B652" s="8" t="n">
        <v>1203.4</v>
      </c>
      <c r="C652" s="8" t="n">
        <v>1.86</v>
      </c>
      <c r="D652" s="8" t="n">
        <v>0.4</v>
      </c>
      <c r="E652" s="8" t="n">
        <v>94.089996</v>
      </c>
      <c r="F652" s="8" t="n">
        <v>59.62</v>
      </c>
      <c r="G652" s="8" t="n">
        <v>13.96</v>
      </c>
      <c r="H652" s="8" t="n">
        <v>84.699997</v>
      </c>
      <c r="I652" s="8" t="n">
        <v>2109.98999</v>
      </c>
      <c r="J652" s="8" t="n">
        <v>80.456436</v>
      </c>
      <c r="L652" s="9">
        <f>LN(B652/B651)</f>
        <v/>
      </c>
      <c r="M652" s="9">
        <f>$M$1*(C652-C651)</f>
        <v/>
      </c>
      <c r="N652" s="9">
        <f>$N$1*(D652-D651)</f>
        <v/>
      </c>
      <c r="O652" s="9">
        <f>$O$1*LN(E652/E651)</f>
        <v/>
      </c>
      <c r="P652" s="9">
        <f>$P$1*LN(F652/F651)</f>
        <v/>
      </c>
      <c r="Q652" s="9">
        <f>$Q$1*(G652-G651)</f>
        <v/>
      </c>
      <c r="R652" s="9">
        <f>$R$1*(H652-H651)</f>
        <v/>
      </c>
      <c r="S652" s="9">
        <f>$S$1*LN(I652/I651)</f>
        <v/>
      </c>
      <c r="T652" s="9">
        <f>$T$1*LN(J652/J651)</f>
        <v/>
      </c>
      <c r="U652" s="9">
        <f>$W$12+$W$4*M652+$W$5*N652+$W$6*O652+$W$7*P652+$W$8*Q652+$W$9*R652+$W$10*S652+$W$11*T652</f>
        <v/>
      </c>
      <c r="AA652" s="10">
        <f>INDEX(LINEST(L393:L652,M393:T652,TRUE,TRUE),1,9)*52</f>
        <v/>
      </c>
      <c r="AB652" s="9">
        <f>INDEX(LINEST(L393:L652,M393:T652,TRUE,TRUE),1,8)</f>
        <v/>
      </c>
      <c r="AC652" s="9">
        <f>INDEX(LINEST(L393:L652,M393:T652,TRUE,TRUE),1,7)</f>
        <v/>
      </c>
      <c r="AD652" s="9">
        <f>INDEX(LINEST(L393:L652,M393:T652,TRUE,TRUE),1,6)</f>
        <v/>
      </c>
      <c r="AE652" s="9">
        <f>INDEX(LINEST(L393:L652,M393:T652,TRUE,TRUE),1,5)</f>
        <v/>
      </c>
      <c r="AF652" s="9">
        <f>INDEX(LINEST(L393:L652,M393:T652,TRUE,TRUE),1,4)</f>
        <v/>
      </c>
      <c r="AG652" s="9">
        <f>INDEX(LINEST(L393:L652,M393:T652,TRUE,TRUE),1,3)</f>
        <v/>
      </c>
      <c r="AH652" s="9">
        <f>INDEX(LINEST(L393:L652,M393:T652,TRUE,TRUE),1,2)</f>
        <v/>
      </c>
      <c r="AI652" s="9">
        <f>INDEX(LINEST(L393:L652,M393:T652,TRUE,TRUE),1,1)</f>
        <v/>
      </c>
      <c r="AJ652" s="10">
        <f>INDEX(LINEST(L393:L652,M393:T652,TRUE,TRUE),3,1)</f>
        <v/>
      </c>
      <c r="AK652" s="9">
        <f>AA651/52+AB651*M652+AC651*N652+AD651*O652+AE651*P652+AF651*Q652+AG651*R652+AH651*S652+AI651*T652</f>
        <v/>
      </c>
      <c r="AL652" s="9">
        <f>AVERAGE(L392:L651)</f>
        <v/>
      </c>
    </row>
    <row r="653">
      <c r="A653" s="7" t="n">
        <v>42181</v>
      </c>
      <c r="B653" s="8" t="n">
        <v>1170.5</v>
      </c>
      <c r="C653" s="8" t="n">
        <v>1.92</v>
      </c>
      <c r="D653" s="8" t="n">
        <v>0.57</v>
      </c>
      <c r="E653" s="8" t="n">
        <v>95.470001</v>
      </c>
      <c r="F653" s="8" t="n">
        <v>59.41</v>
      </c>
      <c r="G653" s="8" t="n">
        <v>14.02</v>
      </c>
      <c r="H653" s="8" t="n">
        <v>84.300003</v>
      </c>
      <c r="I653" s="8" t="n">
        <v>2101.48999</v>
      </c>
      <c r="J653" s="8" t="n">
        <v>79.719696</v>
      </c>
      <c r="L653" s="9">
        <f>LN(B653/B652)</f>
        <v/>
      </c>
      <c r="M653" s="9">
        <f>$M$1*(C653-C652)</f>
        <v/>
      </c>
      <c r="N653" s="9">
        <f>$N$1*(D653-D652)</f>
        <v/>
      </c>
      <c r="O653" s="9">
        <f>$O$1*LN(E653/E652)</f>
        <v/>
      </c>
      <c r="P653" s="9">
        <f>$P$1*LN(F653/F652)</f>
        <v/>
      </c>
      <c r="Q653" s="9">
        <f>$Q$1*(G653-G652)</f>
        <v/>
      </c>
      <c r="R653" s="9">
        <f>$R$1*(H653-H652)</f>
        <v/>
      </c>
      <c r="S653" s="9">
        <f>$S$1*LN(I653/I652)</f>
        <v/>
      </c>
      <c r="T653" s="9">
        <f>$T$1*LN(J653/J652)</f>
        <v/>
      </c>
      <c r="U653" s="9">
        <f>$W$12+$W$4*M653+$W$5*N653+$W$6*O653+$W$7*P653+$W$8*Q653+$W$9*R653+$W$10*S653+$W$11*T653</f>
        <v/>
      </c>
      <c r="AA653" s="10">
        <f>INDEX(LINEST(L394:L653,M394:T653,TRUE,TRUE),1,9)*52</f>
        <v/>
      </c>
      <c r="AB653" s="9">
        <f>INDEX(LINEST(L394:L653,M394:T653,TRUE,TRUE),1,8)</f>
        <v/>
      </c>
      <c r="AC653" s="9">
        <f>INDEX(LINEST(L394:L653,M394:T653,TRUE,TRUE),1,7)</f>
        <v/>
      </c>
      <c r="AD653" s="9">
        <f>INDEX(LINEST(L394:L653,M394:T653,TRUE,TRUE),1,6)</f>
        <v/>
      </c>
      <c r="AE653" s="9">
        <f>INDEX(LINEST(L394:L653,M394:T653,TRUE,TRUE),1,5)</f>
        <v/>
      </c>
      <c r="AF653" s="9">
        <f>INDEX(LINEST(L394:L653,M394:T653,TRUE,TRUE),1,4)</f>
        <v/>
      </c>
      <c r="AG653" s="9">
        <f>INDEX(LINEST(L394:L653,M394:T653,TRUE,TRUE),1,3)</f>
        <v/>
      </c>
      <c r="AH653" s="9">
        <f>INDEX(LINEST(L394:L653,M394:T653,TRUE,TRUE),1,2)</f>
        <v/>
      </c>
      <c r="AI653" s="9">
        <f>INDEX(LINEST(L394:L653,M394:T653,TRUE,TRUE),1,1)</f>
        <v/>
      </c>
      <c r="AJ653" s="10">
        <f>INDEX(LINEST(L394:L653,M394:T653,TRUE,TRUE),3,1)</f>
        <v/>
      </c>
      <c r="AK653" s="9">
        <f>AA652/52+AB652*M653+AC652*N653+AD652*O653+AE652*P653+AF652*Q653+AG652*R653+AH652*S653+AI652*T653</f>
        <v/>
      </c>
      <c r="AL653" s="9">
        <f>AVERAGE(L393:L652)</f>
        <v/>
      </c>
    </row>
    <row r="654">
      <c r="A654" s="7" t="n">
        <v>42188</v>
      </c>
      <c r="B654" s="8" t="n">
        <v>1167.95</v>
      </c>
      <c r="C654" s="8" t="n">
        <v>1.91</v>
      </c>
      <c r="D654" s="8" t="n">
        <v>0.49</v>
      </c>
      <c r="E654" s="8" t="n">
        <v>96.110001</v>
      </c>
      <c r="F654" s="8" t="n">
        <v>56.93</v>
      </c>
      <c r="G654" s="8" t="n">
        <v>16.79</v>
      </c>
      <c r="H654" s="8" t="n">
        <v>88</v>
      </c>
      <c r="I654" s="8" t="n">
        <v>2076.780029</v>
      </c>
      <c r="J654" s="8" t="n">
        <v>80.048096</v>
      </c>
      <c r="L654" s="9">
        <f>LN(B654/B653)</f>
        <v/>
      </c>
      <c r="M654" s="9">
        <f>$M$1*(C654-C653)</f>
        <v/>
      </c>
      <c r="N654" s="9">
        <f>$N$1*(D654-D653)</f>
        <v/>
      </c>
      <c r="O654" s="9">
        <f>$O$1*LN(E654/E653)</f>
        <v/>
      </c>
      <c r="P654" s="9">
        <f>$P$1*LN(F654/F653)</f>
        <v/>
      </c>
      <c r="Q654" s="9">
        <f>$Q$1*(G654-G653)</f>
        <v/>
      </c>
      <c r="R654" s="9">
        <f>$R$1*(H654-H653)</f>
        <v/>
      </c>
      <c r="S654" s="9">
        <f>$S$1*LN(I654/I653)</f>
        <v/>
      </c>
      <c r="T654" s="9">
        <f>$T$1*LN(J654/J653)</f>
        <v/>
      </c>
      <c r="U654" s="9">
        <f>$W$12+$W$4*M654+$W$5*N654+$W$6*O654+$W$7*P654+$W$8*Q654+$W$9*R654+$W$10*S654+$W$11*T654</f>
        <v/>
      </c>
      <c r="AA654" s="10">
        <f>INDEX(LINEST(L395:L654,M395:T654,TRUE,TRUE),1,9)*52</f>
        <v/>
      </c>
      <c r="AB654" s="9">
        <f>INDEX(LINEST(L395:L654,M395:T654,TRUE,TRUE),1,8)</f>
        <v/>
      </c>
      <c r="AC654" s="9">
        <f>INDEX(LINEST(L395:L654,M395:T654,TRUE,TRUE),1,7)</f>
        <v/>
      </c>
      <c r="AD654" s="9">
        <f>INDEX(LINEST(L395:L654,M395:T654,TRUE,TRUE),1,6)</f>
        <v/>
      </c>
      <c r="AE654" s="9">
        <f>INDEX(LINEST(L395:L654,M395:T654,TRUE,TRUE),1,5)</f>
        <v/>
      </c>
      <c r="AF654" s="9">
        <f>INDEX(LINEST(L395:L654,M395:T654,TRUE,TRUE),1,4)</f>
        <v/>
      </c>
      <c r="AG654" s="9">
        <f>INDEX(LINEST(L395:L654,M395:T654,TRUE,TRUE),1,3)</f>
        <v/>
      </c>
      <c r="AH654" s="9">
        <f>INDEX(LINEST(L395:L654,M395:T654,TRUE,TRUE),1,2)</f>
        <v/>
      </c>
      <c r="AI654" s="9">
        <f>INDEX(LINEST(L395:L654,M395:T654,TRUE,TRUE),1,1)</f>
        <v/>
      </c>
      <c r="AJ654" s="10">
        <f>INDEX(LINEST(L395:L654,M395:T654,TRUE,TRUE),3,1)</f>
        <v/>
      </c>
      <c r="AK654" s="9">
        <f>AA653/52+AB653*M654+AC653*N654+AD653*O654+AE653*P654+AF653*Q654+AG653*R654+AH653*S654+AI653*T654</f>
        <v/>
      </c>
      <c r="AL654" s="9">
        <f>AVERAGE(L394:L653)</f>
        <v/>
      </c>
    </row>
    <row r="655">
      <c r="A655" s="7" t="n">
        <v>42195</v>
      </c>
      <c r="B655" s="8" t="n">
        <v>1159.3</v>
      </c>
      <c r="C655" s="8" t="n">
        <v>1.87</v>
      </c>
      <c r="D655" s="8" t="n">
        <v>0.55</v>
      </c>
      <c r="E655" s="8" t="n">
        <v>96.029999</v>
      </c>
      <c r="F655" s="8" t="n">
        <v>52.74</v>
      </c>
      <c r="G655" s="8" t="n">
        <v>16.83</v>
      </c>
      <c r="H655" s="8" t="n">
        <v>90.199997</v>
      </c>
      <c r="I655" s="8" t="n">
        <v>2076.620117</v>
      </c>
      <c r="J655" s="8" t="n">
        <v>80.00385300000001</v>
      </c>
      <c r="L655" s="9">
        <f>LN(B655/B654)</f>
        <v/>
      </c>
      <c r="M655" s="9">
        <f>$M$1*(C655-C654)</f>
        <v/>
      </c>
      <c r="N655" s="9">
        <f>$N$1*(D655-D654)</f>
        <v/>
      </c>
      <c r="O655" s="9">
        <f>$O$1*LN(E655/E654)</f>
        <v/>
      </c>
      <c r="P655" s="9">
        <f>$P$1*LN(F655/F654)</f>
        <v/>
      </c>
      <c r="Q655" s="9">
        <f>$Q$1*(G655-G654)</f>
        <v/>
      </c>
      <c r="R655" s="9">
        <f>$R$1*(H655-H654)</f>
        <v/>
      </c>
      <c r="S655" s="9">
        <f>$S$1*LN(I655/I654)</f>
        <v/>
      </c>
      <c r="T655" s="9">
        <f>$T$1*LN(J655/J654)</f>
        <v/>
      </c>
      <c r="U655" s="9">
        <f>$W$12+$W$4*M655+$W$5*N655+$W$6*O655+$W$7*P655+$W$8*Q655+$W$9*R655+$W$10*S655+$W$11*T655</f>
        <v/>
      </c>
      <c r="AA655" s="10">
        <f>INDEX(LINEST(L396:L655,M396:T655,TRUE,TRUE),1,9)*52</f>
        <v/>
      </c>
      <c r="AB655" s="9">
        <f>INDEX(LINEST(L396:L655,M396:T655,TRUE,TRUE),1,8)</f>
        <v/>
      </c>
      <c r="AC655" s="9">
        <f>INDEX(LINEST(L396:L655,M396:T655,TRUE,TRUE),1,7)</f>
        <v/>
      </c>
      <c r="AD655" s="9">
        <f>INDEX(LINEST(L396:L655,M396:T655,TRUE,TRUE),1,6)</f>
        <v/>
      </c>
      <c r="AE655" s="9">
        <f>INDEX(LINEST(L396:L655,M396:T655,TRUE,TRUE),1,5)</f>
        <v/>
      </c>
      <c r="AF655" s="9">
        <f>INDEX(LINEST(L396:L655,M396:T655,TRUE,TRUE),1,4)</f>
        <v/>
      </c>
      <c r="AG655" s="9">
        <f>INDEX(LINEST(L396:L655,M396:T655,TRUE,TRUE),1,3)</f>
        <v/>
      </c>
      <c r="AH655" s="9">
        <f>INDEX(LINEST(L396:L655,M396:T655,TRUE,TRUE),1,2)</f>
        <v/>
      </c>
      <c r="AI655" s="9">
        <f>INDEX(LINEST(L396:L655,M396:T655,TRUE,TRUE),1,1)</f>
        <v/>
      </c>
      <c r="AJ655" s="10">
        <f>INDEX(LINEST(L396:L655,M396:T655,TRUE,TRUE),3,1)</f>
        <v/>
      </c>
      <c r="AK655" s="9">
        <f>AA654/52+AB654*M655+AC654*N655+AD654*O655+AE654*P655+AF654*Q655+AG654*R655+AH654*S655+AI654*T655</f>
        <v/>
      </c>
      <c r="AL655" s="9">
        <f>AVERAGE(L395:L654)</f>
        <v/>
      </c>
    </row>
    <row r="656">
      <c r="A656" s="7" t="n">
        <v>42202</v>
      </c>
      <c r="B656" s="8" t="n">
        <v>1132.8</v>
      </c>
      <c r="C656" s="8" t="n">
        <v>1.83</v>
      </c>
      <c r="D656" s="8" t="n">
        <v>0.51</v>
      </c>
      <c r="E656" s="8" t="n">
        <v>97.860001</v>
      </c>
      <c r="F656" s="8" t="n">
        <v>50.88</v>
      </c>
      <c r="G656" s="8" t="n">
        <v>11.95</v>
      </c>
      <c r="H656" s="8" t="n">
        <v>74.209999</v>
      </c>
      <c r="I656" s="8" t="n">
        <v>2126.639893</v>
      </c>
      <c r="J656" s="8" t="n">
        <v>80.306496</v>
      </c>
      <c r="L656" s="9">
        <f>LN(B656/B655)</f>
        <v/>
      </c>
      <c r="M656" s="9">
        <f>$M$1*(C656-C655)</f>
        <v/>
      </c>
      <c r="N656" s="9">
        <f>$N$1*(D656-D655)</f>
        <v/>
      </c>
      <c r="O656" s="9">
        <f>$O$1*LN(E656/E655)</f>
        <v/>
      </c>
      <c r="P656" s="9">
        <f>$P$1*LN(F656/F655)</f>
        <v/>
      </c>
      <c r="Q656" s="9">
        <f>$Q$1*(G656-G655)</f>
        <v/>
      </c>
      <c r="R656" s="9">
        <f>$R$1*(H656-H655)</f>
        <v/>
      </c>
      <c r="S656" s="9">
        <f>$S$1*LN(I656/I655)</f>
        <v/>
      </c>
      <c r="T656" s="9">
        <f>$T$1*LN(J656/J655)</f>
        <v/>
      </c>
      <c r="U656" s="9">
        <f>$W$12+$W$4*M656+$W$5*N656+$W$6*O656+$W$7*P656+$W$8*Q656+$W$9*R656+$W$10*S656+$W$11*T656</f>
        <v/>
      </c>
      <c r="AA656" s="10">
        <f>INDEX(LINEST(L397:L656,M397:T656,TRUE,TRUE),1,9)*52</f>
        <v/>
      </c>
      <c r="AB656" s="9">
        <f>INDEX(LINEST(L397:L656,M397:T656,TRUE,TRUE),1,8)</f>
        <v/>
      </c>
      <c r="AC656" s="9">
        <f>INDEX(LINEST(L397:L656,M397:T656,TRUE,TRUE),1,7)</f>
        <v/>
      </c>
      <c r="AD656" s="9">
        <f>INDEX(LINEST(L397:L656,M397:T656,TRUE,TRUE),1,6)</f>
        <v/>
      </c>
      <c r="AE656" s="9">
        <f>INDEX(LINEST(L397:L656,M397:T656,TRUE,TRUE),1,5)</f>
        <v/>
      </c>
      <c r="AF656" s="9">
        <f>INDEX(LINEST(L397:L656,M397:T656,TRUE,TRUE),1,4)</f>
        <v/>
      </c>
      <c r="AG656" s="9">
        <f>INDEX(LINEST(L397:L656,M397:T656,TRUE,TRUE),1,3)</f>
        <v/>
      </c>
      <c r="AH656" s="9">
        <f>INDEX(LINEST(L397:L656,M397:T656,TRUE,TRUE),1,2)</f>
        <v/>
      </c>
      <c r="AI656" s="9">
        <f>INDEX(LINEST(L397:L656,M397:T656,TRUE,TRUE),1,1)</f>
        <v/>
      </c>
      <c r="AJ656" s="10">
        <f>INDEX(LINEST(L397:L656,M397:T656,TRUE,TRUE),3,1)</f>
        <v/>
      </c>
      <c r="AK656" s="9">
        <f>AA655/52+AB655*M656+AC655*N656+AD655*O656+AE655*P656+AF655*Q656+AG655*R656+AH655*S656+AI655*T656</f>
        <v/>
      </c>
      <c r="AL656" s="9">
        <f>AVERAGE(L396:L655)</f>
        <v/>
      </c>
    </row>
    <row r="657">
      <c r="A657" s="7" t="n">
        <v>42209</v>
      </c>
      <c r="B657" s="8" t="n">
        <v>1080.8</v>
      </c>
      <c r="C657" s="8" t="n">
        <v>1.76</v>
      </c>
      <c r="D657" s="8" t="n">
        <v>0.51</v>
      </c>
      <c r="E657" s="8" t="n">
        <v>97.239998</v>
      </c>
      <c r="F657" s="8" t="n">
        <v>47.98</v>
      </c>
      <c r="G657" s="8" t="n">
        <v>13.74</v>
      </c>
      <c r="H657" s="8" t="n">
        <v>73</v>
      </c>
      <c r="I657" s="8" t="n">
        <v>2079.649902</v>
      </c>
      <c r="J657" s="8" t="n">
        <v>80.55011</v>
      </c>
      <c r="L657" s="9">
        <f>LN(B657/B656)</f>
        <v/>
      </c>
      <c r="M657" s="9">
        <f>$M$1*(C657-C656)</f>
        <v/>
      </c>
      <c r="N657" s="9">
        <f>$N$1*(D657-D656)</f>
        <v/>
      </c>
      <c r="O657" s="9">
        <f>$O$1*LN(E657/E656)</f>
        <v/>
      </c>
      <c r="P657" s="9">
        <f>$P$1*LN(F657/F656)</f>
        <v/>
      </c>
      <c r="Q657" s="9">
        <f>$Q$1*(G657-G656)</f>
        <v/>
      </c>
      <c r="R657" s="9">
        <f>$R$1*(H657-H656)</f>
        <v/>
      </c>
      <c r="S657" s="9">
        <f>$S$1*LN(I657/I656)</f>
        <v/>
      </c>
      <c r="T657" s="9">
        <f>$T$1*LN(J657/J656)</f>
        <v/>
      </c>
      <c r="U657" s="9">
        <f>$W$12+$W$4*M657+$W$5*N657+$W$6*O657+$W$7*P657+$W$8*Q657+$W$9*R657+$W$10*S657+$W$11*T657</f>
        <v/>
      </c>
      <c r="AA657" s="10">
        <f>INDEX(LINEST(L398:L657,M398:T657,TRUE,TRUE),1,9)*52</f>
        <v/>
      </c>
      <c r="AB657" s="9">
        <f>INDEX(LINEST(L398:L657,M398:T657,TRUE,TRUE),1,8)</f>
        <v/>
      </c>
      <c r="AC657" s="9">
        <f>INDEX(LINEST(L398:L657,M398:T657,TRUE,TRUE),1,7)</f>
        <v/>
      </c>
      <c r="AD657" s="9">
        <f>INDEX(LINEST(L398:L657,M398:T657,TRUE,TRUE),1,6)</f>
        <v/>
      </c>
      <c r="AE657" s="9">
        <f>INDEX(LINEST(L398:L657,M398:T657,TRUE,TRUE),1,5)</f>
        <v/>
      </c>
      <c r="AF657" s="9">
        <f>INDEX(LINEST(L398:L657,M398:T657,TRUE,TRUE),1,4)</f>
        <v/>
      </c>
      <c r="AG657" s="9">
        <f>INDEX(LINEST(L398:L657,M398:T657,TRUE,TRUE),1,3)</f>
        <v/>
      </c>
      <c r="AH657" s="9">
        <f>INDEX(LINEST(L398:L657,M398:T657,TRUE,TRUE),1,2)</f>
        <v/>
      </c>
      <c r="AI657" s="9">
        <f>INDEX(LINEST(L398:L657,M398:T657,TRUE,TRUE),1,1)</f>
        <v/>
      </c>
      <c r="AJ657" s="10">
        <f>INDEX(LINEST(L398:L657,M398:T657,TRUE,TRUE),3,1)</f>
        <v/>
      </c>
      <c r="AK657" s="9">
        <f>AA656/52+AB656*M657+AC656*N657+AD656*O657+AE656*P657+AF656*Q657+AG656*R657+AH656*S657+AI656*T657</f>
        <v/>
      </c>
      <c r="AL657" s="9">
        <f>AVERAGE(L397:L656)</f>
        <v/>
      </c>
    </row>
    <row r="658">
      <c r="A658" s="7" t="n">
        <v>42216</v>
      </c>
      <c r="B658" s="8" t="n">
        <v>1098.4</v>
      </c>
      <c r="C658" s="8" t="n">
        <v>1.74</v>
      </c>
      <c r="D658" s="8" t="n">
        <v>0.46</v>
      </c>
      <c r="E658" s="8" t="n">
        <v>97.370003</v>
      </c>
      <c r="F658" s="8" t="n">
        <v>47.11</v>
      </c>
      <c r="G658" s="8" t="n">
        <v>12.12</v>
      </c>
      <c r="H658" s="8" t="n">
        <v>75.800003</v>
      </c>
      <c r="I658" s="8" t="n">
        <v>2103.840088</v>
      </c>
      <c r="J658" s="8" t="n">
        <v>80.830544</v>
      </c>
      <c r="L658" s="9">
        <f>LN(B658/B657)</f>
        <v/>
      </c>
      <c r="M658" s="9">
        <f>$M$1*(C658-C657)</f>
        <v/>
      </c>
      <c r="N658" s="9">
        <f>$N$1*(D658-D657)</f>
        <v/>
      </c>
      <c r="O658" s="9">
        <f>$O$1*LN(E658/E657)</f>
        <v/>
      </c>
      <c r="P658" s="9">
        <f>$P$1*LN(F658/F657)</f>
        <v/>
      </c>
      <c r="Q658" s="9">
        <f>$Q$1*(G658-G657)</f>
        <v/>
      </c>
      <c r="R658" s="9">
        <f>$R$1*(H658-H657)</f>
        <v/>
      </c>
      <c r="S658" s="9">
        <f>$S$1*LN(I658/I657)</f>
        <v/>
      </c>
      <c r="T658" s="9">
        <f>$T$1*LN(J658/J657)</f>
        <v/>
      </c>
      <c r="U658" s="9">
        <f>$W$12+$W$4*M658+$W$5*N658+$W$6*O658+$W$7*P658+$W$8*Q658+$W$9*R658+$W$10*S658+$W$11*T658</f>
        <v/>
      </c>
      <c r="AA658" s="10">
        <f>INDEX(LINEST(L399:L658,M399:T658,TRUE,TRUE),1,9)*52</f>
        <v/>
      </c>
      <c r="AB658" s="9">
        <f>INDEX(LINEST(L399:L658,M399:T658,TRUE,TRUE),1,8)</f>
        <v/>
      </c>
      <c r="AC658" s="9">
        <f>INDEX(LINEST(L399:L658,M399:T658,TRUE,TRUE),1,7)</f>
        <v/>
      </c>
      <c r="AD658" s="9">
        <f>INDEX(LINEST(L399:L658,M399:T658,TRUE,TRUE),1,6)</f>
        <v/>
      </c>
      <c r="AE658" s="9">
        <f>INDEX(LINEST(L399:L658,M399:T658,TRUE,TRUE),1,5)</f>
        <v/>
      </c>
      <c r="AF658" s="9">
        <f>INDEX(LINEST(L399:L658,M399:T658,TRUE,TRUE),1,4)</f>
        <v/>
      </c>
      <c r="AG658" s="9">
        <f>INDEX(LINEST(L399:L658,M399:T658,TRUE,TRUE),1,3)</f>
        <v/>
      </c>
      <c r="AH658" s="9">
        <f>INDEX(LINEST(L399:L658,M399:T658,TRUE,TRUE),1,2)</f>
        <v/>
      </c>
      <c r="AI658" s="9">
        <f>INDEX(LINEST(L399:L658,M399:T658,TRUE,TRUE),1,1)</f>
        <v/>
      </c>
      <c r="AJ658" s="10">
        <f>INDEX(LINEST(L399:L658,M399:T658,TRUE,TRUE),3,1)</f>
        <v/>
      </c>
      <c r="AK658" s="9">
        <f>AA657/52+AB657*M658+AC657*N658+AD657*O658+AE657*P658+AF657*Q658+AG657*R658+AH657*S658+AI657*T658</f>
        <v/>
      </c>
      <c r="AL658" s="9">
        <f>AVERAGE(L398:L657)</f>
        <v/>
      </c>
    </row>
    <row r="659">
      <c r="A659" s="7" t="n">
        <v>42223</v>
      </c>
      <c r="B659" s="8" t="n">
        <v>1093.5</v>
      </c>
      <c r="C659" s="8" t="n">
        <v>1.66</v>
      </c>
      <c r="D659" s="8" t="n">
        <v>0.52</v>
      </c>
      <c r="E659" s="8" t="n">
        <v>97.55999799999999</v>
      </c>
      <c r="F659" s="8" t="n">
        <v>43.87</v>
      </c>
      <c r="G659" s="8" t="n">
        <v>13.39</v>
      </c>
      <c r="H659" s="8" t="n">
        <v>76.199997</v>
      </c>
      <c r="I659" s="8" t="n">
        <v>2077.570068</v>
      </c>
      <c r="J659" s="8" t="n">
        <v>80.766212</v>
      </c>
      <c r="L659" s="9">
        <f>LN(B659/B658)</f>
        <v/>
      </c>
      <c r="M659" s="9">
        <f>$M$1*(C659-C658)</f>
        <v/>
      </c>
      <c r="N659" s="9">
        <f>$N$1*(D659-D658)</f>
        <v/>
      </c>
      <c r="O659" s="9">
        <f>$O$1*LN(E659/E658)</f>
        <v/>
      </c>
      <c r="P659" s="9">
        <f>$P$1*LN(F659/F658)</f>
        <v/>
      </c>
      <c r="Q659" s="9">
        <f>$Q$1*(G659-G658)</f>
        <v/>
      </c>
      <c r="R659" s="9">
        <f>$R$1*(H659-H658)</f>
        <v/>
      </c>
      <c r="S659" s="9">
        <f>$S$1*LN(I659/I658)</f>
        <v/>
      </c>
      <c r="T659" s="9">
        <f>$T$1*LN(J659/J658)</f>
        <v/>
      </c>
      <c r="U659" s="9">
        <f>$W$12+$W$4*M659+$W$5*N659+$W$6*O659+$W$7*P659+$W$8*Q659+$W$9*R659+$W$10*S659+$W$11*T659</f>
        <v/>
      </c>
      <c r="AA659" s="10">
        <f>INDEX(LINEST(L400:L659,M400:T659,TRUE,TRUE),1,9)*52</f>
        <v/>
      </c>
      <c r="AB659" s="9">
        <f>INDEX(LINEST(L400:L659,M400:T659,TRUE,TRUE),1,8)</f>
        <v/>
      </c>
      <c r="AC659" s="9">
        <f>INDEX(LINEST(L400:L659,M400:T659,TRUE,TRUE),1,7)</f>
        <v/>
      </c>
      <c r="AD659" s="9">
        <f>INDEX(LINEST(L400:L659,M400:T659,TRUE,TRUE),1,6)</f>
        <v/>
      </c>
      <c r="AE659" s="9">
        <f>INDEX(LINEST(L400:L659,M400:T659,TRUE,TRUE),1,5)</f>
        <v/>
      </c>
      <c r="AF659" s="9">
        <f>INDEX(LINEST(L400:L659,M400:T659,TRUE,TRUE),1,4)</f>
        <v/>
      </c>
      <c r="AG659" s="9">
        <f>INDEX(LINEST(L400:L659,M400:T659,TRUE,TRUE),1,3)</f>
        <v/>
      </c>
      <c r="AH659" s="9">
        <f>INDEX(LINEST(L400:L659,M400:T659,TRUE,TRUE),1,2)</f>
        <v/>
      </c>
      <c r="AI659" s="9">
        <f>INDEX(LINEST(L400:L659,M400:T659,TRUE,TRUE),1,1)</f>
        <v/>
      </c>
      <c r="AJ659" s="10">
        <f>INDEX(LINEST(L400:L659,M400:T659,TRUE,TRUE),3,1)</f>
        <v/>
      </c>
      <c r="AK659" s="9">
        <f>AA658/52+AB658*M659+AC658*N659+AD658*O659+AE658*P659+AF658*Q659+AG658*R659+AH658*S659+AI658*T659</f>
        <v/>
      </c>
      <c r="AL659" s="9">
        <f>AVERAGE(L399:L658)</f>
        <v/>
      </c>
    </row>
    <row r="660">
      <c r="A660" s="7" t="n">
        <v>42230</v>
      </c>
      <c r="B660" s="8" t="n">
        <v>1118.25</v>
      </c>
      <c r="C660" s="8" t="n">
        <v>1.62</v>
      </c>
      <c r="D660" s="8" t="n">
        <v>0.58</v>
      </c>
      <c r="E660" s="8" t="n">
        <v>96.56999999999999</v>
      </c>
      <c r="F660" s="8" t="n">
        <v>42.45</v>
      </c>
      <c r="G660" s="8" t="n">
        <v>12.83</v>
      </c>
      <c r="H660" s="8" t="n">
        <v>77.099998</v>
      </c>
      <c r="I660" s="8" t="n">
        <v>2091.540039</v>
      </c>
      <c r="J660" s="8" t="n">
        <v>80.67008199999999</v>
      </c>
      <c r="L660" s="9">
        <f>LN(B660/B659)</f>
        <v/>
      </c>
      <c r="M660" s="9">
        <f>$M$1*(C660-C659)</f>
        <v/>
      </c>
      <c r="N660" s="9">
        <f>$N$1*(D660-D659)</f>
        <v/>
      </c>
      <c r="O660" s="9">
        <f>$O$1*LN(E660/E659)</f>
        <v/>
      </c>
      <c r="P660" s="9">
        <f>$P$1*LN(F660/F659)</f>
        <v/>
      </c>
      <c r="Q660" s="9">
        <f>$Q$1*(G660-G659)</f>
        <v/>
      </c>
      <c r="R660" s="9">
        <f>$R$1*(H660-H659)</f>
        <v/>
      </c>
      <c r="S660" s="9">
        <f>$S$1*LN(I660/I659)</f>
        <v/>
      </c>
      <c r="T660" s="9">
        <f>$T$1*LN(J660/J659)</f>
        <v/>
      </c>
      <c r="U660" s="9">
        <f>$W$12+$W$4*M660+$W$5*N660+$W$6*O660+$W$7*P660+$W$8*Q660+$W$9*R660+$W$10*S660+$W$11*T660</f>
        <v/>
      </c>
      <c r="AA660" s="10">
        <f>INDEX(LINEST(L401:L660,M401:T660,TRUE,TRUE),1,9)*52</f>
        <v/>
      </c>
      <c r="AB660" s="9">
        <f>INDEX(LINEST(L401:L660,M401:T660,TRUE,TRUE),1,8)</f>
        <v/>
      </c>
      <c r="AC660" s="9">
        <f>INDEX(LINEST(L401:L660,M401:T660,TRUE,TRUE),1,7)</f>
        <v/>
      </c>
      <c r="AD660" s="9">
        <f>INDEX(LINEST(L401:L660,M401:T660,TRUE,TRUE),1,6)</f>
        <v/>
      </c>
      <c r="AE660" s="9">
        <f>INDEX(LINEST(L401:L660,M401:T660,TRUE,TRUE),1,5)</f>
        <v/>
      </c>
      <c r="AF660" s="9">
        <f>INDEX(LINEST(L401:L660,M401:T660,TRUE,TRUE),1,4)</f>
        <v/>
      </c>
      <c r="AG660" s="9">
        <f>INDEX(LINEST(L401:L660,M401:T660,TRUE,TRUE),1,3)</f>
        <v/>
      </c>
      <c r="AH660" s="9">
        <f>INDEX(LINEST(L401:L660,M401:T660,TRUE,TRUE),1,2)</f>
        <v/>
      </c>
      <c r="AI660" s="9">
        <f>INDEX(LINEST(L401:L660,M401:T660,TRUE,TRUE),1,1)</f>
        <v/>
      </c>
      <c r="AJ660" s="10">
        <f>INDEX(LINEST(L401:L660,M401:T660,TRUE,TRUE),3,1)</f>
        <v/>
      </c>
      <c r="AK660" s="9">
        <f>AA659/52+AB659*M660+AC659*N660+AD659*O660+AE659*P660+AF659*Q660+AG659*R660+AH659*S660+AI659*T660</f>
        <v/>
      </c>
      <c r="AL660" s="9">
        <f>AVERAGE(L400:L659)</f>
        <v/>
      </c>
    </row>
    <row r="661">
      <c r="A661" s="7" t="n">
        <v>42237</v>
      </c>
      <c r="B661" s="8" t="n">
        <v>1156.5</v>
      </c>
      <c r="C661" s="8" t="n">
        <v>1.53</v>
      </c>
      <c r="D661" s="8" t="n">
        <v>0.52</v>
      </c>
      <c r="E661" s="8" t="n">
        <v>94.83000199999999</v>
      </c>
      <c r="F661" s="8" t="n">
        <v>40.45</v>
      </c>
      <c r="G661" s="8" t="n">
        <v>28.03</v>
      </c>
      <c r="H661" s="8" t="n">
        <v>88.5</v>
      </c>
      <c r="I661" s="8" t="n">
        <v>1970.890015</v>
      </c>
      <c r="J661" s="8" t="n">
        <v>81.180435</v>
      </c>
      <c r="L661" s="9">
        <f>LN(B661/B660)</f>
        <v/>
      </c>
      <c r="M661" s="9">
        <f>$M$1*(C661-C660)</f>
        <v/>
      </c>
      <c r="N661" s="9">
        <f>$N$1*(D661-D660)</f>
        <v/>
      </c>
      <c r="O661" s="9">
        <f>$O$1*LN(E661/E660)</f>
        <v/>
      </c>
      <c r="P661" s="9">
        <f>$P$1*LN(F661/F660)</f>
        <v/>
      </c>
      <c r="Q661" s="9">
        <f>$Q$1*(G661-G660)</f>
        <v/>
      </c>
      <c r="R661" s="9">
        <f>$R$1*(H661-H660)</f>
        <v/>
      </c>
      <c r="S661" s="9">
        <f>$S$1*LN(I661/I660)</f>
        <v/>
      </c>
      <c r="T661" s="9">
        <f>$T$1*LN(J661/J660)</f>
        <v/>
      </c>
      <c r="U661" s="9">
        <f>$W$12+$W$4*M661+$W$5*N661+$W$6*O661+$W$7*P661+$W$8*Q661+$W$9*R661+$W$10*S661+$W$11*T661</f>
        <v/>
      </c>
      <c r="AA661" s="10">
        <f>INDEX(LINEST(L402:L661,M402:T661,TRUE,TRUE),1,9)*52</f>
        <v/>
      </c>
      <c r="AB661" s="9">
        <f>INDEX(LINEST(L402:L661,M402:T661,TRUE,TRUE),1,8)</f>
        <v/>
      </c>
      <c r="AC661" s="9">
        <f>INDEX(LINEST(L402:L661,M402:T661,TRUE,TRUE),1,7)</f>
        <v/>
      </c>
      <c r="AD661" s="9">
        <f>INDEX(LINEST(L402:L661,M402:T661,TRUE,TRUE),1,6)</f>
        <v/>
      </c>
      <c r="AE661" s="9">
        <f>INDEX(LINEST(L402:L661,M402:T661,TRUE,TRUE),1,5)</f>
        <v/>
      </c>
      <c r="AF661" s="9">
        <f>INDEX(LINEST(L402:L661,M402:T661,TRUE,TRUE),1,4)</f>
        <v/>
      </c>
      <c r="AG661" s="9">
        <f>INDEX(LINEST(L402:L661,M402:T661,TRUE,TRUE),1,3)</f>
        <v/>
      </c>
      <c r="AH661" s="9">
        <f>INDEX(LINEST(L402:L661,M402:T661,TRUE,TRUE),1,2)</f>
        <v/>
      </c>
      <c r="AI661" s="9">
        <f>INDEX(LINEST(L402:L661,M402:T661,TRUE,TRUE),1,1)</f>
        <v/>
      </c>
      <c r="AJ661" s="10">
        <f>INDEX(LINEST(L402:L661,M402:T661,TRUE,TRUE),3,1)</f>
        <v/>
      </c>
      <c r="AK661" s="9">
        <f>AA660/52+AB660*M661+AC660*N661+AD660*O661+AE660*P661+AF660*Q661+AG660*R661+AH660*S661+AI660*T661</f>
        <v/>
      </c>
      <c r="AL661" s="9">
        <f>AVERAGE(L401:L660)</f>
        <v/>
      </c>
    </row>
    <row r="662">
      <c r="A662" s="7" t="n">
        <v>42244</v>
      </c>
      <c r="B662" s="8" t="n">
        <v>1135</v>
      </c>
      <c r="C662" s="8" t="n">
        <v>1.61</v>
      </c>
      <c r="D662" s="8" t="n">
        <v>0.58</v>
      </c>
      <c r="E662" s="8" t="n">
        <v>96.110001</v>
      </c>
      <c r="F662" s="8" t="n">
        <v>45.29</v>
      </c>
      <c r="G662" s="8" t="n">
        <v>26.05</v>
      </c>
      <c r="H662" s="8" t="n">
        <v>91.099998</v>
      </c>
      <c r="I662" s="8" t="n">
        <v>1988.869995</v>
      </c>
      <c r="J662" s="8" t="n">
        <v>80.618301</v>
      </c>
      <c r="L662" s="9">
        <f>LN(B662/B661)</f>
        <v/>
      </c>
      <c r="M662" s="9">
        <f>$M$1*(C662-C661)</f>
        <v/>
      </c>
      <c r="N662" s="9">
        <f>$N$1*(D662-D661)</f>
        <v/>
      </c>
      <c r="O662" s="9">
        <f>$O$1*LN(E662/E661)</f>
        <v/>
      </c>
      <c r="P662" s="9">
        <f>$P$1*LN(F662/F661)</f>
        <v/>
      </c>
      <c r="Q662" s="9">
        <f>$Q$1*(G662-G661)</f>
        <v/>
      </c>
      <c r="R662" s="9">
        <f>$R$1*(H662-H661)</f>
        <v/>
      </c>
      <c r="S662" s="9">
        <f>$S$1*LN(I662/I661)</f>
        <v/>
      </c>
      <c r="T662" s="9">
        <f>$T$1*LN(J662/J661)</f>
        <v/>
      </c>
      <c r="U662" s="9">
        <f>$W$12+$W$4*M662+$W$5*N662+$W$6*O662+$W$7*P662+$W$8*Q662+$W$9*R662+$W$10*S662+$W$11*T662</f>
        <v/>
      </c>
      <c r="AA662" s="10">
        <f>INDEX(LINEST(L403:L662,M403:T662,TRUE,TRUE),1,9)*52</f>
        <v/>
      </c>
      <c r="AB662" s="9">
        <f>INDEX(LINEST(L403:L662,M403:T662,TRUE,TRUE),1,8)</f>
        <v/>
      </c>
      <c r="AC662" s="9">
        <f>INDEX(LINEST(L403:L662,M403:T662,TRUE,TRUE),1,7)</f>
        <v/>
      </c>
      <c r="AD662" s="9">
        <f>INDEX(LINEST(L403:L662,M403:T662,TRUE,TRUE),1,6)</f>
        <v/>
      </c>
      <c r="AE662" s="9">
        <f>INDEX(LINEST(L403:L662,M403:T662,TRUE,TRUE),1,5)</f>
        <v/>
      </c>
      <c r="AF662" s="9">
        <f>INDEX(LINEST(L403:L662,M403:T662,TRUE,TRUE),1,4)</f>
        <v/>
      </c>
      <c r="AG662" s="9">
        <f>INDEX(LINEST(L403:L662,M403:T662,TRUE,TRUE),1,3)</f>
        <v/>
      </c>
      <c r="AH662" s="9">
        <f>INDEX(LINEST(L403:L662,M403:T662,TRUE,TRUE),1,2)</f>
        <v/>
      </c>
      <c r="AI662" s="9">
        <f>INDEX(LINEST(L403:L662,M403:T662,TRUE,TRUE),1,1)</f>
        <v/>
      </c>
      <c r="AJ662" s="10">
        <f>INDEX(LINEST(L403:L662,M403:T662,TRUE,TRUE),3,1)</f>
        <v/>
      </c>
      <c r="AK662" s="9">
        <f>AA661/52+AB661*M662+AC661*N662+AD661*O662+AE661*P662+AF661*Q662+AG661*R662+AH661*S662+AI661*T662</f>
        <v/>
      </c>
      <c r="AL662" s="9">
        <f>AVERAGE(L402:L661)</f>
        <v/>
      </c>
    </row>
    <row r="663">
      <c r="A663" s="7" t="n">
        <v>42251</v>
      </c>
      <c r="B663" s="8" t="n">
        <v>1118.25</v>
      </c>
      <c r="C663" s="8" t="n">
        <v>1.51</v>
      </c>
      <c r="D663" s="8" t="n">
        <v>0.62</v>
      </c>
      <c r="E663" s="8" t="n">
        <v>96.230003</v>
      </c>
      <c r="F663" s="8" t="n">
        <v>46.02</v>
      </c>
      <c r="G663" s="8" t="n">
        <v>27.8</v>
      </c>
      <c r="H663" s="8" t="n">
        <v>86.800003</v>
      </c>
      <c r="I663" s="8" t="n">
        <v>1921.219971</v>
      </c>
      <c r="J663" s="8" t="n">
        <v>80.983063</v>
      </c>
      <c r="L663" s="9">
        <f>LN(B663/B662)</f>
        <v/>
      </c>
      <c r="M663" s="9">
        <f>$M$1*(C663-C662)</f>
        <v/>
      </c>
      <c r="N663" s="9">
        <f>$N$1*(D663-D662)</f>
        <v/>
      </c>
      <c r="O663" s="9">
        <f>$O$1*LN(E663/E662)</f>
        <v/>
      </c>
      <c r="P663" s="9">
        <f>$P$1*LN(F663/F662)</f>
        <v/>
      </c>
      <c r="Q663" s="9">
        <f>$Q$1*(G663-G662)</f>
        <v/>
      </c>
      <c r="R663" s="9">
        <f>$R$1*(H663-H662)</f>
        <v/>
      </c>
      <c r="S663" s="9">
        <f>$S$1*LN(I663/I662)</f>
        <v/>
      </c>
      <c r="T663" s="9">
        <f>$T$1*LN(J663/J662)</f>
        <v/>
      </c>
      <c r="U663" s="9">
        <f>$W$12+$W$4*M663+$W$5*N663+$W$6*O663+$W$7*P663+$W$8*Q663+$W$9*R663+$W$10*S663+$W$11*T663</f>
        <v/>
      </c>
      <c r="AA663" s="10">
        <f>INDEX(LINEST(L404:L663,M404:T663,TRUE,TRUE),1,9)*52</f>
        <v/>
      </c>
      <c r="AB663" s="9">
        <f>INDEX(LINEST(L404:L663,M404:T663,TRUE,TRUE),1,8)</f>
        <v/>
      </c>
      <c r="AC663" s="9">
        <f>INDEX(LINEST(L404:L663,M404:T663,TRUE,TRUE),1,7)</f>
        <v/>
      </c>
      <c r="AD663" s="9">
        <f>INDEX(LINEST(L404:L663,M404:T663,TRUE,TRUE),1,6)</f>
        <v/>
      </c>
      <c r="AE663" s="9">
        <f>INDEX(LINEST(L404:L663,M404:T663,TRUE,TRUE),1,5)</f>
        <v/>
      </c>
      <c r="AF663" s="9">
        <f>INDEX(LINEST(L404:L663,M404:T663,TRUE,TRUE),1,4)</f>
        <v/>
      </c>
      <c r="AG663" s="9">
        <f>INDEX(LINEST(L404:L663,M404:T663,TRUE,TRUE),1,3)</f>
        <v/>
      </c>
      <c r="AH663" s="9">
        <f>INDEX(LINEST(L404:L663,M404:T663,TRUE,TRUE),1,2)</f>
        <v/>
      </c>
      <c r="AI663" s="9">
        <f>INDEX(LINEST(L404:L663,M404:T663,TRUE,TRUE),1,1)</f>
        <v/>
      </c>
      <c r="AJ663" s="10">
        <f>INDEX(LINEST(L404:L663,M404:T663,TRUE,TRUE),3,1)</f>
        <v/>
      </c>
      <c r="AK663" s="9">
        <f>AA662/52+AB662*M663+AC662*N663+AD662*O663+AE662*P663+AF662*Q663+AG662*R663+AH662*S663+AI662*T663</f>
        <v/>
      </c>
      <c r="AL663" s="9">
        <f>AVERAGE(L403:L662)</f>
        <v/>
      </c>
    </row>
    <row r="664">
      <c r="A664" s="7" t="n">
        <v>42258</v>
      </c>
      <c r="B664" s="8" t="n">
        <v>1100.25</v>
      </c>
      <c r="C664" s="8" t="n">
        <v>1.59</v>
      </c>
      <c r="D664" s="8" t="n">
        <v>0.61</v>
      </c>
      <c r="E664" s="8" t="n">
        <v>95.19000200000001</v>
      </c>
      <c r="F664" s="8" t="n">
        <v>44.75</v>
      </c>
      <c r="G664" s="8" t="n">
        <v>23.2</v>
      </c>
      <c r="H664" s="8" t="n">
        <v>83.800003</v>
      </c>
      <c r="I664" s="8" t="n">
        <v>1961.050049</v>
      </c>
      <c r="J664" s="8" t="n">
        <v>80.8274</v>
      </c>
      <c r="L664" s="9">
        <f>LN(B664/B663)</f>
        <v/>
      </c>
      <c r="M664" s="9">
        <f>$M$1*(C664-C663)</f>
        <v/>
      </c>
      <c r="N664" s="9">
        <f>$N$1*(D664-D663)</f>
        <v/>
      </c>
      <c r="O664" s="9">
        <f>$O$1*LN(E664/E663)</f>
        <v/>
      </c>
      <c r="P664" s="9">
        <f>$P$1*LN(F664/F663)</f>
        <v/>
      </c>
      <c r="Q664" s="9">
        <f>$Q$1*(G664-G663)</f>
        <v/>
      </c>
      <c r="R664" s="9">
        <f>$R$1*(H664-H663)</f>
        <v/>
      </c>
      <c r="S664" s="9">
        <f>$S$1*LN(I664/I663)</f>
        <v/>
      </c>
      <c r="T664" s="9">
        <f>$T$1*LN(J664/J663)</f>
        <v/>
      </c>
      <c r="U664" s="9">
        <f>$W$12+$W$4*M664+$W$5*N664+$W$6*O664+$W$7*P664+$W$8*Q664+$W$9*R664+$W$10*S664+$W$11*T664</f>
        <v/>
      </c>
      <c r="AA664" s="10">
        <f>INDEX(LINEST(L405:L664,M405:T664,TRUE,TRUE),1,9)*52</f>
        <v/>
      </c>
      <c r="AB664" s="9">
        <f>INDEX(LINEST(L405:L664,M405:T664,TRUE,TRUE),1,8)</f>
        <v/>
      </c>
      <c r="AC664" s="9">
        <f>INDEX(LINEST(L405:L664,M405:T664,TRUE,TRUE),1,7)</f>
        <v/>
      </c>
      <c r="AD664" s="9">
        <f>INDEX(LINEST(L405:L664,M405:T664,TRUE,TRUE),1,6)</f>
        <v/>
      </c>
      <c r="AE664" s="9">
        <f>INDEX(LINEST(L405:L664,M405:T664,TRUE,TRUE),1,5)</f>
        <v/>
      </c>
      <c r="AF664" s="9">
        <f>INDEX(LINEST(L405:L664,M405:T664,TRUE,TRUE),1,4)</f>
        <v/>
      </c>
      <c r="AG664" s="9">
        <f>INDEX(LINEST(L405:L664,M405:T664,TRUE,TRUE),1,3)</f>
        <v/>
      </c>
      <c r="AH664" s="9">
        <f>INDEX(LINEST(L405:L664,M405:T664,TRUE,TRUE),1,2)</f>
        <v/>
      </c>
      <c r="AI664" s="9">
        <f>INDEX(LINEST(L405:L664,M405:T664,TRUE,TRUE),1,1)</f>
        <v/>
      </c>
      <c r="AJ664" s="10">
        <f>INDEX(LINEST(L405:L664,M405:T664,TRUE,TRUE),3,1)</f>
        <v/>
      </c>
      <c r="AK664" s="9">
        <f>AA663/52+AB663*M664+AC663*N664+AD663*O664+AE663*P664+AF663*Q664+AG663*R664+AH663*S664+AI663*T664</f>
        <v/>
      </c>
      <c r="AL664" s="9">
        <f>AVERAGE(L404:L663)</f>
        <v/>
      </c>
    </row>
    <row r="665">
      <c r="A665" s="7" t="n">
        <v>42265</v>
      </c>
      <c r="B665" s="8" t="n">
        <v>1141.5</v>
      </c>
      <c r="C665" s="8" t="n">
        <v>1.55</v>
      </c>
      <c r="D665" s="8" t="n">
        <v>0.58</v>
      </c>
      <c r="E665" s="8" t="n">
        <v>94.860001</v>
      </c>
      <c r="F665" s="8" t="n">
        <v>44.71</v>
      </c>
      <c r="G665" s="8" t="n">
        <v>22.28</v>
      </c>
      <c r="H665" s="8" t="n">
        <v>75.800003</v>
      </c>
      <c r="I665" s="8" t="n">
        <v>1958.030029</v>
      </c>
      <c r="J665" s="8" t="n">
        <v>80.99047899999999</v>
      </c>
      <c r="L665" s="9">
        <f>LN(B665/B664)</f>
        <v/>
      </c>
      <c r="M665" s="9">
        <f>$M$1*(C665-C664)</f>
        <v/>
      </c>
      <c r="N665" s="9">
        <f>$N$1*(D665-D664)</f>
        <v/>
      </c>
      <c r="O665" s="9">
        <f>$O$1*LN(E665/E664)</f>
        <v/>
      </c>
      <c r="P665" s="9">
        <f>$P$1*LN(F665/F664)</f>
        <v/>
      </c>
      <c r="Q665" s="9">
        <f>$Q$1*(G665-G664)</f>
        <v/>
      </c>
      <c r="R665" s="9">
        <f>$R$1*(H665-H664)</f>
        <v/>
      </c>
      <c r="S665" s="9">
        <f>$S$1*LN(I665/I664)</f>
        <v/>
      </c>
      <c r="T665" s="9">
        <f>$T$1*LN(J665/J664)</f>
        <v/>
      </c>
      <c r="U665" s="9">
        <f>$W$12+$W$4*M665+$W$5*N665+$W$6*O665+$W$7*P665+$W$8*Q665+$W$9*R665+$W$10*S665+$W$11*T665</f>
        <v/>
      </c>
      <c r="AA665" s="10">
        <f>INDEX(LINEST(L406:L665,M406:T665,TRUE,TRUE),1,9)*52</f>
        <v/>
      </c>
      <c r="AB665" s="9">
        <f>INDEX(LINEST(L406:L665,M406:T665,TRUE,TRUE),1,8)</f>
        <v/>
      </c>
      <c r="AC665" s="9">
        <f>INDEX(LINEST(L406:L665,M406:T665,TRUE,TRUE),1,7)</f>
        <v/>
      </c>
      <c r="AD665" s="9">
        <f>INDEX(LINEST(L406:L665,M406:T665,TRUE,TRUE),1,6)</f>
        <v/>
      </c>
      <c r="AE665" s="9">
        <f>INDEX(LINEST(L406:L665,M406:T665,TRUE,TRUE),1,5)</f>
        <v/>
      </c>
      <c r="AF665" s="9">
        <f>INDEX(LINEST(L406:L665,M406:T665,TRUE,TRUE),1,4)</f>
        <v/>
      </c>
      <c r="AG665" s="9">
        <f>INDEX(LINEST(L406:L665,M406:T665,TRUE,TRUE),1,3)</f>
        <v/>
      </c>
      <c r="AH665" s="9">
        <f>INDEX(LINEST(L406:L665,M406:T665,TRUE,TRUE),1,2)</f>
        <v/>
      </c>
      <c r="AI665" s="9">
        <f>INDEX(LINEST(L406:L665,M406:T665,TRUE,TRUE),1,1)</f>
        <v/>
      </c>
      <c r="AJ665" s="10">
        <f>INDEX(LINEST(L406:L665,M406:T665,TRUE,TRUE),3,1)</f>
        <v/>
      </c>
      <c r="AK665" s="9">
        <f>AA664/52+AB664*M665+AC664*N665+AD664*O665+AE664*P665+AF664*Q665+AG664*R665+AH664*S665+AI664*T665</f>
        <v/>
      </c>
      <c r="AL665" s="9">
        <f>AVERAGE(L405:L664)</f>
        <v/>
      </c>
    </row>
    <row r="666">
      <c r="A666" s="7" t="n">
        <v>42272</v>
      </c>
      <c r="B666" s="8" t="n">
        <v>1146.65</v>
      </c>
      <c r="C666" s="8" t="n">
        <v>1.46</v>
      </c>
      <c r="D666" s="8" t="n">
        <v>0.71</v>
      </c>
      <c r="E666" s="8" t="n">
        <v>96.269997</v>
      </c>
      <c r="F666" s="8" t="n">
        <v>45.55</v>
      </c>
      <c r="G666" s="8" t="n">
        <v>23.62</v>
      </c>
      <c r="H666" s="8" t="n">
        <v>75.900002</v>
      </c>
      <c r="I666" s="8" t="n">
        <v>1931.339966</v>
      </c>
      <c r="J666" s="8" t="n">
        <v>80.864464</v>
      </c>
      <c r="L666" s="9">
        <f>LN(B666/B665)</f>
        <v/>
      </c>
      <c r="M666" s="9">
        <f>$M$1*(C666-C665)</f>
        <v/>
      </c>
      <c r="N666" s="9">
        <f>$N$1*(D666-D665)</f>
        <v/>
      </c>
      <c r="O666" s="9">
        <f>$O$1*LN(E666/E665)</f>
        <v/>
      </c>
      <c r="P666" s="9">
        <f>$P$1*LN(F666/F665)</f>
        <v/>
      </c>
      <c r="Q666" s="9">
        <f>$Q$1*(G666-G665)</f>
        <v/>
      </c>
      <c r="R666" s="9">
        <f>$R$1*(H666-H665)</f>
        <v/>
      </c>
      <c r="S666" s="9">
        <f>$S$1*LN(I666/I665)</f>
        <v/>
      </c>
      <c r="T666" s="9">
        <f>$T$1*LN(J666/J665)</f>
        <v/>
      </c>
      <c r="U666" s="9">
        <f>$W$12+$W$4*M666+$W$5*N666+$W$6*O666+$W$7*P666+$W$8*Q666+$W$9*R666+$W$10*S666+$W$11*T666</f>
        <v/>
      </c>
      <c r="AA666" s="10">
        <f>INDEX(LINEST(L407:L666,M407:T666,TRUE,TRUE),1,9)*52</f>
        <v/>
      </c>
      <c r="AB666" s="9">
        <f>INDEX(LINEST(L407:L666,M407:T666,TRUE,TRUE),1,8)</f>
        <v/>
      </c>
      <c r="AC666" s="9">
        <f>INDEX(LINEST(L407:L666,M407:T666,TRUE,TRUE),1,7)</f>
        <v/>
      </c>
      <c r="AD666" s="9">
        <f>INDEX(LINEST(L407:L666,M407:T666,TRUE,TRUE),1,6)</f>
        <v/>
      </c>
      <c r="AE666" s="9">
        <f>INDEX(LINEST(L407:L666,M407:T666,TRUE,TRUE),1,5)</f>
        <v/>
      </c>
      <c r="AF666" s="9">
        <f>INDEX(LINEST(L407:L666,M407:T666,TRUE,TRUE),1,4)</f>
        <v/>
      </c>
      <c r="AG666" s="9">
        <f>INDEX(LINEST(L407:L666,M407:T666,TRUE,TRUE),1,3)</f>
        <v/>
      </c>
      <c r="AH666" s="9">
        <f>INDEX(LINEST(L407:L666,M407:T666,TRUE,TRUE),1,2)</f>
        <v/>
      </c>
      <c r="AI666" s="9">
        <f>INDEX(LINEST(L407:L666,M407:T666,TRUE,TRUE),1,1)</f>
        <v/>
      </c>
      <c r="AJ666" s="10">
        <f>INDEX(LINEST(L407:L666,M407:T666,TRUE,TRUE),3,1)</f>
        <v/>
      </c>
      <c r="AK666" s="9">
        <f>AA665/52+AB665*M666+AC665*N666+AD665*O666+AE665*P666+AF665*Q666+AG665*R666+AH665*S666+AI665*T666</f>
        <v/>
      </c>
      <c r="AL666" s="9">
        <f>AVERAGE(L406:L665)</f>
        <v/>
      </c>
    </row>
    <row r="667">
      <c r="A667" s="7" t="n">
        <v>42279</v>
      </c>
      <c r="B667" s="8" t="n">
        <v>1140.75</v>
      </c>
      <c r="C667" s="8" t="n">
        <v>1.48</v>
      </c>
      <c r="D667" s="8" t="n">
        <v>0.51</v>
      </c>
      <c r="E667" s="8" t="n">
        <v>95.83000199999999</v>
      </c>
      <c r="F667" s="8" t="n">
        <v>45.54</v>
      </c>
      <c r="G667" s="8" t="n">
        <v>20.94</v>
      </c>
      <c r="H667" s="8" t="n">
        <v>78.900002</v>
      </c>
      <c r="I667" s="8" t="n">
        <v>1951.359985</v>
      </c>
      <c r="J667" s="8" t="n">
        <v>81.520996</v>
      </c>
      <c r="L667" s="9">
        <f>LN(B667/B666)</f>
        <v/>
      </c>
      <c r="M667" s="9">
        <f>$M$1*(C667-C666)</f>
        <v/>
      </c>
      <c r="N667" s="9">
        <f>$N$1*(D667-D666)</f>
        <v/>
      </c>
      <c r="O667" s="9">
        <f>$O$1*LN(E667/E666)</f>
        <v/>
      </c>
      <c r="P667" s="9">
        <f>$P$1*LN(F667/F666)</f>
        <v/>
      </c>
      <c r="Q667" s="9">
        <f>$Q$1*(G667-G666)</f>
        <v/>
      </c>
      <c r="R667" s="9">
        <f>$R$1*(H667-H666)</f>
        <v/>
      </c>
      <c r="S667" s="9">
        <f>$S$1*LN(I667/I666)</f>
        <v/>
      </c>
      <c r="T667" s="9">
        <f>$T$1*LN(J667/J666)</f>
        <v/>
      </c>
      <c r="U667" s="9">
        <f>$W$12+$W$4*M667+$W$5*N667+$W$6*O667+$W$7*P667+$W$8*Q667+$W$9*R667+$W$10*S667+$W$11*T667</f>
        <v/>
      </c>
      <c r="AA667" s="10">
        <f>INDEX(LINEST(L408:L667,M408:T667,TRUE,TRUE),1,9)*52</f>
        <v/>
      </c>
      <c r="AB667" s="9">
        <f>INDEX(LINEST(L408:L667,M408:T667,TRUE,TRUE),1,8)</f>
        <v/>
      </c>
      <c r="AC667" s="9">
        <f>INDEX(LINEST(L408:L667,M408:T667,TRUE,TRUE),1,7)</f>
        <v/>
      </c>
      <c r="AD667" s="9">
        <f>INDEX(LINEST(L408:L667,M408:T667,TRUE,TRUE),1,6)</f>
        <v/>
      </c>
      <c r="AE667" s="9">
        <f>INDEX(LINEST(L408:L667,M408:T667,TRUE,TRUE),1,5)</f>
        <v/>
      </c>
      <c r="AF667" s="9">
        <f>INDEX(LINEST(L408:L667,M408:T667,TRUE,TRUE),1,4)</f>
        <v/>
      </c>
      <c r="AG667" s="9">
        <f>INDEX(LINEST(L408:L667,M408:T667,TRUE,TRUE),1,3)</f>
        <v/>
      </c>
      <c r="AH667" s="9">
        <f>INDEX(LINEST(L408:L667,M408:T667,TRUE,TRUE),1,2)</f>
        <v/>
      </c>
      <c r="AI667" s="9">
        <f>INDEX(LINEST(L408:L667,M408:T667,TRUE,TRUE),1,1)</f>
        <v/>
      </c>
      <c r="AJ667" s="10">
        <f>INDEX(LINEST(L408:L667,M408:T667,TRUE,TRUE),3,1)</f>
        <v/>
      </c>
      <c r="AK667" s="9">
        <f>AA666/52+AB666*M667+AC666*N667+AD666*O667+AE666*P667+AF666*Q667+AG666*R667+AH666*S667+AI666*T667</f>
        <v/>
      </c>
      <c r="AL667" s="9">
        <f>AVERAGE(L407:L666)</f>
        <v/>
      </c>
    </row>
    <row r="668">
      <c r="A668" s="7" t="n">
        <v>42286</v>
      </c>
      <c r="B668" s="8" t="n">
        <v>1151.55</v>
      </c>
      <c r="C668" s="8" t="n">
        <v>1.54</v>
      </c>
      <c r="D668" s="8" t="n">
        <v>0.58</v>
      </c>
      <c r="E668" s="8" t="n">
        <v>94.80999799999999</v>
      </c>
      <c r="F668" s="8" t="n">
        <v>49.67</v>
      </c>
      <c r="G668" s="8" t="n">
        <v>17.08</v>
      </c>
      <c r="H668" s="8" t="n">
        <v>78.199997</v>
      </c>
      <c r="I668" s="8" t="n">
        <v>2014.890015</v>
      </c>
      <c r="J668" s="8" t="n">
        <v>81.17939</v>
      </c>
      <c r="L668" s="9">
        <f>LN(B668/B667)</f>
        <v/>
      </c>
      <c r="M668" s="9">
        <f>$M$1*(C668-C667)</f>
        <v/>
      </c>
      <c r="N668" s="9">
        <f>$N$1*(D668-D667)</f>
        <v/>
      </c>
      <c r="O668" s="9">
        <f>$O$1*LN(E668/E667)</f>
        <v/>
      </c>
      <c r="P668" s="9">
        <f>$P$1*LN(F668/F667)</f>
        <v/>
      </c>
      <c r="Q668" s="9">
        <f>$Q$1*(G668-G667)</f>
        <v/>
      </c>
      <c r="R668" s="9">
        <f>$R$1*(H668-H667)</f>
        <v/>
      </c>
      <c r="S668" s="9">
        <f>$S$1*LN(I668/I667)</f>
        <v/>
      </c>
      <c r="T668" s="9">
        <f>$T$1*LN(J668/J667)</f>
        <v/>
      </c>
      <c r="U668" s="9">
        <f>$W$12+$W$4*M668+$W$5*N668+$W$6*O668+$W$7*P668+$W$8*Q668+$W$9*R668+$W$10*S668+$W$11*T668</f>
        <v/>
      </c>
      <c r="AA668" s="10">
        <f>INDEX(LINEST(L409:L668,M409:T668,TRUE,TRUE),1,9)*52</f>
        <v/>
      </c>
      <c r="AB668" s="9">
        <f>INDEX(LINEST(L409:L668,M409:T668,TRUE,TRUE),1,8)</f>
        <v/>
      </c>
      <c r="AC668" s="9">
        <f>INDEX(LINEST(L409:L668,M409:T668,TRUE,TRUE),1,7)</f>
        <v/>
      </c>
      <c r="AD668" s="9">
        <f>INDEX(LINEST(L409:L668,M409:T668,TRUE,TRUE),1,6)</f>
        <v/>
      </c>
      <c r="AE668" s="9">
        <f>INDEX(LINEST(L409:L668,M409:T668,TRUE,TRUE),1,5)</f>
        <v/>
      </c>
      <c r="AF668" s="9">
        <f>INDEX(LINEST(L409:L668,M409:T668,TRUE,TRUE),1,4)</f>
        <v/>
      </c>
      <c r="AG668" s="9">
        <f>INDEX(LINEST(L409:L668,M409:T668,TRUE,TRUE),1,3)</f>
        <v/>
      </c>
      <c r="AH668" s="9">
        <f>INDEX(LINEST(L409:L668,M409:T668,TRUE,TRUE),1,2)</f>
        <v/>
      </c>
      <c r="AI668" s="9">
        <f>INDEX(LINEST(L409:L668,M409:T668,TRUE,TRUE),1,1)</f>
        <v/>
      </c>
      <c r="AJ668" s="10">
        <f>INDEX(LINEST(L409:L668,M409:T668,TRUE,TRUE),3,1)</f>
        <v/>
      </c>
      <c r="AK668" s="9">
        <f>AA667/52+AB667*M668+AC667*N668+AD667*O668+AE667*P668+AF667*Q668+AG667*R668+AH667*S668+AI667*T668</f>
        <v/>
      </c>
      <c r="AL668" s="9">
        <f>AVERAGE(L408:L667)</f>
        <v/>
      </c>
    </row>
    <row r="669">
      <c r="A669" s="7" t="n">
        <v>42293</v>
      </c>
      <c r="B669" s="8" t="n">
        <v>1180.85</v>
      </c>
      <c r="C669" s="8" t="n">
        <v>1.48</v>
      </c>
      <c r="D669" s="8" t="n">
        <v>0.5600000000000001</v>
      </c>
      <c r="E669" s="8" t="n">
        <v>94.540001</v>
      </c>
      <c r="F669" s="8" t="n">
        <v>47.3</v>
      </c>
      <c r="G669" s="8" t="n">
        <v>15.05</v>
      </c>
      <c r="H669" s="8" t="n">
        <v>74.699997</v>
      </c>
      <c r="I669" s="8" t="n">
        <v>2033.109985</v>
      </c>
      <c r="J669" s="8" t="n">
        <v>81.506142</v>
      </c>
      <c r="L669" s="9">
        <f>LN(B669/B668)</f>
        <v/>
      </c>
      <c r="M669" s="9">
        <f>$M$1*(C669-C668)</f>
        <v/>
      </c>
      <c r="N669" s="9">
        <f>$N$1*(D669-D668)</f>
        <v/>
      </c>
      <c r="O669" s="9">
        <f>$O$1*LN(E669/E668)</f>
        <v/>
      </c>
      <c r="P669" s="9">
        <f>$P$1*LN(F669/F668)</f>
        <v/>
      </c>
      <c r="Q669" s="9">
        <f>$Q$1*(G669-G668)</f>
        <v/>
      </c>
      <c r="R669" s="9">
        <f>$R$1*(H669-H668)</f>
        <v/>
      </c>
      <c r="S669" s="9">
        <f>$S$1*LN(I669/I668)</f>
        <v/>
      </c>
      <c r="T669" s="9">
        <f>$T$1*LN(J669/J668)</f>
        <v/>
      </c>
      <c r="U669" s="9">
        <f>$W$12+$W$4*M669+$W$5*N669+$W$6*O669+$W$7*P669+$W$8*Q669+$W$9*R669+$W$10*S669+$W$11*T669</f>
        <v/>
      </c>
      <c r="AA669" s="10">
        <f>INDEX(LINEST(L410:L669,M410:T669,TRUE,TRUE),1,9)*52</f>
        <v/>
      </c>
      <c r="AB669" s="9">
        <f>INDEX(LINEST(L410:L669,M410:T669,TRUE,TRUE),1,8)</f>
        <v/>
      </c>
      <c r="AC669" s="9">
        <f>INDEX(LINEST(L410:L669,M410:T669,TRUE,TRUE),1,7)</f>
        <v/>
      </c>
      <c r="AD669" s="9">
        <f>INDEX(LINEST(L410:L669,M410:T669,TRUE,TRUE),1,6)</f>
        <v/>
      </c>
      <c r="AE669" s="9">
        <f>INDEX(LINEST(L410:L669,M410:T669,TRUE,TRUE),1,5)</f>
        <v/>
      </c>
      <c r="AF669" s="9">
        <f>INDEX(LINEST(L410:L669,M410:T669,TRUE,TRUE),1,4)</f>
        <v/>
      </c>
      <c r="AG669" s="9">
        <f>INDEX(LINEST(L410:L669,M410:T669,TRUE,TRUE),1,3)</f>
        <v/>
      </c>
      <c r="AH669" s="9">
        <f>INDEX(LINEST(L410:L669,M410:T669,TRUE,TRUE),1,2)</f>
        <v/>
      </c>
      <c r="AI669" s="9">
        <f>INDEX(LINEST(L410:L669,M410:T669,TRUE,TRUE),1,1)</f>
        <v/>
      </c>
      <c r="AJ669" s="10">
        <f>INDEX(LINEST(L410:L669,M410:T669,TRUE,TRUE),3,1)</f>
        <v/>
      </c>
      <c r="AK669" s="9">
        <f>AA668/52+AB668*M669+AC668*N669+AD668*O669+AE668*P669+AF668*Q669+AG668*R669+AH668*S669+AI668*T669</f>
        <v/>
      </c>
      <c r="AL669" s="9">
        <f>AVERAGE(L409:L668)</f>
        <v/>
      </c>
    </row>
    <row r="670">
      <c r="A670" s="7" t="n">
        <v>42300</v>
      </c>
      <c r="B670" s="8" t="n">
        <v>1161.25</v>
      </c>
      <c r="C670" s="8" t="n">
        <v>1.51</v>
      </c>
      <c r="D670" s="8" t="n">
        <v>0.58</v>
      </c>
      <c r="E670" s="8" t="n">
        <v>97.06999999999999</v>
      </c>
      <c r="F670" s="8" t="n">
        <v>43.91</v>
      </c>
      <c r="G670" s="8" t="n">
        <v>14.46</v>
      </c>
      <c r="H670" s="8" t="n">
        <v>70.800003</v>
      </c>
      <c r="I670" s="8" t="n">
        <v>2075.149902</v>
      </c>
      <c r="J670" s="8" t="n">
        <v>81.491264</v>
      </c>
      <c r="L670" s="9">
        <f>LN(B670/B669)</f>
        <v/>
      </c>
      <c r="M670" s="9">
        <f>$M$1*(C670-C669)</f>
        <v/>
      </c>
      <c r="N670" s="9">
        <f>$N$1*(D670-D669)</f>
        <v/>
      </c>
      <c r="O670" s="9">
        <f>$O$1*LN(E670/E669)</f>
        <v/>
      </c>
      <c r="P670" s="9">
        <f>$P$1*LN(F670/F669)</f>
        <v/>
      </c>
      <c r="Q670" s="9">
        <f>$Q$1*(G670-G669)</f>
        <v/>
      </c>
      <c r="R670" s="9">
        <f>$R$1*(H670-H669)</f>
        <v/>
      </c>
      <c r="S670" s="9">
        <f>$S$1*LN(I670/I669)</f>
        <v/>
      </c>
      <c r="T670" s="9">
        <f>$T$1*LN(J670/J669)</f>
        <v/>
      </c>
      <c r="U670" s="9">
        <f>$W$12+$W$4*M670+$W$5*N670+$W$6*O670+$W$7*P670+$W$8*Q670+$W$9*R670+$W$10*S670+$W$11*T670</f>
        <v/>
      </c>
      <c r="AA670" s="10">
        <f>INDEX(LINEST(L411:L670,M411:T670,TRUE,TRUE),1,9)*52</f>
        <v/>
      </c>
      <c r="AB670" s="9">
        <f>INDEX(LINEST(L411:L670,M411:T670,TRUE,TRUE),1,8)</f>
        <v/>
      </c>
      <c r="AC670" s="9">
        <f>INDEX(LINEST(L411:L670,M411:T670,TRUE,TRUE),1,7)</f>
        <v/>
      </c>
      <c r="AD670" s="9">
        <f>INDEX(LINEST(L411:L670,M411:T670,TRUE,TRUE),1,6)</f>
        <v/>
      </c>
      <c r="AE670" s="9">
        <f>INDEX(LINEST(L411:L670,M411:T670,TRUE,TRUE),1,5)</f>
        <v/>
      </c>
      <c r="AF670" s="9">
        <f>INDEX(LINEST(L411:L670,M411:T670,TRUE,TRUE),1,4)</f>
        <v/>
      </c>
      <c r="AG670" s="9">
        <f>INDEX(LINEST(L411:L670,M411:T670,TRUE,TRUE),1,3)</f>
        <v/>
      </c>
      <c r="AH670" s="9">
        <f>INDEX(LINEST(L411:L670,M411:T670,TRUE,TRUE),1,2)</f>
        <v/>
      </c>
      <c r="AI670" s="9">
        <f>INDEX(LINEST(L411:L670,M411:T670,TRUE,TRUE),1,1)</f>
        <v/>
      </c>
      <c r="AJ670" s="10">
        <f>INDEX(LINEST(L411:L670,M411:T670,TRUE,TRUE),3,1)</f>
        <v/>
      </c>
      <c r="AK670" s="9">
        <f>AA669/52+AB669*M670+AC669*N670+AD669*O670+AE669*P670+AF669*Q670+AG669*R670+AH669*S670+AI669*T670</f>
        <v/>
      </c>
      <c r="AL670" s="9">
        <f>AVERAGE(L410:L669)</f>
        <v/>
      </c>
    </row>
    <row r="671">
      <c r="A671" s="7" t="n">
        <v>42307</v>
      </c>
      <c r="B671" s="8" t="n">
        <v>1142.35</v>
      </c>
      <c r="C671" s="8" t="n">
        <v>1.53</v>
      </c>
      <c r="D671" s="8" t="n">
        <v>0.63</v>
      </c>
      <c r="E671" s="8" t="n">
        <v>96.949997</v>
      </c>
      <c r="F671" s="8" t="n">
        <v>46.6</v>
      </c>
      <c r="G671" s="8" t="n">
        <v>15.07</v>
      </c>
      <c r="H671" s="8" t="n">
        <v>73.099998</v>
      </c>
      <c r="I671" s="8" t="n">
        <v>2079.360107</v>
      </c>
      <c r="J671" s="8" t="n">
        <v>81.268478</v>
      </c>
      <c r="L671" s="9">
        <f>LN(B671/B670)</f>
        <v/>
      </c>
      <c r="M671" s="9">
        <f>$M$1*(C671-C670)</f>
        <v/>
      </c>
      <c r="N671" s="9">
        <f>$N$1*(D671-D670)</f>
        <v/>
      </c>
      <c r="O671" s="9">
        <f>$O$1*LN(E671/E670)</f>
        <v/>
      </c>
      <c r="P671" s="9">
        <f>$P$1*LN(F671/F670)</f>
        <v/>
      </c>
      <c r="Q671" s="9">
        <f>$Q$1*(G671-G670)</f>
        <v/>
      </c>
      <c r="R671" s="9">
        <f>$R$1*(H671-H670)</f>
        <v/>
      </c>
      <c r="S671" s="9">
        <f>$S$1*LN(I671/I670)</f>
        <v/>
      </c>
      <c r="T671" s="9">
        <f>$T$1*LN(J671/J670)</f>
        <v/>
      </c>
      <c r="U671" s="9">
        <f>$W$12+$W$4*M671+$W$5*N671+$W$6*O671+$W$7*P671+$W$8*Q671+$W$9*R671+$W$10*S671+$W$11*T671</f>
        <v/>
      </c>
      <c r="AA671" s="10">
        <f>INDEX(LINEST(L412:L671,M412:T671,TRUE,TRUE),1,9)*52</f>
        <v/>
      </c>
      <c r="AB671" s="9">
        <f>INDEX(LINEST(L412:L671,M412:T671,TRUE,TRUE),1,8)</f>
        <v/>
      </c>
      <c r="AC671" s="9">
        <f>INDEX(LINEST(L412:L671,M412:T671,TRUE,TRUE),1,7)</f>
        <v/>
      </c>
      <c r="AD671" s="9">
        <f>INDEX(LINEST(L412:L671,M412:T671,TRUE,TRUE),1,6)</f>
        <v/>
      </c>
      <c r="AE671" s="9">
        <f>INDEX(LINEST(L412:L671,M412:T671,TRUE,TRUE),1,5)</f>
        <v/>
      </c>
      <c r="AF671" s="9">
        <f>INDEX(LINEST(L412:L671,M412:T671,TRUE,TRUE),1,4)</f>
        <v/>
      </c>
      <c r="AG671" s="9">
        <f>INDEX(LINEST(L412:L671,M412:T671,TRUE,TRUE),1,3)</f>
        <v/>
      </c>
      <c r="AH671" s="9">
        <f>INDEX(LINEST(L412:L671,M412:T671,TRUE,TRUE),1,2)</f>
        <v/>
      </c>
      <c r="AI671" s="9">
        <f>INDEX(LINEST(L412:L671,M412:T671,TRUE,TRUE),1,1)</f>
        <v/>
      </c>
      <c r="AJ671" s="10">
        <f>INDEX(LINEST(L412:L671,M412:T671,TRUE,TRUE),3,1)</f>
        <v/>
      </c>
      <c r="AK671" s="9">
        <f>AA670/52+AB670*M671+AC670*N671+AD670*O671+AE670*P671+AF670*Q671+AG670*R671+AH670*S671+AI670*T671</f>
        <v/>
      </c>
      <c r="AL671" s="9">
        <f>AVERAGE(L411:L670)</f>
        <v/>
      </c>
    </row>
    <row r="672">
      <c r="A672" s="7" t="n">
        <v>42314</v>
      </c>
      <c r="B672" s="8" t="n">
        <v>1088.9</v>
      </c>
      <c r="C672" s="8" t="n">
        <v>1.59</v>
      </c>
      <c r="D672" s="8" t="n">
        <v>0.75</v>
      </c>
      <c r="E672" s="8" t="n">
        <v>99.160004</v>
      </c>
      <c r="F672" s="8" t="n">
        <v>44.32</v>
      </c>
      <c r="G672" s="8" t="n">
        <v>14.33</v>
      </c>
      <c r="H672" s="8" t="n">
        <v>74.300003</v>
      </c>
      <c r="I672" s="8" t="n">
        <v>2099.199951</v>
      </c>
      <c r="J672" s="8" t="n">
        <v>80.53565999999999</v>
      </c>
      <c r="L672" s="9">
        <f>LN(B672/B671)</f>
        <v/>
      </c>
      <c r="M672" s="9">
        <f>$M$1*(C672-C671)</f>
        <v/>
      </c>
      <c r="N672" s="9">
        <f>$N$1*(D672-D671)</f>
        <v/>
      </c>
      <c r="O672" s="9">
        <f>$O$1*LN(E672/E671)</f>
        <v/>
      </c>
      <c r="P672" s="9">
        <f>$P$1*LN(F672/F671)</f>
        <v/>
      </c>
      <c r="Q672" s="9">
        <f>$Q$1*(G672-G671)</f>
        <v/>
      </c>
      <c r="R672" s="9">
        <f>$R$1*(H672-H671)</f>
        <v/>
      </c>
      <c r="S672" s="9">
        <f>$S$1*LN(I672/I671)</f>
        <v/>
      </c>
      <c r="T672" s="9">
        <f>$T$1*LN(J672/J671)</f>
        <v/>
      </c>
      <c r="U672" s="9">
        <f>$W$12+$W$4*M672+$W$5*N672+$W$6*O672+$W$7*P672+$W$8*Q672+$W$9*R672+$W$10*S672+$W$11*T672</f>
        <v/>
      </c>
      <c r="AA672" s="10">
        <f>INDEX(LINEST(L413:L672,M413:T672,TRUE,TRUE),1,9)*52</f>
        <v/>
      </c>
      <c r="AB672" s="9">
        <f>INDEX(LINEST(L413:L672,M413:T672,TRUE,TRUE),1,8)</f>
        <v/>
      </c>
      <c r="AC672" s="9">
        <f>INDEX(LINEST(L413:L672,M413:T672,TRUE,TRUE),1,7)</f>
        <v/>
      </c>
      <c r="AD672" s="9">
        <f>INDEX(LINEST(L413:L672,M413:T672,TRUE,TRUE),1,6)</f>
        <v/>
      </c>
      <c r="AE672" s="9">
        <f>INDEX(LINEST(L413:L672,M413:T672,TRUE,TRUE),1,5)</f>
        <v/>
      </c>
      <c r="AF672" s="9">
        <f>INDEX(LINEST(L413:L672,M413:T672,TRUE,TRUE),1,4)</f>
        <v/>
      </c>
      <c r="AG672" s="9">
        <f>INDEX(LINEST(L413:L672,M413:T672,TRUE,TRUE),1,3)</f>
        <v/>
      </c>
      <c r="AH672" s="9">
        <f>INDEX(LINEST(L413:L672,M413:T672,TRUE,TRUE),1,2)</f>
        <v/>
      </c>
      <c r="AI672" s="9">
        <f>INDEX(LINEST(L413:L672,M413:T672,TRUE,TRUE),1,1)</f>
        <v/>
      </c>
      <c r="AJ672" s="10">
        <f>INDEX(LINEST(L413:L672,M413:T672,TRUE,TRUE),3,1)</f>
        <v/>
      </c>
      <c r="AK672" s="9">
        <f>AA671/52+AB671*M672+AC671*N672+AD671*O672+AE671*P672+AF671*Q672+AG671*R672+AH671*S672+AI671*T672</f>
        <v/>
      </c>
      <c r="AL672" s="9">
        <f>AVERAGE(L412:L671)</f>
        <v/>
      </c>
    </row>
    <row r="673">
      <c r="A673" s="7" t="n">
        <v>42321</v>
      </c>
      <c r="B673" s="8" t="n">
        <v>1081.5</v>
      </c>
      <c r="C673" s="8" t="n">
        <v>1.52</v>
      </c>
      <c r="D673" s="8" t="n">
        <v>0.76</v>
      </c>
      <c r="E673" s="8" t="n">
        <v>98.989998</v>
      </c>
      <c r="F673" s="8" t="n">
        <v>40.69</v>
      </c>
      <c r="G673" s="8" t="n">
        <v>20.08</v>
      </c>
      <c r="H673" s="8" t="n">
        <v>68.300003</v>
      </c>
      <c r="I673" s="8" t="n">
        <v>2023.040039</v>
      </c>
      <c r="J673" s="8" t="n">
        <v>80.758881</v>
      </c>
      <c r="L673" s="9">
        <f>LN(B673/B672)</f>
        <v/>
      </c>
      <c r="M673" s="9">
        <f>$M$1*(C673-C672)</f>
        <v/>
      </c>
      <c r="N673" s="9">
        <f>$N$1*(D673-D672)</f>
        <v/>
      </c>
      <c r="O673" s="9">
        <f>$O$1*LN(E673/E672)</f>
        <v/>
      </c>
      <c r="P673" s="9">
        <f>$P$1*LN(F673/F672)</f>
        <v/>
      </c>
      <c r="Q673" s="9">
        <f>$Q$1*(G673-G672)</f>
        <v/>
      </c>
      <c r="R673" s="9">
        <f>$R$1*(H673-H672)</f>
        <v/>
      </c>
      <c r="S673" s="9">
        <f>$S$1*LN(I673/I672)</f>
        <v/>
      </c>
      <c r="T673" s="9">
        <f>$T$1*LN(J673/J672)</f>
        <v/>
      </c>
      <c r="U673" s="9">
        <f>$W$12+$W$4*M673+$W$5*N673+$W$6*O673+$W$7*P673+$W$8*Q673+$W$9*R673+$W$10*S673+$W$11*T673</f>
        <v/>
      </c>
      <c r="AA673" s="10">
        <f>INDEX(LINEST(L414:L673,M414:T673,TRUE,TRUE),1,9)*52</f>
        <v/>
      </c>
      <c r="AB673" s="9">
        <f>INDEX(LINEST(L414:L673,M414:T673,TRUE,TRUE),1,8)</f>
        <v/>
      </c>
      <c r="AC673" s="9">
        <f>INDEX(LINEST(L414:L673,M414:T673,TRUE,TRUE),1,7)</f>
        <v/>
      </c>
      <c r="AD673" s="9">
        <f>INDEX(LINEST(L414:L673,M414:T673,TRUE,TRUE),1,6)</f>
        <v/>
      </c>
      <c r="AE673" s="9">
        <f>INDEX(LINEST(L414:L673,M414:T673,TRUE,TRUE),1,5)</f>
        <v/>
      </c>
      <c r="AF673" s="9">
        <f>INDEX(LINEST(L414:L673,M414:T673,TRUE,TRUE),1,4)</f>
        <v/>
      </c>
      <c r="AG673" s="9">
        <f>INDEX(LINEST(L414:L673,M414:T673,TRUE,TRUE),1,3)</f>
        <v/>
      </c>
      <c r="AH673" s="9">
        <f>INDEX(LINEST(L414:L673,M414:T673,TRUE,TRUE),1,2)</f>
        <v/>
      </c>
      <c r="AI673" s="9">
        <f>INDEX(LINEST(L414:L673,M414:T673,TRUE,TRUE),1,1)</f>
        <v/>
      </c>
      <c r="AJ673" s="10">
        <f>INDEX(LINEST(L414:L673,M414:T673,TRUE,TRUE),3,1)</f>
        <v/>
      </c>
      <c r="AK673" s="9">
        <f>AA672/52+AB672*M673+AC672*N673+AD672*O673+AE672*P673+AF672*Q673+AG672*R673+AH672*S673+AI672*T673</f>
        <v/>
      </c>
      <c r="AL673" s="9">
        <f>AVERAGE(L413:L672)</f>
        <v/>
      </c>
    </row>
    <row r="674">
      <c r="A674" s="7" t="n">
        <v>42328</v>
      </c>
      <c r="B674" s="8" t="n">
        <v>1081.75</v>
      </c>
      <c r="C674" s="8" t="n">
        <v>1.6</v>
      </c>
      <c r="D674" s="8" t="n">
        <v>0.66</v>
      </c>
      <c r="E674" s="8" t="n">
        <v>99.56999999999999</v>
      </c>
      <c r="F674" s="8" t="n">
        <v>39.39</v>
      </c>
      <c r="G674" s="8" t="n">
        <v>15.47</v>
      </c>
      <c r="H674" s="8" t="n">
        <v>70.5</v>
      </c>
      <c r="I674" s="8" t="n">
        <v>2089.169922</v>
      </c>
      <c r="J674" s="8" t="n">
        <v>80.81096599999999</v>
      </c>
      <c r="L674" s="9">
        <f>LN(B674/B673)</f>
        <v/>
      </c>
      <c r="M674" s="9">
        <f>$M$1*(C674-C673)</f>
        <v/>
      </c>
      <c r="N674" s="9">
        <f>$N$1*(D674-D673)</f>
        <v/>
      </c>
      <c r="O674" s="9">
        <f>$O$1*LN(E674/E673)</f>
        <v/>
      </c>
      <c r="P674" s="9">
        <f>$P$1*LN(F674/F673)</f>
        <v/>
      </c>
      <c r="Q674" s="9">
        <f>$Q$1*(G674-G673)</f>
        <v/>
      </c>
      <c r="R674" s="9">
        <f>$R$1*(H674-H673)</f>
        <v/>
      </c>
      <c r="S674" s="9">
        <f>$S$1*LN(I674/I673)</f>
        <v/>
      </c>
      <c r="T674" s="9">
        <f>$T$1*LN(J674/J673)</f>
        <v/>
      </c>
      <c r="U674" s="9">
        <f>$W$12+$W$4*M674+$W$5*N674+$W$6*O674+$W$7*P674+$W$8*Q674+$W$9*R674+$W$10*S674+$W$11*T674</f>
        <v/>
      </c>
      <c r="AA674" s="10">
        <f>INDEX(LINEST(L415:L674,M415:T674,TRUE,TRUE),1,9)*52</f>
        <v/>
      </c>
      <c r="AB674" s="9">
        <f>INDEX(LINEST(L415:L674,M415:T674,TRUE,TRUE),1,8)</f>
        <v/>
      </c>
      <c r="AC674" s="9">
        <f>INDEX(LINEST(L415:L674,M415:T674,TRUE,TRUE),1,7)</f>
        <v/>
      </c>
      <c r="AD674" s="9">
        <f>INDEX(LINEST(L415:L674,M415:T674,TRUE,TRUE),1,6)</f>
        <v/>
      </c>
      <c r="AE674" s="9">
        <f>INDEX(LINEST(L415:L674,M415:T674,TRUE,TRUE),1,5)</f>
        <v/>
      </c>
      <c r="AF674" s="9">
        <f>INDEX(LINEST(L415:L674,M415:T674,TRUE,TRUE),1,4)</f>
        <v/>
      </c>
      <c r="AG674" s="9">
        <f>INDEX(LINEST(L415:L674,M415:T674,TRUE,TRUE),1,3)</f>
        <v/>
      </c>
      <c r="AH674" s="9">
        <f>INDEX(LINEST(L415:L674,M415:T674,TRUE,TRUE),1,2)</f>
        <v/>
      </c>
      <c r="AI674" s="9">
        <f>INDEX(LINEST(L415:L674,M415:T674,TRUE,TRUE),1,1)</f>
        <v/>
      </c>
      <c r="AJ674" s="10">
        <f>INDEX(LINEST(L415:L674,M415:T674,TRUE,TRUE),3,1)</f>
        <v/>
      </c>
      <c r="AK674" s="9">
        <f>AA673/52+AB673*M674+AC673*N674+AD673*O674+AE673*P674+AF673*Q674+AG673*R674+AH673*S674+AI673*T674</f>
        <v/>
      </c>
      <c r="AL674" s="9">
        <f>AVERAGE(L414:L673)</f>
        <v/>
      </c>
    </row>
    <row r="675">
      <c r="A675" s="7" t="n">
        <v>42335</v>
      </c>
      <c r="B675" s="8" t="n">
        <v>1057.4</v>
      </c>
      <c r="C675" s="8" t="n">
        <v>1.6</v>
      </c>
      <c r="D675" s="8" t="n">
        <v>0.62</v>
      </c>
      <c r="E675" s="8" t="n">
        <v>100.019997</v>
      </c>
      <c r="F675" s="8" t="n">
        <v>40.57</v>
      </c>
      <c r="G675" s="8" t="n">
        <v>15.12</v>
      </c>
      <c r="H675" s="8" t="n">
        <v>69.599998</v>
      </c>
      <c r="I675" s="8" t="n">
        <v>2090.110107</v>
      </c>
      <c r="J675" s="8" t="n">
        <v>80.922623</v>
      </c>
      <c r="L675" s="9">
        <f>LN(B675/B674)</f>
        <v/>
      </c>
      <c r="M675" s="9">
        <f>$M$1*(C675-C674)</f>
        <v/>
      </c>
      <c r="N675" s="9">
        <f>$N$1*(D675-D674)</f>
        <v/>
      </c>
      <c r="O675" s="9">
        <f>$O$1*LN(E675/E674)</f>
        <v/>
      </c>
      <c r="P675" s="9">
        <f>$P$1*LN(F675/F674)</f>
        <v/>
      </c>
      <c r="Q675" s="9">
        <f>$Q$1*(G675-G674)</f>
        <v/>
      </c>
      <c r="R675" s="9">
        <f>$R$1*(H675-H674)</f>
        <v/>
      </c>
      <c r="S675" s="9">
        <f>$S$1*LN(I675/I674)</f>
        <v/>
      </c>
      <c r="T675" s="9">
        <f>$T$1*LN(J675/J674)</f>
        <v/>
      </c>
      <c r="U675" s="9">
        <f>$W$12+$W$4*M675+$W$5*N675+$W$6*O675+$W$7*P675+$W$8*Q675+$W$9*R675+$W$10*S675+$W$11*T675</f>
        <v/>
      </c>
      <c r="AA675" s="10">
        <f>INDEX(LINEST(L416:L675,M416:T675,TRUE,TRUE),1,9)*52</f>
        <v/>
      </c>
      <c r="AB675" s="9">
        <f>INDEX(LINEST(L416:L675,M416:T675,TRUE,TRUE),1,8)</f>
        <v/>
      </c>
      <c r="AC675" s="9">
        <f>INDEX(LINEST(L416:L675,M416:T675,TRUE,TRUE),1,7)</f>
        <v/>
      </c>
      <c r="AD675" s="9">
        <f>INDEX(LINEST(L416:L675,M416:T675,TRUE,TRUE),1,6)</f>
        <v/>
      </c>
      <c r="AE675" s="9">
        <f>INDEX(LINEST(L416:L675,M416:T675,TRUE,TRUE),1,5)</f>
        <v/>
      </c>
      <c r="AF675" s="9">
        <f>INDEX(LINEST(L416:L675,M416:T675,TRUE,TRUE),1,4)</f>
        <v/>
      </c>
      <c r="AG675" s="9">
        <f>INDEX(LINEST(L416:L675,M416:T675,TRUE,TRUE),1,3)</f>
        <v/>
      </c>
      <c r="AH675" s="9">
        <f>INDEX(LINEST(L416:L675,M416:T675,TRUE,TRUE),1,2)</f>
        <v/>
      </c>
      <c r="AI675" s="9">
        <f>INDEX(LINEST(L416:L675,M416:T675,TRUE,TRUE),1,1)</f>
        <v/>
      </c>
      <c r="AJ675" s="10">
        <f>INDEX(LINEST(L416:L675,M416:T675,TRUE,TRUE),3,1)</f>
        <v/>
      </c>
      <c r="AK675" s="9">
        <f>AA674/52+AB674*M675+AC674*N675+AD674*O675+AE674*P675+AF674*Q675+AG674*R675+AH674*S675+AI674*T675</f>
        <v/>
      </c>
      <c r="AL675" s="9">
        <f>AVERAGE(L415:L674)</f>
        <v/>
      </c>
    </row>
    <row r="676">
      <c r="A676" s="7" t="n">
        <v>42342</v>
      </c>
      <c r="B676" s="8" t="n">
        <v>1079.25</v>
      </c>
      <c r="C676" s="8" t="n">
        <v>1.6</v>
      </c>
      <c r="D676" s="8" t="n">
        <v>0.68</v>
      </c>
      <c r="E676" s="8" t="n">
        <v>98.349998</v>
      </c>
      <c r="F676" s="8" t="n">
        <v>40</v>
      </c>
      <c r="G676" s="8" t="n">
        <v>14.81</v>
      </c>
      <c r="H676" s="8" t="n">
        <v>71.300003</v>
      </c>
      <c r="I676" s="8" t="n">
        <v>2091.689941</v>
      </c>
      <c r="J676" s="8" t="n">
        <v>80.803032</v>
      </c>
      <c r="L676" s="9">
        <f>LN(B676/B675)</f>
        <v/>
      </c>
      <c r="M676" s="9">
        <f>$M$1*(C676-C675)</f>
        <v/>
      </c>
      <c r="N676" s="9">
        <f>$N$1*(D676-D675)</f>
        <v/>
      </c>
      <c r="O676" s="9">
        <f>$O$1*LN(E676/E675)</f>
        <v/>
      </c>
      <c r="P676" s="9">
        <f>$P$1*LN(F676/F675)</f>
        <v/>
      </c>
      <c r="Q676" s="9">
        <f>$Q$1*(G676-G675)</f>
        <v/>
      </c>
      <c r="R676" s="9">
        <f>$R$1*(H676-H675)</f>
        <v/>
      </c>
      <c r="S676" s="9">
        <f>$S$1*LN(I676/I675)</f>
        <v/>
      </c>
      <c r="T676" s="9">
        <f>$T$1*LN(J676/J675)</f>
        <v/>
      </c>
      <c r="U676" s="9">
        <f>$W$12+$W$4*M676+$W$5*N676+$W$6*O676+$W$7*P676+$W$8*Q676+$W$9*R676+$W$10*S676+$W$11*T676</f>
        <v/>
      </c>
      <c r="AA676" s="10">
        <f>INDEX(LINEST(L417:L676,M417:T676,TRUE,TRUE),1,9)*52</f>
        <v/>
      </c>
      <c r="AB676" s="9">
        <f>INDEX(LINEST(L417:L676,M417:T676,TRUE,TRUE),1,8)</f>
        <v/>
      </c>
      <c r="AC676" s="9">
        <f>INDEX(LINEST(L417:L676,M417:T676,TRUE,TRUE),1,7)</f>
        <v/>
      </c>
      <c r="AD676" s="9">
        <f>INDEX(LINEST(L417:L676,M417:T676,TRUE,TRUE),1,6)</f>
        <v/>
      </c>
      <c r="AE676" s="9">
        <f>INDEX(LINEST(L417:L676,M417:T676,TRUE,TRUE),1,5)</f>
        <v/>
      </c>
      <c r="AF676" s="9">
        <f>INDEX(LINEST(L417:L676,M417:T676,TRUE,TRUE),1,4)</f>
        <v/>
      </c>
      <c r="AG676" s="9">
        <f>INDEX(LINEST(L417:L676,M417:T676,TRUE,TRUE),1,3)</f>
        <v/>
      </c>
      <c r="AH676" s="9">
        <f>INDEX(LINEST(L417:L676,M417:T676,TRUE,TRUE),1,2)</f>
        <v/>
      </c>
      <c r="AI676" s="9">
        <f>INDEX(LINEST(L417:L676,M417:T676,TRUE,TRUE),1,1)</f>
        <v/>
      </c>
      <c r="AJ676" s="10">
        <f>INDEX(LINEST(L417:L676,M417:T676,TRUE,TRUE),3,1)</f>
        <v/>
      </c>
      <c r="AK676" s="9">
        <f>AA675/52+AB675*M676+AC675*N676+AD675*O676+AE675*P676+AF675*Q676+AG675*R676+AH675*S676+AI675*T676</f>
        <v/>
      </c>
      <c r="AL676" s="9">
        <f>AVERAGE(L416:L675)</f>
        <v/>
      </c>
    </row>
    <row r="677">
      <c r="A677" s="7" t="n">
        <v>42349</v>
      </c>
      <c r="B677" s="8" t="n">
        <v>1072.5</v>
      </c>
      <c r="C677" s="8" t="n">
        <v>1.46</v>
      </c>
      <c r="D677" s="8" t="n">
        <v>0.67</v>
      </c>
      <c r="E677" s="8" t="n">
        <v>97.56999999999999</v>
      </c>
      <c r="F677" s="8" t="n">
        <v>35.65</v>
      </c>
      <c r="G677" s="8" t="n">
        <v>24.39</v>
      </c>
      <c r="H677" s="8" t="n">
        <v>75</v>
      </c>
      <c r="I677" s="8" t="n">
        <v>2012.369995</v>
      </c>
      <c r="J677" s="8" t="n">
        <v>81.138969</v>
      </c>
      <c r="L677" s="9">
        <f>LN(B677/B676)</f>
        <v/>
      </c>
      <c r="M677" s="9">
        <f>$M$1*(C677-C676)</f>
        <v/>
      </c>
      <c r="N677" s="9">
        <f>$N$1*(D677-D676)</f>
        <v/>
      </c>
      <c r="O677" s="9">
        <f>$O$1*LN(E677/E676)</f>
        <v/>
      </c>
      <c r="P677" s="9">
        <f>$P$1*LN(F677/F676)</f>
        <v/>
      </c>
      <c r="Q677" s="9">
        <f>$Q$1*(G677-G676)</f>
        <v/>
      </c>
      <c r="R677" s="9">
        <f>$R$1*(H677-H676)</f>
        <v/>
      </c>
      <c r="S677" s="9">
        <f>$S$1*LN(I677/I676)</f>
        <v/>
      </c>
      <c r="T677" s="9">
        <f>$T$1*LN(J677/J676)</f>
        <v/>
      </c>
      <c r="U677" s="9">
        <f>$W$12+$W$4*M677+$W$5*N677+$W$6*O677+$W$7*P677+$W$8*Q677+$W$9*R677+$W$10*S677+$W$11*T677</f>
        <v/>
      </c>
      <c r="AA677" s="10">
        <f>INDEX(LINEST(L418:L677,M418:T677,TRUE,TRUE),1,9)*52</f>
        <v/>
      </c>
      <c r="AB677" s="9">
        <f>INDEX(LINEST(L418:L677,M418:T677,TRUE,TRUE),1,8)</f>
        <v/>
      </c>
      <c r="AC677" s="9">
        <f>INDEX(LINEST(L418:L677,M418:T677,TRUE,TRUE),1,7)</f>
        <v/>
      </c>
      <c r="AD677" s="9">
        <f>INDEX(LINEST(L418:L677,M418:T677,TRUE,TRUE),1,6)</f>
        <v/>
      </c>
      <c r="AE677" s="9">
        <f>INDEX(LINEST(L418:L677,M418:T677,TRUE,TRUE),1,5)</f>
        <v/>
      </c>
      <c r="AF677" s="9">
        <f>INDEX(LINEST(L418:L677,M418:T677,TRUE,TRUE),1,4)</f>
        <v/>
      </c>
      <c r="AG677" s="9">
        <f>INDEX(LINEST(L418:L677,M418:T677,TRUE,TRUE),1,3)</f>
        <v/>
      </c>
      <c r="AH677" s="9">
        <f>INDEX(LINEST(L418:L677,M418:T677,TRUE,TRUE),1,2)</f>
        <v/>
      </c>
      <c r="AI677" s="9">
        <f>INDEX(LINEST(L418:L677,M418:T677,TRUE,TRUE),1,1)</f>
        <v/>
      </c>
      <c r="AJ677" s="10">
        <f>INDEX(LINEST(L418:L677,M418:T677,TRUE,TRUE),3,1)</f>
        <v/>
      </c>
      <c r="AK677" s="9">
        <f>AA676/52+AB676*M677+AC676*N677+AD676*O677+AE676*P677+AF676*Q677+AG676*R677+AH676*S677+AI676*T677</f>
        <v/>
      </c>
      <c r="AL677" s="9">
        <f>AVERAGE(L417:L676)</f>
        <v/>
      </c>
    </row>
    <row r="678">
      <c r="A678" s="7" t="n">
        <v>42356</v>
      </c>
      <c r="B678" s="8" t="n">
        <v>1062.5</v>
      </c>
      <c r="C678" s="8" t="n">
        <v>1.46</v>
      </c>
      <c r="D678" s="8" t="n">
        <v>0.73</v>
      </c>
      <c r="E678" s="8" t="n">
        <v>98.699997</v>
      </c>
      <c r="F678" s="8" t="n">
        <v>34.72</v>
      </c>
      <c r="G678" s="8" t="n">
        <v>20.7</v>
      </c>
      <c r="H678" s="8" t="n">
        <v>67.800003</v>
      </c>
      <c r="I678" s="8" t="n">
        <v>2005.550049</v>
      </c>
      <c r="J678" s="8" t="n">
        <v>80.907532</v>
      </c>
      <c r="L678" s="9">
        <f>LN(B678/B677)</f>
        <v/>
      </c>
      <c r="M678" s="9">
        <f>$M$1*(C678-C677)</f>
        <v/>
      </c>
      <c r="N678" s="9">
        <f>$N$1*(D678-D677)</f>
        <v/>
      </c>
      <c r="O678" s="9">
        <f>$O$1*LN(E678/E677)</f>
        <v/>
      </c>
      <c r="P678" s="9">
        <f>$P$1*LN(F678/F677)</f>
        <v/>
      </c>
      <c r="Q678" s="9">
        <f>$Q$1*(G678-G677)</f>
        <v/>
      </c>
      <c r="R678" s="9">
        <f>$R$1*(H678-H677)</f>
        <v/>
      </c>
      <c r="S678" s="9">
        <f>$S$1*LN(I678/I677)</f>
        <v/>
      </c>
      <c r="T678" s="9">
        <f>$T$1*LN(J678/J677)</f>
        <v/>
      </c>
      <c r="U678" s="9">
        <f>$W$12+$W$4*M678+$W$5*N678+$W$6*O678+$W$7*P678+$W$8*Q678+$W$9*R678+$W$10*S678+$W$11*T678</f>
        <v/>
      </c>
      <c r="AA678" s="10">
        <f>INDEX(LINEST(L419:L678,M419:T678,TRUE,TRUE),1,9)*52</f>
        <v/>
      </c>
      <c r="AB678" s="9">
        <f>INDEX(LINEST(L419:L678,M419:T678,TRUE,TRUE),1,8)</f>
        <v/>
      </c>
      <c r="AC678" s="9">
        <f>INDEX(LINEST(L419:L678,M419:T678,TRUE,TRUE),1,7)</f>
        <v/>
      </c>
      <c r="AD678" s="9">
        <f>INDEX(LINEST(L419:L678,M419:T678,TRUE,TRUE),1,6)</f>
        <v/>
      </c>
      <c r="AE678" s="9">
        <f>INDEX(LINEST(L419:L678,M419:T678,TRUE,TRUE),1,5)</f>
        <v/>
      </c>
      <c r="AF678" s="9">
        <f>INDEX(LINEST(L419:L678,M419:T678,TRUE,TRUE),1,4)</f>
        <v/>
      </c>
      <c r="AG678" s="9">
        <f>INDEX(LINEST(L419:L678,M419:T678,TRUE,TRUE),1,3)</f>
        <v/>
      </c>
      <c r="AH678" s="9">
        <f>INDEX(LINEST(L419:L678,M419:T678,TRUE,TRUE),1,2)</f>
        <v/>
      </c>
      <c r="AI678" s="9">
        <f>INDEX(LINEST(L419:L678,M419:T678,TRUE,TRUE),1,1)</f>
        <v/>
      </c>
      <c r="AJ678" s="10">
        <f>INDEX(LINEST(L419:L678,M419:T678,TRUE,TRUE),3,1)</f>
        <v/>
      </c>
      <c r="AK678" s="9">
        <f>AA677/52+AB677*M678+AC677*N678+AD677*O678+AE677*P678+AF677*Q678+AG677*R678+AH677*S678+AI677*T678</f>
        <v/>
      </c>
      <c r="AL678" s="9">
        <f>AVERAGE(L418:L677)</f>
        <v/>
      </c>
    </row>
    <row r="679">
      <c r="A679" s="7" t="n">
        <v>42363</v>
      </c>
      <c r="B679" s="8" t="n">
        <v>1068.25</v>
      </c>
      <c r="C679" s="8" t="n">
        <v>1.52</v>
      </c>
      <c r="D679" s="8" t="n">
        <v>0.73</v>
      </c>
      <c r="E679" s="8" t="n">
        <v>97.980003</v>
      </c>
      <c r="F679" s="8" t="n">
        <v>37.62</v>
      </c>
      <c r="G679" s="8" t="n">
        <v>15.74</v>
      </c>
      <c r="H679" s="8" t="n">
        <v>65.5</v>
      </c>
      <c r="I679" s="8" t="n">
        <v>2060.98999</v>
      </c>
      <c r="J679" s="8" t="n">
        <v>80.797134</v>
      </c>
      <c r="L679" s="9">
        <f>LN(B679/B678)</f>
        <v/>
      </c>
      <c r="M679" s="9">
        <f>$M$1*(C679-C678)</f>
        <v/>
      </c>
      <c r="N679" s="9">
        <f>$N$1*(D679-D678)</f>
        <v/>
      </c>
      <c r="O679" s="9">
        <f>$O$1*LN(E679/E678)</f>
        <v/>
      </c>
      <c r="P679" s="9">
        <f>$P$1*LN(F679/F678)</f>
        <v/>
      </c>
      <c r="Q679" s="9">
        <f>$Q$1*(G679-G678)</f>
        <v/>
      </c>
      <c r="R679" s="9">
        <f>$R$1*(H679-H678)</f>
        <v/>
      </c>
      <c r="S679" s="9">
        <f>$S$1*LN(I679/I678)</f>
        <v/>
      </c>
      <c r="T679" s="9">
        <f>$T$1*LN(J679/J678)</f>
        <v/>
      </c>
      <c r="U679" s="9">
        <f>$W$12+$W$4*M679+$W$5*N679+$W$6*O679+$W$7*P679+$W$8*Q679+$W$9*R679+$W$10*S679+$W$11*T679</f>
        <v/>
      </c>
      <c r="AA679" s="10">
        <f>INDEX(LINEST(L420:L679,M420:T679,TRUE,TRUE),1,9)*52</f>
        <v/>
      </c>
      <c r="AB679" s="9">
        <f>INDEX(LINEST(L420:L679,M420:T679,TRUE,TRUE),1,8)</f>
        <v/>
      </c>
      <c r="AC679" s="9">
        <f>INDEX(LINEST(L420:L679,M420:T679,TRUE,TRUE),1,7)</f>
        <v/>
      </c>
      <c r="AD679" s="9">
        <f>INDEX(LINEST(L420:L679,M420:T679,TRUE,TRUE),1,6)</f>
        <v/>
      </c>
      <c r="AE679" s="9">
        <f>INDEX(LINEST(L420:L679,M420:T679,TRUE,TRUE),1,5)</f>
        <v/>
      </c>
      <c r="AF679" s="9">
        <f>INDEX(LINEST(L420:L679,M420:T679,TRUE,TRUE),1,4)</f>
        <v/>
      </c>
      <c r="AG679" s="9">
        <f>INDEX(LINEST(L420:L679,M420:T679,TRUE,TRUE),1,3)</f>
        <v/>
      </c>
      <c r="AH679" s="9">
        <f>INDEX(LINEST(L420:L679,M420:T679,TRUE,TRUE),1,2)</f>
        <v/>
      </c>
      <c r="AI679" s="9">
        <f>INDEX(LINEST(L420:L679,M420:T679,TRUE,TRUE),1,1)</f>
        <v/>
      </c>
      <c r="AJ679" s="10">
        <f>INDEX(LINEST(L420:L679,M420:T679,TRUE,TRUE),3,1)</f>
        <v/>
      </c>
      <c r="AK679" s="9">
        <f>AA678/52+AB678*M679+AC678*N679+AD678*O679+AE678*P679+AF678*Q679+AG678*R679+AH678*S679+AI678*T679</f>
        <v/>
      </c>
      <c r="AL679" s="9">
        <f>AVERAGE(L419:L678)</f>
        <v/>
      </c>
    </row>
    <row r="680">
      <c r="A680" s="7" t="n">
        <v>42370</v>
      </c>
      <c r="B680" s="8" t="n">
        <v>1060</v>
      </c>
      <c r="C680" s="8" t="n">
        <v>1.54</v>
      </c>
      <c r="D680" s="8" t="n">
        <v>0.73</v>
      </c>
      <c r="E680" s="8" t="n">
        <v>98.629997</v>
      </c>
      <c r="F680" s="8" t="n">
        <v>37.13</v>
      </c>
      <c r="G680" s="8" t="n">
        <v>18.21</v>
      </c>
      <c r="H680" s="8" t="n">
        <v>67.800003</v>
      </c>
      <c r="I680" s="8" t="n">
        <v>2043.939941</v>
      </c>
      <c r="J680" s="8" t="n">
        <v>80.797134</v>
      </c>
      <c r="L680" s="9">
        <f>LN(B680/B679)</f>
        <v/>
      </c>
      <c r="M680" s="9">
        <f>$M$1*(C680-C679)</f>
        <v/>
      </c>
      <c r="N680" s="9">
        <f>$N$1*(D680-D679)</f>
        <v/>
      </c>
      <c r="O680" s="9">
        <f>$O$1*LN(E680/E679)</f>
        <v/>
      </c>
      <c r="P680" s="9">
        <f>$P$1*LN(F680/F679)</f>
        <v/>
      </c>
      <c r="Q680" s="9">
        <f>$Q$1*(G680-G679)</f>
        <v/>
      </c>
      <c r="R680" s="9">
        <f>$R$1*(H680-H679)</f>
        <v/>
      </c>
      <c r="S680" s="9">
        <f>$S$1*LN(I680/I679)</f>
        <v/>
      </c>
      <c r="T680" s="9">
        <f>$T$1*LN(J680/J679)</f>
        <v/>
      </c>
      <c r="U680" s="9">
        <f>$W$12+$W$4*M680+$W$5*N680+$W$6*O680+$W$7*P680+$W$8*Q680+$W$9*R680+$W$10*S680+$W$11*T680</f>
        <v/>
      </c>
      <c r="AA680" s="10">
        <f>INDEX(LINEST(L421:L680,M421:T680,TRUE,TRUE),1,9)*52</f>
        <v/>
      </c>
      <c r="AB680" s="9">
        <f>INDEX(LINEST(L421:L680,M421:T680,TRUE,TRUE),1,8)</f>
        <v/>
      </c>
      <c r="AC680" s="9">
        <f>INDEX(LINEST(L421:L680,M421:T680,TRUE,TRUE),1,7)</f>
        <v/>
      </c>
      <c r="AD680" s="9">
        <f>INDEX(LINEST(L421:L680,M421:T680,TRUE,TRUE),1,6)</f>
        <v/>
      </c>
      <c r="AE680" s="9">
        <f>INDEX(LINEST(L421:L680,M421:T680,TRUE,TRUE),1,5)</f>
        <v/>
      </c>
      <c r="AF680" s="9">
        <f>INDEX(LINEST(L421:L680,M421:T680,TRUE,TRUE),1,4)</f>
        <v/>
      </c>
      <c r="AG680" s="9">
        <f>INDEX(LINEST(L421:L680,M421:T680,TRUE,TRUE),1,3)</f>
        <v/>
      </c>
      <c r="AH680" s="9">
        <f>INDEX(LINEST(L421:L680,M421:T680,TRUE,TRUE),1,2)</f>
        <v/>
      </c>
      <c r="AI680" s="9">
        <f>INDEX(LINEST(L421:L680,M421:T680,TRUE,TRUE),1,1)</f>
        <v/>
      </c>
      <c r="AJ680" s="10">
        <f>INDEX(LINEST(L421:L680,M421:T680,TRUE,TRUE),3,1)</f>
        <v/>
      </c>
      <c r="AK680" s="9">
        <f>AA679/52+AB679*M680+AC679*N680+AD679*O680+AE679*P680+AF679*Q680+AG679*R680+AH679*S680+AI679*T680</f>
        <v/>
      </c>
      <c r="AL680" s="9">
        <f>AVERAGE(L420:L679)</f>
        <v/>
      </c>
    </row>
    <row r="681">
      <c r="A681" s="7" t="n">
        <v>42377</v>
      </c>
      <c r="B681" s="8" t="n">
        <v>1101.85</v>
      </c>
      <c r="C681" s="8" t="n">
        <v>1.48</v>
      </c>
      <c r="D681" s="8" t="n">
        <v>0.65</v>
      </c>
      <c r="E681" s="8" t="n">
        <v>98.540001</v>
      </c>
      <c r="F681" s="8" t="n">
        <v>33.2</v>
      </c>
      <c r="G681" s="8" t="n">
        <v>27.01</v>
      </c>
      <c r="H681" s="8" t="n">
        <v>71.010002</v>
      </c>
      <c r="I681" s="8" t="n">
        <v>1922.030029</v>
      </c>
      <c r="J681" s="8" t="n">
        <v>81.283371</v>
      </c>
      <c r="L681" s="9">
        <f>LN(B681/B680)</f>
        <v/>
      </c>
      <c r="M681" s="9">
        <f>$M$1*(C681-C680)</f>
        <v/>
      </c>
      <c r="N681" s="9">
        <f>$N$1*(D681-D680)</f>
        <v/>
      </c>
      <c r="O681" s="9">
        <f>$O$1*LN(E681/E680)</f>
        <v/>
      </c>
      <c r="P681" s="9">
        <f>$P$1*LN(F681/F680)</f>
        <v/>
      </c>
      <c r="Q681" s="9">
        <f>$Q$1*(G681-G680)</f>
        <v/>
      </c>
      <c r="R681" s="9">
        <f>$R$1*(H681-H680)</f>
        <v/>
      </c>
      <c r="S681" s="9">
        <f>$S$1*LN(I681/I680)</f>
        <v/>
      </c>
      <c r="T681" s="9">
        <f>$T$1*LN(J681/J680)</f>
        <v/>
      </c>
      <c r="U681" s="9">
        <f>$W$12+$W$4*M681+$W$5*N681+$W$6*O681+$W$7*P681+$W$8*Q681+$W$9*R681+$W$10*S681+$W$11*T681</f>
        <v/>
      </c>
      <c r="AA681" s="10">
        <f>INDEX(LINEST(L422:L681,M422:T681,TRUE,TRUE),1,9)*52</f>
        <v/>
      </c>
      <c r="AB681" s="9">
        <f>INDEX(LINEST(L422:L681,M422:T681,TRUE,TRUE),1,8)</f>
        <v/>
      </c>
      <c r="AC681" s="9">
        <f>INDEX(LINEST(L422:L681,M422:T681,TRUE,TRUE),1,7)</f>
        <v/>
      </c>
      <c r="AD681" s="9">
        <f>INDEX(LINEST(L422:L681,M422:T681,TRUE,TRUE),1,6)</f>
        <v/>
      </c>
      <c r="AE681" s="9">
        <f>INDEX(LINEST(L422:L681,M422:T681,TRUE,TRUE),1,5)</f>
        <v/>
      </c>
      <c r="AF681" s="9">
        <f>INDEX(LINEST(L422:L681,M422:T681,TRUE,TRUE),1,4)</f>
        <v/>
      </c>
      <c r="AG681" s="9">
        <f>INDEX(LINEST(L422:L681,M422:T681,TRUE,TRUE),1,3)</f>
        <v/>
      </c>
      <c r="AH681" s="9">
        <f>INDEX(LINEST(L422:L681,M422:T681,TRUE,TRUE),1,2)</f>
        <v/>
      </c>
      <c r="AI681" s="9">
        <f>INDEX(LINEST(L422:L681,M422:T681,TRUE,TRUE),1,1)</f>
        <v/>
      </c>
      <c r="AJ681" s="10">
        <f>INDEX(LINEST(L422:L681,M422:T681,TRUE,TRUE),3,1)</f>
        <v/>
      </c>
      <c r="AK681" s="9">
        <f>AA680/52+AB680*M681+AC680*N681+AD680*O681+AE680*P681+AF680*Q681+AG680*R681+AH680*S681+AI680*T681</f>
        <v/>
      </c>
      <c r="AL681" s="9">
        <f>AVERAGE(L421:L680)</f>
        <v/>
      </c>
    </row>
    <row r="682">
      <c r="A682" s="7" t="n">
        <v>42384</v>
      </c>
      <c r="B682" s="8" t="n">
        <v>1093.75</v>
      </c>
      <c r="C682" s="8" t="n">
        <v>1.36</v>
      </c>
      <c r="D682" s="8" t="n">
        <v>0.67</v>
      </c>
      <c r="E682" s="8" t="n">
        <v>98.959999</v>
      </c>
      <c r="F682" s="8" t="n">
        <v>29.45</v>
      </c>
      <c r="G682" s="8" t="n">
        <v>27.02</v>
      </c>
      <c r="H682" s="8" t="n">
        <v>78.05999799999999</v>
      </c>
      <c r="I682" s="8" t="n">
        <v>1880.329956</v>
      </c>
      <c r="J682" s="8" t="n">
        <v>81.485336</v>
      </c>
      <c r="L682" s="9">
        <f>LN(B682/B681)</f>
        <v/>
      </c>
      <c r="M682" s="9">
        <f>$M$1*(C682-C681)</f>
        <v/>
      </c>
      <c r="N682" s="9">
        <f>$N$1*(D682-D681)</f>
        <v/>
      </c>
      <c r="O682" s="9">
        <f>$O$1*LN(E682/E681)</f>
        <v/>
      </c>
      <c r="P682" s="9">
        <f>$P$1*LN(F682/F681)</f>
        <v/>
      </c>
      <c r="Q682" s="9">
        <f>$Q$1*(G682-G681)</f>
        <v/>
      </c>
      <c r="R682" s="9">
        <f>$R$1*(H682-H681)</f>
        <v/>
      </c>
      <c r="S682" s="9">
        <f>$S$1*LN(I682/I681)</f>
        <v/>
      </c>
      <c r="T682" s="9">
        <f>$T$1*LN(J682/J681)</f>
        <v/>
      </c>
      <c r="U682" s="9">
        <f>$W$12+$W$4*M682+$W$5*N682+$W$6*O682+$W$7*P682+$W$8*Q682+$W$9*R682+$W$10*S682+$W$11*T682</f>
        <v/>
      </c>
      <c r="AA682" s="10">
        <f>INDEX(LINEST(L423:L682,M423:T682,TRUE,TRUE),1,9)*52</f>
        <v/>
      </c>
      <c r="AB682" s="9">
        <f>INDEX(LINEST(L423:L682,M423:T682,TRUE,TRUE),1,8)</f>
        <v/>
      </c>
      <c r="AC682" s="9">
        <f>INDEX(LINEST(L423:L682,M423:T682,TRUE,TRUE),1,7)</f>
        <v/>
      </c>
      <c r="AD682" s="9">
        <f>INDEX(LINEST(L423:L682,M423:T682,TRUE,TRUE),1,6)</f>
        <v/>
      </c>
      <c r="AE682" s="9">
        <f>INDEX(LINEST(L423:L682,M423:T682,TRUE,TRUE),1,5)</f>
        <v/>
      </c>
      <c r="AF682" s="9">
        <f>INDEX(LINEST(L423:L682,M423:T682,TRUE,TRUE),1,4)</f>
        <v/>
      </c>
      <c r="AG682" s="9">
        <f>INDEX(LINEST(L423:L682,M423:T682,TRUE,TRUE),1,3)</f>
        <v/>
      </c>
      <c r="AH682" s="9">
        <f>INDEX(LINEST(L423:L682,M423:T682,TRUE,TRUE),1,2)</f>
        <v/>
      </c>
      <c r="AI682" s="9">
        <f>INDEX(LINEST(L423:L682,M423:T682,TRUE,TRUE),1,1)</f>
        <v/>
      </c>
      <c r="AJ682" s="10">
        <f>INDEX(LINEST(L423:L682,M423:T682,TRUE,TRUE),3,1)</f>
        <v/>
      </c>
      <c r="AK682" s="9">
        <f>AA681/52+AB681*M682+AC681*N682+AD681*O682+AE681*P682+AF681*Q682+AG681*R682+AH681*S682+AI681*T682</f>
        <v/>
      </c>
      <c r="AL682" s="9">
        <f>AVERAGE(L422:L681)</f>
        <v/>
      </c>
    </row>
    <row r="683">
      <c r="A683" s="7" t="n">
        <v>42391</v>
      </c>
      <c r="B683" s="8" t="n">
        <v>1096.25</v>
      </c>
      <c r="C683" s="8" t="n">
        <v>1.35</v>
      </c>
      <c r="D683" s="8" t="n">
        <v>0.72</v>
      </c>
      <c r="E683" s="8" t="n">
        <v>99.56999999999999</v>
      </c>
      <c r="F683" s="8" t="n">
        <v>32.07</v>
      </c>
      <c r="G683" s="8" t="n">
        <v>22.34</v>
      </c>
      <c r="H683" s="8" t="n">
        <v>77.349998</v>
      </c>
      <c r="I683" s="8" t="n">
        <v>1906.900024</v>
      </c>
      <c r="J683" s="8" t="n">
        <v>81.418037</v>
      </c>
      <c r="L683" s="9">
        <f>LN(B683/B682)</f>
        <v/>
      </c>
      <c r="M683" s="9">
        <f>$M$1*(C683-C682)</f>
        <v/>
      </c>
      <c r="N683" s="9">
        <f>$N$1*(D683-D682)</f>
        <v/>
      </c>
      <c r="O683" s="9">
        <f>$O$1*LN(E683/E682)</f>
        <v/>
      </c>
      <c r="P683" s="9">
        <f>$P$1*LN(F683/F682)</f>
        <v/>
      </c>
      <c r="Q683" s="9">
        <f>$Q$1*(G683-G682)</f>
        <v/>
      </c>
      <c r="R683" s="9">
        <f>$R$1*(H683-H682)</f>
        <v/>
      </c>
      <c r="S683" s="9">
        <f>$S$1*LN(I683/I682)</f>
        <v/>
      </c>
      <c r="T683" s="9">
        <f>$T$1*LN(J683/J682)</f>
        <v/>
      </c>
      <c r="U683" s="9">
        <f>$W$12+$W$4*M683+$W$5*N683+$W$6*O683+$W$7*P683+$W$8*Q683+$W$9*R683+$W$10*S683+$W$11*T683</f>
        <v/>
      </c>
      <c r="AA683" s="10">
        <f>INDEX(LINEST(L424:L683,M424:T683,TRUE,TRUE),1,9)*52</f>
        <v/>
      </c>
      <c r="AB683" s="9">
        <f>INDEX(LINEST(L424:L683,M424:T683,TRUE,TRUE),1,8)</f>
        <v/>
      </c>
      <c r="AC683" s="9">
        <f>INDEX(LINEST(L424:L683,M424:T683,TRUE,TRUE),1,7)</f>
        <v/>
      </c>
      <c r="AD683" s="9">
        <f>INDEX(LINEST(L424:L683,M424:T683,TRUE,TRUE),1,6)</f>
        <v/>
      </c>
      <c r="AE683" s="9">
        <f>INDEX(LINEST(L424:L683,M424:T683,TRUE,TRUE),1,5)</f>
        <v/>
      </c>
      <c r="AF683" s="9">
        <f>INDEX(LINEST(L424:L683,M424:T683,TRUE,TRUE),1,4)</f>
        <v/>
      </c>
      <c r="AG683" s="9">
        <f>INDEX(LINEST(L424:L683,M424:T683,TRUE,TRUE),1,3)</f>
        <v/>
      </c>
      <c r="AH683" s="9">
        <f>INDEX(LINEST(L424:L683,M424:T683,TRUE,TRUE),1,2)</f>
        <v/>
      </c>
      <c r="AI683" s="9">
        <f>INDEX(LINEST(L424:L683,M424:T683,TRUE,TRUE),1,1)</f>
        <v/>
      </c>
      <c r="AJ683" s="10">
        <f>INDEX(LINEST(L424:L683,M424:T683,TRUE,TRUE),3,1)</f>
        <v/>
      </c>
      <c r="AK683" s="9">
        <f>AA682/52+AB682*M683+AC682*N683+AD682*O683+AE682*P683+AF682*Q683+AG682*R683+AH682*S683+AI682*T683</f>
        <v/>
      </c>
      <c r="AL683" s="9">
        <f>AVERAGE(L423:L682)</f>
        <v/>
      </c>
    </row>
    <row r="684">
      <c r="A684" s="7" t="n">
        <v>42398</v>
      </c>
      <c r="B684" s="8" t="n">
        <v>1111.8</v>
      </c>
      <c r="C684" s="8" t="n">
        <v>1.41</v>
      </c>
      <c r="D684" s="8" t="n">
        <v>0.53</v>
      </c>
      <c r="E684" s="8" t="n">
        <v>99.610001</v>
      </c>
      <c r="F684" s="8" t="n">
        <v>33.66</v>
      </c>
      <c r="G684" s="8" t="n">
        <v>20.2</v>
      </c>
      <c r="H684" s="8" t="n">
        <v>74</v>
      </c>
      <c r="I684" s="8" t="n">
        <v>1940.23999</v>
      </c>
      <c r="J684" s="8" t="n">
        <v>81.799515</v>
      </c>
      <c r="L684" s="9">
        <f>LN(B684/B683)</f>
        <v/>
      </c>
      <c r="M684" s="9">
        <f>$M$1*(C684-C683)</f>
        <v/>
      </c>
      <c r="N684" s="9">
        <f>$N$1*(D684-D683)</f>
        <v/>
      </c>
      <c r="O684" s="9">
        <f>$O$1*LN(E684/E683)</f>
        <v/>
      </c>
      <c r="P684" s="9">
        <f>$P$1*LN(F684/F683)</f>
        <v/>
      </c>
      <c r="Q684" s="9">
        <f>$Q$1*(G684-G683)</f>
        <v/>
      </c>
      <c r="R684" s="9">
        <f>$R$1*(H684-H683)</f>
        <v/>
      </c>
      <c r="S684" s="9">
        <f>$S$1*LN(I684/I683)</f>
        <v/>
      </c>
      <c r="T684" s="9">
        <f>$T$1*LN(J684/J683)</f>
        <v/>
      </c>
      <c r="U684" s="9">
        <f>$W$12+$W$4*M684+$W$5*N684+$W$6*O684+$W$7*P684+$W$8*Q684+$W$9*R684+$W$10*S684+$W$11*T684</f>
        <v/>
      </c>
      <c r="AA684" s="10">
        <f>INDEX(LINEST(L425:L684,M425:T684,TRUE,TRUE),1,9)*52</f>
        <v/>
      </c>
      <c r="AB684" s="9">
        <f>INDEX(LINEST(L425:L684,M425:T684,TRUE,TRUE),1,8)</f>
        <v/>
      </c>
      <c r="AC684" s="9">
        <f>INDEX(LINEST(L425:L684,M425:T684,TRUE,TRUE),1,7)</f>
        <v/>
      </c>
      <c r="AD684" s="9">
        <f>INDEX(LINEST(L425:L684,M425:T684,TRUE,TRUE),1,6)</f>
        <v/>
      </c>
      <c r="AE684" s="9">
        <f>INDEX(LINEST(L425:L684,M425:T684,TRUE,TRUE),1,5)</f>
        <v/>
      </c>
      <c r="AF684" s="9">
        <f>INDEX(LINEST(L425:L684,M425:T684,TRUE,TRUE),1,4)</f>
        <v/>
      </c>
      <c r="AG684" s="9">
        <f>INDEX(LINEST(L425:L684,M425:T684,TRUE,TRUE),1,3)</f>
        <v/>
      </c>
      <c r="AH684" s="9">
        <f>INDEX(LINEST(L425:L684,M425:T684,TRUE,TRUE),1,2)</f>
        <v/>
      </c>
      <c r="AI684" s="9">
        <f>INDEX(LINEST(L425:L684,M425:T684,TRUE,TRUE),1,1)</f>
        <v/>
      </c>
      <c r="AJ684" s="10">
        <f>INDEX(LINEST(L425:L684,M425:T684,TRUE,TRUE),3,1)</f>
        <v/>
      </c>
      <c r="AK684" s="9">
        <f>AA683/52+AB683*M684+AC683*N684+AD683*O684+AE683*P684+AF683*Q684+AG683*R684+AH683*S684+AI683*T684</f>
        <v/>
      </c>
      <c r="AL684" s="9">
        <f>AVERAGE(L424:L683)</f>
        <v/>
      </c>
    </row>
    <row r="685">
      <c r="A685" s="7" t="n">
        <v>42405</v>
      </c>
      <c r="B685" s="8" t="n">
        <v>1150.35</v>
      </c>
      <c r="C685" s="8" t="n">
        <v>1.33</v>
      </c>
      <c r="D685" s="8" t="n">
        <v>0.53</v>
      </c>
      <c r="E685" s="8" t="n">
        <v>97.029999</v>
      </c>
      <c r="F685" s="8" t="n">
        <v>30.86</v>
      </c>
      <c r="G685" s="8" t="n">
        <v>23.38</v>
      </c>
      <c r="H685" s="8" t="n">
        <v>81.66999800000001</v>
      </c>
      <c r="I685" s="8" t="n">
        <v>1880.050049</v>
      </c>
      <c r="J685" s="8" t="n">
        <v>81.947952</v>
      </c>
      <c r="L685" s="9">
        <f>LN(B685/B684)</f>
        <v/>
      </c>
      <c r="M685" s="9">
        <f>$M$1*(C685-C684)</f>
        <v/>
      </c>
      <c r="N685" s="9">
        <f>$N$1*(D685-D684)</f>
        <v/>
      </c>
      <c r="O685" s="9">
        <f>$O$1*LN(E685/E684)</f>
        <v/>
      </c>
      <c r="P685" s="9">
        <f>$P$1*LN(F685/F684)</f>
        <v/>
      </c>
      <c r="Q685" s="9">
        <f>$Q$1*(G685-G684)</f>
        <v/>
      </c>
      <c r="R685" s="9">
        <f>$R$1*(H685-H684)</f>
        <v/>
      </c>
      <c r="S685" s="9">
        <f>$S$1*LN(I685/I684)</f>
        <v/>
      </c>
      <c r="T685" s="9">
        <f>$T$1*LN(J685/J684)</f>
        <v/>
      </c>
      <c r="U685" s="9">
        <f>$W$12+$W$4*M685+$W$5*N685+$W$6*O685+$W$7*P685+$W$8*Q685+$W$9*R685+$W$10*S685+$W$11*T685</f>
        <v/>
      </c>
      <c r="AA685" s="10">
        <f>INDEX(LINEST(L426:L685,M426:T685,TRUE,TRUE),1,9)*52</f>
        <v/>
      </c>
      <c r="AB685" s="9">
        <f>INDEX(LINEST(L426:L685,M426:T685,TRUE,TRUE),1,8)</f>
        <v/>
      </c>
      <c r="AC685" s="9">
        <f>INDEX(LINEST(L426:L685,M426:T685,TRUE,TRUE),1,7)</f>
        <v/>
      </c>
      <c r="AD685" s="9">
        <f>INDEX(LINEST(L426:L685,M426:T685,TRUE,TRUE),1,6)</f>
        <v/>
      </c>
      <c r="AE685" s="9">
        <f>INDEX(LINEST(L426:L685,M426:T685,TRUE,TRUE),1,5)</f>
        <v/>
      </c>
      <c r="AF685" s="9">
        <f>INDEX(LINEST(L426:L685,M426:T685,TRUE,TRUE),1,4)</f>
        <v/>
      </c>
      <c r="AG685" s="9">
        <f>INDEX(LINEST(L426:L685,M426:T685,TRUE,TRUE),1,3)</f>
        <v/>
      </c>
      <c r="AH685" s="9">
        <f>INDEX(LINEST(L426:L685,M426:T685,TRUE,TRUE),1,2)</f>
        <v/>
      </c>
      <c r="AI685" s="9">
        <f>INDEX(LINEST(L426:L685,M426:T685,TRUE,TRUE),1,1)</f>
        <v/>
      </c>
      <c r="AJ685" s="10">
        <f>INDEX(LINEST(L426:L685,M426:T685,TRUE,TRUE),3,1)</f>
        <v/>
      </c>
      <c r="AK685" s="9">
        <f>AA684/52+AB684*M685+AC684*N685+AD684*O685+AE684*P685+AF684*Q685+AG684*R685+AH684*S685+AI684*T685</f>
        <v/>
      </c>
      <c r="AL685" s="9">
        <f>AVERAGE(L425:L684)</f>
        <v/>
      </c>
    </row>
    <row r="686">
      <c r="A686" s="7" t="n">
        <v>42412</v>
      </c>
      <c r="B686" s="8" t="n">
        <v>1239.75</v>
      </c>
      <c r="C686" s="8" t="n">
        <v>1.25</v>
      </c>
      <c r="D686" s="8" t="n">
        <v>0.49</v>
      </c>
      <c r="E686" s="8" t="n">
        <v>95.980003</v>
      </c>
      <c r="F686" s="8" t="n">
        <v>29.32</v>
      </c>
      <c r="G686" s="8" t="n">
        <v>25.4</v>
      </c>
      <c r="H686" s="8" t="n">
        <v>93.720001</v>
      </c>
      <c r="I686" s="8" t="n">
        <v>1864.780029</v>
      </c>
      <c r="J686" s="8" t="n">
        <v>82.285263</v>
      </c>
      <c r="L686" s="9">
        <f>LN(B686/B685)</f>
        <v/>
      </c>
      <c r="M686" s="9">
        <f>$M$1*(C686-C685)</f>
        <v/>
      </c>
      <c r="N686" s="9">
        <f>$N$1*(D686-D685)</f>
        <v/>
      </c>
      <c r="O686" s="9">
        <f>$O$1*LN(E686/E685)</f>
        <v/>
      </c>
      <c r="P686" s="9">
        <f>$P$1*LN(F686/F685)</f>
        <v/>
      </c>
      <c r="Q686" s="9">
        <f>$Q$1*(G686-G685)</f>
        <v/>
      </c>
      <c r="R686" s="9">
        <f>$R$1*(H686-H685)</f>
        <v/>
      </c>
      <c r="S686" s="9">
        <f>$S$1*LN(I686/I685)</f>
        <v/>
      </c>
      <c r="T686" s="9">
        <f>$T$1*LN(J686/J685)</f>
        <v/>
      </c>
      <c r="U686" s="9">
        <f>$W$12+$W$4*M686+$W$5*N686+$W$6*O686+$W$7*P686+$W$8*Q686+$W$9*R686+$W$10*S686+$W$11*T686</f>
        <v/>
      </c>
      <c r="AA686" s="10">
        <f>INDEX(LINEST(L427:L686,M427:T686,TRUE,TRUE),1,9)*52</f>
        <v/>
      </c>
      <c r="AB686" s="9">
        <f>INDEX(LINEST(L427:L686,M427:T686,TRUE,TRUE),1,8)</f>
        <v/>
      </c>
      <c r="AC686" s="9">
        <f>INDEX(LINEST(L427:L686,M427:T686,TRUE,TRUE),1,7)</f>
        <v/>
      </c>
      <c r="AD686" s="9">
        <f>INDEX(LINEST(L427:L686,M427:T686,TRUE,TRUE),1,6)</f>
        <v/>
      </c>
      <c r="AE686" s="9">
        <f>INDEX(LINEST(L427:L686,M427:T686,TRUE,TRUE),1,5)</f>
        <v/>
      </c>
      <c r="AF686" s="9">
        <f>INDEX(LINEST(L427:L686,M427:T686,TRUE,TRUE),1,4)</f>
        <v/>
      </c>
      <c r="AG686" s="9">
        <f>INDEX(LINEST(L427:L686,M427:T686,TRUE,TRUE),1,3)</f>
        <v/>
      </c>
      <c r="AH686" s="9">
        <f>INDEX(LINEST(L427:L686,M427:T686,TRUE,TRUE),1,2)</f>
        <v/>
      </c>
      <c r="AI686" s="9">
        <f>INDEX(LINEST(L427:L686,M427:T686,TRUE,TRUE),1,1)</f>
        <v/>
      </c>
      <c r="AJ686" s="10">
        <f>INDEX(LINEST(L427:L686,M427:T686,TRUE,TRUE),3,1)</f>
        <v/>
      </c>
      <c r="AK686" s="9">
        <f>AA685/52+AB685*M686+AC685*N686+AD685*O686+AE685*P686+AF685*Q686+AG685*R686+AH685*S686+AI685*T686</f>
        <v/>
      </c>
      <c r="AL686" s="9">
        <f>AVERAGE(L426:L685)</f>
        <v/>
      </c>
    </row>
    <row r="687">
      <c r="A687" s="7" t="n">
        <v>42419</v>
      </c>
      <c r="B687" s="8" t="n">
        <v>1231.15</v>
      </c>
      <c r="C687" s="8" t="n">
        <v>1.26</v>
      </c>
      <c r="D687" s="8" t="n">
        <v>0.5</v>
      </c>
      <c r="E687" s="8" t="n">
        <v>96.599998</v>
      </c>
      <c r="F687" s="8" t="n">
        <v>29.59</v>
      </c>
      <c r="G687" s="8" t="n">
        <v>20.53</v>
      </c>
      <c r="H687" s="8" t="n">
        <v>90.099998</v>
      </c>
      <c r="I687" s="8" t="n">
        <v>1917.780029</v>
      </c>
      <c r="J687" s="8" t="n">
        <v>82.30027</v>
      </c>
      <c r="L687" s="9">
        <f>LN(B687/B686)</f>
        <v/>
      </c>
      <c r="M687" s="9">
        <f>$M$1*(C687-C686)</f>
        <v/>
      </c>
      <c r="N687" s="9">
        <f>$N$1*(D687-D686)</f>
        <v/>
      </c>
      <c r="O687" s="9">
        <f>$O$1*LN(E687/E686)</f>
        <v/>
      </c>
      <c r="P687" s="9">
        <f>$P$1*LN(F687/F686)</f>
        <v/>
      </c>
      <c r="Q687" s="9">
        <f>$Q$1*(G687-G686)</f>
        <v/>
      </c>
      <c r="R687" s="9">
        <f>$R$1*(H687-H686)</f>
        <v/>
      </c>
      <c r="S687" s="9">
        <f>$S$1*LN(I687/I686)</f>
        <v/>
      </c>
      <c r="T687" s="9">
        <f>$T$1*LN(J687/J686)</f>
        <v/>
      </c>
      <c r="U687" s="9">
        <f>$W$12+$W$4*M687+$W$5*N687+$W$6*O687+$W$7*P687+$W$8*Q687+$W$9*R687+$W$10*S687+$W$11*T687</f>
        <v/>
      </c>
      <c r="AA687" s="10">
        <f>INDEX(LINEST(L428:L687,M428:T687,TRUE,TRUE),1,9)*52</f>
        <v/>
      </c>
      <c r="AB687" s="9">
        <f>INDEX(LINEST(L428:L687,M428:T687,TRUE,TRUE),1,8)</f>
        <v/>
      </c>
      <c r="AC687" s="9">
        <f>INDEX(LINEST(L428:L687,M428:T687,TRUE,TRUE),1,7)</f>
        <v/>
      </c>
      <c r="AD687" s="9">
        <f>INDEX(LINEST(L428:L687,M428:T687,TRUE,TRUE),1,6)</f>
        <v/>
      </c>
      <c r="AE687" s="9">
        <f>INDEX(LINEST(L428:L687,M428:T687,TRUE,TRUE),1,5)</f>
        <v/>
      </c>
      <c r="AF687" s="9">
        <f>INDEX(LINEST(L428:L687,M428:T687,TRUE,TRUE),1,4)</f>
        <v/>
      </c>
      <c r="AG687" s="9">
        <f>INDEX(LINEST(L428:L687,M428:T687,TRUE,TRUE),1,3)</f>
        <v/>
      </c>
      <c r="AH687" s="9">
        <f>INDEX(LINEST(L428:L687,M428:T687,TRUE,TRUE),1,2)</f>
        <v/>
      </c>
      <c r="AI687" s="9">
        <f>INDEX(LINEST(L428:L687,M428:T687,TRUE,TRUE),1,1)</f>
        <v/>
      </c>
      <c r="AJ687" s="10">
        <f>INDEX(LINEST(L428:L687,M428:T687,TRUE,TRUE),3,1)</f>
        <v/>
      </c>
      <c r="AK687" s="9">
        <f>AA686/52+AB686*M687+AC686*N687+AD686*O687+AE686*P687+AF686*Q687+AG686*R687+AH686*S687+AI686*T687</f>
        <v/>
      </c>
      <c r="AL687" s="9">
        <f>AVERAGE(L427:L686)</f>
        <v/>
      </c>
    </row>
    <row r="688">
      <c r="A688" s="7" t="n">
        <v>42426</v>
      </c>
      <c r="B688" s="8" t="n">
        <v>1226.5</v>
      </c>
      <c r="C688" s="8" t="n">
        <v>1.41</v>
      </c>
      <c r="D688" s="8" t="n">
        <v>0.35</v>
      </c>
      <c r="E688" s="8" t="n">
        <v>98.150002</v>
      </c>
      <c r="F688" s="8" t="n">
        <v>31.65</v>
      </c>
      <c r="G688" s="8" t="n">
        <v>19.81</v>
      </c>
      <c r="H688" s="8" t="n">
        <v>82.540001</v>
      </c>
      <c r="I688" s="8" t="n">
        <v>1948.050049</v>
      </c>
      <c r="J688" s="8" t="n">
        <v>82.42765</v>
      </c>
      <c r="L688" s="9">
        <f>LN(B688/B687)</f>
        <v/>
      </c>
      <c r="M688" s="9">
        <f>$M$1*(C688-C687)</f>
        <v/>
      </c>
      <c r="N688" s="9">
        <f>$N$1*(D688-D687)</f>
        <v/>
      </c>
      <c r="O688" s="9">
        <f>$O$1*LN(E688/E687)</f>
        <v/>
      </c>
      <c r="P688" s="9">
        <f>$P$1*LN(F688/F687)</f>
        <v/>
      </c>
      <c r="Q688" s="9">
        <f>$Q$1*(G688-G687)</f>
        <v/>
      </c>
      <c r="R688" s="9">
        <f>$R$1*(H688-H687)</f>
        <v/>
      </c>
      <c r="S688" s="9">
        <f>$S$1*LN(I688/I687)</f>
        <v/>
      </c>
      <c r="T688" s="9">
        <f>$T$1*LN(J688/J687)</f>
        <v/>
      </c>
      <c r="U688" s="9">
        <f>$W$12+$W$4*M688+$W$5*N688+$W$6*O688+$W$7*P688+$W$8*Q688+$W$9*R688+$W$10*S688+$W$11*T688</f>
        <v/>
      </c>
      <c r="AA688" s="10">
        <f>INDEX(LINEST(L429:L688,M429:T688,TRUE,TRUE),1,9)*52</f>
        <v/>
      </c>
      <c r="AB688" s="9">
        <f>INDEX(LINEST(L429:L688,M429:T688,TRUE,TRUE),1,8)</f>
        <v/>
      </c>
      <c r="AC688" s="9">
        <f>INDEX(LINEST(L429:L688,M429:T688,TRUE,TRUE),1,7)</f>
        <v/>
      </c>
      <c r="AD688" s="9">
        <f>INDEX(LINEST(L429:L688,M429:T688,TRUE,TRUE),1,6)</f>
        <v/>
      </c>
      <c r="AE688" s="9">
        <f>INDEX(LINEST(L429:L688,M429:T688,TRUE,TRUE),1,5)</f>
        <v/>
      </c>
      <c r="AF688" s="9">
        <f>INDEX(LINEST(L429:L688,M429:T688,TRUE,TRUE),1,4)</f>
        <v/>
      </c>
      <c r="AG688" s="9">
        <f>INDEX(LINEST(L429:L688,M429:T688,TRUE,TRUE),1,3)</f>
        <v/>
      </c>
      <c r="AH688" s="9">
        <f>INDEX(LINEST(L429:L688,M429:T688,TRUE,TRUE),1,2)</f>
        <v/>
      </c>
      <c r="AI688" s="9">
        <f>INDEX(LINEST(L429:L688,M429:T688,TRUE,TRUE),1,1)</f>
        <v/>
      </c>
      <c r="AJ688" s="10">
        <f>INDEX(LINEST(L429:L688,M429:T688,TRUE,TRUE),3,1)</f>
        <v/>
      </c>
      <c r="AK688" s="9">
        <f>AA687/52+AB687*M688+AC687*N688+AD687*O688+AE687*P688+AF687*Q688+AG687*R688+AH687*S688+AI687*T688</f>
        <v/>
      </c>
      <c r="AL688" s="9">
        <f>AVERAGE(L428:L687)</f>
        <v/>
      </c>
    </row>
    <row r="689">
      <c r="A689" s="7" t="n">
        <v>42433</v>
      </c>
      <c r="B689" s="8" t="n">
        <v>1277.5</v>
      </c>
      <c r="C689" s="8" t="n">
        <v>1.51</v>
      </c>
      <c r="D689" s="8" t="n">
        <v>0.37</v>
      </c>
      <c r="E689" s="8" t="n">
        <v>97.339996</v>
      </c>
      <c r="F689" s="8" t="n">
        <v>35.91</v>
      </c>
      <c r="G689" s="8" t="n">
        <v>16.86</v>
      </c>
      <c r="H689" s="8" t="n">
        <v>78.010002</v>
      </c>
      <c r="I689" s="8" t="n">
        <v>1999.98999</v>
      </c>
      <c r="J689" s="8" t="n">
        <v>82.15782900000001</v>
      </c>
      <c r="L689" s="9">
        <f>LN(B689/B688)</f>
        <v/>
      </c>
      <c r="M689" s="9">
        <f>$M$1*(C689-C688)</f>
        <v/>
      </c>
      <c r="N689" s="9">
        <f>$N$1*(D689-D688)</f>
        <v/>
      </c>
      <c r="O689" s="9">
        <f>$O$1*LN(E689/E688)</f>
        <v/>
      </c>
      <c r="P689" s="9">
        <f>$P$1*LN(F689/F688)</f>
        <v/>
      </c>
      <c r="Q689" s="9">
        <f>$Q$1*(G689-G688)</f>
        <v/>
      </c>
      <c r="R689" s="9">
        <f>$R$1*(H689-H688)</f>
        <v/>
      </c>
      <c r="S689" s="9">
        <f>$S$1*LN(I689/I688)</f>
        <v/>
      </c>
      <c r="T689" s="9">
        <f>$T$1*LN(J689/J688)</f>
        <v/>
      </c>
      <c r="U689" s="9">
        <f>$W$12+$W$4*M689+$W$5*N689+$W$6*O689+$W$7*P689+$W$8*Q689+$W$9*R689+$W$10*S689+$W$11*T689</f>
        <v/>
      </c>
      <c r="AA689" s="10">
        <f>INDEX(LINEST(L430:L689,M430:T689,TRUE,TRUE),1,9)*52</f>
        <v/>
      </c>
      <c r="AB689" s="9">
        <f>INDEX(LINEST(L430:L689,M430:T689,TRUE,TRUE),1,8)</f>
        <v/>
      </c>
      <c r="AC689" s="9">
        <f>INDEX(LINEST(L430:L689,M430:T689,TRUE,TRUE),1,7)</f>
        <v/>
      </c>
      <c r="AD689" s="9">
        <f>INDEX(LINEST(L430:L689,M430:T689,TRUE,TRUE),1,6)</f>
        <v/>
      </c>
      <c r="AE689" s="9">
        <f>INDEX(LINEST(L430:L689,M430:T689,TRUE,TRUE),1,5)</f>
        <v/>
      </c>
      <c r="AF689" s="9">
        <f>INDEX(LINEST(L430:L689,M430:T689,TRUE,TRUE),1,4)</f>
        <v/>
      </c>
      <c r="AG689" s="9">
        <f>INDEX(LINEST(L430:L689,M430:T689,TRUE,TRUE),1,3)</f>
        <v/>
      </c>
      <c r="AH689" s="9">
        <f>INDEX(LINEST(L430:L689,M430:T689,TRUE,TRUE),1,2)</f>
        <v/>
      </c>
      <c r="AI689" s="9">
        <f>INDEX(LINEST(L430:L689,M430:T689,TRUE,TRUE),1,1)</f>
        <v/>
      </c>
      <c r="AJ689" s="10">
        <f>INDEX(LINEST(L430:L689,M430:T689,TRUE,TRUE),3,1)</f>
        <v/>
      </c>
      <c r="AK689" s="9">
        <f>AA688/52+AB688*M689+AC688*N689+AD688*O689+AE688*P689+AF688*Q689+AG688*R689+AH688*S689+AI688*T689</f>
        <v/>
      </c>
      <c r="AL689" s="9">
        <f>AVERAGE(L429:L688)</f>
        <v/>
      </c>
    </row>
    <row r="690">
      <c r="A690" s="7" t="n">
        <v>42440</v>
      </c>
      <c r="B690" s="8" t="n">
        <v>1264.75</v>
      </c>
      <c r="C690" s="8" t="n">
        <v>1.54</v>
      </c>
      <c r="D690" s="8" t="n">
        <v>0.44</v>
      </c>
      <c r="E690" s="8" t="n">
        <v>96.16999800000001</v>
      </c>
      <c r="F690" s="8" t="n">
        <v>38.51</v>
      </c>
      <c r="G690" s="8" t="n">
        <v>16.5</v>
      </c>
      <c r="H690" s="8" t="n">
        <v>81.41999800000001</v>
      </c>
      <c r="I690" s="8" t="n">
        <v>2022.189941</v>
      </c>
      <c r="J690" s="8" t="n">
        <v>82.187866</v>
      </c>
      <c r="L690" s="9">
        <f>LN(B690/B689)</f>
        <v/>
      </c>
      <c r="M690" s="9">
        <f>$M$1*(C690-C689)</f>
        <v/>
      </c>
      <c r="N690" s="9">
        <f>$N$1*(D690-D689)</f>
        <v/>
      </c>
      <c r="O690" s="9">
        <f>$O$1*LN(E690/E689)</f>
        <v/>
      </c>
      <c r="P690" s="9">
        <f>$P$1*LN(F690/F689)</f>
        <v/>
      </c>
      <c r="Q690" s="9">
        <f>$Q$1*(G690-G689)</f>
        <v/>
      </c>
      <c r="R690" s="9">
        <f>$R$1*(H690-H689)</f>
        <v/>
      </c>
      <c r="S690" s="9">
        <f>$S$1*LN(I690/I689)</f>
        <v/>
      </c>
      <c r="T690" s="9">
        <f>$T$1*LN(J690/J689)</f>
        <v/>
      </c>
      <c r="U690" s="9">
        <f>$W$12+$W$4*M690+$W$5*N690+$W$6*O690+$W$7*P690+$W$8*Q690+$W$9*R690+$W$10*S690+$W$11*T690</f>
        <v/>
      </c>
      <c r="AA690" s="10">
        <f>INDEX(LINEST(L431:L690,M431:T690,TRUE,TRUE),1,9)*52</f>
        <v/>
      </c>
      <c r="AB690" s="9">
        <f>INDEX(LINEST(L431:L690,M431:T690,TRUE,TRUE),1,8)</f>
        <v/>
      </c>
      <c r="AC690" s="9">
        <f>INDEX(LINEST(L431:L690,M431:T690,TRUE,TRUE),1,7)</f>
        <v/>
      </c>
      <c r="AD690" s="9">
        <f>INDEX(LINEST(L431:L690,M431:T690,TRUE,TRUE),1,6)</f>
        <v/>
      </c>
      <c r="AE690" s="9">
        <f>INDEX(LINEST(L431:L690,M431:T690,TRUE,TRUE),1,5)</f>
        <v/>
      </c>
      <c r="AF690" s="9">
        <f>INDEX(LINEST(L431:L690,M431:T690,TRUE,TRUE),1,4)</f>
        <v/>
      </c>
      <c r="AG690" s="9">
        <f>INDEX(LINEST(L431:L690,M431:T690,TRUE,TRUE),1,3)</f>
        <v/>
      </c>
      <c r="AH690" s="9">
        <f>INDEX(LINEST(L431:L690,M431:T690,TRUE,TRUE),1,2)</f>
        <v/>
      </c>
      <c r="AI690" s="9">
        <f>INDEX(LINEST(L431:L690,M431:T690,TRUE,TRUE),1,1)</f>
        <v/>
      </c>
      <c r="AJ690" s="10">
        <f>INDEX(LINEST(L431:L690,M431:T690,TRUE,TRUE),3,1)</f>
        <v/>
      </c>
      <c r="AK690" s="9">
        <f>AA689/52+AB689*M690+AC689*N690+AD689*O690+AE689*P690+AF689*Q690+AG689*R690+AH689*S690+AI689*T690</f>
        <v/>
      </c>
      <c r="AL690" s="9">
        <f>AVERAGE(L430:L689)</f>
        <v/>
      </c>
    </row>
    <row r="691">
      <c r="A691" s="7" t="n">
        <v>42447</v>
      </c>
      <c r="B691" s="8" t="n">
        <v>1252.1</v>
      </c>
      <c r="C691" s="8" t="n">
        <v>1.61</v>
      </c>
      <c r="D691" s="8" t="n">
        <v>0.27</v>
      </c>
      <c r="E691" s="8" t="n">
        <v>94.989998</v>
      </c>
      <c r="F691" s="8" t="n">
        <v>39.47</v>
      </c>
      <c r="G691" s="8" t="n">
        <v>14.02</v>
      </c>
      <c r="H691" s="8" t="n">
        <v>71.260002</v>
      </c>
      <c r="I691" s="8" t="n">
        <v>2049.580078</v>
      </c>
      <c r="J691" s="8" t="n">
        <v>82.75123600000001</v>
      </c>
      <c r="L691" s="9">
        <f>LN(B691/B690)</f>
        <v/>
      </c>
      <c r="M691" s="9">
        <f>$M$1*(C691-C690)</f>
        <v/>
      </c>
      <c r="N691" s="9">
        <f>$N$1*(D691-D690)</f>
        <v/>
      </c>
      <c r="O691" s="9">
        <f>$O$1*LN(E691/E690)</f>
        <v/>
      </c>
      <c r="P691" s="9">
        <f>$P$1*LN(F691/F690)</f>
        <v/>
      </c>
      <c r="Q691" s="9">
        <f>$Q$1*(G691-G690)</f>
        <v/>
      </c>
      <c r="R691" s="9">
        <f>$R$1*(H691-H690)</f>
        <v/>
      </c>
      <c r="S691" s="9">
        <f>$S$1*LN(I691/I690)</f>
        <v/>
      </c>
      <c r="T691" s="9">
        <f>$T$1*LN(J691/J690)</f>
        <v/>
      </c>
      <c r="U691" s="9">
        <f>$W$12+$W$4*M691+$W$5*N691+$W$6*O691+$W$7*P691+$W$8*Q691+$W$9*R691+$W$10*S691+$W$11*T691</f>
        <v/>
      </c>
      <c r="AA691" s="10">
        <f>INDEX(LINEST(L432:L691,M432:T691,TRUE,TRUE),1,9)*52</f>
        <v/>
      </c>
      <c r="AB691" s="9">
        <f>INDEX(LINEST(L432:L691,M432:T691,TRUE,TRUE),1,8)</f>
        <v/>
      </c>
      <c r="AC691" s="9">
        <f>INDEX(LINEST(L432:L691,M432:T691,TRUE,TRUE),1,7)</f>
        <v/>
      </c>
      <c r="AD691" s="9">
        <f>INDEX(LINEST(L432:L691,M432:T691,TRUE,TRUE),1,6)</f>
        <v/>
      </c>
      <c r="AE691" s="9">
        <f>INDEX(LINEST(L432:L691,M432:T691,TRUE,TRUE),1,5)</f>
        <v/>
      </c>
      <c r="AF691" s="9">
        <f>INDEX(LINEST(L432:L691,M432:T691,TRUE,TRUE),1,4)</f>
        <v/>
      </c>
      <c r="AG691" s="9">
        <f>INDEX(LINEST(L432:L691,M432:T691,TRUE,TRUE),1,3)</f>
        <v/>
      </c>
      <c r="AH691" s="9">
        <f>INDEX(LINEST(L432:L691,M432:T691,TRUE,TRUE),1,2)</f>
        <v/>
      </c>
      <c r="AI691" s="9">
        <f>INDEX(LINEST(L432:L691,M432:T691,TRUE,TRUE),1,1)</f>
        <v/>
      </c>
      <c r="AJ691" s="10">
        <f>INDEX(LINEST(L432:L691,M432:T691,TRUE,TRUE),3,1)</f>
        <v/>
      </c>
      <c r="AK691" s="9">
        <f>AA690/52+AB690*M691+AC690*N691+AD690*O691+AE690*P691+AF690*Q691+AG690*R691+AH690*S691+AI690*T691</f>
        <v/>
      </c>
      <c r="AL691" s="9">
        <f>AVERAGE(L431:L690)</f>
        <v/>
      </c>
    </row>
    <row r="692">
      <c r="A692" s="7" t="n">
        <v>42454</v>
      </c>
      <c r="B692" s="8" t="n">
        <v>1221</v>
      </c>
      <c r="C692" s="8" t="n">
        <v>1.57</v>
      </c>
      <c r="D692" s="8" t="n">
        <v>0.34</v>
      </c>
      <c r="E692" s="8" t="n">
        <v>96.139999</v>
      </c>
      <c r="F692" s="8" t="n">
        <v>38.14</v>
      </c>
      <c r="G692" s="8" t="n">
        <v>14.74</v>
      </c>
      <c r="H692" s="8" t="n">
        <v>72.68000000000001</v>
      </c>
      <c r="I692" s="8" t="n">
        <v>2035.939941</v>
      </c>
      <c r="J692" s="8" t="n">
        <v>82.70613899999999</v>
      </c>
      <c r="L692" s="9">
        <f>LN(B692/B691)</f>
        <v/>
      </c>
      <c r="M692" s="9">
        <f>$M$1*(C692-C691)</f>
        <v/>
      </c>
      <c r="N692" s="9">
        <f>$N$1*(D692-D691)</f>
        <v/>
      </c>
      <c r="O692" s="9">
        <f>$O$1*LN(E692/E691)</f>
        <v/>
      </c>
      <c r="P692" s="9">
        <f>$P$1*LN(F692/F691)</f>
        <v/>
      </c>
      <c r="Q692" s="9">
        <f>$Q$1*(G692-G691)</f>
        <v/>
      </c>
      <c r="R692" s="9">
        <f>$R$1*(H692-H691)</f>
        <v/>
      </c>
      <c r="S692" s="9">
        <f>$S$1*LN(I692/I691)</f>
        <v/>
      </c>
      <c r="T692" s="9">
        <f>$T$1*LN(J692/J691)</f>
        <v/>
      </c>
      <c r="U692" s="9">
        <f>$W$12+$W$4*M692+$W$5*N692+$W$6*O692+$W$7*P692+$W$8*Q692+$W$9*R692+$W$10*S692+$W$11*T692</f>
        <v/>
      </c>
      <c r="AA692" s="10">
        <f>INDEX(LINEST(L433:L692,M433:T692,TRUE,TRUE),1,9)*52</f>
        <v/>
      </c>
      <c r="AB692" s="9">
        <f>INDEX(LINEST(L433:L692,M433:T692,TRUE,TRUE),1,8)</f>
        <v/>
      </c>
      <c r="AC692" s="9">
        <f>INDEX(LINEST(L433:L692,M433:T692,TRUE,TRUE),1,7)</f>
        <v/>
      </c>
      <c r="AD692" s="9">
        <f>INDEX(LINEST(L433:L692,M433:T692,TRUE,TRUE),1,6)</f>
        <v/>
      </c>
      <c r="AE692" s="9">
        <f>INDEX(LINEST(L433:L692,M433:T692,TRUE,TRUE),1,5)</f>
        <v/>
      </c>
      <c r="AF692" s="9">
        <f>INDEX(LINEST(L433:L692,M433:T692,TRUE,TRUE),1,4)</f>
        <v/>
      </c>
      <c r="AG692" s="9">
        <f>INDEX(LINEST(L433:L692,M433:T692,TRUE,TRUE),1,3)</f>
        <v/>
      </c>
      <c r="AH692" s="9">
        <f>INDEX(LINEST(L433:L692,M433:T692,TRUE,TRUE),1,2)</f>
        <v/>
      </c>
      <c r="AI692" s="9">
        <f>INDEX(LINEST(L433:L692,M433:T692,TRUE,TRUE),1,1)</f>
        <v/>
      </c>
      <c r="AJ692" s="10">
        <f>INDEX(LINEST(L433:L692,M433:T692,TRUE,TRUE),3,1)</f>
        <v/>
      </c>
      <c r="AK692" s="9">
        <f>AA691/52+AB691*M692+AC691*N692+AD691*O692+AE691*P692+AF691*Q692+AG691*R692+AH691*S692+AI691*T692</f>
        <v/>
      </c>
      <c r="AL692" s="9">
        <f>AVERAGE(L432:L691)</f>
        <v/>
      </c>
    </row>
    <row r="693">
      <c r="A693" s="7" t="n">
        <v>42461</v>
      </c>
      <c r="B693" s="8" t="n">
        <v>1213.6</v>
      </c>
      <c r="C693" s="8" t="n">
        <v>1.62</v>
      </c>
      <c r="D693" s="8" t="n">
        <v>0.17</v>
      </c>
      <c r="E693" s="8" t="n">
        <v>94.620003</v>
      </c>
      <c r="F693" s="8" t="n">
        <v>35.36</v>
      </c>
      <c r="G693" s="8" t="n">
        <v>13.1</v>
      </c>
      <c r="H693" s="8" t="n">
        <v>67</v>
      </c>
      <c r="I693" s="8" t="n">
        <v>2072.780029</v>
      </c>
      <c r="J693" s="8" t="n">
        <v>83.173187</v>
      </c>
      <c r="L693" s="9">
        <f>LN(B693/B692)</f>
        <v/>
      </c>
      <c r="M693" s="9">
        <f>$M$1*(C693-C692)</f>
        <v/>
      </c>
      <c r="N693" s="9">
        <f>$N$1*(D693-D692)</f>
        <v/>
      </c>
      <c r="O693" s="9">
        <f>$O$1*LN(E693/E692)</f>
        <v/>
      </c>
      <c r="P693" s="9">
        <f>$P$1*LN(F693/F692)</f>
        <v/>
      </c>
      <c r="Q693" s="9">
        <f>$Q$1*(G693-G692)</f>
        <v/>
      </c>
      <c r="R693" s="9">
        <f>$R$1*(H693-H692)</f>
        <v/>
      </c>
      <c r="S693" s="9">
        <f>$S$1*LN(I693/I692)</f>
        <v/>
      </c>
      <c r="T693" s="9">
        <f>$T$1*LN(J693/J692)</f>
        <v/>
      </c>
      <c r="U693" s="9">
        <f>$W$12+$W$4*M693+$W$5*N693+$W$6*O693+$W$7*P693+$W$8*Q693+$W$9*R693+$W$10*S693+$W$11*T693</f>
        <v/>
      </c>
      <c r="AA693" s="10">
        <f>INDEX(LINEST(L434:L693,M434:T693,TRUE,TRUE),1,9)*52</f>
        <v/>
      </c>
      <c r="AB693" s="9">
        <f>INDEX(LINEST(L434:L693,M434:T693,TRUE,TRUE),1,8)</f>
        <v/>
      </c>
      <c r="AC693" s="9">
        <f>INDEX(LINEST(L434:L693,M434:T693,TRUE,TRUE),1,7)</f>
        <v/>
      </c>
      <c r="AD693" s="9">
        <f>INDEX(LINEST(L434:L693,M434:T693,TRUE,TRUE),1,6)</f>
        <v/>
      </c>
      <c r="AE693" s="9">
        <f>INDEX(LINEST(L434:L693,M434:T693,TRUE,TRUE),1,5)</f>
        <v/>
      </c>
      <c r="AF693" s="9">
        <f>INDEX(LINEST(L434:L693,M434:T693,TRUE,TRUE),1,4)</f>
        <v/>
      </c>
      <c r="AG693" s="9">
        <f>INDEX(LINEST(L434:L693,M434:T693,TRUE,TRUE),1,3)</f>
        <v/>
      </c>
      <c r="AH693" s="9">
        <f>INDEX(LINEST(L434:L693,M434:T693,TRUE,TRUE),1,2)</f>
        <v/>
      </c>
      <c r="AI693" s="9">
        <f>INDEX(LINEST(L434:L693,M434:T693,TRUE,TRUE),1,1)</f>
        <v/>
      </c>
      <c r="AJ693" s="10">
        <f>INDEX(LINEST(L434:L693,M434:T693,TRUE,TRUE),3,1)</f>
        <v/>
      </c>
      <c r="AK693" s="9">
        <f>AA692/52+AB692*M693+AC692*N693+AD692*O693+AE692*P693+AF692*Q693+AG692*R693+AH692*S693+AI692*T693</f>
        <v/>
      </c>
      <c r="AL693" s="9">
        <f>AVERAGE(L433:L692)</f>
        <v/>
      </c>
    </row>
    <row r="694">
      <c r="A694" s="7" t="n">
        <v>42468</v>
      </c>
      <c r="B694" s="8" t="n">
        <v>1239.5</v>
      </c>
      <c r="C694" s="8" t="n">
        <v>1.58</v>
      </c>
      <c r="D694" s="8" t="n">
        <v>0.14</v>
      </c>
      <c r="E694" s="8" t="n">
        <v>94.239998</v>
      </c>
      <c r="F694" s="8" t="n">
        <v>39.74</v>
      </c>
      <c r="G694" s="8" t="n">
        <v>15.36</v>
      </c>
      <c r="H694" s="8" t="n">
        <v>70.879997</v>
      </c>
      <c r="I694" s="8" t="n">
        <v>2047.599976</v>
      </c>
      <c r="J694" s="8" t="n">
        <v>83.45169799999999</v>
      </c>
      <c r="L694" s="9">
        <f>LN(B694/B693)</f>
        <v/>
      </c>
      <c r="M694" s="9">
        <f>$M$1*(C694-C693)</f>
        <v/>
      </c>
      <c r="N694" s="9">
        <f>$N$1*(D694-D693)</f>
        <v/>
      </c>
      <c r="O694" s="9">
        <f>$O$1*LN(E694/E693)</f>
        <v/>
      </c>
      <c r="P694" s="9">
        <f>$P$1*LN(F694/F693)</f>
        <v/>
      </c>
      <c r="Q694" s="9">
        <f>$Q$1*(G694-G693)</f>
        <v/>
      </c>
      <c r="R694" s="9">
        <f>$R$1*(H694-H693)</f>
        <v/>
      </c>
      <c r="S694" s="9">
        <f>$S$1*LN(I694/I693)</f>
        <v/>
      </c>
      <c r="T694" s="9">
        <f>$T$1*LN(J694/J693)</f>
        <v/>
      </c>
      <c r="U694" s="9">
        <f>$W$12+$W$4*M694+$W$5*N694+$W$6*O694+$W$7*P694+$W$8*Q694+$W$9*R694+$W$10*S694+$W$11*T694</f>
        <v/>
      </c>
      <c r="AA694" s="10">
        <f>INDEX(LINEST(L435:L694,M435:T694,TRUE,TRUE),1,9)*52</f>
        <v/>
      </c>
      <c r="AB694" s="9">
        <f>INDEX(LINEST(L435:L694,M435:T694,TRUE,TRUE),1,8)</f>
        <v/>
      </c>
      <c r="AC694" s="9">
        <f>INDEX(LINEST(L435:L694,M435:T694,TRUE,TRUE),1,7)</f>
        <v/>
      </c>
      <c r="AD694" s="9">
        <f>INDEX(LINEST(L435:L694,M435:T694,TRUE,TRUE),1,6)</f>
        <v/>
      </c>
      <c r="AE694" s="9">
        <f>INDEX(LINEST(L435:L694,M435:T694,TRUE,TRUE),1,5)</f>
        <v/>
      </c>
      <c r="AF694" s="9">
        <f>INDEX(LINEST(L435:L694,M435:T694,TRUE,TRUE),1,4)</f>
        <v/>
      </c>
      <c r="AG694" s="9">
        <f>INDEX(LINEST(L435:L694,M435:T694,TRUE,TRUE),1,3)</f>
        <v/>
      </c>
      <c r="AH694" s="9">
        <f>INDEX(LINEST(L435:L694,M435:T694,TRUE,TRUE),1,2)</f>
        <v/>
      </c>
      <c r="AI694" s="9">
        <f>INDEX(LINEST(L435:L694,M435:T694,TRUE,TRUE),1,1)</f>
        <v/>
      </c>
      <c r="AJ694" s="10">
        <f>INDEX(LINEST(L435:L694,M435:T694,TRUE,TRUE),3,1)</f>
        <v/>
      </c>
      <c r="AK694" s="9">
        <f>AA693/52+AB693*M694+AC693*N694+AD693*O694+AE693*P694+AF693*Q694+AG693*R694+AH693*S694+AI693*T694</f>
        <v/>
      </c>
      <c r="AL694" s="9">
        <f>AVERAGE(L434:L693)</f>
        <v/>
      </c>
    </row>
    <row r="695">
      <c r="A695" s="7" t="n">
        <v>42475</v>
      </c>
      <c r="B695" s="8" t="n">
        <v>1227.1</v>
      </c>
      <c r="C695" s="8" t="n">
        <v>1.56</v>
      </c>
      <c r="D695" s="8" t="n">
        <v>0.2</v>
      </c>
      <c r="E695" s="8" t="n">
        <v>94.699997</v>
      </c>
      <c r="F695" s="8" t="n">
        <v>40.4</v>
      </c>
      <c r="G695" s="8" t="n">
        <v>13.62</v>
      </c>
      <c r="H695" s="8" t="n">
        <v>66.489998</v>
      </c>
      <c r="I695" s="8" t="n">
        <v>2080.72998</v>
      </c>
      <c r="J695" s="8" t="n">
        <v>83.50430299999999</v>
      </c>
      <c r="L695" s="9">
        <f>LN(B695/B694)</f>
        <v/>
      </c>
      <c r="M695" s="9">
        <f>$M$1*(C695-C694)</f>
        <v/>
      </c>
      <c r="N695" s="9">
        <f>$N$1*(D695-D694)</f>
        <v/>
      </c>
      <c r="O695" s="9">
        <f>$O$1*LN(E695/E694)</f>
        <v/>
      </c>
      <c r="P695" s="9">
        <f>$P$1*LN(F695/F694)</f>
        <v/>
      </c>
      <c r="Q695" s="9">
        <f>$Q$1*(G695-G694)</f>
        <v/>
      </c>
      <c r="R695" s="9">
        <f>$R$1*(H695-H694)</f>
        <v/>
      </c>
      <c r="S695" s="9">
        <f>$S$1*LN(I695/I694)</f>
        <v/>
      </c>
      <c r="T695" s="9">
        <f>$T$1*LN(J695/J694)</f>
        <v/>
      </c>
      <c r="U695" s="9">
        <f>$W$12+$W$4*M695+$W$5*N695+$W$6*O695+$W$7*P695+$W$8*Q695+$W$9*R695+$W$10*S695+$W$11*T695</f>
        <v/>
      </c>
      <c r="AA695" s="10">
        <f>INDEX(LINEST(L436:L695,M436:T695,TRUE,TRUE),1,9)*52</f>
        <v/>
      </c>
      <c r="AB695" s="9">
        <f>INDEX(LINEST(L436:L695,M436:T695,TRUE,TRUE),1,8)</f>
        <v/>
      </c>
      <c r="AC695" s="9">
        <f>INDEX(LINEST(L436:L695,M436:T695,TRUE,TRUE),1,7)</f>
        <v/>
      </c>
      <c r="AD695" s="9">
        <f>INDEX(LINEST(L436:L695,M436:T695,TRUE,TRUE),1,6)</f>
        <v/>
      </c>
      <c r="AE695" s="9">
        <f>INDEX(LINEST(L436:L695,M436:T695,TRUE,TRUE),1,5)</f>
        <v/>
      </c>
      <c r="AF695" s="9">
        <f>INDEX(LINEST(L436:L695,M436:T695,TRUE,TRUE),1,4)</f>
        <v/>
      </c>
      <c r="AG695" s="9">
        <f>INDEX(LINEST(L436:L695,M436:T695,TRUE,TRUE),1,3)</f>
        <v/>
      </c>
      <c r="AH695" s="9">
        <f>INDEX(LINEST(L436:L695,M436:T695,TRUE,TRUE),1,2)</f>
        <v/>
      </c>
      <c r="AI695" s="9">
        <f>INDEX(LINEST(L436:L695,M436:T695,TRUE,TRUE),1,1)</f>
        <v/>
      </c>
      <c r="AJ695" s="10">
        <f>INDEX(LINEST(L436:L695,M436:T695,TRUE,TRUE),3,1)</f>
        <v/>
      </c>
      <c r="AK695" s="9">
        <f>AA694/52+AB694*M695+AC694*N695+AD694*O695+AE694*P695+AF694*Q695+AG694*R695+AH694*S695+AI694*T695</f>
        <v/>
      </c>
      <c r="AL695" s="9">
        <f>AVERAGE(L435:L694)</f>
        <v/>
      </c>
    </row>
    <row r="696">
      <c r="A696" s="7" t="n">
        <v>42482</v>
      </c>
      <c r="B696" s="8" t="n">
        <v>1243.25</v>
      </c>
      <c r="C696" s="8" t="n">
        <v>1.64</v>
      </c>
      <c r="D696" s="8" t="n">
        <v>0.25</v>
      </c>
      <c r="E696" s="8" t="n">
        <v>95.120003</v>
      </c>
      <c r="F696" s="8" t="n">
        <v>42.76</v>
      </c>
      <c r="G696" s="8" t="n">
        <v>13.22</v>
      </c>
      <c r="H696" s="8" t="n">
        <v>67.779999</v>
      </c>
      <c r="I696" s="8" t="n">
        <v>2091.580078</v>
      </c>
      <c r="J696" s="8" t="n">
        <v>83.180717</v>
      </c>
      <c r="L696" s="9">
        <f>LN(B696/B695)</f>
        <v/>
      </c>
      <c r="M696" s="9">
        <f>$M$1*(C696-C695)</f>
        <v/>
      </c>
      <c r="N696" s="9">
        <f>$N$1*(D696-D695)</f>
        <v/>
      </c>
      <c r="O696" s="9">
        <f>$O$1*LN(E696/E695)</f>
        <v/>
      </c>
      <c r="P696" s="9">
        <f>$P$1*LN(F696/F695)</f>
        <v/>
      </c>
      <c r="Q696" s="9">
        <f>$Q$1*(G696-G695)</f>
        <v/>
      </c>
      <c r="R696" s="9">
        <f>$R$1*(H696-H695)</f>
        <v/>
      </c>
      <c r="S696" s="9">
        <f>$S$1*LN(I696/I695)</f>
        <v/>
      </c>
      <c r="T696" s="9">
        <f>$T$1*LN(J696/J695)</f>
        <v/>
      </c>
      <c r="U696" s="9">
        <f>$W$12+$W$4*M696+$W$5*N696+$W$6*O696+$W$7*P696+$W$8*Q696+$W$9*R696+$W$10*S696+$W$11*T696</f>
        <v/>
      </c>
      <c r="AA696" s="10">
        <f>INDEX(LINEST(L437:L696,M437:T696,TRUE,TRUE),1,9)*52</f>
        <v/>
      </c>
      <c r="AB696" s="9">
        <f>INDEX(LINEST(L437:L696,M437:T696,TRUE,TRUE),1,8)</f>
        <v/>
      </c>
      <c r="AC696" s="9">
        <f>INDEX(LINEST(L437:L696,M437:T696,TRUE,TRUE),1,7)</f>
        <v/>
      </c>
      <c r="AD696" s="9">
        <f>INDEX(LINEST(L437:L696,M437:T696,TRUE,TRUE),1,6)</f>
        <v/>
      </c>
      <c r="AE696" s="9">
        <f>INDEX(LINEST(L437:L696,M437:T696,TRUE,TRUE),1,5)</f>
        <v/>
      </c>
      <c r="AF696" s="9">
        <f>INDEX(LINEST(L437:L696,M437:T696,TRUE,TRUE),1,4)</f>
        <v/>
      </c>
      <c r="AG696" s="9">
        <f>INDEX(LINEST(L437:L696,M437:T696,TRUE,TRUE),1,3)</f>
        <v/>
      </c>
      <c r="AH696" s="9">
        <f>INDEX(LINEST(L437:L696,M437:T696,TRUE,TRUE),1,2)</f>
        <v/>
      </c>
      <c r="AI696" s="9">
        <f>INDEX(LINEST(L437:L696,M437:T696,TRUE,TRUE),1,1)</f>
        <v/>
      </c>
      <c r="AJ696" s="10">
        <f>INDEX(LINEST(L437:L696,M437:T696,TRUE,TRUE),3,1)</f>
        <v/>
      </c>
      <c r="AK696" s="9">
        <f>AA695/52+AB695*M696+AC695*N696+AD695*O696+AE695*P696+AF695*Q696+AG695*R696+AH695*S696+AI695*T696</f>
        <v/>
      </c>
      <c r="AL696" s="9">
        <f>AVERAGE(L436:L695)</f>
        <v/>
      </c>
    </row>
    <row r="697">
      <c r="A697" s="7" t="n">
        <v>42489</v>
      </c>
      <c r="B697" s="8" t="n">
        <v>1285.65</v>
      </c>
      <c r="C697" s="8" t="n">
        <v>1.71</v>
      </c>
      <c r="D697" s="8" t="n">
        <v>0.12</v>
      </c>
      <c r="E697" s="8" t="n">
        <v>93.08000199999999</v>
      </c>
      <c r="F697" s="8" t="n">
        <v>45.98</v>
      </c>
      <c r="G697" s="8" t="n">
        <v>15.7</v>
      </c>
      <c r="H697" s="8" t="n">
        <v>64.91999800000001</v>
      </c>
      <c r="I697" s="8" t="n">
        <v>2065.300049</v>
      </c>
      <c r="J697" s="8" t="n">
        <v>83.45920599999999</v>
      </c>
      <c r="L697" s="9">
        <f>LN(B697/B696)</f>
        <v/>
      </c>
      <c r="M697" s="9">
        <f>$M$1*(C697-C696)</f>
        <v/>
      </c>
      <c r="N697" s="9">
        <f>$N$1*(D697-D696)</f>
        <v/>
      </c>
      <c r="O697" s="9">
        <f>$O$1*LN(E697/E696)</f>
        <v/>
      </c>
      <c r="P697" s="9">
        <f>$P$1*LN(F697/F696)</f>
        <v/>
      </c>
      <c r="Q697" s="9">
        <f>$Q$1*(G697-G696)</f>
        <v/>
      </c>
      <c r="R697" s="9">
        <f>$R$1*(H697-H696)</f>
        <v/>
      </c>
      <c r="S697" s="9">
        <f>$S$1*LN(I697/I696)</f>
        <v/>
      </c>
      <c r="T697" s="9">
        <f>$T$1*LN(J697/J696)</f>
        <v/>
      </c>
      <c r="U697" s="9">
        <f>$W$12+$W$4*M697+$W$5*N697+$W$6*O697+$W$7*P697+$W$8*Q697+$W$9*R697+$W$10*S697+$W$11*T697</f>
        <v/>
      </c>
      <c r="AA697" s="10">
        <f>INDEX(LINEST(L438:L697,M438:T697,TRUE,TRUE),1,9)*52</f>
        <v/>
      </c>
      <c r="AB697" s="9">
        <f>INDEX(LINEST(L438:L697,M438:T697,TRUE,TRUE),1,8)</f>
        <v/>
      </c>
      <c r="AC697" s="9">
        <f>INDEX(LINEST(L438:L697,M438:T697,TRUE,TRUE),1,7)</f>
        <v/>
      </c>
      <c r="AD697" s="9">
        <f>INDEX(LINEST(L438:L697,M438:T697,TRUE,TRUE),1,6)</f>
        <v/>
      </c>
      <c r="AE697" s="9">
        <f>INDEX(LINEST(L438:L697,M438:T697,TRUE,TRUE),1,5)</f>
        <v/>
      </c>
      <c r="AF697" s="9">
        <f>INDEX(LINEST(L438:L697,M438:T697,TRUE,TRUE),1,4)</f>
        <v/>
      </c>
      <c r="AG697" s="9">
        <f>INDEX(LINEST(L438:L697,M438:T697,TRUE,TRUE),1,3)</f>
        <v/>
      </c>
      <c r="AH697" s="9">
        <f>INDEX(LINEST(L438:L697,M438:T697,TRUE,TRUE),1,2)</f>
        <v/>
      </c>
      <c r="AI697" s="9">
        <f>INDEX(LINEST(L438:L697,M438:T697,TRUE,TRUE),1,1)</f>
        <v/>
      </c>
      <c r="AJ697" s="10">
        <f>INDEX(LINEST(L438:L697,M438:T697,TRUE,TRUE),3,1)</f>
        <v/>
      </c>
      <c r="AK697" s="9">
        <f>AA696/52+AB696*M697+AC696*N697+AD696*O697+AE696*P697+AF696*Q697+AG696*R697+AH696*S697+AI696*T697</f>
        <v/>
      </c>
      <c r="AL697" s="9">
        <f>AVERAGE(L437:L696)</f>
        <v/>
      </c>
    </row>
    <row r="698">
      <c r="A698" s="7" t="n">
        <v>42496</v>
      </c>
      <c r="B698" s="8" t="n">
        <v>1289</v>
      </c>
      <c r="C698" s="8" t="n">
        <v>1.61</v>
      </c>
      <c r="D698" s="8" t="n">
        <v>0.18</v>
      </c>
      <c r="E698" s="8" t="n">
        <v>93.889999</v>
      </c>
      <c r="F698" s="8" t="n">
        <v>44.58</v>
      </c>
      <c r="G698" s="8" t="n">
        <v>14.72</v>
      </c>
      <c r="H698" s="8" t="n">
        <v>65.150002</v>
      </c>
      <c r="I698" s="8" t="n">
        <v>2057.139893</v>
      </c>
      <c r="J698" s="8" t="n">
        <v>83.67411</v>
      </c>
      <c r="L698" s="9">
        <f>LN(B698/B697)</f>
        <v/>
      </c>
      <c r="M698" s="9">
        <f>$M$1*(C698-C697)</f>
        <v/>
      </c>
      <c r="N698" s="9">
        <f>$N$1*(D698-D697)</f>
        <v/>
      </c>
      <c r="O698" s="9">
        <f>$O$1*LN(E698/E697)</f>
        <v/>
      </c>
      <c r="P698" s="9">
        <f>$P$1*LN(F698/F697)</f>
        <v/>
      </c>
      <c r="Q698" s="9">
        <f>$Q$1*(G698-G697)</f>
        <v/>
      </c>
      <c r="R698" s="9">
        <f>$R$1*(H698-H697)</f>
        <v/>
      </c>
      <c r="S698" s="9">
        <f>$S$1*LN(I698/I697)</f>
        <v/>
      </c>
      <c r="T698" s="9">
        <f>$T$1*LN(J698/J697)</f>
        <v/>
      </c>
      <c r="U698" s="9">
        <f>$W$12+$W$4*M698+$W$5*N698+$W$6*O698+$W$7*P698+$W$8*Q698+$W$9*R698+$W$10*S698+$W$11*T698</f>
        <v/>
      </c>
      <c r="AA698" s="10">
        <f>INDEX(LINEST(L439:L698,M439:T698,TRUE,TRUE),1,9)*52</f>
        <v/>
      </c>
      <c r="AB698" s="9">
        <f>INDEX(LINEST(L439:L698,M439:T698,TRUE,TRUE),1,8)</f>
        <v/>
      </c>
      <c r="AC698" s="9">
        <f>INDEX(LINEST(L439:L698,M439:T698,TRUE,TRUE),1,7)</f>
        <v/>
      </c>
      <c r="AD698" s="9">
        <f>INDEX(LINEST(L439:L698,M439:T698,TRUE,TRUE),1,6)</f>
        <v/>
      </c>
      <c r="AE698" s="9">
        <f>INDEX(LINEST(L439:L698,M439:T698,TRUE,TRUE),1,5)</f>
        <v/>
      </c>
      <c r="AF698" s="9">
        <f>INDEX(LINEST(L439:L698,M439:T698,TRUE,TRUE),1,4)</f>
        <v/>
      </c>
      <c r="AG698" s="9">
        <f>INDEX(LINEST(L439:L698,M439:T698,TRUE,TRUE),1,3)</f>
        <v/>
      </c>
      <c r="AH698" s="9">
        <f>INDEX(LINEST(L439:L698,M439:T698,TRUE,TRUE),1,2)</f>
        <v/>
      </c>
      <c r="AI698" s="9">
        <f>INDEX(LINEST(L439:L698,M439:T698,TRUE,TRUE),1,1)</f>
        <v/>
      </c>
      <c r="AJ698" s="10">
        <f>INDEX(LINEST(L439:L698,M439:T698,TRUE,TRUE),3,1)</f>
        <v/>
      </c>
      <c r="AK698" s="9">
        <f>AA697/52+AB697*M698+AC697*N698+AD697*O698+AE697*P698+AF697*Q698+AG697*R698+AH697*S698+AI697*T698</f>
        <v/>
      </c>
      <c r="AL698" s="9">
        <f>AVERAGE(L438:L697)</f>
        <v/>
      </c>
    </row>
    <row r="699">
      <c r="A699" s="7" t="n">
        <v>42503</v>
      </c>
      <c r="B699" s="8" t="n">
        <v>1265.9</v>
      </c>
      <c r="C699" s="8" t="n">
        <v>1.58</v>
      </c>
      <c r="D699" s="8" t="n">
        <v>0.13</v>
      </c>
      <c r="E699" s="8" t="n">
        <v>94.610001</v>
      </c>
      <c r="F699" s="8" t="n">
        <v>46.22</v>
      </c>
      <c r="G699" s="8" t="n">
        <v>15.04</v>
      </c>
      <c r="H699" s="8" t="n">
        <v>64.06999999999999</v>
      </c>
      <c r="I699" s="8" t="n">
        <v>2046.609985</v>
      </c>
      <c r="J699" s="8" t="n">
        <v>83.847534</v>
      </c>
      <c r="L699" s="9">
        <f>LN(B699/B698)</f>
        <v/>
      </c>
      <c r="M699" s="9">
        <f>$M$1*(C699-C698)</f>
        <v/>
      </c>
      <c r="N699" s="9">
        <f>$N$1*(D699-D698)</f>
        <v/>
      </c>
      <c r="O699" s="9">
        <f>$O$1*LN(E699/E698)</f>
        <v/>
      </c>
      <c r="P699" s="9">
        <f>$P$1*LN(F699/F698)</f>
        <v/>
      </c>
      <c r="Q699" s="9">
        <f>$Q$1*(G699-G698)</f>
        <v/>
      </c>
      <c r="R699" s="9">
        <f>$R$1*(H699-H698)</f>
        <v/>
      </c>
      <c r="S699" s="9">
        <f>$S$1*LN(I699/I698)</f>
        <v/>
      </c>
      <c r="T699" s="9">
        <f>$T$1*LN(J699/J698)</f>
        <v/>
      </c>
      <c r="U699" s="9">
        <f>$W$12+$W$4*M699+$W$5*N699+$W$6*O699+$W$7*P699+$W$8*Q699+$W$9*R699+$W$10*S699+$W$11*T699</f>
        <v/>
      </c>
      <c r="AA699" s="10">
        <f>INDEX(LINEST(L440:L699,M440:T699,TRUE,TRUE),1,9)*52</f>
        <v/>
      </c>
      <c r="AB699" s="9">
        <f>INDEX(LINEST(L440:L699,M440:T699,TRUE,TRUE),1,8)</f>
        <v/>
      </c>
      <c r="AC699" s="9">
        <f>INDEX(LINEST(L440:L699,M440:T699,TRUE,TRUE),1,7)</f>
        <v/>
      </c>
      <c r="AD699" s="9">
        <f>INDEX(LINEST(L440:L699,M440:T699,TRUE,TRUE),1,6)</f>
        <v/>
      </c>
      <c r="AE699" s="9">
        <f>INDEX(LINEST(L440:L699,M440:T699,TRUE,TRUE),1,5)</f>
        <v/>
      </c>
      <c r="AF699" s="9">
        <f>INDEX(LINEST(L440:L699,M440:T699,TRUE,TRUE),1,4)</f>
        <v/>
      </c>
      <c r="AG699" s="9">
        <f>INDEX(LINEST(L440:L699,M440:T699,TRUE,TRUE),1,3)</f>
        <v/>
      </c>
      <c r="AH699" s="9">
        <f>INDEX(LINEST(L440:L699,M440:T699,TRUE,TRUE),1,2)</f>
        <v/>
      </c>
      <c r="AI699" s="9">
        <f>INDEX(LINEST(L440:L699,M440:T699,TRUE,TRUE),1,1)</f>
        <v/>
      </c>
      <c r="AJ699" s="10">
        <f>INDEX(LINEST(L440:L699,M440:T699,TRUE,TRUE),3,1)</f>
        <v/>
      </c>
      <c r="AK699" s="9">
        <f>AA698/52+AB698*M699+AC698*N699+AD698*O699+AE698*P699+AF698*Q699+AG698*R699+AH698*S699+AI698*T699</f>
        <v/>
      </c>
      <c r="AL699" s="9">
        <f>AVERAGE(L439:L698)</f>
        <v/>
      </c>
    </row>
    <row r="700">
      <c r="A700" s="7" t="n">
        <v>42510</v>
      </c>
      <c r="B700" s="8" t="n">
        <v>1254.2</v>
      </c>
      <c r="C700" s="8" t="n">
        <v>1.56</v>
      </c>
      <c r="D700" s="8" t="n">
        <v>0.29</v>
      </c>
      <c r="E700" s="8" t="n">
        <v>95.30999799999999</v>
      </c>
      <c r="F700" s="8" t="n">
        <v>47.67</v>
      </c>
      <c r="G700" s="8" t="n">
        <v>15.2</v>
      </c>
      <c r="H700" s="8" t="n">
        <v>68.510002</v>
      </c>
      <c r="I700" s="8" t="n">
        <v>2052.320068</v>
      </c>
      <c r="J700" s="8" t="n">
        <v>83.34985399999999</v>
      </c>
      <c r="L700" s="9">
        <f>LN(B700/B699)</f>
        <v/>
      </c>
      <c r="M700" s="9">
        <f>$M$1*(C700-C699)</f>
        <v/>
      </c>
      <c r="N700" s="9">
        <f>$N$1*(D700-D699)</f>
        <v/>
      </c>
      <c r="O700" s="9">
        <f>$O$1*LN(E700/E699)</f>
        <v/>
      </c>
      <c r="P700" s="9">
        <f>$P$1*LN(F700/F699)</f>
        <v/>
      </c>
      <c r="Q700" s="9">
        <f>$Q$1*(G700-G699)</f>
        <v/>
      </c>
      <c r="R700" s="9">
        <f>$R$1*(H700-H699)</f>
        <v/>
      </c>
      <c r="S700" s="9">
        <f>$S$1*LN(I700/I699)</f>
        <v/>
      </c>
      <c r="T700" s="9">
        <f>$T$1*LN(J700/J699)</f>
        <v/>
      </c>
      <c r="U700" s="9">
        <f>$W$12+$W$4*M700+$W$5*N700+$W$6*O700+$W$7*P700+$W$8*Q700+$W$9*R700+$W$10*S700+$W$11*T700</f>
        <v/>
      </c>
      <c r="AA700" s="10">
        <f>INDEX(LINEST(L441:L700,M441:T700,TRUE,TRUE),1,9)*52</f>
        <v/>
      </c>
      <c r="AB700" s="9">
        <f>INDEX(LINEST(L441:L700,M441:T700,TRUE,TRUE),1,8)</f>
        <v/>
      </c>
      <c r="AC700" s="9">
        <f>INDEX(LINEST(L441:L700,M441:T700,TRUE,TRUE),1,7)</f>
        <v/>
      </c>
      <c r="AD700" s="9">
        <f>INDEX(LINEST(L441:L700,M441:T700,TRUE,TRUE),1,6)</f>
        <v/>
      </c>
      <c r="AE700" s="9">
        <f>INDEX(LINEST(L441:L700,M441:T700,TRUE,TRUE),1,5)</f>
        <v/>
      </c>
      <c r="AF700" s="9">
        <f>INDEX(LINEST(L441:L700,M441:T700,TRUE,TRUE),1,4)</f>
        <v/>
      </c>
      <c r="AG700" s="9">
        <f>INDEX(LINEST(L441:L700,M441:T700,TRUE,TRUE),1,3)</f>
        <v/>
      </c>
      <c r="AH700" s="9">
        <f>INDEX(LINEST(L441:L700,M441:T700,TRUE,TRUE),1,2)</f>
        <v/>
      </c>
      <c r="AI700" s="9">
        <f>INDEX(LINEST(L441:L700,M441:T700,TRUE,TRUE),1,1)</f>
        <v/>
      </c>
      <c r="AJ700" s="10">
        <f>INDEX(LINEST(L441:L700,M441:T700,TRUE,TRUE),3,1)</f>
        <v/>
      </c>
      <c r="AK700" s="9">
        <f>AA699/52+AB699*M700+AC699*N700+AD699*O700+AE699*P700+AF699*Q700+AG699*R700+AH699*S700+AI699*T700</f>
        <v/>
      </c>
      <c r="AL700" s="9">
        <f>AVERAGE(L440:L699)</f>
        <v/>
      </c>
    </row>
    <row r="701">
      <c r="A701" s="7" t="n">
        <v>42517</v>
      </c>
      <c r="B701" s="8" t="n">
        <v>1216.25</v>
      </c>
      <c r="C701" s="8" t="n">
        <v>1.58</v>
      </c>
      <c r="D701" s="8" t="n">
        <v>0.27</v>
      </c>
      <c r="E701" s="8" t="n">
        <v>95.519997</v>
      </c>
      <c r="F701" s="8" t="n">
        <v>49.36</v>
      </c>
      <c r="G701" s="8" t="n">
        <v>13.12</v>
      </c>
      <c r="H701" s="8" t="n">
        <v>66.760002</v>
      </c>
      <c r="I701" s="8" t="n">
        <v>2099.060059</v>
      </c>
      <c r="J701" s="8" t="n">
        <v>83.41773999999999</v>
      </c>
      <c r="L701" s="9">
        <f>LN(B701/B700)</f>
        <v/>
      </c>
      <c r="M701" s="9">
        <f>$M$1*(C701-C700)</f>
        <v/>
      </c>
      <c r="N701" s="9">
        <f>$N$1*(D701-D700)</f>
        <v/>
      </c>
      <c r="O701" s="9">
        <f>$O$1*LN(E701/E700)</f>
        <v/>
      </c>
      <c r="P701" s="9">
        <f>$P$1*LN(F701/F700)</f>
        <v/>
      </c>
      <c r="Q701" s="9">
        <f>$Q$1*(G701-G700)</f>
        <v/>
      </c>
      <c r="R701" s="9">
        <f>$R$1*(H701-H700)</f>
        <v/>
      </c>
      <c r="S701" s="9">
        <f>$S$1*LN(I701/I700)</f>
        <v/>
      </c>
      <c r="T701" s="9">
        <f>$T$1*LN(J701/J700)</f>
        <v/>
      </c>
      <c r="U701" s="9">
        <f>$W$12+$W$4*M701+$W$5*N701+$W$6*O701+$W$7*P701+$W$8*Q701+$W$9*R701+$W$10*S701+$W$11*T701</f>
        <v/>
      </c>
      <c r="AA701" s="10">
        <f>INDEX(LINEST(L442:L701,M442:T701,TRUE,TRUE),1,9)*52</f>
        <v/>
      </c>
      <c r="AB701" s="9">
        <f>INDEX(LINEST(L442:L701,M442:T701,TRUE,TRUE),1,8)</f>
        <v/>
      </c>
      <c r="AC701" s="9">
        <f>INDEX(LINEST(L442:L701,M442:T701,TRUE,TRUE),1,7)</f>
        <v/>
      </c>
      <c r="AD701" s="9">
        <f>INDEX(LINEST(L442:L701,M442:T701,TRUE,TRUE),1,6)</f>
        <v/>
      </c>
      <c r="AE701" s="9">
        <f>INDEX(LINEST(L442:L701,M442:T701,TRUE,TRUE),1,5)</f>
        <v/>
      </c>
      <c r="AF701" s="9">
        <f>INDEX(LINEST(L442:L701,M442:T701,TRUE,TRUE),1,4)</f>
        <v/>
      </c>
      <c r="AG701" s="9">
        <f>INDEX(LINEST(L442:L701,M442:T701,TRUE,TRUE),1,3)</f>
        <v/>
      </c>
      <c r="AH701" s="9">
        <f>INDEX(LINEST(L442:L701,M442:T701,TRUE,TRUE),1,2)</f>
        <v/>
      </c>
      <c r="AI701" s="9">
        <f>INDEX(LINEST(L442:L701,M442:T701,TRUE,TRUE),1,1)</f>
        <v/>
      </c>
      <c r="AJ701" s="10">
        <f>INDEX(LINEST(L442:L701,M442:T701,TRUE,TRUE),3,1)</f>
        <v/>
      </c>
      <c r="AK701" s="9">
        <f>AA700/52+AB700*M701+AC700*N701+AD700*O701+AE700*P701+AF700*Q701+AG700*R701+AH700*S701+AI700*T701</f>
        <v/>
      </c>
      <c r="AL701" s="9">
        <f>AVERAGE(L441:L700)</f>
        <v/>
      </c>
    </row>
    <row r="702">
      <c r="A702" s="7" t="n">
        <v>42524</v>
      </c>
      <c r="B702" s="8" t="n">
        <v>1240.5</v>
      </c>
      <c r="C702" s="8" t="n">
        <v>1.52</v>
      </c>
      <c r="D702" s="8" t="n">
        <v>0.19</v>
      </c>
      <c r="E702" s="8" t="n">
        <v>94.029999</v>
      </c>
      <c r="F702" s="8" t="n">
        <v>48.69</v>
      </c>
      <c r="G702" s="8" t="n">
        <v>13.47</v>
      </c>
      <c r="H702" s="8" t="n">
        <v>67.589996</v>
      </c>
      <c r="I702" s="8" t="n">
        <v>2099.129883</v>
      </c>
      <c r="J702" s="8" t="n">
        <v>84.088531</v>
      </c>
      <c r="L702" s="9">
        <f>LN(B702/B701)</f>
        <v/>
      </c>
      <c r="M702" s="9">
        <f>$M$1*(C702-C701)</f>
        <v/>
      </c>
      <c r="N702" s="9">
        <f>$N$1*(D702-D701)</f>
        <v/>
      </c>
      <c r="O702" s="9">
        <f>$O$1*LN(E702/E701)</f>
        <v/>
      </c>
      <c r="P702" s="9">
        <f>$P$1*LN(F702/F701)</f>
        <v/>
      </c>
      <c r="Q702" s="9">
        <f>$Q$1*(G702-G701)</f>
        <v/>
      </c>
      <c r="R702" s="9">
        <f>$R$1*(H702-H701)</f>
        <v/>
      </c>
      <c r="S702" s="9">
        <f>$S$1*LN(I702/I701)</f>
        <v/>
      </c>
      <c r="T702" s="9">
        <f>$T$1*LN(J702/J701)</f>
        <v/>
      </c>
      <c r="U702" s="9">
        <f>$W$12+$W$4*M702+$W$5*N702+$W$6*O702+$W$7*P702+$W$8*Q702+$W$9*R702+$W$10*S702+$W$11*T702</f>
        <v/>
      </c>
      <c r="AA702" s="10">
        <f>INDEX(LINEST(L443:L702,M443:T702,TRUE,TRUE),1,9)*52</f>
        <v/>
      </c>
      <c r="AB702" s="9">
        <f>INDEX(LINEST(L443:L702,M443:T702,TRUE,TRUE),1,8)</f>
        <v/>
      </c>
      <c r="AC702" s="9">
        <f>INDEX(LINEST(L443:L702,M443:T702,TRUE,TRUE),1,7)</f>
        <v/>
      </c>
      <c r="AD702" s="9">
        <f>INDEX(LINEST(L443:L702,M443:T702,TRUE,TRUE),1,6)</f>
        <v/>
      </c>
      <c r="AE702" s="9">
        <f>INDEX(LINEST(L443:L702,M443:T702,TRUE,TRUE),1,5)</f>
        <v/>
      </c>
      <c r="AF702" s="9">
        <f>INDEX(LINEST(L443:L702,M443:T702,TRUE,TRUE),1,4)</f>
        <v/>
      </c>
      <c r="AG702" s="9">
        <f>INDEX(LINEST(L443:L702,M443:T702,TRUE,TRUE),1,3)</f>
        <v/>
      </c>
      <c r="AH702" s="9">
        <f>INDEX(LINEST(L443:L702,M443:T702,TRUE,TRUE),1,2)</f>
        <v/>
      </c>
      <c r="AI702" s="9">
        <f>INDEX(LINEST(L443:L702,M443:T702,TRUE,TRUE),1,1)</f>
        <v/>
      </c>
      <c r="AJ702" s="10">
        <f>INDEX(LINEST(L443:L702,M443:T702,TRUE,TRUE),3,1)</f>
        <v/>
      </c>
      <c r="AK702" s="9">
        <f>AA701/52+AB701*M702+AC701*N702+AD701*O702+AE701*P702+AF701*Q702+AG701*R702+AH701*S702+AI701*T702</f>
        <v/>
      </c>
      <c r="AL702" s="9">
        <f>AVERAGE(L442:L701)</f>
        <v/>
      </c>
    </row>
    <row r="703">
      <c r="A703" s="7" t="n">
        <v>42531</v>
      </c>
      <c r="B703" s="8" t="n">
        <v>1275.5</v>
      </c>
      <c r="C703" s="8" t="n">
        <v>1.52</v>
      </c>
      <c r="D703" s="8" t="n">
        <v>0.12</v>
      </c>
      <c r="E703" s="8" t="n">
        <v>94.599998</v>
      </c>
      <c r="F703" s="8" t="n">
        <v>49.09</v>
      </c>
      <c r="G703" s="8" t="n">
        <v>17.03</v>
      </c>
      <c r="H703" s="8" t="n">
        <v>75.099998</v>
      </c>
      <c r="I703" s="8" t="n">
        <v>2096.070068</v>
      </c>
      <c r="J703" s="8" t="n">
        <v>84.25473</v>
      </c>
      <c r="L703" s="9">
        <f>LN(B703/B702)</f>
        <v/>
      </c>
      <c r="M703" s="9">
        <f>$M$1*(C703-C702)</f>
        <v/>
      </c>
      <c r="N703" s="9">
        <f>$N$1*(D703-D702)</f>
        <v/>
      </c>
      <c r="O703" s="9">
        <f>$O$1*LN(E703/E702)</f>
        <v/>
      </c>
      <c r="P703" s="9">
        <f>$P$1*LN(F703/F702)</f>
        <v/>
      </c>
      <c r="Q703" s="9">
        <f>$Q$1*(G703-G702)</f>
        <v/>
      </c>
      <c r="R703" s="9">
        <f>$R$1*(H703-H702)</f>
        <v/>
      </c>
      <c r="S703" s="9">
        <f>$S$1*LN(I703/I702)</f>
        <v/>
      </c>
      <c r="T703" s="9">
        <f>$T$1*LN(J703/J702)</f>
        <v/>
      </c>
      <c r="U703" s="9">
        <f>$W$12+$W$4*M703+$W$5*N703+$W$6*O703+$W$7*P703+$W$8*Q703+$W$9*R703+$W$10*S703+$W$11*T703</f>
        <v/>
      </c>
      <c r="AA703" s="10">
        <f>INDEX(LINEST(L444:L703,M444:T703,TRUE,TRUE),1,9)*52</f>
        <v/>
      </c>
      <c r="AB703" s="9">
        <f>INDEX(LINEST(L444:L703,M444:T703,TRUE,TRUE),1,8)</f>
        <v/>
      </c>
      <c r="AC703" s="9">
        <f>INDEX(LINEST(L444:L703,M444:T703,TRUE,TRUE),1,7)</f>
        <v/>
      </c>
      <c r="AD703" s="9">
        <f>INDEX(LINEST(L444:L703,M444:T703,TRUE,TRUE),1,6)</f>
        <v/>
      </c>
      <c r="AE703" s="9">
        <f>INDEX(LINEST(L444:L703,M444:T703,TRUE,TRUE),1,5)</f>
        <v/>
      </c>
      <c r="AF703" s="9">
        <f>INDEX(LINEST(L444:L703,M444:T703,TRUE,TRUE),1,4)</f>
        <v/>
      </c>
      <c r="AG703" s="9">
        <f>INDEX(LINEST(L444:L703,M444:T703,TRUE,TRUE),1,3)</f>
        <v/>
      </c>
      <c r="AH703" s="9">
        <f>INDEX(LINEST(L444:L703,M444:T703,TRUE,TRUE),1,2)</f>
        <v/>
      </c>
      <c r="AI703" s="9">
        <f>INDEX(LINEST(L444:L703,M444:T703,TRUE,TRUE),1,1)</f>
        <v/>
      </c>
      <c r="AJ703" s="10">
        <f>INDEX(LINEST(L444:L703,M444:T703,TRUE,TRUE),3,1)</f>
        <v/>
      </c>
      <c r="AK703" s="9">
        <f>AA702/52+AB702*M703+AC702*N703+AD702*O703+AE702*P703+AF702*Q703+AG702*R703+AH702*S703+AI702*T703</f>
        <v/>
      </c>
      <c r="AL703" s="9">
        <f>AVERAGE(L443:L702)</f>
        <v/>
      </c>
    </row>
    <row r="704">
      <c r="A704" s="7" t="n">
        <v>42538</v>
      </c>
      <c r="B704" s="8" t="n">
        <v>1290.7</v>
      </c>
      <c r="C704" s="8" t="n">
        <v>1.42</v>
      </c>
      <c r="D704" s="8" t="n">
        <v>0.2</v>
      </c>
      <c r="E704" s="8" t="n">
        <v>94.209999</v>
      </c>
      <c r="F704" s="8" t="n">
        <v>48</v>
      </c>
      <c r="G704" s="8" t="n">
        <v>19.41</v>
      </c>
      <c r="H704" s="8" t="n">
        <v>82.58000199999999</v>
      </c>
      <c r="I704" s="8" t="n">
        <v>2071.219971</v>
      </c>
      <c r="J704" s="8" t="n">
        <v>84.45871699999999</v>
      </c>
      <c r="L704" s="9">
        <f>LN(B704/B703)</f>
        <v/>
      </c>
      <c r="M704" s="9">
        <f>$M$1*(C704-C703)</f>
        <v/>
      </c>
      <c r="N704" s="9">
        <f>$N$1*(D704-D703)</f>
        <v/>
      </c>
      <c r="O704" s="9">
        <f>$O$1*LN(E704/E703)</f>
        <v/>
      </c>
      <c r="P704" s="9">
        <f>$P$1*LN(F704/F703)</f>
        <v/>
      </c>
      <c r="Q704" s="9">
        <f>$Q$1*(G704-G703)</f>
        <v/>
      </c>
      <c r="R704" s="9">
        <f>$R$1*(H704-H703)</f>
        <v/>
      </c>
      <c r="S704" s="9">
        <f>$S$1*LN(I704/I703)</f>
        <v/>
      </c>
      <c r="T704" s="9">
        <f>$T$1*LN(J704/J703)</f>
        <v/>
      </c>
      <c r="U704" s="9">
        <f>$W$12+$W$4*M704+$W$5*N704+$W$6*O704+$W$7*P704+$W$8*Q704+$W$9*R704+$W$10*S704+$W$11*T704</f>
        <v/>
      </c>
      <c r="AA704" s="10">
        <f>INDEX(LINEST(L445:L704,M445:T704,TRUE,TRUE),1,9)*52</f>
        <v/>
      </c>
      <c r="AB704" s="9">
        <f>INDEX(LINEST(L445:L704,M445:T704,TRUE,TRUE),1,8)</f>
        <v/>
      </c>
      <c r="AC704" s="9">
        <f>INDEX(LINEST(L445:L704,M445:T704,TRUE,TRUE),1,7)</f>
        <v/>
      </c>
      <c r="AD704" s="9">
        <f>INDEX(LINEST(L445:L704,M445:T704,TRUE,TRUE),1,6)</f>
        <v/>
      </c>
      <c r="AE704" s="9">
        <f>INDEX(LINEST(L445:L704,M445:T704,TRUE,TRUE),1,5)</f>
        <v/>
      </c>
      <c r="AF704" s="9">
        <f>INDEX(LINEST(L445:L704,M445:T704,TRUE,TRUE),1,4)</f>
        <v/>
      </c>
      <c r="AG704" s="9">
        <f>INDEX(LINEST(L445:L704,M445:T704,TRUE,TRUE),1,3)</f>
        <v/>
      </c>
      <c r="AH704" s="9">
        <f>INDEX(LINEST(L445:L704,M445:T704,TRUE,TRUE),1,2)</f>
        <v/>
      </c>
      <c r="AI704" s="9">
        <f>INDEX(LINEST(L445:L704,M445:T704,TRUE,TRUE),1,1)</f>
        <v/>
      </c>
      <c r="AJ704" s="10">
        <f>INDEX(LINEST(L445:L704,M445:T704,TRUE,TRUE),3,1)</f>
        <v/>
      </c>
      <c r="AK704" s="9">
        <f>AA703/52+AB703*M704+AC703*N704+AD703*O704+AE703*P704+AF703*Q704+AG703*R704+AH703*S704+AI703*T704</f>
        <v/>
      </c>
      <c r="AL704" s="9">
        <f>AVERAGE(L444:L703)</f>
        <v/>
      </c>
    </row>
    <row r="705">
      <c r="A705" s="7" t="n">
        <v>42545</v>
      </c>
      <c r="B705" s="8" t="n">
        <v>1315.5</v>
      </c>
      <c r="C705" s="8" t="n">
        <v>1.42</v>
      </c>
      <c r="D705" s="8" t="n">
        <v>0.15</v>
      </c>
      <c r="E705" s="8" t="n">
        <v>95.449997</v>
      </c>
      <c r="F705" s="8" t="n">
        <v>46.7</v>
      </c>
      <c r="G705" s="8" t="n">
        <v>25.76</v>
      </c>
      <c r="H705" s="8" t="n">
        <v>77.94000200000001</v>
      </c>
      <c r="I705" s="8" t="n">
        <v>2037.410034</v>
      </c>
      <c r="J705" s="8" t="n">
        <v>84.526718</v>
      </c>
      <c r="L705" s="9">
        <f>LN(B705/B704)</f>
        <v/>
      </c>
      <c r="M705" s="9">
        <f>$M$1*(C705-C704)</f>
        <v/>
      </c>
      <c r="N705" s="9">
        <f>$N$1*(D705-D704)</f>
        <v/>
      </c>
      <c r="O705" s="9">
        <f>$O$1*LN(E705/E704)</f>
        <v/>
      </c>
      <c r="P705" s="9">
        <f>$P$1*LN(F705/F704)</f>
        <v/>
      </c>
      <c r="Q705" s="9">
        <f>$Q$1*(G705-G704)</f>
        <v/>
      </c>
      <c r="R705" s="9">
        <f>$R$1*(H705-H704)</f>
        <v/>
      </c>
      <c r="S705" s="9">
        <f>$S$1*LN(I705/I704)</f>
        <v/>
      </c>
      <c r="T705" s="9">
        <f>$T$1*LN(J705/J704)</f>
        <v/>
      </c>
      <c r="U705" s="9">
        <f>$W$12+$W$4*M705+$W$5*N705+$W$6*O705+$W$7*P705+$W$8*Q705+$W$9*R705+$W$10*S705+$W$11*T705</f>
        <v/>
      </c>
      <c r="AA705" s="10">
        <f>INDEX(LINEST(L446:L705,M446:T705,TRUE,TRUE),1,9)*52</f>
        <v/>
      </c>
      <c r="AB705" s="9">
        <f>INDEX(LINEST(L446:L705,M446:T705,TRUE,TRUE),1,8)</f>
        <v/>
      </c>
      <c r="AC705" s="9">
        <f>INDEX(LINEST(L446:L705,M446:T705,TRUE,TRUE),1,7)</f>
        <v/>
      </c>
      <c r="AD705" s="9">
        <f>INDEX(LINEST(L446:L705,M446:T705,TRUE,TRUE),1,6)</f>
        <v/>
      </c>
      <c r="AE705" s="9">
        <f>INDEX(LINEST(L446:L705,M446:T705,TRUE,TRUE),1,5)</f>
        <v/>
      </c>
      <c r="AF705" s="9">
        <f>INDEX(LINEST(L446:L705,M446:T705,TRUE,TRUE),1,4)</f>
        <v/>
      </c>
      <c r="AG705" s="9">
        <f>INDEX(LINEST(L446:L705,M446:T705,TRUE,TRUE),1,3)</f>
        <v/>
      </c>
      <c r="AH705" s="9">
        <f>INDEX(LINEST(L446:L705,M446:T705,TRUE,TRUE),1,2)</f>
        <v/>
      </c>
      <c r="AI705" s="9">
        <f>INDEX(LINEST(L446:L705,M446:T705,TRUE,TRUE),1,1)</f>
        <v/>
      </c>
      <c r="AJ705" s="10">
        <f>INDEX(LINEST(L446:L705,M446:T705,TRUE,TRUE),3,1)</f>
        <v/>
      </c>
      <c r="AK705" s="9">
        <f>AA704/52+AB704*M705+AC704*N705+AD704*O705+AE704*P705+AF704*Q705+AG704*R705+AH704*S705+AI704*T705</f>
        <v/>
      </c>
      <c r="AL705" s="9">
        <f>AVERAGE(L445:L704)</f>
        <v/>
      </c>
    </row>
    <row r="706">
      <c r="A706" s="7" t="n">
        <v>42552</v>
      </c>
      <c r="B706" s="8" t="n">
        <v>1340</v>
      </c>
      <c r="C706" s="8" t="n">
        <v>1.43</v>
      </c>
      <c r="D706" s="8" t="n">
        <v>0.03</v>
      </c>
      <c r="E706" s="8" t="n">
        <v>95.650002</v>
      </c>
      <c r="F706" s="8" t="n">
        <v>49.02</v>
      </c>
      <c r="G706" s="8" t="n">
        <v>14.77</v>
      </c>
      <c r="H706" s="8" t="n">
        <v>74.349998</v>
      </c>
      <c r="I706" s="8" t="n">
        <v>2102.949951</v>
      </c>
      <c r="J706" s="8" t="n">
        <v>85.268967</v>
      </c>
      <c r="L706" s="9">
        <f>LN(B706/B705)</f>
        <v/>
      </c>
      <c r="M706" s="9">
        <f>$M$1*(C706-C705)</f>
        <v/>
      </c>
      <c r="N706" s="9">
        <f>$N$1*(D706-D705)</f>
        <v/>
      </c>
      <c r="O706" s="9">
        <f>$O$1*LN(E706/E705)</f>
        <v/>
      </c>
      <c r="P706" s="9">
        <f>$P$1*LN(F706/F705)</f>
        <v/>
      </c>
      <c r="Q706" s="9">
        <f>$Q$1*(G706-G705)</f>
        <v/>
      </c>
      <c r="R706" s="9">
        <f>$R$1*(H706-H705)</f>
        <v/>
      </c>
      <c r="S706" s="9">
        <f>$S$1*LN(I706/I705)</f>
        <v/>
      </c>
      <c r="T706" s="9">
        <f>$T$1*LN(J706/J705)</f>
        <v/>
      </c>
      <c r="U706" s="9">
        <f>$W$12+$W$4*M706+$W$5*N706+$W$6*O706+$W$7*P706+$W$8*Q706+$W$9*R706+$W$10*S706+$W$11*T706</f>
        <v/>
      </c>
      <c r="AA706" s="10">
        <f>INDEX(LINEST(L447:L706,M447:T706,TRUE,TRUE),1,9)*52</f>
        <v/>
      </c>
      <c r="AB706" s="9">
        <f>INDEX(LINEST(L447:L706,M447:T706,TRUE,TRUE),1,8)</f>
        <v/>
      </c>
      <c r="AC706" s="9">
        <f>INDEX(LINEST(L447:L706,M447:T706,TRUE,TRUE),1,7)</f>
        <v/>
      </c>
      <c r="AD706" s="9">
        <f>INDEX(LINEST(L447:L706,M447:T706,TRUE,TRUE),1,6)</f>
        <v/>
      </c>
      <c r="AE706" s="9">
        <f>INDEX(LINEST(L447:L706,M447:T706,TRUE,TRUE),1,5)</f>
        <v/>
      </c>
      <c r="AF706" s="9">
        <f>INDEX(LINEST(L447:L706,M447:T706,TRUE,TRUE),1,4)</f>
        <v/>
      </c>
      <c r="AG706" s="9">
        <f>INDEX(LINEST(L447:L706,M447:T706,TRUE,TRUE),1,3)</f>
        <v/>
      </c>
      <c r="AH706" s="9">
        <f>INDEX(LINEST(L447:L706,M447:T706,TRUE,TRUE),1,2)</f>
        <v/>
      </c>
      <c r="AI706" s="9">
        <f>INDEX(LINEST(L447:L706,M447:T706,TRUE,TRUE),1,1)</f>
        <v/>
      </c>
      <c r="AJ706" s="10">
        <f>INDEX(LINEST(L447:L706,M447:T706,TRUE,TRUE),3,1)</f>
        <v/>
      </c>
      <c r="AK706" s="9">
        <f>AA705/52+AB705*M706+AC705*N706+AD705*O706+AE705*P706+AF705*Q706+AG705*R706+AH705*S706+AI705*T706</f>
        <v/>
      </c>
      <c r="AL706" s="9">
        <f>AVERAGE(L446:L705)</f>
        <v/>
      </c>
    </row>
    <row r="707">
      <c r="A707" s="7" t="n">
        <v>42559</v>
      </c>
      <c r="B707" s="8" t="n">
        <v>1354.25</v>
      </c>
      <c r="C707" s="8" t="n">
        <v>1.43</v>
      </c>
      <c r="D707" s="8" t="n">
        <v>-0.06</v>
      </c>
      <c r="E707" s="8" t="n">
        <v>96.300003</v>
      </c>
      <c r="F707" s="8" t="n">
        <v>45.37</v>
      </c>
      <c r="G707" s="8" t="n">
        <v>13.2</v>
      </c>
      <c r="H707" s="8" t="n">
        <v>72.30999799999999</v>
      </c>
      <c r="I707" s="8" t="n">
        <v>2129.899902</v>
      </c>
      <c r="J707" s="8" t="n">
        <v>85.723152</v>
      </c>
      <c r="L707" s="9">
        <f>LN(B707/B706)</f>
        <v/>
      </c>
      <c r="M707" s="9">
        <f>$M$1*(C707-C706)</f>
        <v/>
      </c>
      <c r="N707" s="9">
        <f>$N$1*(D707-D706)</f>
        <v/>
      </c>
      <c r="O707" s="9">
        <f>$O$1*LN(E707/E706)</f>
        <v/>
      </c>
      <c r="P707" s="9">
        <f>$P$1*LN(F707/F706)</f>
        <v/>
      </c>
      <c r="Q707" s="9">
        <f>$Q$1*(G707-G706)</f>
        <v/>
      </c>
      <c r="R707" s="9">
        <f>$R$1*(H707-H706)</f>
        <v/>
      </c>
      <c r="S707" s="9">
        <f>$S$1*LN(I707/I706)</f>
        <v/>
      </c>
      <c r="T707" s="9">
        <f>$T$1*LN(J707/J706)</f>
        <v/>
      </c>
      <c r="U707" s="9">
        <f>$W$12+$W$4*M707+$W$5*N707+$W$6*O707+$W$7*P707+$W$8*Q707+$W$9*R707+$W$10*S707+$W$11*T707</f>
        <v/>
      </c>
      <c r="AA707" s="10">
        <f>INDEX(LINEST(L448:L707,M448:T707,TRUE,TRUE),1,9)*52</f>
        <v/>
      </c>
      <c r="AB707" s="9">
        <f>INDEX(LINEST(L448:L707,M448:T707,TRUE,TRUE),1,8)</f>
        <v/>
      </c>
      <c r="AC707" s="9">
        <f>INDEX(LINEST(L448:L707,M448:T707,TRUE,TRUE),1,7)</f>
        <v/>
      </c>
      <c r="AD707" s="9">
        <f>INDEX(LINEST(L448:L707,M448:T707,TRUE,TRUE),1,6)</f>
        <v/>
      </c>
      <c r="AE707" s="9">
        <f>INDEX(LINEST(L448:L707,M448:T707,TRUE,TRUE),1,5)</f>
        <v/>
      </c>
      <c r="AF707" s="9">
        <f>INDEX(LINEST(L448:L707,M448:T707,TRUE,TRUE),1,4)</f>
        <v/>
      </c>
      <c r="AG707" s="9">
        <f>INDEX(LINEST(L448:L707,M448:T707,TRUE,TRUE),1,3)</f>
        <v/>
      </c>
      <c r="AH707" s="9">
        <f>INDEX(LINEST(L448:L707,M448:T707,TRUE,TRUE),1,2)</f>
        <v/>
      </c>
      <c r="AI707" s="9">
        <f>INDEX(LINEST(L448:L707,M448:T707,TRUE,TRUE),1,1)</f>
        <v/>
      </c>
      <c r="AJ707" s="10">
        <f>INDEX(LINEST(L448:L707,M448:T707,TRUE,TRUE),3,1)</f>
        <v/>
      </c>
      <c r="AK707" s="9">
        <f>AA706/52+AB706*M707+AC706*N707+AD706*O707+AE706*P707+AF706*Q707+AG706*R707+AH706*S707+AI706*T707</f>
        <v/>
      </c>
      <c r="AL707" s="9">
        <f>AVERAGE(L447:L706)</f>
        <v/>
      </c>
    </row>
    <row r="708">
      <c r="A708" s="7" t="n">
        <v>42566</v>
      </c>
      <c r="B708" s="8" t="n">
        <v>1327</v>
      </c>
      <c r="C708" s="8" t="n">
        <v>1.49</v>
      </c>
      <c r="D708" s="8" t="n">
        <v>0.11</v>
      </c>
      <c r="E708" s="8" t="n">
        <v>96.58000199999999</v>
      </c>
      <c r="F708" s="8" t="n">
        <v>45.93</v>
      </c>
      <c r="G708" s="8" t="n">
        <v>12.67</v>
      </c>
      <c r="H708" s="8" t="n">
        <v>74.769997</v>
      </c>
      <c r="I708" s="8" t="n">
        <v>2161.73999</v>
      </c>
      <c r="J708" s="8" t="n">
        <v>84.973793</v>
      </c>
      <c r="L708" s="9">
        <f>LN(B708/B707)</f>
        <v/>
      </c>
      <c r="M708" s="9">
        <f>$M$1*(C708-C707)</f>
        <v/>
      </c>
      <c r="N708" s="9">
        <f>$N$1*(D708-D707)</f>
        <v/>
      </c>
      <c r="O708" s="9">
        <f>$O$1*LN(E708/E707)</f>
        <v/>
      </c>
      <c r="P708" s="9">
        <f>$P$1*LN(F708/F707)</f>
        <v/>
      </c>
      <c r="Q708" s="9">
        <f>$Q$1*(G708-G707)</f>
        <v/>
      </c>
      <c r="R708" s="9">
        <f>$R$1*(H708-H707)</f>
        <v/>
      </c>
      <c r="S708" s="9">
        <f>$S$1*LN(I708/I707)</f>
        <v/>
      </c>
      <c r="T708" s="9">
        <f>$T$1*LN(J708/J707)</f>
        <v/>
      </c>
      <c r="U708" s="9">
        <f>$W$12+$W$4*M708+$W$5*N708+$W$6*O708+$W$7*P708+$W$8*Q708+$W$9*R708+$W$10*S708+$W$11*T708</f>
        <v/>
      </c>
      <c r="AA708" s="10">
        <f>INDEX(LINEST(L449:L708,M449:T708,TRUE,TRUE),1,9)*52</f>
        <v/>
      </c>
      <c r="AB708" s="9">
        <f>INDEX(LINEST(L449:L708,M449:T708,TRUE,TRUE),1,8)</f>
        <v/>
      </c>
      <c r="AC708" s="9">
        <f>INDEX(LINEST(L449:L708,M449:T708,TRUE,TRUE),1,7)</f>
        <v/>
      </c>
      <c r="AD708" s="9">
        <f>INDEX(LINEST(L449:L708,M449:T708,TRUE,TRUE),1,6)</f>
        <v/>
      </c>
      <c r="AE708" s="9">
        <f>INDEX(LINEST(L449:L708,M449:T708,TRUE,TRUE),1,5)</f>
        <v/>
      </c>
      <c r="AF708" s="9">
        <f>INDEX(LINEST(L449:L708,M449:T708,TRUE,TRUE),1,4)</f>
        <v/>
      </c>
      <c r="AG708" s="9">
        <f>INDEX(LINEST(L449:L708,M449:T708,TRUE,TRUE),1,3)</f>
        <v/>
      </c>
      <c r="AH708" s="9">
        <f>INDEX(LINEST(L449:L708,M449:T708,TRUE,TRUE),1,2)</f>
        <v/>
      </c>
      <c r="AI708" s="9">
        <f>INDEX(LINEST(L449:L708,M449:T708,TRUE,TRUE),1,1)</f>
        <v/>
      </c>
      <c r="AJ708" s="10">
        <f>INDEX(LINEST(L449:L708,M449:T708,TRUE,TRUE),3,1)</f>
        <v/>
      </c>
      <c r="AK708" s="9">
        <f>AA707/52+AB707*M708+AC707*N708+AD707*O708+AE707*P708+AF707*Q708+AG707*R708+AH707*S708+AI707*T708</f>
        <v/>
      </c>
      <c r="AL708" s="9">
        <f>AVERAGE(L448:L707)</f>
        <v/>
      </c>
    </row>
    <row r="709">
      <c r="A709" s="7" t="n">
        <v>42573</v>
      </c>
      <c r="B709" s="8" t="n">
        <v>1320.75</v>
      </c>
      <c r="C709" s="8" t="n">
        <v>1.51</v>
      </c>
      <c r="D709" s="8" t="n">
        <v>0.06</v>
      </c>
      <c r="E709" s="8" t="n">
        <v>97.470001</v>
      </c>
      <c r="F709" s="8" t="n">
        <v>43.41</v>
      </c>
      <c r="G709" s="8" t="n">
        <v>12.02</v>
      </c>
      <c r="H709" s="8" t="n">
        <v>69.910004</v>
      </c>
      <c r="I709" s="8" t="n">
        <v>2175.030029</v>
      </c>
      <c r="J709" s="8" t="n">
        <v>85.178123</v>
      </c>
      <c r="L709" s="9">
        <f>LN(B709/B708)</f>
        <v/>
      </c>
      <c r="M709" s="9">
        <f>$M$1*(C709-C708)</f>
        <v/>
      </c>
      <c r="N709" s="9">
        <f>$N$1*(D709-D708)</f>
        <v/>
      </c>
      <c r="O709" s="9">
        <f>$O$1*LN(E709/E708)</f>
        <v/>
      </c>
      <c r="P709" s="9">
        <f>$P$1*LN(F709/F708)</f>
        <v/>
      </c>
      <c r="Q709" s="9">
        <f>$Q$1*(G709-G708)</f>
        <v/>
      </c>
      <c r="R709" s="9">
        <f>$R$1*(H709-H708)</f>
        <v/>
      </c>
      <c r="S709" s="9">
        <f>$S$1*LN(I709/I708)</f>
        <v/>
      </c>
      <c r="T709" s="9">
        <f>$T$1*LN(J709/J708)</f>
        <v/>
      </c>
      <c r="U709" s="9">
        <f>$W$12+$W$4*M709+$W$5*N709+$W$6*O709+$W$7*P709+$W$8*Q709+$W$9*R709+$W$10*S709+$W$11*T709</f>
        <v/>
      </c>
      <c r="AA709" s="10">
        <f>INDEX(LINEST(L450:L709,M450:T709,TRUE,TRUE),1,9)*52</f>
        <v/>
      </c>
      <c r="AB709" s="9">
        <f>INDEX(LINEST(L450:L709,M450:T709,TRUE,TRUE),1,8)</f>
        <v/>
      </c>
      <c r="AC709" s="9">
        <f>INDEX(LINEST(L450:L709,M450:T709,TRUE,TRUE),1,7)</f>
        <v/>
      </c>
      <c r="AD709" s="9">
        <f>INDEX(LINEST(L450:L709,M450:T709,TRUE,TRUE),1,6)</f>
        <v/>
      </c>
      <c r="AE709" s="9">
        <f>INDEX(LINEST(L450:L709,M450:T709,TRUE,TRUE),1,5)</f>
        <v/>
      </c>
      <c r="AF709" s="9">
        <f>INDEX(LINEST(L450:L709,M450:T709,TRUE,TRUE),1,4)</f>
        <v/>
      </c>
      <c r="AG709" s="9">
        <f>INDEX(LINEST(L450:L709,M450:T709,TRUE,TRUE),1,3)</f>
        <v/>
      </c>
      <c r="AH709" s="9">
        <f>INDEX(LINEST(L450:L709,M450:T709,TRUE,TRUE),1,2)</f>
        <v/>
      </c>
      <c r="AI709" s="9">
        <f>INDEX(LINEST(L450:L709,M450:T709,TRUE,TRUE),1,1)</f>
        <v/>
      </c>
      <c r="AJ709" s="10">
        <f>INDEX(LINEST(L450:L709,M450:T709,TRUE,TRUE),3,1)</f>
        <v/>
      </c>
      <c r="AK709" s="9">
        <f>AA708/52+AB708*M709+AC708*N709+AD708*O709+AE708*P709+AF708*Q709+AG708*R709+AH708*S709+AI708*T709</f>
        <v/>
      </c>
      <c r="AL709" s="9">
        <f>AVERAGE(L449:L708)</f>
        <v/>
      </c>
    </row>
    <row r="710">
      <c r="A710" s="7" t="n">
        <v>42580</v>
      </c>
      <c r="B710" s="8" t="n">
        <v>1342</v>
      </c>
      <c r="C710" s="8" t="n">
        <v>1.49</v>
      </c>
      <c r="D710" s="8" t="n">
        <v>-0.03</v>
      </c>
      <c r="E710" s="8" t="n">
        <v>95.529999</v>
      </c>
      <c r="F710" s="8" t="n">
        <v>41.54</v>
      </c>
      <c r="G710" s="8" t="n">
        <v>11.87</v>
      </c>
      <c r="H710" s="8" t="n">
        <v>64.150002</v>
      </c>
      <c r="I710" s="8" t="n">
        <v>2173.600098</v>
      </c>
      <c r="J710" s="8" t="n">
        <v>85.549065</v>
      </c>
      <c r="L710" s="9">
        <f>LN(B710/B709)</f>
        <v/>
      </c>
      <c r="M710" s="9">
        <f>$M$1*(C710-C709)</f>
        <v/>
      </c>
      <c r="N710" s="9">
        <f>$N$1*(D710-D709)</f>
        <v/>
      </c>
      <c r="O710" s="9">
        <f>$O$1*LN(E710/E709)</f>
        <v/>
      </c>
      <c r="P710" s="9">
        <f>$P$1*LN(F710/F709)</f>
        <v/>
      </c>
      <c r="Q710" s="9">
        <f>$Q$1*(G710-G709)</f>
        <v/>
      </c>
      <c r="R710" s="9">
        <f>$R$1*(H710-H709)</f>
        <v/>
      </c>
      <c r="S710" s="9">
        <f>$S$1*LN(I710/I709)</f>
        <v/>
      </c>
      <c r="T710" s="9">
        <f>$T$1*LN(J710/J709)</f>
        <v/>
      </c>
      <c r="U710" s="9">
        <f>$W$12+$W$4*M710+$W$5*N710+$W$6*O710+$W$7*P710+$W$8*Q710+$W$9*R710+$W$10*S710+$W$11*T710</f>
        <v/>
      </c>
      <c r="AA710" s="10">
        <f>INDEX(LINEST(L451:L710,M451:T710,TRUE,TRUE),1,9)*52</f>
        <v/>
      </c>
      <c r="AB710" s="9">
        <f>INDEX(LINEST(L451:L710,M451:T710,TRUE,TRUE),1,8)</f>
        <v/>
      </c>
      <c r="AC710" s="9">
        <f>INDEX(LINEST(L451:L710,M451:T710,TRUE,TRUE),1,7)</f>
        <v/>
      </c>
      <c r="AD710" s="9">
        <f>INDEX(LINEST(L451:L710,M451:T710,TRUE,TRUE),1,6)</f>
        <v/>
      </c>
      <c r="AE710" s="9">
        <f>INDEX(LINEST(L451:L710,M451:T710,TRUE,TRUE),1,5)</f>
        <v/>
      </c>
      <c r="AF710" s="9">
        <f>INDEX(LINEST(L451:L710,M451:T710,TRUE,TRUE),1,4)</f>
        <v/>
      </c>
      <c r="AG710" s="9">
        <f>INDEX(LINEST(L451:L710,M451:T710,TRUE,TRUE),1,3)</f>
        <v/>
      </c>
      <c r="AH710" s="9">
        <f>INDEX(LINEST(L451:L710,M451:T710,TRUE,TRUE),1,2)</f>
        <v/>
      </c>
      <c r="AI710" s="9">
        <f>INDEX(LINEST(L451:L710,M451:T710,TRUE,TRUE),1,1)</f>
        <v/>
      </c>
      <c r="AJ710" s="10">
        <f>INDEX(LINEST(L451:L710,M451:T710,TRUE,TRUE),3,1)</f>
        <v/>
      </c>
      <c r="AK710" s="9">
        <f>AA709/52+AB709*M710+AC709*N710+AD709*O710+AE709*P710+AF709*Q710+AG709*R710+AH709*S710+AI709*T710</f>
        <v/>
      </c>
      <c r="AL710" s="9">
        <f>AVERAGE(L450:L709)</f>
        <v/>
      </c>
    </row>
    <row r="711">
      <c r="A711" s="7" t="n">
        <v>42587</v>
      </c>
      <c r="B711" s="8" t="n">
        <v>1340.4</v>
      </c>
      <c r="C711" s="8" t="n">
        <v>1.5</v>
      </c>
      <c r="D711" s="8" t="n">
        <v>0.09</v>
      </c>
      <c r="E711" s="8" t="n">
        <v>96.19000200000001</v>
      </c>
      <c r="F711" s="8" t="n">
        <v>41.83</v>
      </c>
      <c r="G711" s="8" t="n">
        <v>11.39</v>
      </c>
      <c r="H711" s="8" t="n">
        <v>66.589996</v>
      </c>
      <c r="I711" s="8" t="n">
        <v>2182.870117</v>
      </c>
      <c r="J711" s="8" t="n">
        <v>85.06146200000001</v>
      </c>
      <c r="L711" s="9">
        <f>LN(B711/B710)</f>
        <v/>
      </c>
      <c r="M711" s="9">
        <f>$M$1*(C711-C710)</f>
        <v/>
      </c>
      <c r="N711" s="9">
        <f>$N$1*(D711-D710)</f>
        <v/>
      </c>
      <c r="O711" s="9">
        <f>$O$1*LN(E711/E710)</f>
        <v/>
      </c>
      <c r="P711" s="9">
        <f>$P$1*LN(F711/F710)</f>
        <v/>
      </c>
      <c r="Q711" s="9">
        <f>$Q$1*(G711-G710)</f>
        <v/>
      </c>
      <c r="R711" s="9">
        <f>$R$1*(H711-H710)</f>
        <v/>
      </c>
      <c r="S711" s="9">
        <f>$S$1*LN(I711/I710)</f>
        <v/>
      </c>
      <c r="T711" s="9">
        <f>$T$1*LN(J711/J710)</f>
        <v/>
      </c>
      <c r="U711" s="9">
        <f>$W$12+$W$4*M711+$W$5*N711+$W$6*O711+$W$7*P711+$W$8*Q711+$W$9*R711+$W$10*S711+$W$11*T711</f>
        <v/>
      </c>
      <c r="AA711" s="10">
        <f>INDEX(LINEST(L452:L711,M452:T711,TRUE,TRUE),1,9)*52</f>
        <v/>
      </c>
      <c r="AB711" s="9">
        <f>INDEX(LINEST(L452:L711,M452:T711,TRUE,TRUE),1,8)</f>
        <v/>
      </c>
      <c r="AC711" s="9">
        <f>INDEX(LINEST(L452:L711,M452:T711,TRUE,TRUE),1,7)</f>
        <v/>
      </c>
      <c r="AD711" s="9">
        <f>INDEX(LINEST(L452:L711,M452:T711,TRUE,TRUE),1,6)</f>
        <v/>
      </c>
      <c r="AE711" s="9">
        <f>INDEX(LINEST(L452:L711,M452:T711,TRUE,TRUE),1,5)</f>
        <v/>
      </c>
      <c r="AF711" s="9">
        <f>INDEX(LINEST(L452:L711,M452:T711,TRUE,TRUE),1,4)</f>
        <v/>
      </c>
      <c r="AG711" s="9">
        <f>INDEX(LINEST(L452:L711,M452:T711,TRUE,TRUE),1,3)</f>
        <v/>
      </c>
      <c r="AH711" s="9">
        <f>INDEX(LINEST(L452:L711,M452:T711,TRUE,TRUE),1,2)</f>
        <v/>
      </c>
      <c r="AI711" s="9">
        <f>INDEX(LINEST(L452:L711,M452:T711,TRUE,TRUE),1,1)</f>
        <v/>
      </c>
      <c r="AJ711" s="10">
        <f>INDEX(LINEST(L452:L711,M452:T711,TRUE,TRUE),3,1)</f>
        <v/>
      </c>
      <c r="AK711" s="9">
        <f>AA710/52+AB710*M711+AC710*N711+AD710*O711+AE710*P711+AF710*Q711+AG710*R711+AH710*S711+AI710*T711</f>
        <v/>
      </c>
      <c r="AL711" s="9">
        <f>AVERAGE(L451:L710)</f>
        <v/>
      </c>
    </row>
    <row r="712">
      <c r="A712" s="7" t="n">
        <v>42594</v>
      </c>
      <c r="B712" s="8" t="n">
        <v>1352.2</v>
      </c>
      <c r="C712" s="8" t="n">
        <v>1.44</v>
      </c>
      <c r="D712" s="8" t="n">
        <v>0.07000000000000001</v>
      </c>
      <c r="E712" s="8" t="n">
        <v>95.720001</v>
      </c>
      <c r="F712" s="8" t="n">
        <v>44.47</v>
      </c>
      <c r="G712" s="8" t="n">
        <v>11.55</v>
      </c>
      <c r="H712" s="8" t="n">
        <v>64.370003</v>
      </c>
      <c r="I712" s="8" t="n">
        <v>2184.050049</v>
      </c>
      <c r="J712" s="8" t="n">
        <v>85.410248</v>
      </c>
      <c r="L712" s="9">
        <f>LN(B712/B711)</f>
        <v/>
      </c>
      <c r="M712" s="9">
        <f>$M$1*(C712-C711)</f>
        <v/>
      </c>
      <c r="N712" s="9">
        <f>$N$1*(D712-D711)</f>
        <v/>
      </c>
      <c r="O712" s="9">
        <f>$O$1*LN(E712/E711)</f>
        <v/>
      </c>
      <c r="P712" s="9">
        <f>$P$1*LN(F712/F711)</f>
        <v/>
      </c>
      <c r="Q712" s="9">
        <f>$Q$1*(G712-G711)</f>
        <v/>
      </c>
      <c r="R712" s="9">
        <f>$R$1*(H712-H711)</f>
        <v/>
      </c>
      <c r="S712" s="9">
        <f>$S$1*LN(I712/I711)</f>
        <v/>
      </c>
      <c r="T712" s="9">
        <f>$T$1*LN(J712/J711)</f>
        <v/>
      </c>
      <c r="U712" s="9">
        <f>$W$12+$W$4*M712+$W$5*N712+$W$6*O712+$W$7*P712+$W$8*Q712+$W$9*R712+$W$10*S712+$W$11*T712</f>
        <v/>
      </c>
      <c r="AA712" s="10">
        <f>INDEX(LINEST(L453:L712,M453:T712,TRUE,TRUE),1,9)*52</f>
        <v/>
      </c>
      <c r="AB712" s="9">
        <f>INDEX(LINEST(L453:L712,M453:T712,TRUE,TRUE),1,8)</f>
        <v/>
      </c>
      <c r="AC712" s="9">
        <f>INDEX(LINEST(L453:L712,M453:T712,TRUE,TRUE),1,7)</f>
        <v/>
      </c>
      <c r="AD712" s="9">
        <f>INDEX(LINEST(L453:L712,M453:T712,TRUE,TRUE),1,6)</f>
        <v/>
      </c>
      <c r="AE712" s="9">
        <f>INDEX(LINEST(L453:L712,M453:T712,TRUE,TRUE),1,5)</f>
        <v/>
      </c>
      <c r="AF712" s="9">
        <f>INDEX(LINEST(L453:L712,M453:T712,TRUE,TRUE),1,4)</f>
        <v/>
      </c>
      <c r="AG712" s="9">
        <f>INDEX(LINEST(L453:L712,M453:T712,TRUE,TRUE),1,3)</f>
        <v/>
      </c>
      <c r="AH712" s="9">
        <f>INDEX(LINEST(L453:L712,M453:T712,TRUE,TRUE),1,2)</f>
        <v/>
      </c>
      <c r="AI712" s="9">
        <f>INDEX(LINEST(L453:L712,M453:T712,TRUE,TRUE),1,1)</f>
        <v/>
      </c>
      <c r="AJ712" s="10">
        <f>INDEX(LINEST(L453:L712,M453:T712,TRUE,TRUE),3,1)</f>
        <v/>
      </c>
      <c r="AK712" s="9">
        <f>AA711/52+AB711*M712+AC711*N712+AD711*O712+AE711*P712+AF711*Q712+AG711*R712+AH711*S712+AI711*T712</f>
        <v/>
      </c>
      <c r="AL712" s="9">
        <f>AVERAGE(L452:L711)</f>
        <v/>
      </c>
    </row>
    <row r="713">
      <c r="A713" s="7" t="n">
        <v>42601</v>
      </c>
      <c r="B713" s="8" t="n">
        <v>1346.4</v>
      </c>
      <c r="C713" s="8" t="n">
        <v>1.48</v>
      </c>
      <c r="D713" s="8" t="n">
        <v>0.1</v>
      </c>
      <c r="E713" s="8" t="n">
        <v>94.510002</v>
      </c>
      <c r="F713" s="8" t="n">
        <v>48.48</v>
      </c>
      <c r="G713" s="8" t="n">
        <v>11.34</v>
      </c>
      <c r="H713" s="8" t="n">
        <v>64.81999999999999</v>
      </c>
      <c r="I713" s="8" t="n">
        <v>2183.870117</v>
      </c>
      <c r="J713" s="8" t="n">
        <v>85.29652400000001</v>
      </c>
      <c r="L713" s="9">
        <f>LN(B713/B712)</f>
        <v/>
      </c>
      <c r="M713" s="9">
        <f>$M$1*(C713-C712)</f>
        <v/>
      </c>
      <c r="N713" s="9">
        <f>$N$1*(D713-D712)</f>
        <v/>
      </c>
      <c r="O713" s="9">
        <f>$O$1*LN(E713/E712)</f>
        <v/>
      </c>
      <c r="P713" s="9">
        <f>$P$1*LN(F713/F712)</f>
        <v/>
      </c>
      <c r="Q713" s="9">
        <f>$Q$1*(G713-G712)</f>
        <v/>
      </c>
      <c r="R713" s="9">
        <f>$R$1*(H713-H712)</f>
        <v/>
      </c>
      <c r="S713" s="9">
        <f>$S$1*LN(I713/I712)</f>
        <v/>
      </c>
      <c r="T713" s="9">
        <f>$T$1*LN(J713/J712)</f>
        <v/>
      </c>
      <c r="U713" s="9">
        <f>$W$12+$W$4*M713+$W$5*N713+$W$6*O713+$W$7*P713+$W$8*Q713+$W$9*R713+$W$10*S713+$W$11*T713</f>
        <v/>
      </c>
      <c r="AA713" s="10">
        <f>INDEX(LINEST(L454:L713,M454:T713,TRUE,TRUE),1,9)*52</f>
        <v/>
      </c>
      <c r="AB713" s="9">
        <f>INDEX(LINEST(L454:L713,M454:T713,TRUE,TRUE),1,8)</f>
        <v/>
      </c>
      <c r="AC713" s="9">
        <f>INDEX(LINEST(L454:L713,M454:T713,TRUE,TRUE),1,7)</f>
        <v/>
      </c>
      <c r="AD713" s="9">
        <f>INDEX(LINEST(L454:L713,M454:T713,TRUE,TRUE),1,6)</f>
        <v/>
      </c>
      <c r="AE713" s="9">
        <f>INDEX(LINEST(L454:L713,M454:T713,TRUE,TRUE),1,5)</f>
        <v/>
      </c>
      <c r="AF713" s="9">
        <f>INDEX(LINEST(L454:L713,M454:T713,TRUE,TRUE),1,4)</f>
        <v/>
      </c>
      <c r="AG713" s="9">
        <f>INDEX(LINEST(L454:L713,M454:T713,TRUE,TRUE),1,3)</f>
        <v/>
      </c>
      <c r="AH713" s="9">
        <f>INDEX(LINEST(L454:L713,M454:T713,TRUE,TRUE),1,2)</f>
        <v/>
      </c>
      <c r="AI713" s="9">
        <f>INDEX(LINEST(L454:L713,M454:T713,TRUE,TRUE),1,1)</f>
        <v/>
      </c>
      <c r="AJ713" s="10">
        <f>INDEX(LINEST(L454:L713,M454:T713,TRUE,TRUE),3,1)</f>
        <v/>
      </c>
      <c r="AK713" s="9">
        <f>AA712/52+AB712*M713+AC712*N713+AD712*O713+AE712*P713+AF712*Q713+AG712*R713+AH712*S713+AI712*T713</f>
        <v/>
      </c>
      <c r="AL713" s="9">
        <f>AVERAGE(L453:L712)</f>
        <v/>
      </c>
    </row>
    <row r="714">
      <c r="A714" s="7" t="n">
        <v>42608</v>
      </c>
      <c r="B714" s="8" t="n">
        <v>1318.75</v>
      </c>
      <c r="C714" s="8" t="n">
        <v>1.47</v>
      </c>
      <c r="D714" s="8" t="n">
        <v>0.15</v>
      </c>
      <c r="E714" s="8" t="n">
        <v>95.56999999999999</v>
      </c>
      <c r="F714" s="8" t="n">
        <v>47.64</v>
      </c>
      <c r="G714" s="8" t="n">
        <v>13.65</v>
      </c>
      <c r="H714" s="8" t="n">
        <v>71.239998</v>
      </c>
      <c r="I714" s="8" t="n">
        <v>2169.040039</v>
      </c>
      <c r="J714" s="8" t="n">
        <v>85.19034600000001</v>
      </c>
      <c r="L714" s="9">
        <f>LN(B714/B713)</f>
        <v/>
      </c>
      <c r="M714" s="9">
        <f>$M$1*(C714-C713)</f>
        <v/>
      </c>
      <c r="N714" s="9">
        <f>$N$1*(D714-D713)</f>
        <v/>
      </c>
      <c r="O714" s="9">
        <f>$O$1*LN(E714/E713)</f>
        <v/>
      </c>
      <c r="P714" s="9">
        <f>$P$1*LN(F714/F713)</f>
        <v/>
      </c>
      <c r="Q714" s="9">
        <f>$Q$1*(G714-G713)</f>
        <v/>
      </c>
      <c r="R714" s="9">
        <f>$R$1*(H714-H713)</f>
        <v/>
      </c>
      <c r="S714" s="9">
        <f>$S$1*LN(I714/I713)</f>
        <v/>
      </c>
      <c r="T714" s="9">
        <f>$T$1*LN(J714/J713)</f>
        <v/>
      </c>
      <c r="U714" s="9">
        <f>$W$12+$W$4*M714+$W$5*N714+$W$6*O714+$W$7*P714+$W$8*Q714+$W$9*R714+$W$10*S714+$W$11*T714</f>
        <v/>
      </c>
      <c r="AA714" s="10">
        <f>INDEX(LINEST(L455:L714,M455:T714,TRUE,TRUE),1,9)*52</f>
        <v/>
      </c>
      <c r="AB714" s="9">
        <f>INDEX(LINEST(L455:L714,M455:T714,TRUE,TRUE),1,8)</f>
        <v/>
      </c>
      <c r="AC714" s="9">
        <f>INDEX(LINEST(L455:L714,M455:T714,TRUE,TRUE),1,7)</f>
        <v/>
      </c>
      <c r="AD714" s="9">
        <f>INDEX(LINEST(L455:L714,M455:T714,TRUE,TRUE),1,6)</f>
        <v/>
      </c>
      <c r="AE714" s="9">
        <f>INDEX(LINEST(L455:L714,M455:T714,TRUE,TRUE),1,5)</f>
        <v/>
      </c>
      <c r="AF714" s="9">
        <f>INDEX(LINEST(L455:L714,M455:T714,TRUE,TRUE),1,4)</f>
        <v/>
      </c>
      <c r="AG714" s="9">
        <f>INDEX(LINEST(L455:L714,M455:T714,TRUE,TRUE),1,3)</f>
        <v/>
      </c>
      <c r="AH714" s="9">
        <f>INDEX(LINEST(L455:L714,M455:T714,TRUE,TRUE),1,2)</f>
        <v/>
      </c>
      <c r="AI714" s="9">
        <f>INDEX(LINEST(L455:L714,M455:T714,TRUE,TRUE),1,1)</f>
        <v/>
      </c>
      <c r="AJ714" s="10">
        <f>INDEX(LINEST(L455:L714,M455:T714,TRUE,TRUE),3,1)</f>
        <v/>
      </c>
      <c r="AK714" s="9">
        <f>AA713/52+AB713*M714+AC713*N714+AD713*O714+AE713*P714+AF713*Q714+AG713*R714+AH713*S714+AI713*T714</f>
        <v/>
      </c>
      <c r="AL714" s="9">
        <f>AVERAGE(L454:L713)</f>
        <v/>
      </c>
    </row>
    <row r="715">
      <c r="A715" s="7" t="n">
        <v>42615</v>
      </c>
      <c r="B715" s="8" t="n">
        <v>1324.7</v>
      </c>
      <c r="C715" s="8" t="n">
        <v>1.47</v>
      </c>
      <c r="D715" s="8" t="n">
        <v>0.13</v>
      </c>
      <c r="E715" s="8" t="n">
        <v>95.879997</v>
      </c>
      <c r="F715" s="8" t="n">
        <v>44.39</v>
      </c>
      <c r="G715" s="8" t="n">
        <v>11.98</v>
      </c>
      <c r="H715" s="8" t="n">
        <v>66.459999</v>
      </c>
      <c r="I715" s="8" t="n">
        <v>2179.97998</v>
      </c>
      <c r="J715" s="8" t="n">
        <v>85.325264</v>
      </c>
      <c r="L715" s="9">
        <f>LN(B715/B714)</f>
        <v/>
      </c>
      <c r="M715" s="9">
        <f>$M$1*(C715-C714)</f>
        <v/>
      </c>
      <c r="N715" s="9">
        <f>$N$1*(D715-D714)</f>
        <v/>
      </c>
      <c r="O715" s="9">
        <f>$O$1*LN(E715/E714)</f>
        <v/>
      </c>
      <c r="P715" s="9">
        <f>$P$1*LN(F715/F714)</f>
        <v/>
      </c>
      <c r="Q715" s="9">
        <f>$Q$1*(G715-G714)</f>
        <v/>
      </c>
      <c r="R715" s="9">
        <f>$R$1*(H715-H714)</f>
        <v/>
      </c>
      <c r="S715" s="9">
        <f>$S$1*LN(I715/I714)</f>
        <v/>
      </c>
      <c r="T715" s="9">
        <f>$T$1*LN(J715/J714)</f>
        <v/>
      </c>
      <c r="U715" s="9">
        <f>$W$12+$W$4*M715+$W$5*N715+$W$6*O715+$W$7*P715+$W$8*Q715+$W$9*R715+$W$10*S715+$W$11*T715</f>
        <v/>
      </c>
      <c r="AA715" s="10">
        <f>INDEX(LINEST(L456:L715,M456:T715,TRUE,TRUE),1,9)*52</f>
        <v/>
      </c>
      <c r="AB715" s="9">
        <f>INDEX(LINEST(L456:L715,M456:T715,TRUE,TRUE),1,8)</f>
        <v/>
      </c>
      <c r="AC715" s="9">
        <f>INDEX(LINEST(L456:L715,M456:T715,TRUE,TRUE),1,7)</f>
        <v/>
      </c>
      <c r="AD715" s="9">
        <f>INDEX(LINEST(L456:L715,M456:T715,TRUE,TRUE),1,6)</f>
        <v/>
      </c>
      <c r="AE715" s="9">
        <f>INDEX(LINEST(L456:L715,M456:T715,TRUE,TRUE),1,5)</f>
        <v/>
      </c>
      <c r="AF715" s="9">
        <f>INDEX(LINEST(L456:L715,M456:T715,TRUE,TRUE),1,4)</f>
        <v/>
      </c>
      <c r="AG715" s="9">
        <f>INDEX(LINEST(L456:L715,M456:T715,TRUE,TRUE),1,3)</f>
        <v/>
      </c>
      <c r="AH715" s="9">
        <f>INDEX(LINEST(L456:L715,M456:T715,TRUE,TRUE),1,2)</f>
        <v/>
      </c>
      <c r="AI715" s="9">
        <f>INDEX(LINEST(L456:L715,M456:T715,TRUE,TRUE),1,1)</f>
        <v/>
      </c>
      <c r="AJ715" s="10">
        <f>INDEX(LINEST(L456:L715,M456:T715,TRUE,TRUE),3,1)</f>
        <v/>
      </c>
      <c r="AK715" s="9">
        <f>AA714/52+AB714*M715+AC714*N715+AD714*O715+AE714*P715+AF714*Q715+AG714*R715+AH714*S715+AI714*T715</f>
        <v/>
      </c>
      <c r="AL715" s="9">
        <f>AVERAGE(L455:L714)</f>
        <v/>
      </c>
    </row>
    <row r="716">
      <c r="A716" s="7" t="n">
        <v>42622</v>
      </c>
      <c r="B716" s="8" t="n">
        <v>1330.85</v>
      </c>
      <c r="C716" s="8" t="n">
        <v>1.5</v>
      </c>
      <c r="D716" s="8" t="n">
        <v>0.17</v>
      </c>
      <c r="E716" s="8" t="n">
        <v>95.339996</v>
      </c>
      <c r="F716" s="8" t="n">
        <v>45.88</v>
      </c>
      <c r="G716" s="8" t="n">
        <v>17.5</v>
      </c>
      <c r="H716" s="8" t="n">
        <v>69.120003</v>
      </c>
      <c r="I716" s="8" t="n">
        <v>2127.810059</v>
      </c>
      <c r="J716" s="8" t="n">
        <v>84.884659</v>
      </c>
      <c r="L716" s="9">
        <f>LN(B716/B715)</f>
        <v/>
      </c>
      <c r="M716" s="9">
        <f>$M$1*(C716-C715)</f>
        <v/>
      </c>
      <c r="N716" s="9">
        <f>$N$1*(D716-D715)</f>
        <v/>
      </c>
      <c r="O716" s="9">
        <f>$O$1*LN(E716/E715)</f>
        <v/>
      </c>
      <c r="P716" s="9">
        <f>$P$1*LN(F716/F715)</f>
        <v/>
      </c>
      <c r="Q716" s="9">
        <f>$Q$1*(G716-G715)</f>
        <v/>
      </c>
      <c r="R716" s="9">
        <f>$R$1*(H716-H715)</f>
        <v/>
      </c>
      <c r="S716" s="9">
        <f>$S$1*LN(I716/I715)</f>
        <v/>
      </c>
      <c r="T716" s="9">
        <f>$T$1*LN(J716/J715)</f>
        <v/>
      </c>
      <c r="U716" s="9">
        <f>$W$12+$W$4*M716+$W$5*N716+$W$6*O716+$W$7*P716+$W$8*Q716+$W$9*R716+$W$10*S716+$W$11*T716</f>
        <v/>
      </c>
      <c r="AA716" s="10">
        <f>INDEX(LINEST(L457:L716,M457:T716,TRUE,TRUE),1,9)*52</f>
        <v/>
      </c>
      <c r="AB716" s="9">
        <f>INDEX(LINEST(L457:L716,M457:T716,TRUE,TRUE),1,8)</f>
        <v/>
      </c>
      <c r="AC716" s="9">
        <f>INDEX(LINEST(L457:L716,M457:T716,TRUE,TRUE),1,7)</f>
        <v/>
      </c>
      <c r="AD716" s="9">
        <f>INDEX(LINEST(L457:L716,M457:T716,TRUE,TRUE),1,6)</f>
        <v/>
      </c>
      <c r="AE716" s="9">
        <f>INDEX(LINEST(L457:L716,M457:T716,TRUE,TRUE),1,5)</f>
        <v/>
      </c>
      <c r="AF716" s="9">
        <f>INDEX(LINEST(L457:L716,M457:T716,TRUE,TRUE),1,4)</f>
        <v/>
      </c>
      <c r="AG716" s="9">
        <f>INDEX(LINEST(L457:L716,M457:T716,TRUE,TRUE),1,3)</f>
        <v/>
      </c>
      <c r="AH716" s="9">
        <f>INDEX(LINEST(L457:L716,M457:T716,TRUE,TRUE),1,2)</f>
        <v/>
      </c>
      <c r="AI716" s="9">
        <f>INDEX(LINEST(L457:L716,M457:T716,TRUE,TRUE),1,1)</f>
        <v/>
      </c>
      <c r="AJ716" s="10">
        <f>INDEX(LINEST(L457:L716,M457:T716,TRUE,TRUE),3,1)</f>
        <v/>
      </c>
      <c r="AK716" s="9">
        <f>AA715/52+AB715*M716+AC715*N716+AD715*O716+AE715*P716+AF715*Q716+AG715*R716+AH715*S716+AI715*T716</f>
        <v/>
      </c>
      <c r="AL716" s="9">
        <f>AVERAGE(L456:L715)</f>
        <v/>
      </c>
    </row>
    <row r="717">
      <c r="A717" s="7" t="n">
        <v>42629</v>
      </c>
      <c r="B717" s="8" t="n">
        <v>1308.35</v>
      </c>
      <c r="C717" s="8" t="n">
        <v>1.51</v>
      </c>
      <c r="D717" s="8" t="n">
        <v>0.19</v>
      </c>
      <c r="E717" s="8" t="n">
        <v>96.110001</v>
      </c>
      <c r="F717" s="8" t="n">
        <v>43.04</v>
      </c>
      <c r="G717" s="8" t="n">
        <v>15.37</v>
      </c>
      <c r="H717" s="8" t="n">
        <v>69.209999</v>
      </c>
      <c r="I717" s="8" t="n">
        <v>2139.159912</v>
      </c>
      <c r="J717" s="8" t="n">
        <v>84.93781300000001</v>
      </c>
      <c r="L717" s="9">
        <f>LN(B717/B716)</f>
        <v/>
      </c>
      <c r="M717" s="9">
        <f>$M$1*(C717-C716)</f>
        <v/>
      </c>
      <c r="N717" s="9">
        <f>$N$1*(D717-D716)</f>
        <v/>
      </c>
      <c r="O717" s="9">
        <f>$O$1*LN(E717/E716)</f>
        <v/>
      </c>
      <c r="P717" s="9">
        <f>$P$1*LN(F717/F716)</f>
        <v/>
      </c>
      <c r="Q717" s="9">
        <f>$Q$1*(G717-G716)</f>
        <v/>
      </c>
      <c r="R717" s="9">
        <f>$R$1*(H717-H716)</f>
        <v/>
      </c>
      <c r="S717" s="9">
        <f>$S$1*LN(I717/I716)</f>
        <v/>
      </c>
      <c r="T717" s="9">
        <f>$T$1*LN(J717/J716)</f>
        <v/>
      </c>
      <c r="U717" s="9">
        <f>$W$12+$W$4*M717+$W$5*N717+$W$6*O717+$W$7*P717+$W$8*Q717+$W$9*R717+$W$10*S717+$W$11*T717</f>
        <v/>
      </c>
      <c r="AA717" s="10">
        <f>INDEX(LINEST(L458:L717,M458:T717,TRUE,TRUE),1,9)*52</f>
        <v/>
      </c>
      <c r="AB717" s="9">
        <f>INDEX(LINEST(L458:L717,M458:T717,TRUE,TRUE),1,8)</f>
        <v/>
      </c>
      <c r="AC717" s="9">
        <f>INDEX(LINEST(L458:L717,M458:T717,TRUE,TRUE),1,7)</f>
        <v/>
      </c>
      <c r="AD717" s="9">
        <f>INDEX(LINEST(L458:L717,M458:T717,TRUE,TRUE),1,6)</f>
        <v/>
      </c>
      <c r="AE717" s="9">
        <f>INDEX(LINEST(L458:L717,M458:T717,TRUE,TRUE),1,5)</f>
        <v/>
      </c>
      <c r="AF717" s="9">
        <f>INDEX(LINEST(L458:L717,M458:T717,TRUE,TRUE),1,4)</f>
        <v/>
      </c>
      <c r="AG717" s="9">
        <f>INDEX(LINEST(L458:L717,M458:T717,TRUE,TRUE),1,3)</f>
        <v/>
      </c>
      <c r="AH717" s="9">
        <f>INDEX(LINEST(L458:L717,M458:T717,TRUE,TRUE),1,2)</f>
        <v/>
      </c>
      <c r="AI717" s="9">
        <f>INDEX(LINEST(L458:L717,M458:T717,TRUE,TRUE),1,1)</f>
        <v/>
      </c>
      <c r="AJ717" s="10">
        <f>INDEX(LINEST(L458:L717,M458:T717,TRUE,TRUE),3,1)</f>
        <v/>
      </c>
      <c r="AK717" s="9">
        <f>AA716/52+AB716*M717+AC716*N717+AD716*O717+AE716*P717+AF716*Q717+AG716*R717+AH716*S717+AI716*T717</f>
        <v/>
      </c>
      <c r="AL717" s="9">
        <f>AVERAGE(L457:L716)</f>
        <v/>
      </c>
    </row>
    <row r="718">
      <c r="A718" s="7" t="n">
        <v>42636</v>
      </c>
      <c r="B718" s="8" t="n">
        <v>1338.65</v>
      </c>
      <c r="C718" s="8" t="n">
        <v>1.57</v>
      </c>
      <c r="D718" s="8" t="n">
        <v>0.05</v>
      </c>
      <c r="E718" s="8" t="n">
        <v>95.480003</v>
      </c>
      <c r="F718" s="8" t="n">
        <v>44.36</v>
      </c>
      <c r="G718" s="8" t="n">
        <v>12.29</v>
      </c>
      <c r="H718" s="8" t="n">
        <v>59.75</v>
      </c>
      <c r="I718" s="8" t="n">
        <v>2164.689941</v>
      </c>
      <c r="J718" s="8" t="n">
        <v>85.264481</v>
      </c>
      <c r="L718" s="9">
        <f>LN(B718/B717)</f>
        <v/>
      </c>
      <c r="M718" s="9">
        <f>$M$1*(C718-C717)</f>
        <v/>
      </c>
      <c r="N718" s="9">
        <f>$N$1*(D718-D717)</f>
        <v/>
      </c>
      <c r="O718" s="9">
        <f>$O$1*LN(E718/E717)</f>
        <v/>
      </c>
      <c r="P718" s="9">
        <f>$P$1*LN(F718/F717)</f>
        <v/>
      </c>
      <c r="Q718" s="9">
        <f>$Q$1*(G718-G717)</f>
        <v/>
      </c>
      <c r="R718" s="9">
        <f>$R$1*(H718-H717)</f>
        <v/>
      </c>
      <c r="S718" s="9">
        <f>$S$1*LN(I718/I717)</f>
        <v/>
      </c>
      <c r="T718" s="9">
        <f>$T$1*LN(J718/J717)</f>
        <v/>
      </c>
      <c r="U718" s="9">
        <f>$W$12+$W$4*M718+$W$5*N718+$W$6*O718+$W$7*P718+$W$8*Q718+$W$9*R718+$W$10*S718+$W$11*T718</f>
        <v/>
      </c>
      <c r="AA718" s="10">
        <f>INDEX(LINEST(L459:L718,M459:T718,TRUE,TRUE),1,9)*52</f>
        <v/>
      </c>
      <c r="AB718" s="9">
        <f>INDEX(LINEST(L459:L718,M459:T718,TRUE,TRUE),1,8)</f>
        <v/>
      </c>
      <c r="AC718" s="9">
        <f>INDEX(LINEST(L459:L718,M459:T718,TRUE,TRUE),1,7)</f>
        <v/>
      </c>
      <c r="AD718" s="9">
        <f>INDEX(LINEST(L459:L718,M459:T718,TRUE,TRUE),1,6)</f>
        <v/>
      </c>
      <c r="AE718" s="9">
        <f>INDEX(LINEST(L459:L718,M459:T718,TRUE,TRUE),1,5)</f>
        <v/>
      </c>
      <c r="AF718" s="9">
        <f>INDEX(LINEST(L459:L718,M459:T718,TRUE,TRUE),1,4)</f>
        <v/>
      </c>
      <c r="AG718" s="9">
        <f>INDEX(LINEST(L459:L718,M459:T718,TRUE,TRUE),1,3)</f>
        <v/>
      </c>
      <c r="AH718" s="9">
        <f>INDEX(LINEST(L459:L718,M459:T718,TRUE,TRUE),1,2)</f>
        <v/>
      </c>
      <c r="AI718" s="9">
        <f>INDEX(LINEST(L459:L718,M459:T718,TRUE,TRUE),1,1)</f>
        <v/>
      </c>
      <c r="AJ718" s="10">
        <f>INDEX(LINEST(L459:L718,M459:T718,TRUE,TRUE),3,1)</f>
        <v/>
      </c>
      <c r="AK718" s="9">
        <f>AA717/52+AB717*M718+AC717*N718+AD717*O718+AE717*P718+AF717*Q718+AG717*R718+AH717*S718+AI717*T718</f>
        <v/>
      </c>
      <c r="AL718" s="9">
        <f>AVERAGE(L458:L717)</f>
        <v/>
      </c>
    </row>
    <row r="719">
      <c r="A719" s="7" t="n">
        <v>42643</v>
      </c>
      <c r="B719" s="8" t="n">
        <v>1322.5</v>
      </c>
      <c r="C719" s="8" t="n">
        <v>1.6</v>
      </c>
      <c r="D719" s="8" t="n">
        <v>0</v>
      </c>
      <c r="E719" s="8" t="n">
        <v>95.459999</v>
      </c>
      <c r="F719" s="8" t="n">
        <v>47.72</v>
      </c>
      <c r="G719" s="8" t="n">
        <v>13.29</v>
      </c>
      <c r="H719" s="8" t="n">
        <v>60.560001</v>
      </c>
      <c r="I719" s="8" t="n">
        <v>2168.27002</v>
      </c>
      <c r="J719" s="8" t="n">
        <v>85.408829</v>
      </c>
      <c r="L719" s="9">
        <f>LN(B719/B718)</f>
        <v/>
      </c>
      <c r="M719" s="9">
        <f>$M$1*(C719-C718)</f>
        <v/>
      </c>
      <c r="N719" s="9">
        <f>$N$1*(D719-D718)</f>
        <v/>
      </c>
      <c r="O719" s="9">
        <f>$O$1*LN(E719/E718)</f>
        <v/>
      </c>
      <c r="P719" s="9">
        <f>$P$1*LN(F719/F718)</f>
        <v/>
      </c>
      <c r="Q719" s="9">
        <f>$Q$1*(G719-G718)</f>
        <v/>
      </c>
      <c r="R719" s="9">
        <f>$R$1*(H719-H718)</f>
        <v/>
      </c>
      <c r="S719" s="9">
        <f>$S$1*LN(I719/I718)</f>
        <v/>
      </c>
      <c r="T719" s="9">
        <f>$T$1*LN(J719/J718)</f>
        <v/>
      </c>
      <c r="U719" s="9">
        <f>$W$12+$W$4*M719+$W$5*N719+$W$6*O719+$W$7*P719+$W$8*Q719+$W$9*R719+$W$10*S719+$W$11*T719</f>
        <v/>
      </c>
      <c r="AA719" s="10">
        <f>INDEX(LINEST(L460:L719,M460:T719,TRUE,TRUE),1,9)*52</f>
        <v/>
      </c>
      <c r="AB719" s="9">
        <f>INDEX(LINEST(L460:L719,M460:T719,TRUE,TRUE),1,8)</f>
        <v/>
      </c>
      <c r="AC719" s="9">
        <f>INDEX(LINEST(L460:L719,M460:T719,TRUE,TRUE),1,7)</f>
        <v/>
      </c>
      <c r="AD719" s="9">
        <f>INDEX(LINEST(L460:L719,M460:T719,TRUE,TRUE),1,6)</f>
        <v/>
      </c>
      <c r="AE719" s="9">
        <f>INDEX(LINEST(L460:L719,M460:T719,TRUE,TRUE),1,5)</f>
        <v/>
      </c>
      <c r="AF719" s="9">
        <f>INDEX(LINEST(L460:L719,M460:T719,TRUE,TRUE),1,4)</f>
        <v/>
      </c>
      <c r="AG719" s="9">
        <f>INDEX(LINEST(L460:L719,M460:T719,TRUE,TRUE),1,3)</f>
        <v/>
      </c>
      <c r="AH719" s="9">
        <f>INDEX(LINEST(L460:L719,M460:T719,TRUE,TRUE),1,2)</f>
        <v/>
      </c>
      <c r="AI719" s="9">
        <f>INDEX(LINEST(L460:L719,M460:T719,TRUE,TRUE),1,1)</f>
        <v/>
      </c>
      <c r="AJ719" s="10">
        <f>INDEX(LINEST(L460:L719,M460:T719,TRUE,TRUE),3,1)</f>
        <v/>
      </c>
      <c r="AK719" s="9">
        <f>AA718/52+AB718*M719+AC718*N719+AD718*O719+AE718*P719+AF718*Q719+AG718*R719+AH718*S719+AI718*T719</f>
        <v/>
      </c>
      <c r="AL719" s="9">
        <f>AVERAGE(L459:L718)</f>
        <v/>
      </c>
    </row>
    <row r="720">
      <c r="A720" s="7" t="n">
        <v>42650</v>
      </c>
      <c r="B720" s="8" t="n">
        <v>1258.75</v>
      </c>
      <c r="C720" s="8" t="n">
        <v>1.63</v>
      </c>
      <c r="D720" s="8" t="n">
        <v>0.1</v>
      </c>
      <c r="E720" s="8" t="n">
        <v>96.519997</v>
      </c>
      <c r="F720" s="8" t="n">
        <v>49.76</v>
      </c>
      <c r="G720" s="8" t="n">
        <v>13.48</v>
      </c>
      <c r="H720" s="8" t="n">
        <v>62.84</v>
      </c>
      <c r="I720" s="8" t="n">
        <v>2153.73999</v>
      </c>
      <c r="J720" s="8" t="n">
        <v>84.924004</v>
      </c>
      <c r="L720" s="9">
        <f>LN(B720/B719)</f>
        <v/>
      </c>
      <c r="M720" s="9">
        <f>$M$1*(C720-C719)</f>
        <v/>
      </c>
      <c r="N720" s="9">
        <f>$N$1*(D720-D719)</f>
        <v/>
      </c>
      <c r="O720" s="9">
        <f>$O$1*LN(E720/E719)</f>
        <v/>
      </c>
      <c r="P720" s="9">
        <f>$P$1*LN(F720/F719)</f>
        <v/>
      </c>
      <c r="Q720" s="9">
        <f>$Q$1*(G720-G719)</f>
        <v/>
      </c>
      <c r="R720" s="9">
        <f>$R$1*(H720-H719)</f>
        <v/>
      </c>
      <c r="S720" s="9">
        <f>$S$1*LN(I720/I719)</f>
        <v/>
      </c>
      <c r="T720" s="9">
        <f>$T$1*LN(J720/J719)</f>
        <v/>
      </c>
      <c r="U720" s="9">
        <f>$W$12+$W$4*M720+$W$5*N720+$W$6*O720+$W$7*P720+$W$8*Q720+$W$9*R720+$W$10*S720+$W$11*T720</f>
        <v/>
      </c>
      <c r="AA720" s="10">
        <f>INDEX(LINEST(L461:L720,M461:T720,TRUE,TRUE),1,9)*52</f>
        <v/>
      </c>
      <c r="AB720" s="9">
        <f>INDEX(LINEST(L461:L720,M461:T720,TRUE,TRUE),1,8)</f>
        <v/>
      </c>
      <c r="AC720" s="9">
        <f>INDEX(LINEST(L461:L720,M461:T720,TRUE,TRUE),1,7)</f>
        <v/>
      </c>
      <c r="AD720" s="9">
        <f>INDEX(LINEST(L461:L720,M461:T720,TRUE,TRUE),1,6)</f>
        <v/>
      </c>
      <c r="AE720" s="9">
        <f>INDEX(LINEST(L461:L720,M461:T720,TRUE,TRUE),1,5)</f>
        <v/>
      </c>
      <c r="AF720" s="9">
        <f>INDEX(LINEST(L461:L720,M461:T720,TRUE,TRUE),1,4)</f>
        <v/>
      </c>
      <c r="AG720" s="9">
        <f>INDEX(LINEST(L461:L720,M461:T720,TRUE,TRUE),1,3)</f>
        <v/>
      </c>
      <c r="AH720" s="9">
        <f>INDEX(LINEST(L461:L720,M461:T720,TRUE,TRUE),1,2)</f>
        <v/>
      </c>
      <c r="AI720" s="9">
        <f>INDEX(LINEST(L461:L720,M461:T720,TRUE,TRUE),1,1)</f>
        <v/>
      </c>
      <c r="AJ720" s="10">
        <f>INDEX(LINEST(L461:L720,M461:T720,TRUE,TRUE),3,1)</f>
        <v/>
      </c>
      <c r="AK720" s="9">
        <f>AA719/52+AB719*M720+AC719*N720+AD719*O720+AE719*P720+AF719*Q720+AG719*R720+AH719*S720+AI719*T720</f>
        <v/>
      </c>
      <c r="AL720" s="9">
        <f>AVERAGE(L460:L719)</f>
        <v/>
      </c>
    </row>
    <row r="721">
      <c r="A721" s="7" t="n">
        <v>42657</v>
      </c>
      <c r="B721" s="8" t="n">
        <v>1251.75</v>
      </c>
      <c r="C721" s="8" t="n">
        <v>1.67</v>
      </c>
      <c r="D721" s="8" t="n">
        <v>0.13</v>
      </c>
      <c r="E721" s="8" t="n">
        <v>98.019997</v>
      </c>
      <c r="F721" s="8" t="n">
        <v>50.35</v>
      </c>
      <c r="G721" s="8" t="n">
        <v>16.12</v>
      </c>
      <c r="H721" s="8" t="n">
        <v>64.980003</v>
      </c>
      <c r="I721" s="8" t="n">
        <v>2132.97998</v>
      </c>
      <c r="J721" s="8" t="n">
        <v>84.76417499999999</v>
      </c>
      <c r="L721" s="9">
        <f>LN(B721/B720)</f>
        <v/>
      </c>
      <c r="M721" s="9">
        <f>$M$1*(C721-C720)</f>
        <v/>
      </c>
      <c r="N721" s="9">
        <f>$N$1*(D721-D720)</f>
        <v/>
      </c>
      <c r="O721" s="9">
        <f>$O$1*LN(E721/E720)</f>
        <v/>
      </c>
      <c r="P721" s="9">
        <f>$P$1*LN(F721/F720)</f>
        <v/>
      </c>
      <c r="Q721" s="9">
        <f>$Q$1*(G721-G720)</f>
        <v/>
      </c>
      <c r="R721" s="9">
        <f>$R$1*(H721-H720)</f>
        <v/>
      </c>
      <c r="S721" s="9">
        <f>$S$1*LN(I721/I720)</f>
        <v/>
      </c>
      <c r="T721" s="9">
        <f>$T$1*LN(J721/J720)</f>
        <v/>
      </c>
      <c r="U721" s="9">
        <f>$W$12+$W$4*M721+$W$5*N721+$W$6*O721+$W$7*P721+$W$8*Q721+$W$9*R721+$W$10*S721+$W$11*T721</f>
        <v/>
      </c>
      <c r="AA721" s="10">
        <f>INDEX(LINEST(L462:L721,M462:T721,TRUE,TRUE),1,9)*52</f>
        <v/>
      </c>
      <c r="AB721" s="9">
        <f>INDEX(LINEST(L462:L721,M462:T721,TRUE,TRUE),1,8)</f>
        <v/>
      </c>
      <c r="AC721" s="9">
        <f>INDEX(LINEST(L462:L721,M462:T721,TRUE,TRUE),1,7)</f>
        <v/>
      </c>
      <c r="AD721" s="9">
        <f>INDEX(LINEST(L462:L721,M462:T721,TRUE,TRUE),1,6)</f>
        <v/>
      </c>
      <c r="AE721" s="9">
        <f>INDEX(LINEST(L462:L721,M462:T721,TRUE,TRUE),1,5)</f>
        <v/>
      </c>
      <c r="AF721" s="9">
        <f>INDEX(LINEST(L462:L721,M462:T721,TRUE,TRUE),1,4)</f>
        <v/>
      </c>
      <c r="AG721" s="9">
        <f>INDEX(LINEST(L462:L721,M462:T721,TRUE,TRUE),1,3)</f>
        <v/>
      </c>
      <c r="AH721" s="9">
        <f>INDEX(LINEST(L462:L721,M462:T721,TRUE,TRUE),1,2)</f>
        <v/>
      </c>
      <c r="AI721" s="9">
        <f>INDEX(LINEST(L462:L721,M462:T721,TRUE,TRUE),1,1)</f>
        <v/>
      </c>
      <c r="AJ721" s="10">
        <f>INDEX(LINEST(L462:L721,M462:T721,TRUE,TRUE),3,1)</f>
        <v/>
      </c>
      <c r="AK721" s="9">
        <f>AA720/52+AB720*M721+AC720*N721+AD720*O721+AE720*P721+AF720*Q721+AG720*R721+AH720*S721+AI720*T721</f>
        <v/>
      </c>
      <c r="AL721" s="9">
        <f>AVERAGE(L461:L720)</f>
        <v/>
      </c>
    </row>
    <row r="722">
      <c r="A722" s="7" t="n">
        <v>42664</v>
      </c>
      <c r="B722" s="8" t="n">
        <v>1266.05</v>
      </c>
      <c r="C722" s="8" t="n">
        <v>1.67</v>
      </c>
      <c r="D722" s="8" t="n">
        <v>0.07000000000000001</v>
      </c>
      <c r="E722" s="8" t="n">
        <v>98.699997</v>
      </c>
      <c r="F722" s="8" t="n">
        <v>50.61</v>
      </c>
      <c r="G722" s="8" t="n">
        <v>13.34</v>
      </c>
      <c r="H722" s="8" t="n">
        <v>57.09</v>
      </c>
      <c r="I722" s="8" t="n">
        <v>2141.159912</v>
      </c>
      <c r="J722" s="8" t="n">
        <v>85.114311</v>
      </c>
      <c r="L722" s="9">
        <f>LN(B722/B721)</f>
        <v/>
      </c>
      <c r="M722" s="9">
        <f>$M$1*(C722-C721)</f>
        <v/>
      </c>
      <c r="N722" s="9">
        <f>$N$1*(D722-D721)</f>
        <v/>
      </c>
      <c r="O722" s="9">
        <f>$O$1*LN(E722/E721)</f>
        <v/>
      </c>
      <c r="P722" s="9">
        <f>$P$1*LN(F722/F721)</f>
        <v/>
      </c>
      <c r="Q722" s="9">
        <f>$Q$1*(G722-G721)</f>
        <v/>
      </c>
      <c r="R722" s="9">
        <f>$R$1*(H722-H721)</f>
        <v/>
      </c>
      <c r="S722" s="9">
        <f>$S$1*LN(I722/I721)</f>
        <v/>
      </c>
      <c r="T722" s="9">
        <f>$T$1*LN(J722/J721)</f>
        <v/>
      </c>
      <c r="U722" s="9">
        <f>$W$12+$W$4*M722+$W$5*N722+$W$6*O722+$W$7*P722+$W$8*Q722+$W$9*R722+$W$10*S722+$W$11*T722</f>
        <v/>
      </c>
      <c r="AA722" s="10">
        <f>INDEX(LINEST(L463:L722,M463:T722,TRUE,TRUE),1,9)*52</f>
        <v/>
      </c>
      <c r="AB722" s="9">
        <f>INDEX(LINEST(L463:L722,M463:T722,TRUE,TRUE),1,8)</f>
        <v/>
      </c>
      <c r="AC722" s="9">
        <f>INDEX(LINEST(L463:L722,M463:T722,TRUE,TRUE),1,7)</f>
        <v/>
      </c>
      <c r="AD722" s="9">
        <f>INDEX(LINEST(L463:L722,M463:T722,TRUE,TRUE),1,6)</f>
        <v/>
      </c>
      <c r="AE722" s="9">
        <f>INDEX(LINEST(L463:L722,M463:T722,TRUE,TRUE),1,5)</f>
        <v/>
      </c>
      <c r="AF722" s="9">
        <f>INDEX(LINEST(L463:L722,M463:T722,TRUE,TRUE),1,4)</f>
        <v/>
      </c>
      <c r="AG722" s="9">
        <f>INDEX(LINEST(L463:L722,M463:T722,TRUE,TRUE),1,3)</f>
        <v/>
      </c>
      <c r="AH722" s="9">
        <f>INDEX(LINEST(L463:L722,M463:T722,TRUE,TRUE),1,2)</f>
        <v/>
      </c>
      <c r="AI722" s="9">
        <f>INDEX(LINEST(L463:L722,M463:T722,TRUE,TRUE),1,1)</f>
        <v/>
      </c>
      <c r="AJ722" s="10">
        <f>INDEX(LINEST(L463:L722,M463:T722,TRUE,TRUE),3,1)</f>
        <v/>
      </c>
      <c r="AK722" s="9">
        <f>AA721/52+AB721*M722+AC721*N722+AD721*O722+AE721*P722+AF721*Q722+AG721*R722+AH721*S722+AI721*T722</f>
        <v/>
      </c>
      <c r="AL722" s="9">
        <f>AVERAGE(L462:L721)</f>
        <v/>
      </c>
    </row>
    <row r="723">
      <c r="A723" s="7" t="n">
        <v>42671</v>
      </c>
      <c r="B723" s="8" t="n">
        <v>1273</v>
      </c>
      <c r="C723" s="8" t="n">
        <v>1.73</v>
      </c>
      <c r="D723" s="8" t="n">
        <v>0.13</v>
      </c>
      <c r="E723" s="8" t="n">
        <v>98.349998</v>
      </c>
      <c r="F723" s="8" t="n">
        <v>48.72</v>
      </c>
      <c r="G723" s="8" t="n">
        <v>16.19</v>
      </c>
      <c r="H723" s="8" t="n">
        <v>64.379997</v>
      </c>
      <c r="I723" s="8" t="n">
        <v>2126.409912</v>
      </c>
      <c r="J723" s="8" t="n">
        <v>84.604332</v>
      </c>
      <c r="L723" s="9">
        <f>LN(B723/B722)</f>
        <v/>
      </c>
      <c r="M723" s="9">
        <f>$M$1*(C723-C722)</f>
        <v/>
      </c>
      <c r="N723" s="9">
        <f>$N$1*(D723-D722)</f>
        <v/>
      </c>
      <c r="O723" s="9">
        <f>$O$1*LN(E723/E722)</f>
        <v/>
      </c>
      <c r="P723" s="9">
        <f>$P$1*LN(F723/F722)</f>
        <v/>
      </c>
      <c r="Q723" s="9">
        <f>$Q$1*(G723-G722)</f>
        <v/>
      </c>
      <c r="R723" s="9">
        <f>$R$1*(H723-H722)</f>
        <v/>
      </c>
      <c r="S723" s="9">
        <f>$S$1*LN(I723/I722)</f>
        <v/>
      </c>
      <c r="T723" s="9">
        <f>$T$1*LN(J723/J722)</f>
        <v/>
      </c>
      <c r="U723" s="9">
        <f>$W$12+$W$4*M723+$W$5*N723+$W$6*O723+$W$7*P723+$W$8*Q723+$W$9*R723+$W$10*S723+$W$11*T723</f>
        <v/>
      </c>
      <c r="AA723" s="10">
        <f>INDEX(LINEST(L464:L723,M464:T723,TRUE,TRUE),1,9)*52</f>
        <v/>
      </c>
      <c r="AB723" s="9">
        <f>INDEX(LINEST(L464:L723,M464:T723,TRUE,TRUE),1,8)</f>
        <v/>
      </c>
      <c r="AC723" s="9">
        <f>INDEX(LINEST(L464:L723,M464:T723,TRUE,TRUE),1,7)</f>
        <v/>
      </c>
      <c r="AD723" s="9">
        <f>INDEX(LINEST(L464:L723,M464:T723,TRUE,TRUE),1,6)</f>
        <v/>
      </c>
      <c r="AE723" s="9">
        <f>INDEX(LINEST(L464:L723,M464:T723,TRUE,TRUE),1,5)</f>
        <v/>
      </c>
      <c r="AF723" s="9">
        <f>INDEX(LINEST(L464:L723,M464:T723,TRUE,TRUE),1,4)</f>
        <v/>
      </c>
      <c r="AG723" s="9">
        <f>INDEX(LINEST(L464:L723,M464:T723,TRUE,TRUE),1,3)</f>
        <v/>
      </c>
      <c r="AH723" s="9">
        <f>INDEX(LINEST(L464:L723,M464:T723,TRUE,TRUE),1,2)</f>
        <v/>
      </c>
      <c r="AI723" s="9">
        <f>INDEX(LINEST(L464:L723,M464:T723,TRUE,TRUE),1,1)</f>
        <v/>
      </c>
      <c r="AJ723" s="10">
        <f>INDEX(LINEST(L464:L723,M464:T723,TRUE,TRUE),3,1)</f>
        <v/>
      </c>
      <c r="AK723" s="9">
        <f>AA722/52+AB722*M723+AC722*N723+AD722*O723+AE722*P723+AF722*Q723+AG722*R723+AH722*S723+AI722*T723</f>
        <v/>
      </c>
      <c r="AL723" s="9">
        <f>AVERAGE(L463:L722)</f>
        <v/>
      </c>
    </row>
    <row r="724">
      <c r="A724" s="7" t="n">
        <v>42678</v>
      </c>
      <c r="B724" s="8" t="n">
        <v>1302.8</v>
      </c>
      <c r="C724" s="8" t="n">
        <v>1.68</v>
      </c>
      <c r="D724" s="8" t="n">
        <v>0.11</v>
      </c>
      <c r="E724" s="8" t="n">
        <v>97.06999999999999</v>
      </c>
      <c r="F724" s="8" t="n">
        <v>44.07</v>
      </c>
      <c r="G724" s="8" t="n">
        <v>22.51</v>
      </c>
      <c r="H724" s="8" t="n">
        <v>74.610001</v>
      </c>
      <c r="I724" s="8" t="n">
        <v>2085.179932</v>
      </c>
      <c r="J724" s="8" t="n">
        <v>84.82527899999999</v>
      </c>
      <c r="L724" s="9">
        <f>LN(B724/B723)</f>
        <v/>
      </c>
      <c r="M724" s="9">
        <f>$M$1*(C724-C723)</f>
        <v/>
      </c>
      <c r="N724" s="9">
        <f>$N$1*(D724-D723)</f>
        <v/>
      </c>
      <c r="O724" s="9">
        <f>$O$1*LN(E724/E723)</f>
        <v/>
      </c>
      <c r="P724" s="9">
        <f>$P$1*LN(F724/F723)</f>
        <v/>
      </c>
      <c r="Q724" s="9">
        <f>$Q$1*(G724-G723)</f>
        <v/>
      </c>
      <c r="R724" s="9">
        <f>$R$1*(H724-H723)</f>
        <v/>
      </c>
      <c r="S724" s="9">
        <f>$S$1*LN(I724/I723)</f>
        <v/>
      </c>
      <c r="T724" s="9">
        <f>$T$1*LN(J724/J723)</f>
        <v/>
      </c>
      <c r="U724" s="9">
        <f>$W$12+$W$4*M724+$W$5*N724+$W$6*O724+$W$7*P724+$W$8*Q724+$W$9*R724+$W$10*S724+$W$11*T724</f>
        <v/>
      </c>
      <c r="AA724" s="10">
        <f>INDEX(LINEST(L465:L724,M465:T724,TRUE,TRUE),1,9)*52</f>
        <v/>
      </c>
      <c r="AB724" s="9">
        <f>INDEX(LINEST(L465:L724,M465:T724,TRUE,TRUE),1,8)</f>
        <v/>
      </c>
      <c r="AC724" s="9">
        <f>INDEX(LINEST(L465:L724,M465:T724,TRUE,TRUE),1,7)</f>
        <v/>
      </c>
      <c r="AD724" s="9">
        <f>INDEX(LINEST(L465:L724,M465:T724,TRUE,TRUE),1,6)</f>
        <v/>
      </c>
      <c r="AE724" s="9">
        <f>INDEX(LINEST(L465:L724,M465:T724,TRUE,TRUE),1,5)</f>
        <v/>
      </c>
      <c r="AF724" s="9">
        <f>INDEX(LINEST(L465:L724,M465:T724,TRUE,TRUE),1,4)</f>
        <v/>
      </c>
      <c r="AG724" s="9">
        <f>INDEX(LINEST(L465:L724,M465:T724,TRUE,TRUE),1,3)</f>
        <v/>
      </c>
      <c r="AH724" s="9">
        <f>INDEX(LINEST(L465:L724,M465:T724,TRUE,TRUE),1,2)</f>
        <v/>
      </c>
      <c r="AI724" s="9">
        <f>INDEX(LINEST(L465:L724,M465:T724,TRUE,TRUE),1,1)</f>
        <v/>
      </c>
      <c r="AJ724" s="10">
        <f>INDEX(LINEST(L465:L724,M465:T724,TRUE,TRUE),3,1)</f>
        <v/>
      </c>
      <c r="AK724" s="9">
        <f>AA723/52+AB723*M724+AC723*N724+AD723*O724+AE723*P724+AF723*Q724+AG723*R724+AH723*S724+AI723*T724</f>
        <v/>
      </c>
      <c r="AL724" s="9">
        <f>AVERAGE(L464:L723)</f>
        <v/>
      </c>
    </row>
    <row r="725">
      <c r="A725" s="7" t="n">
        <v>42685</v>
      </c>
      <c r="B725" s="8" t="n">
        <v>1236.45</v>
      </c>
      <c r="C725" s="8" t="n">
        <v>1.88</v>
      </c>
      <c r="D725" s="8" t="n">
        <v>0.27</v>
      </c>
      <c r="E725" s="8" t="n">
        <v>98.790001</v>
      </c>
      <c r="F725" s="8" t="n">
        <v>43.39</v>
      </c>
      <c r="G725" s="8" t="n">
        <v>14.17</v>
      </c>
      <c r="H725" s="8" t="n">
        <v>82.56999999999999</v>
      </c>
      <c r="I725" s="8" t="n">
        <v>2164.449951</v>
      </c>
      <c r="J725" s="8" t="n">
        <v>83.307838</v>
      </c>
      <c r="L725" s="9">
        <f>LN(B725/B724)</f>
        <v/>
      </c>
      <c r="M725" s="9">
        <f>$M$1*(C725-C724)</f>
        <v/>
      </c>
      <c r="N725" s="9">
        <f>$N$1*(D725-D724)</f>
        <v/>
      </c>
      <c r="O725" s="9">
        <f>$O$1*LN(E725/E724)</f>
        <v/>
      </c>
      <c r="P725" s="9">
        <f>$P$1*LN(F725/F724)</f>
        <v/>
      </c>
      <c r="Q725" s="9">
        <f>$Q$1*(G725-G724)</f>
        <v/>
      </c>
      <c r="R725" s="9">
        <f>$R$1*(H725-H724)</f>
        <v/>
      </c>
      <c r="S725" s="9">
        <f>$S$1*LN(I725/I724)</f>
        <v/>
      </c>
      <c r="T725" s="9">
        <f>$T$1*LN(J725/J724)</f>
        <v/>
      </c>
      <c r="U725" s="9">
        <f>$W$12+$W$4*M725+$W$5*N725+$W$6*O725+$W$7*P725+$W$8*Q725+$W$9*R725+$W$10*S725+$W$11*T725</f>
        <v/>
      </c>
      <c r="AA725" s="10">
        <f>INDEX(LINEST(L466:L725,M466:T725,TRUE,TRUE),1,9)*52</f>
        <v/>
      </c>
      <c r="AB725" s="9">
        <f>INDEX(LINEST(L466:L725,M466:T725,TRUE,TRUE),1,8)</f>
        <v/>
      </c>
      <c r="AC725" s="9">
        <f>INDEX(LINEST(L466:L725,M466:T725,TRUE,TRUE),1,7)</f>
        <v/>
      </c>
      <c r="AD725" s="9">
        <f>INDEX(LINEST(L466:L725,M466:T725,TRUE,TRUE),1,6)</f>
        <v/>
      </c>
      <c r="AE725" s="9">
        <f>INDEX(LINEST(L466:L725,M466:T725,TRUE,TRUE),1,5)</f>
        <v/>
      </c>
      <c r="AF725" s="9">
        <f>INDEX(LINEST(L466:L725,M466:T725,TRUE,TRUE),1,4)</f>
        <v/>
      </c>
      <c r="AG725" s="9">
        <f>INDEX(LINEST(L466:L725,M466:T725,TRUE,TRUE),1,3)</f>
        <v/>
      </c>
      <c r="AH725" s="9">
        <f>INDEX(LINEST(L466:L725,M466:T725,TRUE,TRUE),1,2)</f>
        <v/>
      </c>
      <c r="AI725" s="9">
        <f>INDEX(LINEST(L466:L725,M466:T725,TRUE,TRUE),1,1)</f>
        <v/>
      </c>
      <c r="AJ725" s="10">
        <f>INDEX(LINEST(L466:L725,M466:T725,TRUE,TRUE),3,1)</f>
        <v/>
      </c>
      <c r="AK725" s="9">
        <f>AA724/52+AB724*M725+AC724*N725+AD724*O725+AE724*P725+AF724*Q725+AG724*R725+AH724*S725+AI724*T725</f>
        <v/>
      </c>
      <c r="AL725" s="9">
        <f>AVERAGE(L465:L724)</f>
        <v/>
      </c>
    </row>
    <row r="726">
      <c r="A726" s="7" t="n">
        <v>42692</v>
      </c>
      <c r="B726" s="8" t="n">
        <v>1211</v>
      </c>
      <c r="C726" s="8" t="n">
        <v>1.9</v>
      </c>
      <c r="D726" s="8" t="n">
        <v>0.44</v>
      </c>
      <c r="E726" s="8" t="n">
        <v>101.209999</v>
      </c>
      <c r="F726" s="8" t="n">
        <v>45.69</v>
      </c>
      <c r="G726" s="8" t="n">
        <v>12.85</v>
      </c>
      <c r="H726" s="8" t="n">
        <v>81.650002</v>
      </c>
      <c r="I726" s="8" t="n">
        <v>2181.899902</v>
      </c>
      <c r="J726" s="8" t="n">
        <v>82.63681800000001</v>
      </c>
      <c r="L726" s="9">
        <f>LN(B726/B725)</f>
        <v/>
      </c>
      <c r="M726" s="9">
        <f>$M$1*(C726-C725)</f>
        <v/>
      </c>
      <c r="N726" s="9">
        <f>$N$1*(D726-D725)</f>
        <v/>
      </c>
      <c r="O726" s="9">
        <f>$O$1*LN(E726/E725)</f>
        <v/>
      </c>
      <c r="P726" s="9">
        <f>$P$1*LN(F726/F725)</f>
        <v/>
      </c>
      <c r="Q726" s="9">
        <f>$Q$1*(G726-G725)</f>
        <v/>
      </c>
      <c r="R726" s="9">
        <f>$R$1*(H726-H725)</f>
        <v/>
      </c>
      <c r="S726" s="9">
        <f>$S$1*LN(I726/I725)</f>
        <v/>
      </c>
      <c r="T726" s="9">
        <f>$T$1*LN(J726/J725)</f>
        <v/>
      </c>
      <c r="U726" s="9">
        <f>$W$12+$W$4*M726+$W$5*N726+$W$6*O726+$W$7*P726+$W$8*Q726+$W$9*R726+$W$10*S726+$W$11*T726</f>
        <v/>
      </c>
      <c r="AA726" s="10">
        <f>INDEX(LINEST(L467:L726,M467:T726,TRUE,TRUE),1,9)*52</f>
        <v/>
      </c>
      <c r="AB726" s="9">
        <f>INDEX(LINEST(L467:L726,M467:T726,TRUE,TRUE),1,8)</f>
        <v/>
      </c>
      <c r="AC726" s="9">
        <f>INDEX(LINEST(L467:L726,M467:T726,TRUE,TRUE),1,7)</f>
        <v/>
      </c>
      <c r="AD726" s="9">
        <f>INDEX(LINEST(L467:L726,M467:T726,TRUE,TRUE),1,6)</f>
        <v/>
      </c>
      <c r="AE726" s="9">
        <f>INDEX(LINEST(L467:L726,M467:T726,TRUE,TRUE),1,5)</f>
        <v/>
      </c>
      <c r="AF726" s="9">
        <f>INDEX(LINEST(L467:L726,M467:T726,TRUE,TRUE),1,4)</f>
        <v/>
      </c>
      <c r="AG726" s="9">
        <f>INDEX(LINEST(L467:L726,M467:T726,TRUE,TRUE),1,3)</f>
        <v/>
      </c>
      <c r="AH726" s="9">
        <f>INDEX(LINEST(L467:L726,M467:T726,TRUE,TRUE),1,2)</f>
        <v/>
      </c>
      <c r="AI726" s="9">
        <f>INDEX(LINEST(L467:L726,M467:T726,TRUE,TRUE),1,1)</f>
        <v/>
      </c>
      <c r="AJ726" s="10">
        <f>INDEX(LINEST(L467:L726,M467:T726,TRUE,TRUE),3,1)</f>
        <v/>
      </c>
      <c r="AK726" s="9">
        <f>AA725/52+AB725*M726+AC725*N726+AD725*O726+AE725*P726+AF725*Q726+AG725*R726+AH725*S726+AI725*T726</f>
        <v/>
      </c>
      <c r="AL726" s="9">
        <f>AVERAGE(L466:L725)</f>
        <v/>
      </c>
    </row>
    <row r="727">
      <c r="A727" s="7" t="n">
        <v>42699</v>
      </c>
      <c r="B727" s="8" t="n">
        <v>1187.7</v>
      </c>
      <c r="C727" s="8" t="n">
        <v>1.89</v>
      </c>
      <c r="D727" s="8" t="n">
        <v>0.47</v>
      </c>
      <c r="E727" s="8" t="n">
        <v>101.489998</v>
      </c>
      <c r="F727" s="8" t="n">
        <v>46.72</v>
      </c>
      <c r="G727" s="8" t="n">
        <v>12.34</v>
      </c>
      <c r="H727" s="8" t="n">
        <v>79.69000200000001</v>
      </c>
      <c r="I727" s="8" t="n">
        <v>2213.350098</v>
      </c>
      <c r="J727" s="8" t="n">
        <v>82.484283</v>
      </c>
      <c r="L727" s="9">
        <f>LN(B727/B726)</f>
        <v/>
      </c>
      <c r="M727" s="9">
        <f>$M$1*(C727-C726)</f>
        <v/>
      </c>
      <c r="N727" s="9">
        <f>$N$1*(D727-D726)</f>
        <v/>
      </c>
      <c r="O727" s="9">
        <f>$O$1*LN(E727/E726)</f>
        <v/>
      </c>
      <c r="P727" s="9">
        <f>$P$1*LN(F727/F726)</f>
        <v/>
      </c>
      <c r="Q727" s="9">
        <f>$Q$1*(G727-G726)</f>
        <v/>
      </c>
      <c r="R727" s="9">
        <f>$R$1*(H727-H726)</f>
        <v/>
      </c>
      <c r="S727" s="9">
        <f>$S$1*LN(I727/I726)</f>
        <v/>
      </c>
      <c r="T727" s="9">
        <f>$T$1*LN(J727/J726)</f>
        <v/>
      </c>
      <c r="U727" s="9">
        <f>$W$12+$W$4*M727+$W$5*N727+$W$6*O727+$W$7*P727+$W$8*Q727+$W$9*R727+$W$10*S727+$W$11*T727</f>
        <v/>
      </c>
      <c r="AA727" s="10">
        <f>INDEX(LINEST(L468:L727,M468:T727,TRUE,TRUE),1,9)*52</f>
        <v/>
      </c>
      <c r="AB727" s="9">
        <f>INDEX(LINEST(L468:L727,M468:T727,TRUE,TRUE),1,8)</f>
        <v/>
      </c>
      <c r="AC727" s="9">
        <f>INDEX(LINEST(L468:L727,M468:T727,TRUE,TRUE),1,7)</f>
        <v/>
      </c>
      <c r="AD727" s="9">
        <f>INDEX(LINEST(L468:L727,M468:T727,TRUE,TRUE),1,6)</f>
        <v/>
      </c>
      <c r="AE727" s="9">
        <f>INDEX(LINEST(L468:L727,M468:T727,TRUE,TRUE),1,5)</f>
        <v/>
      </c>
      <c r="AF727" s="9">
        <f>INDEX(LINEST(L468:L727,M468:T727,TRUE,TRUE),1,4)</f>
        <v/>
      </c>
      <c r="AG727" s="9">
        <f>INDEX(LINEST(L468:L727,M468:T727,TRUE,TRUE),1,3)</f>
        <v/>
      </c>
      <c r="AH727" s="9">
        <f>INDEX(LINEST(L468:L727,M468:T727,TRUE,TRUE),1,2)</f>
        <v/>
      </c>
      <c r="AI727" s="9">
        <f>INDEX(LINEST(L468:L727,M468:T727,TRUE,TRUE),1,1)</f>
        <v/>
      </c>
      <c r="AJ727" s="10">
        <f>INDEX(LINEST(L468:L727,M468:T727,TRUE,TRUE),3,1)</f>
        <v/>
      </c>
      <c r="AK727" s="9">
        <f>AA726/52+AB726*M727+AC726*N727+AD726*O727+AE726*P727+AF726*Q727+AG726*R727+AH726*S727+AI726*T727</f>
        <v/>
      </c>
      <c r="AL727" s="9">
        <f>AVERAGE(L467:L726)</f>
        <v/>
      </c>
    </row>
    <row r="728">
      <c r="A728" s="7" t="n">
        <v>42706</v>
      </c>
      <c r="B728" s="8" t="n">
        <v>1173.5</v>
      </c>
      <c r="C728" s="8" t="n">
        <v>1.91</v>
      </c>
      <c r="D728" s="8" t="n">
        <v>0.49</v>
      </c>
      <c r="E728" s="8" t="n">
        <v>100.769997</v>
      </c>
      <c r="F728" s="8" t="n">
        <v>51.7</v>
      </c>
      <c r="G728" s="8" t="n">
        <v>14.12</v>
      </c>
      <c r="H728" s="8" t="n">
        <v>82.05999799999999</v>
      </c>
      <c r="I728" s="8" t="n">
        <v>2191.949951</v>
      </c>
      <c r="J728" s="8" t="n">
        <v>82.525452</v>
      </c>
      <c r="L728" s="9">
        <f>LN(B728/B727)</f>
        <v/>
      </c>
      <c r="M728" s="9">
        <f>$M$1*(C728-C727)</f>
        <v/>
      </c>
      <c r="N728" s="9">
        <f>$N$1*(D728-D727)</f>
        <v/>
      </c>
      <c r="O728" s="9">
        <f>$O$1*LN(E728/E727)</f>
        <v/>
      </c>
      <c r="P728" s="9">
        <f>$P$1*LN(F728/F727)</f>
        <v/>
      </c>
      <c r="Q728" s="9">
        <f>$Q$1*(G728-G727)</f>
        <v/>
      </c>
      <c r="R728" s="9">
        <f>$R$1*(H728-H727)</f>
        <v/>
      </c>
      <c r="S728" s="9">
        <f>$S$1*LN(I728/I727)</f>
        <v/>
      </c>
      <c r="T728" s="9">
        <f>$T$1*LN(J728/J727)</f>
        <v/>
      </c>
      <c r="U728" s="9">
        <f>$W$12+$W$4*M728+$W$5*N728+$W$6*O728+$W$7*P728+$W$8*Q728+$W$9*R728+$W$10*S728+$W$11*T728</f>
        <v/>
      </c>
      <c r="AA728" s="10">
        <f>INDEX(LINEST(L469:L728,M469:T728,TRUE,TRUE),1,9)*52</f>
        <v/>
      </c>
      <c r="AB728" s="9">
        <f>INDEX(LINEST(L469:L728,M469:T728,TRUE,TRUE),1,8)</f>
        <v/>
      </c>
      <c r="AC728" s="9">
        <f>INDEX(LINEST(L469:L728,M469:T728,TRUE,TRUE),1,7)</f>
        <v/>
      </c>
      <c r="AD728" s="9">
        <f>INDEX(LINEST(L469:L728,M469:T728,TRUE,TRUE),1,6)</f>
        <v/>
      </c>
      <c r="AE728" s="9">
        <f>INDEX(LINEST(L469:L728,M469:T728,TRUE,TRUE),1,5)</f>
        <v/>
      </c>
      <c r="AF728" s="9">
        <f>INDEX(LINEST(L469:L728,M469:T728,TRUE,TRUE),1,4)</f>
        <v/>
      </c>
      <c r="AG728" s="9">
        <f>INDEX(LINEST(L469:L728,M469:T728,TRUE,TRUE),1,3)</f>
        <v/>
      </c>
      <c r="AH728" s="9">
        <f>INDEX(LINEST(L469:L728,M469:T728,TRUE,TRUE),1,2)</f>
        <v/>
      </c>
      <c r="AI728" s="9">
        <f>INDEX(LINEST(L469:L728,M469:T728,TRUE,TRUE),1,1)</f>
        <v/>
      </c>
      <c r="AJ728" s="10">
        <f>INDEX(LINEST(L469:L728,M469:T728,TRUE,TRUE),3,1)</f>
        <v/>
      </c>
      <c r="AK728" s="9">
        <f>AA727/52+AB727*M728+AC727*N728+AD727*O728+AE727*P728+AF727*Q728+AG727*R728+AH727*S728+AI727*T728</f>
        <v/>
      </c>
      <c r="AL728" s="9">
        <f>AVERAGE(L468:L727)</f>
        <v/>
      </c>
    </row>
    <row r="729">
      <c r="A729" s="7" t="n">
        <v>42713</v>
      </c>
      <c r="B729" s="8" t="n">
        <v>1163.6</v>
      </c>
      <c r="C729" s="8" t="n">
        <v>1.96</v>
      </c>
      <c r="D729" s="8" t="n">
        <v>0.51</v>
      </c>
      <c r="E729" s="8" t="n">
        <v>101.57</v>
      </c>
      <c r="F729" s="8" t="n">
        <v>51.51</v>
      </c>
      <c r="G729" s="8" t="n">
        <v>11.75</v>
      </c>
      <c r="H729" s="8" t="n">
        <v>75.550003</v>
      </c>
      <c r="I729" s="8" t="n">
        <v>2259.530029</v>
      </c>
      <c r="J729" s="8" t="n">
        <v>82.387901</v>
      </c>
      <c r="L729" s="9">
        <f>LN(B729/B728)</f>
        <v/>
      </c>
      <c r="M729" s="9">
        <f>$M$1*(C729-C728)</f>
        <v/>
      </c>
      <c r="N729" s="9">
        <f>$N$1*(D729-D728)</f>
        <v/>
      </c>
      <c r="O729" s="9">
        <f>$O$1*LN(E729/E728)</f>
        <v/>
      </c>
      <c r="P729" s="9">
        <f>$P$1*LN(F729/F728)</f>
        <v/>
      </c>
      <c r="Q729" s="9">
        <f>$Q$1*(G729-G728)</f>
        <v/>
      </c>
      <c r="R729" s="9">
        <f>$R$1*(H729-H728)</f>
        <v/>
      </c>
      <c r="S729" s="9">
        <f>$S$1*LN(I729/I728)</f>
        <v/>
      </c>
      <c r="T729" s="9">
        <f>$T$1*LN(J729/J728)</f>
        <v/>
      </c>
      <c r="U729" s="9">
        <f>$W$12+$W$4*M729+$W$5*N729+$W$6*O729+$W$7*P729+$W$8*Q729+$W$9*R729+$W$10*S729+$W$11*T729</f>
        <v/>
      </c>
      <c r="AA729" s="10">
        <f>INDEX(LINEST(L470:L729,M470:T729,TRUE,TRUE),1,9)*52</f>
        <v/>
      </c>
      <c r="AB729" s="9">
        <f>INDEX(LINEST(L470:L729,M470:T729,TRUE,TRUE),1,8)</f>
        <v/>
      </c>
      <c r="AC729" s="9">
        <f>INDEX(LINEST(L470:L729,M470:T729,TRUE,TRUE),1,7)</f>
        <v/>
      </c>
      <c r="AD729" s="9">
        <f>INDEX(LINEST(L470:L729,M470:T729,TRUE,TRUE),1,6)</f>
        <v/>
      </c>
      <c r="AE729" s="9">
        <f>INDEX(LINEST(L470:L729,M470:T729,TRUE,TRUE),1,5)</f>
        <v/>
      </c>
      <c r="AF729" s="9">
        <f>INDEX(LINEST(L470:L729,M470:T729,TRUE,TRUE),1,4)</f>
        <v/>
      </c>
      <c r="AG729" s="9">
        <f>INDEX(LINEST(L470:L729,M470:T729,TRUE,TRUE),1,3)</f>
        <v/>
      </c>
      <c r="AH729" s="9">
        <f>INDEX(LINEST(L470:L729,M470:T729,TRUE,TRUE),1,2)</f>
        <v/>
      </c>
      <c r="AI729" s="9">
        <f>INDEX(LINEST(L470:L729,M470:T729,TRUE,TRUE),1,1)</f>
        <v/>
      </c>
      <c r="AJ729" s="10">
        <f>INDEX(LINEST(L470:L729,M470:T729,TRUE,TRUE),3,1)</f>
        <v/>
      </c>
      <c r="AK729" s="9">
        <f>AA728/52+AB728*M729+AC728*N729+AD728*O729+AE728*P729+AF728*Q729+AG728*R729+AH728*S729+AI728*T729</f>
        <v/>
      </c>
      <c r="AL729" s="9">
        <f>AVERAGE(L469:L728)</f>
        <v/>
      </c>
    </row>
    <row r="730">
      <c r="A730" s="7" t="n">
        <v>42720</v>
      </c>
      <c r="B730" s="8" t="n">
        <v>1131.6</v>
      </c>
      <c r="C730" s="8" t="n">
        <v>1.86</v>
      </c>
      <c r="D730" s="8" t="n">
        <v>0.74</v>
      </c>
      <c r="E730" s="8" t="n">
        <v>102.949997</v>
      </c>
      <c r="F730" s="8" t="n">
        <v>51.93</v>
      </c>
      <c r="G730" s="8" t="n">
        <v>12.2</v>
      </c>
      <c r="H730" s="8" t="n">
        <v>78.220001</v>
      </c>
      <c r="I730" s="8" t="n">
        <v>2258.070068</v>
      </c>
      <c r="J730" s="8" t="n">
        <v>81.92188299999999</v>
      </c>
      <c r="L730" s="9">
        <f>LN(B730/B729)</f>
        <v/>
      </c>
      <c r="M730" s="9">
        <f>$M$1*(C730-C729)</f>
        <v/>
      </c>
      <c r="N730" s="9">
        <f>$N$1*(D730-D729)</f>
        <v/>
      </c>
      <c r="O730" s="9">
        <f>$O$1*LN(E730/E729)</f>
        <v/>
      </c>
      <c r="P730" s="9">
        <f>$P$1*LN(F730/F729)</f>
        <v/>
      </c>
      <c r="Q730" s="9">
        <f>$Q$1*(G730-G729)</f>
        <v/>
      </c>
      <c r="R730" s="9">
        <f>$R$1*(H730-H729)</f>
        <v/>
      </c>
      <c r="S730" s="9">
        <f>$S$1*LN(I730/I729)</f>
        <v/>
      </c>
      <c r="T730" s="9">
        <f>$T$1*LN(J730/J729)</f>
        <v/>
      </c>
      <c r="U730" s="9">
        <f>$W$12+$W$4*M730+$W$5*N730+$W$6*O730+$W$7*P730+$W$8*Q730+$W$9*R730+$W$10*S730+$W$11*T730</f>
        <v/>
      </c>
      <c r="AA730" s="10">
        <f>INDEX(LINEST(L471:L730,M471:T730,TRUE,TRUE),1,9)*52</f>
        <v/>
      </c>
      <c r="AB730" s="9">
        <f>INDEX(LINEST(L471:L730,M471:T730,TRUE,TRUE),1,8)</f>
        <v/>
      </c>
      <c r="AC730" s="9">
        <f>INDEX(LINEST(L471:L730,M471:T730,TRUE,TRUE),1,7)</f>
        <v/>
      </c>
      <c r="AD730" s="9">
        <f>INDEX(LINEST(L471:L730,M471:T730,TRUE,TRUE),1,6)</f>
        <v/>
      </c>
      <c r="AE730" s="9">
        <f>INDEX(LINEST(L471:L730,M471:T730,TRUE,TRUE),1,5)</f>
        <v/>
      </c>
      <c r="AF730" s="9">
        <f>INDEX(LINEST(L471:L730,M471:T730,TRUE,TRUE),1,4)</f>
        <v/>
      </c>
      <c r="AG730" s="9">
        <f>INDEX(LINEST(L471:L730,M471:T730,TRUE,TRUE),1,3)</f>
        <v/>
      </c>
      <c r="AH730" s="9">
        <f>INDEX(LINEST(L471:L730,M471:T730,TRUE,TRUE),1,2)</f>
        <v/>
      </c>
      <c r="AI730" s="9">
        <f>INDEX(LINEST(L471:L730,M471:T730,TRUE,TRUE),1,1)</f>
        <v/>
      </c>
      <c r="AJ730" s="10">
        <f>INDEX(LINEST(L471:L730,M471:T730,TRUE,TRUE),3,1)</f>
        <v/>
      </c>
      <c r="AK730" s="9">
        <f>AA729/52+AB729*M730+AC729*N730+AD729*O730+AE729*P730+AF729*Q730+AG729*R730+AH729*S730+AI729*T730</f>
        <v/>
      </c>
      <c r="AL730" s="9">
        <f>AVERAGE(L470:L729)</f>
        <v/>
      </c>
    </row>
    <row r="731">
      <c r="A731" s="7" t="n">
        <v>42727</v>
      </c>
      <c r="B731" s="8" t="n">
        <v>1131.35</v>
      </c>
      <c r="C731" s="8" t="n">
        <v>1.97</v>
      </c>
      <c r="D731" s="8" t="n">
        <v>0.58</v>
      </c>
      <c r="E731" s="8" t="n">
        <v>103.010002</v>
      </c>
      <c r="F731" s="8" t="n">
        <v>52.01</v>
      </c>
      <c r="G731" s="8" t="n">
        <v>11.44</v>
      </c>
      <c r="H731" s="8" t="n">
        <v>72.56999999999999</v>
      </c>
      <c r="I731" s="8" t="n">
        <v>2263.790039</v>
      </c>
      <c r="J731" s="8" t="n">
        <v>82.257294</v>
      </c>
      <c r="L731" s="9">
        <f>LN(B731/B730)</f>
        <v/>
      </c>
      <c r="M731" s="9">
        <f>$M$1*(C731-C730)</f>
        <v/>
      </c>
      <c r="N731" s="9">
        <f>$N$1*(D731-D730)</f>
        <v/>
      </c>
      <c r="O731" s="9">
        <f>$O$1*LN(E731/E730)</f>
        <v/>
      </c>
      <c r="P731" s="9">
        <f>$P$1*LN(F731/F730)</f>
        <v/>
      </c>
      <c r="Q731" s="9">
        <f>$Q$1*(G731-G730)</f>
        <v/>
      </c>
      <c r="R731" s="9">
        <f>$R$1*(H731-H730)</f>
        <v/>
      </c>
      <c r="S731" s="9">
        <f>$S$1*LN(I731/I730)</f>
        <v/>
      </c>
      <c r="T731" s="9">
        <f>$T$1*LN(J731/J730)</f>
        <v/>
      </c>
      <c r="U731" s="9">
        <f>$W$12+$W$4*M731+$W$5*N731+$W$6*O731+$W$7*P731+$W$8*Q731+$W$9*R731+$W$10*S731+$W$11*T731</f>
        <v/>
      </c>
      <c r="AA731" s="10">
        <f>INDEX(LINEST(L472:L731,M472:T731,TRUE,TRUE),1,9)*52</f>
        <v/>
      </c>
      <c r="AB731" s="9">
        <f>INDEX(LINEST(L472:L731,M472:T731,TRUE,TRUE),1,8)</f>
        <v/>
      </c>
      <c r="AC731" s="9">
        <f>INDEX(LINEST(L472:L731,M472:T731,TRUE,TRUE),1,7)</f>
        <v/>
      </c>
      <c r="AD731" s="9">
        <f>INDEX(LINEST(L472:L731,M472:T731,TRUE,TRUE),1,6)</f>
        <v/>
      </c>
      <c r="AE731" s="9">
        <f>INDEX(LINEST(L472:L731,M472:T731,TRUE,TRUE),1,5)</f>
        <v/>
      </c>
      <c r="AF731" s="9">
        <f>INDEX(LINEST(L472:L731,M472:T731,TRUE,TRUE),1,4)</f>
        <v/>
      </c>
      <c r="AG731" s="9">
        <f>INDEX(LINEST(L472:L731,M472:T731,TRUE,TRUE),1,3)</f>
        <v/>
      </c>
      <c r="AH731" s="9">
        <f>INDEX(LINEST(L472:L731,M472:T731,TRUE,TRUE),1,2)</f>
        <v/>
      </c>
      <c r="AI731" s="9">
        <f>INDEX(LINEST(L472:L731,M472:T731,TRUE,TRUE),1,1)</f>
        <v/>
      </c>
      <c r="AJ731" s="10">
        <f>INDEX(LINEST(L472:L731,M472:T731,TRUE,TRUE),3,1)</f>
        <v/>
      </c>
      <c r="AK731" s="9">
        <f>AA730/52+AB730*M731+AC730*N731+AD730*O731+AE730*P731+AF730*Q731+AG730*R731+AH730*S731+AI730*T731</f>
        <v/>
      </c>
      <c r="AL731" s="9">
        <f>AVERAGE(L471:L730)</f>
        <v/>
      </c>
    </row>
    <row r="732">
      <c r="A732" s="7" t="n">
        <v>42734</v>
      </c>
      <c r="B732" s="8" t="n">
        <v>1145.9</v>
      </c>
      <c r="C732" s="8" t="n">
        <v>1.95</v>
      </c>
      <c r="D732" s="8" t="n">
        <v>0.5</v>
      </c>
      <c r="E732" s="8" t="n">
        <v>102.389999</v>
      </c>
      <c r="F732" s="8" t="n">
        <v>53.75</v>
      </c>
      <c r="G732" s="8" t="n">
        <v>14.04</v>
      </c>
      <c r="H732" s="8" t="n">
        <v>71.629997</v>
      </c>
      <c r="I732" s="8" t="n">
        <v>2238.830078</v>
      </c>
      <c r="J732" s="8" t="n">
        <v>82.74741400000001</v>
      </c>
      <c r="L732" s="9">
        <f>LN(B732/B731)</f>
        <v/>
      </c>
      <c r="M732" s="9">
        <f>$M$1*(C732-C731)</f>
        <v/>
      </c>
      <c r="N732" s="9">
        <f>$N$1*(D732-D731)</f>
        <v/>
      </c>
      <c r="O732" s="9">
        <f>$O$1*LN(E732/E731)</f>
        <v/>
      </c>
      <c r="P732" s="9">
        <f>$P$1*LN(F732/F731)</f>
        <v/>
      </c>
      <c r="Q732" s="9">
        <f>$Q$1*(G732-G731)</f>
        <v/>
      </c>
      <c r="R732" s="9">
        <f>$R$1*(H732-H731)</f>
        <v/>
      </c>
      <c r="S732" s="9">
        <f>$S$1*LN(I732/I731)</f>
        <v/>
      </c>
      <c r="T732" s="9">
        <f>$T$1*LN(J732/J731)</f>
        <v/>
      </c>
      <c r="U732" s="9">
        <f>$W$12+$W$4*M732+$W$5*N732+$W$6*O732+$W$7*P732+$W$8*Q732+$W$9*R732+$W$10*S732+$W$11*T732</f>
        <v/>
      </c>
      <c r="AA732" s="10">
        <f>INDEX(LINEST(L473:L732,M473:T732,TRUE,TRUE),1,9)*52</f>
        <v/>
      </c>
      <c r="AB732" s="9">
        <f>INDEX(LINEST(L473:L732,M473:T732,TRUE,TRUE),1,8)</f>
        <v/>
      </c>
      <c r="AC732" s="9">
        <f>INDEX(LINEST(L473:L732,M473:T732,TRUE,TRUE),1,7)</f>
        <v/>
      </c>
      <c r="AD732" s="9">
        <f>INDEX(LINEST(L473:L732,M473:T732,TRUE,TRUE),1,6)</f>
        <v/>
      </c>
      <c r="AE732" s="9">
        <f>INDEX(LINEST(L473:L732,M473:T732,TRUE,TRUE),1,5)</f>
        <v/>
      </c>
      <c r="AF732" s="9">
        <f>INDEX(LINEST(L473:L732,M473:T732,TRUE,TRUE),1,4)</f>
        <v/>
      </c>
      <c r="AG732" s="9">
        <f>INDEX(LINEST(L473:L732,M473:T732,TRUE,TRUE),1,3)</f>
        <v/>
      </c>
      <c r="AH732" s="9">
        <f>INDEX(LINEST(L473:L732,M473:T732,TRUE,TRUE),1,2)</f>
        <v/>
      </c>
      <c r="AI732" s="9">
        <f>INDEX(LINEST(L473:L732,M473:T732,TRUE,TRUE),1,1)</f>
        <v/>
      </c>
      <c r="AJ732" s="10">
        <f>INDEX(LINEST(L473:L732,M473:T732,TRUE,TRUE),3,1)</f>
        <v/>
      </c>
      <c r="AK732" s="9">
        <f>AA731/52+AB731*M732+AC731*N732+AD731*O732+AE731*P732+AF731*Q732+AG731*R732+AH731*S732+AI731*T732</f>
        <v/>
      </c>
      <c r="AL732" s="9">
        <f>AVERAGE(L472:L731)</f>
        <v/>
      </c>
    </row>
    <row r="733">
      <c r="A733" s="7" t="n">
        <v>42741</v>
      </c>
      <c r="B733" s="8" t="n">
        <v>1175.85</v>
      </c>
      <c r="C733" s="8" t="n">
        <v>1.96</v>
      </c>
      <c r="D733" s="8" t="n">
        <v>0.46</v>
      </c>
      <c r="E733" s="8" t="n">
        <v>102.220001</v>
      </c>
      <c r="F733" s="8" t="n">
        <v>53.98</v>
      </c>
      <c r="G733" s="8" t="n">
        <v>11.32</v>
      </c>
      <c r="H733" s="8" t="n">
        <v>75.239998</v>
      </c>
      <c r="I733" s="8" t="n">
        <v>2276.97998</v>
      </c>
      <c r="J733" s="8" t="n">
        <v>82.923485</v>
      </c>
      <c r="L733" s="9">
        <f>LN(B733/B732)</f>
        <v/>
      </c>
      <c r="M733" s="9">
        <f>$M$1*(C733-C732)</f>
        <v/>
      </c>
      <c r="N733" s="9">
        <f>$N$1*(D733-D732)</f>
        <v/>
      </c>
      <c r="O733" s="9">
        <f>$O$1*LN(E733/E732)</f>
        <v/>
      </c>
      <c r="P733" s="9">
        <f>$P$1*LN(F733/F732)</f>
        <v/>
      </c>
      <c r="Q733" s="9">
        <f>$Q$1*(G733-G732)</f>
        <v/>
      </c>
      <c r="R733" s="9">
        <f>$R$1*(H733-H732)</f>
        <v/>
      </c>
      <c r="S733" s="9">
        <f>$S$1*LN(I733/I732)</f>
        <v/>
      </c>
      <c r="T733" s="9">
        <f>$T$1*LN(J733/J732)</f>
        <v/>
      </c>
      <c r="U733" s="9">
        <f>$W$12+$W$4*M733+$W$5*N733+$W$6*O733+$W$7*P733+$W$8*Q733+$W$9*R733+$W$10*S733+$W$11*T733</f>
        <v/>
      </c>
      <c r="AA733" s="10">
        <f>INDEX(LINEST(L474:L733,M474:T733,TRUE,TRUE),1,9)*52</f>
        <v/>
      </c>
      <c r="AB733" s="9">
        <f>INDEX(LINEST(L474:L733,M474:T733,TRUE,TRUE),1,8)</f>
        <v/>
      </c>
      <c r="AC733" s="9">
        <f>INDEX(LINEST(L474:L733,M474:T733,TRUE,TRUE),1,7)</f>
        <v/>
      </c>
      <c r="AD733" s="9">
        <f>INDEX(LINEST(L474:L733,M474:T733,TRUE,TRUE),1,6)</f>
        <v/>
      </c>
      <c r="AE733" s="9">
        <f>INDEX(LINEST(L474:L733,M474:T733,TRUE,TRUE),1,5)</f>
        <v/>
      </c>
      <c r="AF733" s="9">
        <f>INDEX(LINEST(L474:L733,M474:T733,TRUE,TRUE),1,4)</f>
        <v/>
      </c>
      <c r="AG733" s="9">
        <f>INDEX(LINEST(L474:L733,M474:T733,TRUE,TRUE),1,3)</f>
        <v/>
      </c>
      <c r="AH733" s="9">
        <f>INDEX(LINEST(L474:L733,M474:T733,TRUE,TRUE),1,2)</f>
        <v/>
      </c>
      <c r="AI733" s="9">
        <f>INDEX(LINEST(L474:L733,M474:T733,TRUE,TRUE),1,1)</f>
        <v/>
      </c>
      <c r="AJ733" s="10">
        <f>INDEX(LINEST(L474:L733,M474:T733,TRUE,TRUE),3,1)</f>
        <v/>
      </c>
      <c r="AK733" s="9">
        <f>AA732/52+AB732*M733+AC732*N733+AD732*O733+AE732*P733+AF732*Q733+AG732*R733+AH732*S733+AI732*T733</f>
        <v/>
      </c>
      <c r="AL733" s="9">
        <f>AVERAGE(L473:L732)</f>
        <v/>
      </c>
    </row>
    <row r="734">
      <c r="A734" s="7" t="n">
        <v>42748</v>
      </c>
      <c r="B734" s="8" t="n">
        <v>1190.35</v>
      </c>
      <c r="C734" s="8" t="n">
        <v>1.99</v>
      </c>
      <c r="D734" s="8" t="n">
        <v>0.41</v>
      </c>
      <c r="E734" s="8" t="n">
        <v>101.18</v>
      </c>
      <c r="F734" s="8" t="n">
        <v>52.36</v>
      </c>
      <c r="G734" s="8" t="n">
        <v>11.23</v>
      </c>
      <c r="H734" s="8" t="n">
        <v>74.5</v>
      </c>
      <c r="I734" s="8" t="n">
        <v>2274.639893</v>
      </c>
      <c r="J734" s="8" t="n">
        <v>83.023079</v>
      </c>
      <c r="L734" s="9">
        <f>LN(B734/B733)</f>
        <v/>
      </c>
      <c r="M734" s="9">
        <f>$M$1*(C734-C733)</f>
        <v/>
      </c>
      <c r="N734" s="9">
        <f>$N$1*(D734-D733)</f>
        <v/>
      </c>
      <c r="O734" s="9">
        <f>$O$1*LN(E734/E733)</f>
        <v/>
      </c>
      <c r="P734" s="9">
        <f>$P$1*LN(F734/F733)</f>
        <v/>
      </c>
      <c r="Q734" s="9">
        <f>$Q$1*(G734-G733)</f>
        <v/>
      </c>
      <c r="R734" s="9">
        <f>$R$1*(H734-H733)</f>
        <v/>
      </c>
      <c r="S734" s="9">
        <f>$S$1*LN(I734/I733)</f>
        <v/>
      </c>
      <c r="T734" s="9">
        <f>$T$1*LN(J734/J733)</f>
        <v/>
      </c>
      <c r="U734" s="9">
        <f>$W$12+$W$4*M734+$W$5*N734+$W$6*O734+$W$7*P734+$W$8*Q734+$W$9*R734+$W$10*S734+$W$11*T734</f>
        <v/>
      </c>
      <c r="AA734" s="10">
        <f>INDEX(LINEST(L475:L734,M475:T734,TRUE,TRUE),1,9)*52</f>
        <v/>
      </c>
      <c r="AB734" s="9">
        <f>INDEX(LINEST(L475:L734,M475:T734,TRUE,TRUE),1,8)</f>
        <v/>
      </c>
      <c r="AC734" s="9">
        <f>INDEX(LINEST(L475:L734,M475:T734,TRUE,TRUE),1,7)</f>
        <v/>
      </c>
      <c r="AD734" s="9">
        <f>INDEX(LINEST(L475:L734,M475:T734,TRUE,TRUE),1,6)</f>
        <v/>
      </c>
      <c r="AE734" s="9">
        <f>INDEX(LINEST(L475:L734,M475:T734,TRUE,TRUE),1,5)</f>
        <v/>
      </c>
      <c r="AF734" s="9">
        <f>INDEX(LINEST(L475:L734,M475:T734,TRUE,TRUE),1,4)</f>
        <v/>
      </c>
      <c r="AG734" s="9">
        <f>INDEX(LINEST(L475:L734,M475:T734,TRUE,TRUE),1,3)</f>
        <v/>
      </c>
      <c r="AH734" s="9">
        <f>INDEX(LINEST(L475:L734,M475:T734,TRUE,TRUE),1,2)</f>
        <v/>
      </c>
      <c r="AI734" s="9">
        <f>INDEX(LINEST(L475:L734,M475:T734,TRUE,TRUE),1,1)</f>
        <v/>
      </c>
      <c r="AJ734" s="10">
        <f>INDEX(LINEST(L475:L734,M475:T734,TRUE,TRUE),3,1)</f>
        <v/>
      </c>
      <c r="AK734" s="9">
        <f>AA733/52+AB733*M734+AC733*N734+AD733*O734+AE733*P734+AF733*Q734+AG733*R734+AH733*S734+AI733*T734</f>
        <v/>
      </c>
      <c r="AL734" s="9">
        <f>AVERAGE(L474:L733)</f>
        <v/>
      </c>
    </row>
    <row r="735">
      <c r="A735" s="7" t="n">
        <v>42755</v>
      </c>
      <c r="B735" s="8" t="n">
        <v>1200.55</v>
      </c>
      <c r="C735" s="8" t="n">
        <v>2.04</v>
      </c>
      <c r="D735" s="8" t="n">
        <v>0.44</v>
      </c>
      <c r="E735" s="8" t="n">
        <v>100.739998</v>
      </c>
      <c r="F735" s="8" t="n">
        <v>52.33</v>
      </c>
      <c r="G735" s="8" t="n">
        <v>11.54</v>
      </c>
      <c r="H735" s="8" t="n">
        <v>76.709999</v>
      </c>
      <c r="I735" s="8" t="n">
        <v>2271.310059</v>
      </c>
      <c r="J735" s="8" t="n">
        <v>82.76274100000001</v>
      </c>
      <c r="L735" s="9">
        <f>LN(B735/B734)</f>
        <v/>
      </c>
      <c r="M735" s="9">
        <f>$M$1*(C735-C734)</f>
        <v/>
      </c>
      <c r="N735" s="9">
        <f>$N$1*(D735-D734)</f>
        <v/>
      </c>
      <c r="O735" s="9">
        <f>$O$1*LN(E735/E734)</f>
        <v/>
      </c>
      <c r="P735" s="9">
        <f>$P$1*LN(F735/F734)</f>
        <v/>
      </c>
      <c r="Q735" s="9">
        <f>$Q$1*(G735-G734)</f>
        <v/>
      </c>
      <c r="R735" s="9">
        <f>$R$1*(H735-H734)</f>
        <v/>
      </c>
      <c r="S735" s="9">
        <f>$S$1*LN(I735/I734)</f>
        <v/>
      </c>
      <c r="T735" s="9">
        <f>$T$1*LN(J735/J734)</f>
        <v/>
      </c>
      <c r="U735" s="9">
        <f>$W$12+$W$4*M735+$W$5*N735+$W$6*O735+$W$7*P735+$W$8*Q735+$W$9*R735+$W$10*S735+$W$11*T735</f>
        <v/>
      </c>
      <c r="AA735" s="10">
        <f>INDEX(LINEST(L476:L735,M476:T735,TRUE,TRUE),1,9)*52</f>
        <v/>
      </c>
      <c r="AB735" s="9">
        <f>INDEX(LINEST(L476:L735,M476:T735,TRUE,TRUE),1,8)</f>
        <v/>
      </c>
      <c r="AC735" s="9">
        <f>INDEX(LINEST(L476:L735,M476:T735,TRUE,TRUE),1,7)</f>
        <v/>
      </c>
      <c r="AD735" s="9">
        <f>INDEX(LINEST(L476:L735,M476:T735,TRUE,TRUE),1,6)</f>
        <v/>
      </c>
      <c r="AE735" s="9">
        <f>INDEX(LINEST(L476:L735,M476:T735,TRUE,TRUE),1,5)</f>
        <v/>
      </c>
      <c r="AF735" s="9">
        <f>INDEX(LINEST(L476:L735,M476:T735,TRUE,TRUE),1,4)</f>
        <v/>
      </c>
      <c r="AG735" s="9">
        <f>INDEX(LINEST(L476:L735,M476:T735,TRUE,TRUE),1,3)</f>
        <v/>
      </c>
      <c r="AH735" s="9">
        <f>INDEX(LINEST(L476:L735,M476:T735,TRUE,TRUE),1,2)</f>
        <v/>
      </c>
      <c r="AI735" s="9">
        <f>INDEX(LINEST(L476:L735,M476:T735,TRUE,TRUE),1,1)</f>
        <v/>
      </c>
      <c r="AJ735" s="10">
        <f>INDEX(LINEST(L476:L735,M476:T735,TRUE,TRUE),3,1)</f>
        <v/>
      </c>
      <c r="AK735" s="9">
        <f>AA734/52+AB734*M735+AC734*N735+AD734*O735+AE734*P735+AF734*Q735+AG734*R735+AH734*S735+AI734*T735</f>
        <v/>
      </c>
      <c r="AL735" s="9">
        <f>AVERAGE(L475:L734)</f>
        <v/>
      </c>
    </row>
    <row r="736">
      <c r="A736" s="7" t="n">
        <v>42762</v>
      </c>
      <c r="B736" s="8" t="n">
        <v>1184.85</v>
      </c>
      <c r="C736" s="8" t="n">
        <v>2.08</v>
      </c>
      <c r="D736" s="8" t="n">
        <v>0.41</v>
      </c>
      <c r="E736" s="8" t="n">
        <v>100.529999</v>
      </c>
      <c r="F736" s="8" t="n">
        <v>53.18</v>
      </c>
      <c r="G736" s="8" t="n">
        <v>10.58</v>
      </c>
      <c r="H736" s="8" t="n">
        <v>72.19000200000001</v>
      </c>
      <c r="I736" s="8" t="n">
        <v>2294.689941</v>
      </c>
      <c r="J736" s="8" t="n">
        <v>82.76274100000001</v>
      </c>
      <c r="L736" s="9">
        <f>LN(B736/B735)</f>
        <v/>
      </c>
      <c r="M736" s="9">
        <f>$M$1*(C736-C735)</f>
        <v/>
      </c>
      <c r="N736" s="9">
        <f>$N$1*(D736-D735)</f>
        <v/>
      </c>
      <c r="O736" s="9">
        <f>$O$1*LN(E736/E735)</f>
        <v/>
      </c>
      <c r="P736" s="9">
        <f>$P$1*LN(F736/F735)</f>
        <v/>
      </c>
      <c r="Q736" s="9">
        <f>$Q$1*(G736-G735)</f>
        <v/>
      </c>
      <c r="R736" s="9">
        <f>$R$1*(H736-H735)</f>
        <v/>
      </c>
      <c r="S736" s="9">
        <f>$S$1*LN(I736/I735)</f>
        <v/>
      </c>
      <c r="T736" s="9">
        <f>$T$1*LN(J736/J735)</f>
        <v/>
      </c>
      <c r="U736" s="9">
        <f>$W$12+$W$4*M736+$W$5*N736+$W$6*O736+$W$7*P736+$W$8*Q736+$W$9*R736+$W$10*S736+$W$11*T736</f>
        <v/>
      </c>
      <c r="AA736" s="10">
        <f>INDEX(LINEST(L477:L736,M477:T736,TRUE,TRUE),1,9)*52</f>
        <v/>
      </c>
      <c r="AB736" s="9">
        <f>INDEX(LINEST(L477:L736,M477:T736,TRUE,TRUE),1,8)</f>
        <v/>
      </c>
      <c r="AC736" s="9">
        <f>INDEX(LINEST(L477:L736,M477:T736,TRUE,TRUE),1,7)</f>
        <v/>
      </c>
      <c r="AD736" s="9">
        <f>INDEX(LINEST(L477:L736,M477:T736,TRUE,TRUE),1,6)</f>
        <v/>
      </c>
      <c r="AE736" s="9">
        <f>INDEX(LINEST(L477:L736,M477:T736,TRUE,TRUE),1,5)</f>
        <v/>
      </c>
      <c r="AF736" s="9">
        <f>INDEX(LINEST(L477:L736,M477:T736,TRUE,TRUE),1,4)</f>
        <v/>
      </c>
      <c r="AG736" s="9">
        <f>INDEX(LINEST(L477:L736,M477:T736,TRUE,TRUE),1,3)</f>
        <v/>
      </c>
      <c r="AH736" s="9">
        <f>INDEX(LINEST(L477:L736,M477:T736,TRUE,TRUE),1,2)</f>
        <v/>
      </c>
      <c r="AI736" s="9">
        <f>INDEX(LINEST(L477:L736,M477:T736,TRUE,TRUE),1,1)</f>
        <v/>
      </c>
      <c r="AJ736" s="10">
        <f>INDEX(LINEST(L477:L736,M477:T736,TRUE,TRUE),3,1)</f>
        <v/>
      </c>
      <c r="AK736" s="9">
        <f>AA735/52+AB735*M736+AC735*N736+AD735*O736+AE735*P736+AF735*Q736+AG735*R736+AH735*S736+AI735*T736</f>
        <v/>
      </c>
      <c r="AL736" s="9">
        <f>AVERAGE(L476:L735)</f>
        <v/>
      </c>
    </row>
    <row r="737">
      <c r="A737" s="7" t="n">
        <v>42769</v>
      </c>
      <c r="B737" s="8" t="n">
        <v>1215.2</v>
      </c>
      <c r="C737" s="8" t="n">
        <v>2.05</v>
      </c>
      <c r="D737" s="8" t="n">
        <v>0.44</v>
      </c>
      <c r="E737" s="8" t="n">
        <v>99.870003</v>
      </c>
      <c r="F737" s="8" t="n">
        <v>53.81</v>
      </c>
      <c r="G737" s="8" t="n">
        <v>10.97</v>
      </c>
      <c r="H737" s="8" t="n">
        <v>67.389999</v>
      </c>
      <c r="I737" s="8" t="n">
        <v>2297.419922</v>
      </c>
      <c r="J737" s="8" t="n">
        <v>82.875992</v>
      </c>
      <c r="L737" s="9">
        <f>LN(B737/B736)</f>
        <v/>
      </c>
      <c r="M737" s="9">
        <f>$M$1*(C737-C736)</f>
        <v/>
      </c>
      <c r="N737" s="9">
        <f>$N$1*(D737-D736)</f>
        <v/>
      </c>
      <c r="O737" s="9">
        <f>$O$1*LN(E737/E736)</f>
        <v/>
      </c>
      <c r="P737" s="9">
        <f>$P$1*LN(F737/F736)</f>
        <v/>
      </c>
      <c r="Q737" s="9">
        <f>$Q$1*(G737-G736)</f>
        <v/>
      </c>
      <c r="R737" s="9">
        <f>$R$1*(H737-H736)</f>
        <v/>
      </c>
      <c r="S737" s="9">
        <f>$S$1*LN(I737/I736)</f>
        <v/>
      </c>
      <c r="T737" s="9">
        <f>$T$1*LN(J737/J736)</f>
        <v/>
      </c>
      <c r="U737" s="9">
        <f>$W$12+$W$4*M737+$W$5*N737+$W$6*O737+$W$7*P737+$W$8*Q737+$W$9*R737+$W$10*S737+$W$11*T737</f>
        <v/>
      </c>
      <c r="AA737" s="10">
        <f>INDEX(LINEST(L478:L737,M478:T737,TRUE,TRUE),1,9)*52</f>
        <v/>
      </c>
      <c r="AB737" s="9">
        <f>INDEX(LINEST(L478:L737,M478:T737,TRUE,TRUE),1,8)</f>
        <v/>
      </c>
      <c r="AC737" s="9">
        <f>INDEX(LINEST(L478:L737,M478:T737,TRUE,TRUE),1,7)</f>
        <v/>
      </c>
      <c r="AD737" s="9">
        <f>INDEX(LINEST(L478:L737,M478:T737,TRUE,TRUE),1,6)</f>
        <v/>
      </c>
      <c r="AE737" s="9">
        <f>INDEX(LINEST(L478:L737,M478:T737,TRUE,TRUE),1,5)</f>
        <v/>
      </c>
      <c r="AF737" s="9">
        <f>INDEX(LINEST(L478:L737,M478:T737,TRUE,TRUE),1,4)</f>
        <v/>
      </c>
      <c r="AG737" s="9">
        <f>INDEX(LINEST(L478:L737,M478:T737,TRUE,TRUE),1,3)</f>
        <v/>
      </c>
      <c r="AH737" s="9">
        <f>INDEX(LINEST(L478:L737,M478:T737,TRUE,TRUE),1,2)</f>
        <v/>
      </c>
      <c r="AI737" s="9">
        <f>INDEX(LINEST(L478:L737,M478:T737,TRUE,TRUE),1,1)</f>
        <v/>
      </c>
      <c r="AJ737" s="10">
        <f>INDEX(LINEST(L478:L737,M478:T737,TRUE,TRUE),3,1)</f>
        <v/>
      </c>
      <c r="AK737" s="9">
        <f>AA736/52+AB736*M737+AC736*N737+AD736*O737+AE736*P737+AF736*Q737+AG736*R737+AH736*S737+AI736*T737</f>
        <v/>
      </c>
      <c r="AL737" s="9">
        <f>AVERAGE(L477:L736)</f>
        <v/>
      </c>
    </row>
    <row r="738">
      <c r="A738" s="7" t="n">
        <v>42776</v>
      </c>
      <c r="B738" s="8" t="n">
        <v>1228.3</v>
      </c>
      <c r="C738" s="8" t="n">
        <v>2.01</v>
      </c>
      <c r="D738" s="8" t="n">
        <v>0.4</v>
      </c>
      <c r="E738" s="8" t="n">
        <v>100.800003</v>
      </c>
      <c r="F738" s="8" t="n">
        <v>53.84</v>
      </c>
      <c r="G738" s="8" t="n">
        <v>10.85</v>
      </c>
      <c r="H738" s="8" t="n">
        <v>69.629997</v>
      </c>
      <c r="I738" s="8" t="n">
        <v>2316.100098</v>
      </c>
      <c r="J738" s="8" t="n">
        <v>83.221237</v>
      </c>
      <c r="L738" s="9">
        <f>LN(B738/B737)</f>
        <v/>
      </c>
      <c r="M738" s="9">
        <f>$M$1*(C738-C737)</f>
        <v/>
      </c>
      <c r="N738" s="9">
        <f>$N$1*(D738-D737)</f>
        <v/>
      </c>
      <c r="O738" s="9">
        <f>$O$1*LN(E738/E737)</f>
        <v/>
      </c>
      <c r="P738" s="9">
        <f>$P$1*LN(F738/F737)</f>
        <v/>
      </c>
      <c r="Q738" s="9">
        <f>$Q$1*(G738-G737)</f>
        <v/>
      </c>
      <c r="R738" s="9">
        <f>$R$1*(H738-H737)</f>
        <v/>
      </c>
      <c r="S738" s="9">
        <f>$S$1*LN(I738/I737)</f>
        <v/>
      </c>
      <c r="T738" s="9">
        <f>$T$1*LN(J738/J737)</f>
        <v/>
      </c>
      <c r="U738" s="9">
        <f>$W$12+$W$4*M738+$W$5*N738+$W$6*O738+$W$7*P738+$W$8*Q738+$W$9*R738+$W$10*S738+$W$11*T738</f>
        <v/>
      </c>
      <c r="AA738" s="10">
        <f>INDEX(LINEST(L479:L738,M479:T738,TRUE,TRUE),1,9)*52</f>
        <v/>
      </c>
      <c r="AB738" s="9">
        <f>INDEX(LINEST(L479:L738,M479:T738,TRUE,TRUE),1,8)</f>
        <v/>
      </c>
      <c r="AC738" s="9">
        <f>INDEX(LINEST(L479:L738,M479:T738,TRUE,TRUE),1,7)</f>
        <v/>
      </c>
      <c r="AD738" s="9">
        <f>INDEX(LINEST(L479:L738,M479:T738,TRUE,TRUE),1,6)</f>
        <v/>
      </c>
      <c r="AE738" s="9">
        <f>INDEX(LINEST(L479:L738,M479:T738,TRUE,TRUE),1,5)</f>
        <v/>
      </c>
      <c r="AF738" s="9">
        <f>INDEX(LINEST(L479:L738,M479:T738,TRUE,TRUE),1,4)</f>
        <v/>
      </c>
      <c r="AG738" s="9">
        <f>INDEX(LINEST(L479:L738,M479:T738,TRUE,TRUE),1,3)</f>
        <v/>
      </c>
      <c r="AH738" s="9">
        <f>INDEX(LINEST(L479:L738,M479:T738,TRUE,TRUE),1,2)</f>
        <v/>
      </c>
      <c r="AI738" s="9">
        <f>INDEX(LINEST(L479:L738,M479:T738,TRUE,TRUE),1,1)</f>
        <v/>
      </c>
      <c r="AJ738" s="10">
        <f>INDEX(LINEST(L479:L738,M479:T738,TRUE,TRUE),3,1)</f>
        <v/>
      </c>
      <c r="AK738" s="9">
        <f>AA737/52+AB737*M738+AC737*N738+AD737*O738+AE737*P738+AF737*Q738+AG737*R738+AH737*S738+AI737*T738</f>
        <v/>
      </c>
      <c r="AL738" s="9">
        <f>AVERAGE(L478:L737)</f>
        <v/>
      </c>
    </row>
    <row r="739">
      <c r="A739" s="7" t="n">
        <v>42783</v>
      </c>
      <c r="B739" s="8" t="n">
        <v>1241.95</v>
      </c>
      <c r="C739" s="8" t="n">
        <v>2.01</v>
      </c>
      <c r="D739" s="8" t="n">
        <v>0.41</v>
      </c>
      <c r="E739" s="8" t="n">
        <v>100.949997</v>
      </c>
      <c r="F739" s="8" t="n">
        <v>53.41</v>
      </c>
      <c r="G739" s="8" t="n">
        <v>11.49</v>
      </c>
      <c r="H739" s="8" t="n">
        <v>69.779999</v>
      </c>
      <c r="I739" s="8" t="n">
        <v>2351.159912</v>
      </c>
      <c r="J739" s="8" t="n">
        <v>83.144508</v>
      </c>
      <c r="L739" s="9">
        <f>LN(B739/B738)</f>
        <v/>
      </c>
      <c r="M739" s="9">
        <f>$M$1*(C739-C738)</f>
        <v/>
      </c>
      <c r="N739" s="9">
        <f>$N$1*(D739-D738)</f>
        <v/>
      </c>
      <c r="O739" s="9">
        <f>$O$1*LN(E739/E738)</f>
        <v/>
      </c>
      <c r="P739" s="9">
        <f>$P$1*LN(F739/F738)</f>
        <v/>
      </c>
      <c r="Q739" s="9">
        <f>$Q$1*(G739-G738)</f>
        <v/>
      </c>
      <c r="R739" s="9">
        <f>$R$1*(H739-H738)</f>
        <v/>
      </c>
      <c r="S739" s="9">
        <f>$S$1*LN(I739/I738)</f>
        <v/>
      </c>
      <c r="T739" s="9">
        <f>$T$1*LN(J739/J738)</f>
        <v/>
      </c>
      <c r="U739" s="9">
        <f>$W$12+$W$4*M739+$W$5*N739+$W$6*O739+$W$7*P739+$W$8*Q739+$W$9*R739+$W$10*S739+$W$11*T739</f>
        <v/>
      </c>
      <c r="AA739" s="10">
        <f>INDEX(LINEST(L480:L739,M480:T739,TRUE,TRUE),1,9)*52</f>
        <v/>
      </c>
      <c r="AB739" s="9">
        <f>INDEX(LINEST(L480:L739,M480:T739,TRUE,TRUE),1,8)</f>
        <v/>
      </c>
      <c r="AC739" s="9">
        <f>INDEX(LINEST(L480:L739,M480:T739,TRUE,TRUE),1,7)</f>
        <v/>
      </c>
      <c r="AD739" s="9">
        <f>INDEX(LINEST(L480:L739,M480:T739,TRUE,TRUE),1,6)</f>
        <v/>
      </c>
      <c r="AE739" s="9">
        <f>INDEX(LINEST(L480:L739,M480:T739,TRUE,TRUE),1,5)</f>
        <v/>
      </c>
      <c r="AF739" s="9">
        <f>INDEX(LINEST(L480:L739,M480:T739,TRUE,TRUE),1,4)</f>
        <v/>
      </c>
      <c r="AG739" s="9">
        <f>INDEX(LINEST(L480:L739,M480:T739,TRUE,TRUE),1,3)</f>
        <v/>
      </c>
      <c r="AH739" s="9">
        <f>INDEX(LINEST(L480:L739,M480:T739,TRUE,TRUE),1,2)</f>
        <v/>
      </c>
      <c r="AI739" s="9">
        <f>INDEX(LINEST(L480:L739,M480:T739,TRUE,TRUE),1,1)</f>
        <v/>
      </c>
      <c r="AJ739" s="10">
        <f>INDEX(LINEST(L480:L739,M480:T739,TRUE,TRUE),3,1)</f>
        <v/>
      </c>
      <c r="AK739" s="9">
        <f>AA738/52+AB738*M739+AC738*N739+AD738*O739+AE738*P739+AF738*Q739+AG738*R739+AH738*S739+AI738*T739</f>
        <v/>
      </c>
      <c r="AL739" s="9">
        <f>AVERAGE(L479:L738)</f>
        <v/>
      </c>
    </row>
    <row r="740">
      <c r="A740" s="7" t="n">
        <v>42790</v>
      </c>
      <c r="B740" s="8" t="n">
        <v>1253.65</v>
      </c>
      <c r="C740" s="8" t="n">
        <v>2</v>
      </c>
      <c r="D740" s="8" t="n">
        <v>0.31</v>
      </c>
      <c r="E740" s="8" t="n">
        <v>101.089996</v>
      </c>
      <c r="F740" s="8" t="n">
        <v>53.99</v>
      </c>
      <c r="G740" s="8" t="n">
        <v>11.47</v>
      </c>
      <c r="H740" s="8" t="n">
        <v>69.849998</v>
      </c>
      <c r="I740" s="8" t="n">
        <v>2367.340088</v>
      </c>
      <c r="J740" s="8" t="n">
        <v>83.635582</v>
      </c>
      <c r="L740" s="9">
        <f>LN(B740/B739)</f>
        <v/>
      </c>
      <c r="M740" s="9">
        <f>$M$1*(C740-C739)</f>
        <v/>
      </c>
      <c r="N740" s="9">
        <f>$N$1*(D740-D739)</f>
        <v/>
      </c>
      <c r="O740" s="9">
        <f>$O$1*LN(E740/E739)</f>
        <v/>
      </c>
      <c r="P740" s="9">
        <f>$P$1*LN(F740/F739)</f>
        <v/>
      </c>
      <c r="Q740" s="9">
        <f>$Q$1*(G740-G739)</f>
        <v/>
      </c>
      <c r="R740" s="9">
        <f>$R$1*(H740-H739)</f>
        <v/>
      </c>
      <c r="S740" s="9">
        <f>$S$1*LN(I740/I739)</f>
        <v/>
      </c>
      <c r="T740" s="9">
        <f>$T$1*LN(J740/J739)</f>
        <v/>
      </c>
      <c r="U740" s="9">
        <f>$W$12+$W$4*M740+$W$5*N740+$W$6*O740+$W$7*P740+$W$8*Q740+$W$9*R740+$W$10*S740+$W$11*T740</f>
        <v/>
      </c>
      <c r="AA740" s="10">
        <f>INDEX(LINEST(L481:L740,M481:T740,TRUE,TRUE),1,9)*52</f>
        <v/>
      </c>
      <c r="AB740" s="9">
        <f>INDEX(LINEST(L481:L740,M481:T740,TRUE,TRUE),1,8)</f>
        <v/>
      </c>
      <c r="AC740" s="9">
        <f>INDEX(LINEST(L481:L740,M481:T740,TRUE,TRUE),1,7)</f>
        <v/>
      </c>
      <c r="AD740" s="9">
        <f>INDEX(LINEST(L481:L740,M481:T740,TRUE,TRUE),1,6)</f>
        <v/>
      </c>
      <c r="AE740" s="9">
        <f>INDEX(LINEST(L481:L740,M481:T740,TRUE,TRUE),1,5)</f>
        <v/>
      </c>
      <c r="AF740" s="9">
        <f>INDEX(LINEST(L481:L740,M481:T740,TRUE,TRUE),1,4)</f>
        <v/>
      </c>
      <c r="AG740" s="9">
        <f>INDEX(LINEST(L481:L740,M481:T740,TRUE,TRUE),1,3)</f>
        <v/>
      </c>
      <c r="AH740" s="9">
        <f>INDEX(LINEST(L481:L740,M481:T740,TRUE,TRUE),1,2)</f>
        <v/>
      </c>
      <c r="AI740" s="9">
        <f>INDEX(LINEST(L481:L740,M481:T740,TRUE,TRUE),1,1)</f>
        <v/>
      </c>
      <c r="AJ740" s="10">
        <f>INDEX(LINEST(L481:L740,M481:T740,TRUE,TRUE),3,1)</f>
        <v/>
      </c>
      <c r="AK740" s="9">
        <f>AA739/52+AB739*M740+AC739*N740+AD739*O740+AE739*P740+AF739*Q740+AG739*R740+AH739*S740+AI739*T740</f>
        <v/>
      </c>
      <c r="AL740" s="9">
        <f>AVERAGE(L480:L739)</f>
        <v/>
      </c>
    </row>
    <row r="741">
      <c r="A741" s="7" t="n">
        <v>42797</v>
      </c>
      <c r="B741" s="8" t="n">
        <v>1226.5</v>
      </c>
      <c r="C741" s="8" t="n">
        <v>2.04</v>
      </c>
      <c r="D741" s="8" t="n">
        <v>0.45</v>
      </c>
      <c r="E741" s="8" t="n">
        <v>101.540001</v>
      </c>
      <c r="F741" s="8" t="n">
        <v>53.33</v>
      </c>
      <c r="G741" s="8" t="n">
        <v>10.96</v>
      </c>
      <c r="H741" s="8" t="n">
        <v>65.790001</v>
      </c>
      <c r="I741" s="8" t="n">
        <v>2383.120117</v>
      </c>
      <c r="J741" s="8" t="n">
        <v>82.974709</v>
      </c>
      <c r="L741" s="9">
        <f>LN(B741/B740)</f>
        <v/>
      </c>
      <c r="M741" s="9">
        <f>$M$1*(C741-C740)</f>
        <v/>
      </c>
      <c r="N741" s="9">
        <f>$N$1*(D741-D740)</f>
        <v/>
      </c>
      <c r="O741" s="9">
        <f>$O$1*LN(E741/E740)</f>
        <v/>
      </c>
      <c r="P741" s="9">
        <f>$P$1*LN(F741/F740)</f>
        <v/>
      </c>
      <c r="Q741" s="9">
        <f>$Q$1*(G741-G740)</f>
        <v/>
      </c>
      <c r="R741" s="9">
        <f>$R$1*(H741-H740)</f>
        <v/>
      </c>
      <c r="S741" s="9">
        <f>$S$1*LN(I741/I740)</f>
        <v/>
      </c>
      <c r="T741" s="9">
        <f>$T$1*LN(J741/J740)</f>
        <v/>
      </c>
      <c r="U741" s="9">
        <f>$W$12+$W$4*M741+$W$5*N741+$W$6*O741+$W$7*P741+$W$8*Q741+$W$9*R741+$W$10*S741+$W$11*T741</f>
        <v/>
      </c>
      <c r="AA741" s="10">
        <f>INDEX(LINEST(L482:L741,M482:T741,TRUE,TRUE),1,9)*52</f>
        <v/>
      </c>
      <c r="AB741" s="9">
        <f>INDEX(LINEST(L482:L741,M482:T741,TRUE,TRUE),1,8)</f>
        <v/>
      </c>
      <c r="AC741" s="9">
        <f>INDEX(LINEST(L482:L741,M482:T741,TRUE,TRUE),1,7)</f>
        <v/>
      </c>
      <c r="AD741" s="9">
        <f>INDEX(LINEST(L482:L741,M482:T741,TRUE,TRUE),1,6)</f>
        <v/>
      </c>
      <c r="AE741" s="9">
        <f>INDEX(LINEST(L482:L741,M482:T741,TRUE,TRUE),1,5)</f>
        <v/>
      </c>
      <c r="AF741" s="9">
        <f>INDEX(LINEST(L482:L741,M482:T741,TRUE,TRUE),1,4)</f>
        <v/>
      </c>
      <c r="AG741" s="9">
        <f>INDEX(LINEST(L482:L741,M482:T741,TRUE,TRUE),1,3)</f>
        <v/>
      </c>
      <c r="AH741" s="9">
        <f>INDEX(LINEST(L482:L741,M482:T741,TRUE,TRUE),1,2)</f>
        <v/>
      </c>
      <c r="AI741" s="9">
        <f>INDEX(LINEST(L482:L741,M482:T741,TRUE,TRUE),1,1)</f>
        <v/>
      </c>
      <c r="AJ741" s="10">
        <f>INDEX(LINEST(L482:L741,M482:T741,TRUE,TRUE),3,1)</f>
        <v/>
      </c>
      <c r="AK741" s="9">
        <f>AA740/52+AB740*M741+AC740*N741+AD740*O741+AE740*P741+AF740*Q741+AG740*R741+AH740*S741+AI740*T741</f>
        <v/>
      </c>
      <c r="AL741" s="9">
        <f>AVERAGE(L481:L740)</f>
        <v/>
      </c>
    </row>
    <row r="742">
      <c r="A742" s="7" t="n">
        <v>42804</v>
      </c>
      <c r="B742" s="8" t="n">
        <v>1202.65</v>
      </c>
      <c r="C742" s="8" t="n">
        <v>2.01</v>
      </c>
      <c r="D742" s="8" t="n">
        <v>0.57</v>
      </c>
      <c r="E742" s="8" t="n">
        <v>101.25</v>
      </c>
      <c r="F742" s="8" t="n">
        <v>48.05</v>
      </c>
      <c r="G742" s="8" t="n">
        <v>11.66</v>
      </c>
      <c r="H742" s="8" t="n">
        <v>67.699997</v>
      </c>
      <c r="I742" s="8" t="n">
        <v>2372.600098</v>
      </c>
      <c r="J742" s="8" t="n">
        <v>82.49801600000001</v>
      </c>
      <c r="L742" s="9">
        <f>LN(B742/B741)</f>
        <v/>
      </c>
      <c r="M742" s="9">
        <f>$M$1*(C742-C741)</f>
        <v/>
      </c>
      <c r="N742" s="9">
        <f>$N$1*(D742-D741)</f>
        <v/>
      </c>
      <c r="O742" s="9">
        <f>$O$1*LN(E742/E741)</f>
        <v/>
      </c>
      <c r="P742" s="9">
        <f>$P$1*LN(F742/F741)</f>
        <v/>
      </c>
      <c r="Q742" s="9">
        <f>$Q$1*(G742-G741)</f>
        <v/>
      </c>
      <c r="R742" s="9">
        <f>$R$1*(H742-H741)</f>
        <v/>
      </c>
      <c r="S742" s="9">
        <f>$S$1*LN(I742/I741)</f>
        <v/>
      </c>
      <c r="T742" s="9">
        <f>$T$1*LN(J742/J741)</f>
        <v/>
      </c>
      <c r="U742" s="9">
        <f>$W$12+$W$4*M742+$W$5*N742+$W$6*O742+$W$7*P742+$W$8*Q742+$W$9*R742+$W$10*S742+$W$11*T742</f>
        <v/>
      </c>
      <c r="AA742" s="10">
        <f>INDEX(LINEST(L483:L742,M483:T742,TRUE,TRUE),1,9)*52</f>
        <v/>
      </c>
      <c r="AB742" s="9">
        <f>INDEX(LINEST(L483:L742,M483:T742,TRUE,TRUE),1,8)</f>
        <v/>
      </c>
      <c r="AC742" s="9">
        <f>INDEX(LINEST(L483:L742,M483:T742,TRUE,TRUE),1,7)</f>
        <v/>
      </c>
      <c r="AD742" s="9">
        <f>INDEX(LINEST(L483:L742,M483:T742,TRUE,TRUE),1,6)</f>
        <v/>
      </c>
      <c r="AE742" s="9">
        <f>INDEX(LINEST(L483:L742,M483:T742,TRUE,TRUE),1,5)</f>
        <v/>
      </c>
      <c r="AF742" s="9">
        <f>INDEX(LINEST(L483:L742,M483:T742,TRUE,TRUE),1,4)</f>
        <v/>
      </c>
      <c r="AG742" s="9">
        <f>INDEX(LINEST(L483:L742,M483:T742,TRUE,TRUE),1,3)</f>
        <v/>
      </c>
      <c r="AH742" s="9">
        <f>INDEX(LINEST(L483:L742,M483:T742,TRUE,TRUE),1,2)</f>
        <v/>
      </c>
      <c r="AI742" s="9">
        <f>INDEX(LINEST(L483:L742,M483:T742,TRUE,TRUE),1,1)</f>
        <v/>
      </c>
      <c r="AJ742" s="10">
        <f>INDEX(LINEST(L483:L742,M483:T742,TRUE,TRUE),3,1)</f>
        <v/>
      </c>
      <c r="AK742" s="9">
        <f>AA741/52+AB741*M742+AC741*N742+AD741*O742+AE741*P742+AF741*Q742+AG741*R742+AH741*S742+AI741*T742</f>
        <v/>
      </c>
      <c r="AL742" s="9">
        <f>AVERAGE(L482:L741)</f>
        <v/>
      </c>
    </row>
    <row r="743">
      <c r="A743" s="7" t="n">
        <v>42811</v>
      </c>
      <c r="B743" s="8" t="n">
        <v>1229.6</v>
      </c>
      <c r="C743" s="8" t="n">
        <v>2.01</v>
      </c>
      <c r="D743" s="8" t="n">
        <v>0.49</v>
      </c>
      <c r="E743" s="8" t="n">
        <v>100.300003</v>
      </c>
      <c r="F743" s="8" t="n">
        <v>48.34</v>
      </c>
      <c r="G743" s="8" t="n">
        <v>11.28</v>
      </c>
      <c r="H743" s="8" t="n">
        <v>60.720001</v>
      </c>
      <c r="I743" s="8" t="n">
        <v>2378.25</v>
      </c>
      <c r="J743" s="8" t="n">
        <v>82.95163700000001</v>
      </c>
      <c r="L743" s="9">
        <f>LN(B743/B742)</f>
        <v/>
      </c>
      <c r="M743" s="9">
        <f>$M$1*(C743-C742)</f>
        <v/>
      </c>
      <c r="N743" s="9">
        <f>$N$1*(D743-D742)</f>
        <v/>
      </c>
      <c r="O743" s="9">
        <f>$O$1*LN(E743/E742)</f>
        <v/>
      </c>
      <c r="P743" s="9">
        <f>$P$1*LN(F743/F742)</f>
        <v/>
      </c>
      <c r="Q743" s="9">
        <f>$Q$1*(G743-G742)</f>
        <v/>
      </c>
      <c r="R743" s="9">
        <f>$R$1*(H743-H742)</f>
        <v/>
      </c>
      <c r="S743" s="9">
        <f>$S$1*LN(I743/I742)</f>
        <v/>
      </c>
      <c r="T743" s="9">
        <f>$T$1*LN(J743/J742)</f>
        <v/>
      </c>
      <c r="U743" s="9">
        <f>$W$12+$W$4*M743+$W$5*N743+$W$6*O743+$W$7*P743+$W$8*Q743+$W$9*R743+$W$10*S743+$W$11*T743</f>
        <v/>
      </c>
      <c r="AA743" s="10">
        <f>INDEX(LINEST(L484:L743,M484:T743,TRUE,TRUE),1,9)*52</f>
        <v/>
      </c>
      <c r="AB743" s="9">
        <f>INDEX(LINEST(L484:L743,M484:T743,TRUE,TRUE),1,8)</f>
        <v/>
      </c>
      <c r="AC743" s="9">
        <f>INDEX(LINEST(L484:L743,M484:T743,TRUE,TRUE),1,7)</f>
        <v/>
      </c>
      <c r="AD743" s="9">
        <f>INDEX(LINEST(L484:L743,M484:T743,TRUE,TRUE),1,6)</f>
        <v/>
      </c>
      <c r="AE743" s="9">
        <f>INDEX(LINEST(L484:L743,M484:T743,TRUE,TRUE),1,5)</f>
        <v/>
      </c>
      <c r="AF743" s="9">
        <f>INDEX(LINEST(L484:L743,M484:T743,TRUE,TRUE),1,4)</f>
        <v/>
      </c>
      <c r="AG743" s="9">
        <f>INDEX(LINEST(L484:L743,M484:T743,TRUE,TRUE),1,3)</f>
        <v/>
      </c>
      <c r="AH743" s="9">
        <f>INDEX(LINEST(L484:L743,M484:T743,TRUE,TRUE),1,2)</f>
        <v/>
      </c>
      <c r="AI743" s="9">
        <f>INDEX(LINEST(L484:L743,M484:T743,TRUE,TRUE),1,1)</f>
        <v/>
      </c>
      <c r="AJ743" s="10">
        <f>INDEX(LINEST(L484:L743,M484:T743,TRUE,TRUE),3,1)</f>
        <v/>
      </c>
      <c r="AK743" s="9">
        <f>AA742/52+AB742*M743+AC742*N743+AD742*O743+AE742*P743+AF742*Q743+AG742*R743+AH742*S743+AI742*T743</f>
        <v/>
      </c>
      <c r="AL743" s="9">
        <f>AVERAGE(L483:L742)</f>
        <v/>
      </c>
    </row>
    <row r="744">
      <c r="A744" s="7" t="n">
        <v>42818</v>
      </c>
      <c r="B744" s="8" t="n">
        <v>1247.5</v>
      </c>
      <c r="C744" s="8" t="n">
        <v>1.98</v>
      </c>
      <c r="D744" s="8" t="n">
        <v>0.42</v>
      </c>
      <c r="E744" s="8" t="n">
        <v>99.629997</v>
      </c>
      <c r="F744" s="8" t="n">
        <v>47.3</v>
      </c>
      <c r="G744" s="8" t="n">
        <v>12.96</v>
      </c>
      <c r="H744" s="8" t="n">
        <v>64.449997</v>
      </c>
      <c r="I744" s="8" t="n">
        <v>2343.97998</v>
      </c>
      <c r="J744" s="8" t="n">
        <v>83.31302599999999</v>
      </c>
      <c r="L744" s="9">
        <f>LN(B744/B743)</f>
        <v/>
      </c>
      <c r="M744" s="9">
        <f>$M$1*(C744-C743)</f>
        <v/>
      </c>
      <c r="N744" s="9">
        <f>$N$1*(D744-D743)</f>
        <v/>
      </c>
      <c r="O744" s="9">
        <f>$O$1*LN(E744/E743)</f>
        <v/>
      </c>
      <c r="P744" s="9">
        <f>$P$1*LN(F744/F743)</f>
        <v/>
      </c>
      <c r="Q744" s="9">
        <f>$Q$1*(G744-G743)</f>
        <v/>
      </c>
      <c r="R744" s="9">
        <f>$R$1*(H744-H743)</f>
        <v/>
      </c>
      <c r="S744" s="9">
        <f>$S$1*LN(I744/I743)</f>
        <v/>
      </c>
      <c r="T744" s="9">
        <f>$T$1*LN(J744/J743)</f>
        <v/>
      </c>
      <c r="U744" s="9">
        <f>$W$12+$W$4*M744+$W$5*N744+$W$6*O744+$W$7*P744+$W$8*Q744+$W$9*R744+$W$10*S744+$W$11*T744</f>
        <v/>
      </c>
      <c r="AA744" s="10">
        <f>INDEX(LINEST(L485:L744,M485:T744,TRUE,TRUE),1,9)*52</f>
        <v/>
      </c>
      <c r="AB744" s="9">
        <f>INDEX(LINEST(L485:L744,M485:T744,TRUE,TRUE),1,8)</f>
        <v/>
      </c>
      <c r="AC744" s="9">
        <f>INDEX(LINEST(L485:L744,M485:T744,TRUE,TRUE),1,7)</f>
        <v/>
      </c>
      <c r="AD744" s="9">
        <f>INDEX(LINEST(L485:L744,M485:T744,TRUE,TRUE),1,6)</f>
        <v/>
      </c>
      <c r="AE744" s="9">
        <f>INDEX(LINEST(L485:L744,M485:T744,TRUE,TRUE),1,5)</f>
        <v/>
      </c>
      <c r="AF744" s="9">
        <f>INDEX(LINEST(L485:L744,M485:T744,TRUE,TRUE),1,4)</f>
        <v/>
      </c>
      <c r="AG744" s="9">
        <f>INDEX(LINEST(L485:L744,M485:T744,TRUE,TRUE),1,3)</f>
        <v/>
      </c>
      <c r="AH744" s="9">
        <f>INDEX(LINEST(L485:L744,M485:T744,TRUE,TRUE),1,2)</f>
        <v/>
      </c>
      <c r="AI744" s="9">
        <f>INDEX(LINEST(L485:L744,M485:T744,TRUE,TRUE),1,1)</f>
        <v/>
      </c>
      <c r="AJ744" s="10">
        <f>INDEX(LINEST(L485:L744,M485:T744,TRUE,TRUE),3,1)</f>
        <v/>
      </c>
      <c r="AK744" s="9">
        <f>AA743/52+AB743*M744+AC743*N744+AD743*O744+AE743*P744+AF743*Q744+AG743*R744+AH743*S744+AI743*T744</f>
        <v/>
      </c>
      <c r="AL744" s="9">
        <f>AVERAGE(L484:L743)</f>
        <v/>
      </c>
    </row>
    <row r="745">
      <c r="A745" s="7" t="n">
        <v>42825</v>
      </c>
      <c r="B745" s="8" t="n">
        <v>1244.85</v>
      </c>
      <c r="C745" s="8" t="n">
        <v>1.97</v>
      </c>
      <c r="D745" s="8" t="n">
        <v>0.43</v>
      </c>
      <c r="E745" s="8" t="n">
        <v>100.349998</v>
      </c>
      <c r="F745" s="8" t="n">
        <v>50.54</v>
      </c>
      <c r="G745" s="8" t="n">
        <v>12.37</v>
      </c>
      <c r="H745" s="8" t="n">
        <v>60.700001</v>
      </c>
      <c r="I745" s="8" t="n">
        <v>2362.719971</v>
      </c>
      <c r="J745" s="8" t="n">
        <v>83.412971</v>
      </c>
      <c r="L745" s="9">
        <f>LN(B745/B744)</f>
        <v/>
      </c>
      <c r="M745" s="9">
        <f>$M$1*(C745-C744)</f>
        <v/>
      </c>
      <c r="N745" s="9">
        <f>$N$1*(D745-D744)</f>
        <v/>
      </c>
      <c r="O745" s="9">
        <f>$O$1*LN(E745/E744)</f>
        <v/>
      </c>
      <c r="P745" s="9">
        <f>$P$1*LN(F745/F744)</f>
        <v/>
      </c>
      <c r="Q745" s="9">
        <f>$Q$1*(G745-G744)</f>
        <v/>
      </c>
      <c r="R745" s="9">
        <f>$R$1*(H745-H744)</f>
        <v/>
      </c>
      <c r="S745" s="9">
        <f>$S$1*LN(I745/I744)</f>
        <v/>
      </c>
      <c r="T745" s="9">
        <f>$T$1*LN(J745/J744)</f>
        <v/>
      </c>
      <c r="U745" s="9">
        <f>$W$12+$W$4*M745+$W$5*N745+$W$6*O745+$W$7*P745+$W$8*Q745+$W$9*R745+$W$10*S745+$W$11*T745</f>
        <v/>
      </c>
      <c r="AA745" s="10">
        <f>INDEX(LINEST(L486:L745,M486:T745,TRUE,TRUE),1,9)*52</f>
        <v/>
      </c>
      <c r="AB745" s="9">
        <f>INDEX(LINEST(L486:L745,M486:T745,TRUE,TRUE),1,8)</f>
        <v/>
      </c>
      <c r="AC745" s="9">
        <f>INDEX(LINEST(L486:L745,M486:T745,TRUE,TRUE),1,7)</f>
        <v/>
      </c>
      <c r="AD745" s="9">
        <f>INDEX(LINEST(L486:L745,M486:T745,TRUE,TRUE),1,6)</f>
        <v/>
      </c>
      <c r="AE745" s="9">
        <f>INDEX(LINEST(L486:L745,M486:T745,TRUE,TRUE),1,5)</f>
        <v/>
      </c>
      <c r="AF745" s="9">
        <f>INDEX(LINEST(L486:L745,M486:T745,TRUE,TRUE),1,4)</f>
        <v/>
      </c>
      <c r="AG745" s="9">
        <f>INDEX(LINEST(L486:L745,M486:T745,TRUE,TRUE),1,3)</f>
        <v/>
      </c>
      <c r="AH745" s="9">
        <f>INDEX(LINEST(L486:L745,M486:T745,TRUE,TRUE),1,2)</f>
        <v/>
      </c>
      <c r="AI745" s="9">
        <f>INDEX(LINEST(L486:L745,M486:T745,TRUE,TRUE),1,1)</f>
        <v/>
      </c>
      <c r="AJ745" s="10">
        <f>INDEX(LINEST(L486:L745,M486:T745,TRUE,TRUE),3,1)</f>
        <v/>
      </c>
      <c r="AK745" s="9">
        <f>AA744/52+AB744*M745+AC744*N745+AD744*O745+AE744*P745+AF744*Q745+AG744*R745+AH744*S745+AI744*T745</f>
        <v/>
      </c>
      <c r="AL745" s="9">
        <f>AVERAGE(L485:L744)</f>
        <v/>
      </c>
    </row>
    <row r="746">
      <c r="A746" s="7" t="n">
        <v>42832</v>
      </c>
      <c r="B746" s="8" t="n">
        <v>1266.45</v>
      </c>
      <c r="C746" s="8" t="n">
        <v>1.94</v>
      </c>
      <c r="D746" s="8" t="n">
        <v>0.44</v>
      </c>
      <c r="E746" s="8" t="n">
        <v>101.18</v>
      </c>
      <c r="F746" s="8" t="n">
        <v>52.25</v>
      </c>
      <c r="G746" s="8" t="n">
        <v>12.87</v>
      </c>
      <c r="H746" s="8" t="n">
        <v>68.660004</v>
      </c>
      <c r="I746" s="8" t="n">
        <v>2355.540039</v>
      </c>
      <c r="J746" s="8" t="n">
        <v>83.545486</v>
      </c>
      <c r="L746" s="9">
        <f>LN(B746/B745)</f>
        <v/>
      </c>
      <c r="M746" s="9">
        <f>$M$1*(C746-C745)</f>
        <v/>
      </c>
      <c r="N746" s="9">
        <f>$N$1*(D746-D745)</f>
        <v/>
      </c>
      <c r="O746" s="9">
        <f>$O$1*LN(E746/E745)</f>
        <v/>
      </c>
      <c r="P746" s="9">
        <f>$P$1*LN(F746/F745)</f>
        <v/>
      </c>
      <c r="Q746" s="9">
        <f>$Q$1*(G746-G745)</f>
        <v/>
      </c>
      <c r="R746" s="9">
        <f>$R$1*(H746-H745)</f>
        <v/>
      </c>
      <c r="S746" s="9">
        <f>$S$1*LN(I746/I745)</f>
        <v/>
      </c>
      <c r="T746" s="9">
        <f>$T$1*LN(J746/J745)</f>
        <v/>
      </c>
      <c r="U746" s="9">
        <f>$W$12+$W$4*M746+$W$5*N746+$W$6*O746+$W$7*P746+$W$8*Q746+$W$9*R746+$W$10*S746+$W$11*T746</f>
        <v/>
      </c>
      <c r="AA746" s="10">
        <f>INDEX(LINEST(L487:L746,M487:T746,TRUE,TRUE),1,9)*52</f>
        <v/>
      </c>
      <c r="AB746" s="9">
        <f>INDEX(LINEST(L487:L746,M487:T746,TRUE,TRUE),1,8)</f>
        <v/>
      </c>
      <c r="AC746" s="9">
        <f>INDEX(LINEST(L487:L746,M487:T746,TRUE,TRUE),1,7)</f>
        <v/>
      </c>
      <c r="AD746" s="9">
        <f>INDEX(LINEST(L487:L746,M487:T746,TRUE,TRUE),1,6)</f>
        <v/>
      </c>
      <c r="AE746" s="9">
        <f>INDEX(LINEST(L487:L746,M487:T746,TRUE,TRUE),1,5)</f>
        <v/>
      </c>
      <c r="AF746" s="9">
        <f>INDEX(LINEST(L487:L746,M487:T746,TRUE,TRUE),1,4)</f>
        <v/>
      </c>
      <c r="AG746" s="9">
        <f>INDEX(LINEST(L487:L746,M487:T746,TRUE,TRUE),1,3)</f>
        <v/>
      </c>
      <c r="AH746" s="9">
        <f>INDEX(LINEST(L487:L746,M487:T746,TRUE,TRUE),1,2)</f>
        <v/>
      </c>
      <c r="AI746" s="9">
        <f>INDEX(LINEST(L487:L746,M487:T746,TRUE,TRUE),1,1)</f>
        <v/>
      </c>
      <c r="AJ746" s="10">
        <f>INDEX(LINEST(L487:L746,M487:T746,TRUE,TRUE),3,1)</f>
        <v/>
      </c>
      <c r="AK746" s="9">
        <f>AA745/52+AB745*M746+AC745*N746+AD745*O746+AE745*P746+AF745*Q746+AG745*R746+AH745*S746+AI745*T746</f>
        <v/>
      </c>
      <c r="AL746" s="9">
        <f>AVERAGE(L486:L745)</f>
        <v/>
      </c>
    </row>
    <row r="747">
      <c r="A747" s="7" t="n">
        <v>42839</v>
      </c>
      <c r="B747" s="8" t="n">
        <v>1284.15</v>
      </c>
      <c r="C747" s="8" t="n">
        <v>1.92</v>
      </c>
      <c r="D747" s="8" t="n">
        <v>0.32</v>
      </c>
      <c r="E747" s="8" t="n">
        <v>100.559998</v>
      </c>
      <c r="F747" s="8" t="n">
        <v>53.19</v>
      </c>
      <c r="G747" s="8" t="n">
        <v>15.96</v>
      </c>
      <c r="H747" s="8" t="n">
        <v>74.480003</v>
      </c>
      <c r="I747" s="8" t="n">
        <v>2328.949951</v>
      </c>
      <c r="J747" s="8" t="n">
        <v>84.18497499999999</v>
      </c>
      <c r="L747" s="9">
        <f>LN(B747/B746)</f>
        <v/>
      </c>
      <c r="M747" s="9">
        <f>$M$1*(C747-C746)</f>
        <v/>
      </c>
      <c r="N747" s="9">
        <f>$N$1*(D747-D746)</f>
        <v/>
      </c>
      <c r="O747" s="9">
        <f>$O$1*LN(E747/E746)</f>
        <v/>
      </c>
      <c r="P747" s="9">
        <f>$P$1*LN(F747/F746)</f>
        <v/>
      </c>
      <c r="Q747" s="9">
        <f>$Q$1*(G747-G746)</f>
        <v/>
      </c>
      <c r="R747" s="9">
        <f>$R$1*(H747-H746)</f>
        <v/>
      </c>
      <c r="S747" s="9">
        <f>$S$1*LN(I747/I746)</f>
        <v/>
      </c>
      <c r="T747" s="9">
        <f>$T$1*LN(J747/J746)</f>
        <v/>
      </c>
      <c r="U747" s="9">
        <f>$W$12+$W$4*M747+$W$5*N747+$W$6*O747+$W$7*P747+$W$8*Q747+$W$9*R747+$W$10*S747+$W$11*T747</f>
        <v/>
      </c>
      <c r="AA747" s="10">
        <f>INDEX(LINEST(L488:L747,M488:T747,TRUE,TRUE),1,9)*52</f>
        <v/>
      </c>
      <c r="AB747" s="9">
        <f>INDEX(LINEST(L488:L747,M488:T747,TRUE,TRUE),1,8)</f>
        <v/>
      </c>
      <c r="AC747" s="9">
        <f>INDEX(LINEST(L488:L747,M488:T747,TRUE,TRUE),1,7)</f>
        <v/>
      </c>
      <c r="AD747" s="9">
        <f>INDEX(LINEST(L488:L747,M488:T747,TRUE,TRUE),1,6)</f>
        <v/>
      </c>
      <c r="AE747" s="9">
        <f>INDEX(LINEST(L488:L747,M488:T747,TRUE,TRUE),1,5)</f>
        <v/>
      </c>
      <c r="AF747" s="9">
        <f>INDEX(LINEST(L488:L747,M488:T747,TRUE,TRUE),1,4)</f>
        <v/>
      </c>
      <c r="AG747" s="9">
        <f>INDEX(LINEST(L488:L747,M488:T747,TRUE,TRUE),1,3)</f>
        <v/>
      </c>
      <c r="AH747" s="9">
        <f>INDEX(LINEST(L488:L747,M488:T747,TRUE,TRUE),1,2)</f>
        <v/>
      </c>
      <c r="AI747" s="9">
        <f>INDEX(LINEST(L488:L747,M488:T747,TRUE,TRUE),1,1)</f>
        <v/>
      </c>
      <c r="AJ747" s="10">
        <f>INDEX(LINEST(L488:L747,M488:T747,TRUE,TRUE),3,1)</f>
        <v/>
      </c>
      <c r="AK747" s="9">
        <f>AA746/52+AB746*M747+AC746*N747+AD746*O747+AE746*P747+AF746*Q747+AG746*R747+AH746*S747+AI746*T747</f>
        <v/>
      </c>
      <c r="AL747" s="9">
        <f>AVERAGE(L487:L746)</f>
        <v/>
      </c>
    </row>
    <row r="748">
      <c r="A748" s="7" t="n">
        <v>42846</v>
      </c>
      <c r="B748" s="8" t="n">
        <v>1281.85</v>
      </c>
      <c r="C748" s="8" t="n">
        <v>1.84</v>
      </c>
      <c r="D748" s="8" t="n">
        <v>0.4</v>
      </c>
      <c r="E748" s="8" t="n">
        <v>99.980003</v>
      </c>
      <c r="F748" s="8" t="n">
        <v>49.64</v>
      </c>
      <c r="G748" s="8" t="n">
        <v>14.63</v>
      </c>
      <c r="H748" s="8" t="n">
        <v>77.150002</v>
      </c>
      <c r="I748" s="8" t="n">
        <v>2348.689941</v>
      </c>
      <c r="J748" s="8" t="n">
        <v>84.238884</v>
      </c>
      <c r="L748" s="9">
        <f>LN(B748/B747)</f>
        <v/>
      </c>
      <c r="M748" s="9">
        <f>$M$1*(C748-C747)</f>
        <v/>
      </c>
      <c r="N748" s="9">
        <f>$N$1*(D748-D747)</f>
        <v/>
      </c>
      <c r="O748" s="9">
        <f>$O$1*LN(E748/E747)</f>
        <v/>
      </c>
      <c r="P748" s="9">
        <f>$P$1*LN(F748/F747)</f>
        <v/>
      </c>
      <c r="Q748" s="9">
        <f>$Q$1*(G748-G747)</f>
        <v/>
      </c>
      <c r="R748" s="9">
        <f>$R$1*(H748-H747)</f>
        <v/>
      </c>
      <c r="S748" s="9">
        <f>$S$1*LN(I748/I747)</f>
        <v/>
      </c>
      <c r="T748" s="9">
        <f>$T$1*LN(J748/J747)</f>
        <v/>
      </c>
      <c r="U748" s="9">
        <f>$W$12+$W$4*M748+$W$5*N748+$W$6*O748+$W$7*P748+$W$8*Q748+$W$9*R748+$W$10*S748+$W$11*T748</f>
        <v/>
      </c>
      <c r="AA748" s="10">
        <f>INDEX(LINEST(L489:L748,M489:T748,TRUE,TRUE),1,9)*52</f>
        <v/>
      </c>
      <c r="AB748" s="9">
        <f>INDEX(LINEST(L489:L748,M489:T748,TRUE,TRUE),1,8)</f>
        <v/>
      </c>
      <c r="AC748" s="9">
        <f>INDEX(LINEST(L489:L748,M489:T748,TRUE,TRUE),1,7)</f>
        <v/>
      </c>
      <c r="AD748" s="9">
        <f>INDEX(LINEST(L489:L748,M489:T748,TRUE,TRUE),1,6)</f>
        <v/>
      </c>
      <c r="AE748" s="9">
        <f>INDEX(LINEST(L489:L748,M489:T748,TRUE,TRUE),1,5)</f>
        <v/>
      </c>
      <c r="AF748" s="9">
        <f>INDEX(LINEST(L489:L748,M489:T748,TRUE,TRUE),1,4)</f>
        <v/>
      </c>
      <c r="AG748" s="9">
        <f>INDEX(LINEST(L489:L748,M489:T748,TRUE,TRUE),1,3)</f>
        <v/>
      </c>
      <c r="AH748" s="9">
        <f>INDEX(LINEST(L489:L748,M489:T748,TRUE,TRUE),1,2)</f>
        <v/>
      </c>
      <c r="AI748" s="9">
        <f>INDEX(LINEST(L489:L748,M489:T748,TRUE,TRUE),1,1)</f>
        <v/>
      </c>
      <c r="AJ748" s="10">
        <f>INDEX(LINEST(L489:L748,M489:T748,TRUE,TRUE),3,1)</f>
        <v/>
      </c>
      <c r="AK748" s="9">
        <f>AA747/52+AB747*M748+AC747*N748+AD747*O748+AE747*P748+AF747*Q748+AG747*R748+AH747*S748+AI747*T748</f>
        <v/>
      </c>
      <c r="AL748" s="9">
        <f>AVERAGE(L488:L747)</f>
        <v/>
      </c>
    </row>
    <row r="749">
      <c r="A749" s="7" t="n">
        <v>42853</v>
      </c>
      <c r="B749" s="8" t="n">
        <v>1266.45</v>
      </c>
      <c r="C749" s="8" t="n">
        <v>1.92</v>
      </c>
      <c r="D749" s="8" t="n">
        <v>0.37</v>
      </c>
      <c r="E749" s="8" t="n">
        <v>99.050003</v>
      </c>
      <c r="F749" s="8" t="n">
        <v>49.31</v>
      </c>
      <c r="G749" s="8" t="n">
        <v>10.82</v>
      </c>
      <c r="H749" s="8" t="n">
        <v>60.189999</v>
      </c>
      <c r="I749" s="8" t="n">
        <v>2384.199951</v>
      </c>
      <c r="J749" s="8" t="n">
        <v>84.16954</v>
      </c>
      <c r="L749" s="9">
        <f>LN(B749/B748)</f>
        <v/>
      </c>
      <c r="M749" s="9">
        <f>$M$1*(C749-C748)</f>
        <v/>
      </c>
      <c r="N749" s="9">
        <f>$N$1*(D749-D748)</f>
        <v/>
      </c>
      <c r="O749" s="9">
        <f>$O$1*LN(E749/E748)</f>
        <v/>
      </c>
      <c r="P749" s="9">
        <f>$P$1*LN(F749/F748)</f>
        <v/>
      </c>
      <c r="Q749" s="9">
        <f>$Q$1*(G749-G748)</f>
        <v/>
      </c>
      <c r="R749" s="9">
        <f>$R$1*(H749-H748)</f>
        <v/>
      </c>
      <c r="S749" s="9">
        <f>$S$1*LN(I749/I748)</f>
        <v/>
      </c>
      <c r="T749" s="9">
        <f>$T$1*LN(J749/J748)</f>
        <v/>
      </c>
      <c r="U749" s="9">
        <f>$W$12+$W$4*M749+$W$5*N749+$W$6*O749+$W$7*P749+$W$8*Q749+$W$9*R749+$W$10*S749+$W$11*T749</f>
        <v/>
      </c>
      <c r="AA749" s="10">
        <f>INDEX(LINEST(L490:L749,M490:T749,TRUE,TRUE),1,9)*52</f>
        <v/>
      </c>
      <c r="AB749" s="9">
        <f>INDEX(LINEST(L490:L749,M490:T749,TRUE,TRUE),1,8)</f>
        <v/>
      </c>
      <c r="AC749" s="9">
        <f>INDEX(LINEST(L490:L749,M490:T749,TRUE,TRUE),1,7)</f>
        <v/>
      </c>
      <c r="AD749" s="9">
        <f>INDEX(LINEST(L490:L749,M490:T749,TRUE,TRUE),1,6)</f>
        <v/>
      </c>
      <c r="AE749" s="9">
        <f>INDEX(LINEST(L490:L749,M490:T749,TRUE,TRUE),1,5)</f>
        <v/>
      </c>
      <c r="AF749" s="9">
        <f>INDEX(LINEST(L490:L749,M490:T749,TRUE,TRUE),1,4)</f>
        <v/>
      </c>
      <c r="AG749" s="9">
        <f>INDEX(LINEST(L490:L749,M490:T749,TRUE,TRUE),1,3)</f>
        <v/>
      </c>
      <c r="AH749" s="9">
        <f>INDEX(LINEST(L490:L749,M490:T749,TRUE,TRUE),1,2)</f>
        <v/>
      </c>
      <c r="AI749" s="9">
        <f>INDEX(LINEST(L490:L749,M490:T749,TRUE,TRUE),1,1)</f>
        <v/>
      </c>
      <c r="AJ749" s="10">
        <f>INDEX(LINEST(L490:L749,M490:T749,TRUE,TRUE),3,1)</f>
        <v/>
      </c>
      <c r="AK749" s="9">
        <f>AA748/52+AB748*M749+AC748*N749+AD748*O749+AE748*P749+AF748*Q749+AG748*R749+AH748*S749+AI748*T749</f>
        <v/>
      </c>
      <c r="AL749" s="9">
        <f>AVERAGE(L489:L748)</f>
        <v/>
      </c>
    </row>
    <row r="750">
      <c r="A750" s="7" t="n">
        <v>42860</v>
      </c>
      <c r="B750" s="8" t="n">
        <v>1228.05</v>
      </c>
      <c r="C750" s="8" t="n">
        <v>1.86</v>
      </c>
      <c r="D750" s="8" t="n">
        <v>0.5</v>
      </c>
      <c r="E750" s="8" t="n">
        <v>98.650002</v>
      </c>
      <c r="F750" s="8" t="n">
        <v>46.23</v>
      </c>
      <c r="G750" s="8" t="n">
        <v>10.57</v>
      </c>
      <c r="H750" s="8" t="n">
        <v>58.720001</v>
      </c>
      <c r="I750" s="8" t="n">
        <v>2399.290039</v>
      </c>
      <c r="J750" s="8" t="n">
        <v>83.92939</v>
      </c>
      <c r="L750" s="9">
        <f>LN(B750/B749)</f>
        <v/>
      </c>
      <c r="M750" s="9">
        <f>$M$1*(C750-C749)</f>
        <v/>
      </c>
      <c r="N750" s="9">
        <f>$N$1*(D750-D749)</f>
        <v/>
      </c>
      <c r="O750" s="9">
        <f>$O$1*LN(E750/E749)</f>
        <v/>
      </c>
      <c r="P750" s="9">
        <f>$P$1*LN(F750/F749)</f>
        <v/>
      </c>
      <c r="Q750" s="9">
        <f>$Q$1*(G750-G749)</f>
        <v/>
      </c>
      <c r="R750" s="9">
        <f>$R$1*(H750-H749)</f>
        <v/>
      </c>
      <c r="S750" s="9">
        <f>$S$1*LN(I750/I749)</f>
        <v/>
      </c>
      <c r="T750" s="9">
        <f>$T$1*LN(J750/J749)</f>
        <v/>
      </c>
      <c r="U750" s="9">
        <f>$W$12+$W$4*M750+$W$5*N750+$W$6*O750+$W$7*P750+$W$8*Q750+$W$9*R750+$W$10*S750+$W$11*T750</f>
        <v/>
      </c>
      <c r="AA750" s="10">
        <f>INDEX(LINEST(L491:L750,M491:T750,TRUE,TRUE),1,9)*52</f>
        <v/>
      </c>
      <c r="AB750" s="9">
        <f>INDEX(LINEST(L491:L750,M491:T750,TRUE,TRUE),1,8)</f>
        <v/>
      </c>
      <c r="AC750" s="9">
        <f>INDEX(LINEST(L491:L750,M491:T750,TRUE,TRUE),1,7)</f>
        <v/>
      </c>
      <c r="AD750" s="9">
        <f>INDEX(LINEST(L491:L750,M491:T750,TRUE,TRUE),1,6)</f>
        <v/>
      </c>
      <c r="AE750" s="9">
        <f>INDEX(LINEST(L491:L750,M491:T750,TRUE,TRUE),1,5)</f>
        <v/>
      </c>
      <c r="AF750" s="9">
        <f>INDEX(LINEST(L491:L750,M491:T750,TRUE,TRUE),1,4)</f>
        <v/>
      </c>
      <c r="AG750" s="9">
        <f>INDEX(LINEST(L491:L750,M491:T750,TRUE,TRUE),1,3)</f>
        <v/>
      </c>
      <c r="AH750" s="9">
        <f>INDEX(LINEST(L491:L750,M491:T750,TRUE,TRUE),1,2)</f>
        <v/>
      </c>
      <c r="AI750" s="9">
        <f>INDEX(LINEST(L491:L750,M491:T750,TRUE,TRUE),1,1)</f>
        <v/>
      </c>
      <c r="AJ750" s="10">
        <f>INDEX(LINEST(L491:L750,M491:T750,TRUE,TRUE),3,1)</f>
        <v/>
      </c>
      <c r="AK750" s="9">
        <f>AA749/52+AB749*M750+AC749*N750+AD749*O750+AE749*P750+AF749*Q750+AG749*R750+AH749*S750+AI749*T750</f>
        <v/>
      </c>
      <c r="AL750" s="9">
        <f>AVERAGE(L490:L749)</f>
        <v/>
      </c>
    </row>
    <row r="751">
      <c r="A751" s="7" t="n">
        <v>42867</v>
      </c>
      <c r="B751" s="8" t="n">
        <v>1231.25</v>
      </c>
      <c r="C751" s="8" t="n">
        <v>1.84</v>
      </c>
      <c r="D751" s="8" t="n">
        <v>0.49</v>
      </c>
      <c r="E751" s="8" t="n">
        <v>99.25</v>
      </c>
      <c r="F751" s="8" t="n">
        <v>47.83</v>
      </c>
      <c r="G751" s="8" t="n">
        <v>10.4</v>
      </c>
      <c r="H751" s="8" t="n">
        <v>55.709999</v>
      </c>
      <c r="I751" s="8" t="n">
        <v>2390.899902</v>
      </c>
      <c r="J751" s="8" t="n">
        <v>84.099289</v>
      </c>
      <c r="L751" s="9">
        <f>LN(B751/B750)</f>
        <v/>
      </c>
      <c r="M751" s="9">
        <f>$M$1*(C751-C750)</f>
        <v/>
      </c>
      <c r="N751" s="9">
        <f>$N$1*(D751-D750)</f>
        <v/>
      </c>
      <c r="O751" s="9">
        <f>$O$1*LN(E751/E750)</f>
        <v/>
      </c>
      <c r="P751" s="9">
        <f>$P$1*LN(F751/F750)</f>
        <v/>
      </c>
      <c r="Q751" s="9">
        <f>$Q$1*(G751-G750)</f>
        <v/>
      </c>
      <c r="R751" s="9">
        <f>$R$1*(H751-H750)</f>
        <v/>
      </c>
      <c r="S751" s="9">
        <f>$S$1*LN(I751/I750)</f>
        <v/>
      </c>
      <c r="T751" s="9">
        <f>$T$1*LN(J751/J750)</f>
        <v/>
      </c>
      <c r="U751" s="9">
        <f>$W$12+$W$4*M751+$W$5*N751+$W$6*O751+$W$7*P751+$W$8*Q751+$W$9*R751+$W$10*S751+$W$11*T751</f>
        <v/>
      </c>
      <c r="AA751" s="10">
        <f>INDEX(LINEST(L492:L751,M492:T751,TRUE,TRUE),1,9)*52</f>
        <v/>
      </c>
      <c r="AB751" s="9">
        <f>INDEX(LINEST(L492:L751,M492:T751,TRUE,TRUE),1,8)</f>
        <v/>
      </c>
      <c r="AC751" s="9">
        <f>INDEX(LINEST(L492:L751,M492:T751,TRUE,TRUE),1,7)</f>
        <v/>
      </c>
      <c r="AD751" s="9">
        <f>INDEX(LINEST(L492:L751,M492:T751,TRUE,TRUE),1,6)</f>
        <v/>
      </c>
      <c r="AE751" s="9">
        <f>INDEX(LINEST(L492:L751,M492:T751,TRUE,TRUE),1,5)</f>
        <v/>
      </c>
      <c r="AF751" s="9">
        <f>INDEX(LINEST(L492:L751,M492:T751,TRUE,TRUE),1,4)</f>
        <v/>
      </c>
      <c r="AG751" s="9">
        <f>INDEX(LINEST(L492:L751,M492:T751,TRUE,TRUE),1,3)</f>
        <v/>
      </c>
      <c r="AH751" s="9">
        <f>INDEX(LINEST(L492:L751,M492:T751,TRUE,TRUE),1,2)</f>
        <v/>
      </c>
      <c r="AI751" s="9">
        <f>INDEX(LINEST(L492:L751,M492:T751,TRUE,TRUE),1,1)</f>
        <v/>
      </c>
      <c r="AJ751" s="10">
        <f>INDEX(LINEST(L492:L751,M492:T751,TRUE,TRUE),3,1)</f>
        <v/>
      </c>
      <c r="AK751" s="9">
        <f>AA750/52+AB750*M751+AC750*N751+AD750*O751+AE750*P751+AF750*Q751+AG750*R751+AH750*S751+AI750*T751</f>
        <v/>
      </c>
      <c r="AL751" s="9">
        <f>AVERAGE(L491:L750)</f>
        <v/>
      </c>
    </row>
    <row r="752">
      <c r="A752" s="7" t="n">
        <v>42874</v>
      </c>
      <c r="B752" s="8" t="n">
        <v>1252</v>
      </c>
      <c r="C752" s="8" t="n">
        <v>1.82</v>
      </c>
      <c r="D752" s="8" t="n">
        <v>0.41</v>
      </c>
      <c r="E752" s="8" t="n">
        <v>97.150002</v>
      </c>
      <c r="F752" s="8" t="n">
        <v>50.32</v>
      </c>
      <c r="G752" s="8" t="n">
        <v>12.04</v>
      </c>
      <c r="H752" s="8" t="n">
        <v>57.82</v>
      </c>
      <c r="I752" s="8" t="n">
        <v>2381.72998</v>
      </c>
      <c r="J752" s="8" t="n">
        <v>84.562546</v>
      </c>
      <c r="L752" s="9">
        <f>LN(B752/B751)</f>
        <v/>
      </c>
      <c r="M752" s="9">
        <f>$M$1*(C752-C751)</f>
        <v/>
      </c>
      <c r="N752" s="9">
        <f>$N$1*(D752-D751)</f>
        <v/>
      </c>
      <c r="O752" s="9">
        <f>$O$1*LN(E752/E751)</f>
        <v/>
      </c>
      <c r="P752" s="9">
        <f>$P$1*LN(F752/F751)</f>
        <v/>
      </c>
      <c r="Q752" s="9">
        <f>$Q$1*(G752-G751)</f>
        <v/>
      </c>
      <c r="R752" s="9">
        <f>$R$1*(H752-H751)</f>
        <v/>
      </c>
      <c r="S752" s="9">
        <f>$S$1*LN(I752/I751)</f>
        <v/>
      </c>
      <c r="T752" s="9">
        <f>$T$1*LN(J752/J751)</f>
        <v/>
      </c>
      <c r="U752" s="9">
        <f>$W$12+$W$4*M752+$W$5*N752+$W$6*O752+$W$7*P752+$W$8*Q752+$W$9*R752+$W$10*S752+$W$11*T752</f>
        <v/>
      </c>
      <c r="AA752" s="10">
        <f>INDEX(LINEST(L493:L752,M493:T752,TRUE,TRUE),1,9)*52</f>
        <v/>
      </c>
      <c r="AB752" s="9">
        <f>INDEX(LINEST(L493:L752,M493:T752,TRUE,TRUE),1,8)</f>
        <v/>
      </c>
      <c r="AC752" s="9">
        <f>INDEX(LINEST(L493:L752,M493:T752,TRUE,TRUE),1,7)</f>
        <v/>
      </c>
      <c r="AD752" s="9">
        <f>INDEX(LINEST(L493:L752,M493:T752,TRUE,TRUE),1,6)</f>
        <v/>
      </c>
      <c r="AE752" s="9">
        <f>INDEX(LINEST(L493:L752,M493:T752,TRUE,TRUE),1,5)</f>
        <v/>
      </c>
      <c r="AF752" s="9">
        <f>INDEX(LINEST(L493:L752,M493:T752,TRUE,TRUE),1,4)</f>
        <v/>
      </c>
      <c r="AG752" s="9">
        <f>INDEX(LINEST(L493:L752,M493:T752,TRUE,TRUE),1,3)</f>
        <v/>
      </c>
      <c r="AH752" s="9">
        <f>INDEX(LINEST(L493:L752,M493:T752,TRUE,TRUE),1,2)</f>
        <v/>
      </c>
      <c r="AI752" s="9">
        <f>INDEX(LINEST(L493:L752,M493:T752,TRUE,TRUE),1,1)</f>
        <v/>
      </c>
      <c r="AJ752" s="10">
        <f>INDEX(LINEST(L493:L752,M493:T752,TRUE,TRUE),3,1)</f>
        <v/>
      </c>
      <c r="AK752" s="9">
        <f>AA751/52+AB751*M752+AC751*N752+AD751*O752+AE751*P752+AF751*Q752+AG751*R752+AH751*S752+AI751*T752</f>
        <v/>
      </c>
      <c r="AL752" s="9">
        <f>AVERAGE(L492:L751)</f>
        <v/>
      </c>
    </row>
    <row r="753">
      <c r="A753" s="7" t="n">
        <v>42881</v>
      </c>
      <c r="B753" s="8" t="n">
        <v>1265.05</v>
      </c>
      <c r="C753" s="8" t="n">
        <v>1.81</v>
      </c>
      <c r="D753" s="8" t="n">
        <v>0.44</v>
      </c>
      <c r="E753" s="8" t="n">
        <v>97.400002</v>
      </c>
      <c r="F753" s="8" t="n">
        <v>49.58</v>
      </c>
      <c r="G753" s="8" t="n">
        <v>9.81</v>
      </c>
      <c r="H753" s="8" t="n">
        <v>54.049999</v>
      </c>
      <c r="I753" s="8" t="n">
        <v>2415.820068</v>
      </c>
      <c r="J753" s="8" t="n">
        <v>84.500755</v>
      </c>
      <c r="L753" s="9">
        <f>LN(B753/B752)</f>
        <v/>
      </c>
      <c r="M753" s="9">
        <f>$M$1*(C753-C752)</f>
        <v/>
      </c>
      <c r="N753" s="9">
        <f>$N$1*(D753-D752)</f>
        <v/>
      </c>
      <c r="O753" s="9">
        <f>$O$1*LN(E753/E752)</f>
        <v/>
      </c>
      <c r="P753" s="9">
        <f>$P$1*LN(F753/F752)</f>
        <v/>
      </c>
      <c r="Q753" s="9">
        <f>$Q$1*(G753-G752)</f>
        <v/>
      </c>
      <c r="R753" s="9">
        <f>$R$1*(H753-H752)</f>
        <v/>
      </c>
      <c r="S753" s="9">
        <f>$S$1*LN(I753/I752)</f>
        <v/>
      </c>
      <c r="T753" s="9">
        <f>$T$1*LN(J753/J752)</f>
        <v/>
      </c>
      <c r="U753" s="9">
        <f>$W$12+$W$4*M753+$W$5*N753+$W$6*O753+$W$7*P753+$W$8*Q753+$W$9*R753+$W$10*S753+$W$11*T753</f>
        <v/>
      </c>
      <c r="AA753" s="10">
        <f>INDEX(LINEST(L494:L753,M494:T753,TRUE,TRUE),1,9)*52</f>
        <v/>
      </c>
      <c r="AB753" s="9">
        <f>INDEX(LINEST(L494:L753,M494:T753,TRUE,TRUE),1,8)</f>
        <v/>
      </c>
      <c r="AC753" s="9">
        <f>INDEX(LINEST(L494:L753,M494:T753,TRUE,TRUE),1,7)</f>
        <v/>
      </c>
      <c r="AD753" s="9">
        <f>INDEX(LINEST(L494:L753,M494:T753,TRUE,TRUE),1,6)</f>
        <v/>
      </c>
      <c r="AE753" s="9">
        <f>INDEX(LINEST(L494:L753,M494:T753,TRUE,TRUE),1,5)</f>
        <v/>
      </c>
      <c r="AF753" s="9">
        <f>INDEX(LINEST(L494:L753,M494:T753,TRUE,TRUE),1,4)</f>
        <v/>
      </c>
      <c r="AG753" s="9">
        <f>INDEX(LINEST(L494:L753,M494:T753,TRUE,TRUE),1,3)</f>
        <v/>
      </c>
      <c r="AH753" s="9">
        <f>INDEX(LINEST(L494:L753,M494:T753,TRUE,TRUE),1,2)</f>
        <v/>
      </c>
      <c r="AI753" s="9">
        <f>INDEX(LINEST(L494:L753,M494:T753,TRUE,TRUE),1,1)</f>
        <v/>
      </c>
      <c r="AJ753" s="10">
        <f>INDEX(LINEST(L494:L753,M494:T753,TRUE,TRUE),3,1)</f>
        <v/>
      </c>
      <c r="AK753" s="9">
        <f>AA752/52+AB752*M753+AC752*N753+AD752*O753+AE752*P753+AF752*Q753+AG752*R753+AH752*S753+AI752*T753</f>
        <v/>
      </c>
      <c r="AL753" s="9">
        <f>AVERAGE(L493:L752)</f>
        <v/>
      </c>
    </row>
    <row r="754">
      <c r="A754" s="7" t="n">
        <v>42888</v>
      </c>
      <c r="B754" s="8" t="n">
        <v>1274.95</v>
      </c>
      <c r="C754" s="8" t="n">
        <v>1.79</v>
      </c>
      <c r="D754" s="8" t="n">
        <v>0.36</v>
      </c>
      <c r="E754" s="8" t="n">
        <v>96.720001</v>
      </c>
      <c r="F754" s="8" t="n">
        <v>47.68</v>
      </c>
      <c r="G754" s="8" t="n">
        <v>9.75</v>
      </c>
      <c r="H754" s="8" t="n">
        <v>53.740002</v>
      </c>
      <c r="I754" s="8" t="n">
        <v>2439.070068</v>
      </c>
      <c r="J754" s="8" t="n">
        <v>84.987724</v>
      </c>
      <c r="L754" s="9">
        <f>LN(B754/B753)</f>
        <v/>
      </c>
      <c r="M754" s="9">
        <f>$M$1*(C754-C753)</f>
        <v/>
      </c>
      <c r="N754" s="9">
        <f>$N$1*(D754-D753)</f>
        <v/>
      </c>
      <c r="O754" s="9">
        <f>$O$1*LN(E754/E753)</f>
        <v/>
      </c>
      <c r="P754" s="9">
        <f>$P$1*LN(F754/F753)</f>
        <v/>
      </c>
      <c r="Q754" s="9">
        <f>$Q$1*(G754-G753)</f>
        <v/>
      </c>
      <c r="R754" s="9">
        <f>$R$1*(H754-H753)</f>
        <v/>
      </c>
      <c r="S754" s="9">
        <f>$S$1*LN(I754/I753)</f>
        <v/>
      </c>
      <c r="T754" s="9">
        <f>$T$1*LN(J754/J753)</f>
        <v/>
      </c>
      <c r="U754" s="9">
        <f>$W$12+$W$4*M754+$W$5*N754+$W$6*O754+$W$7*P754+$W$8*Q754+$W$9*R754+$W$10*S754+$W$11*T754</f>
        <v/>
      </c>
      <c r="AA754" s="10">
        <f>INDEX(LINEST(L495:L754,M495:T754,TRUE,TRUE),1,9)*52</f>
        <v/>
      </c>
      <c r="AB754" s="9">
        <f>INDEX(LINEST(L495:L754,M495:T754,TRUE,TRUE),1,8)</f>
        <v/>
      </c>
      <c r="AC754" s="9">
        <f>INDEX(LINEST(L495:L754,M495:T754,TRUE,TRUE),1,7)</f>
        <v/>
      </c>
      <c r="AD754" s="9">
        <f>INDEX(LINEST(L495:L754,M495:T754,TRUE,TRUE),1,6)</f>
        <v/>
      </c>
      <c r="AE754" s="9">
        <f>INDEX(LINEST(L495:L754,M495:T754,TRUE,TRUE),1,5)</f>
        <v/>
      </c>
      <c r="AF754" s="9">
        <f>INDEX(LINEST(L495:L754,M495:T754,TRUE,TRUE),1,4)</f>
        <v/>
      </c>
      <c r="AG754" s="9">
        <f>INDEX(LINEST(L495:L754,M495:T754,TRUE,TRUE),1,3)</f>
        <v/>
      </c>
      <c r="AH754" s="9">
        <f>INDEX(LINEST(L495:L754,M495:T754,TRUE,TRUE),1,2)</f>
        <v/>
      </c>
      <c r="AI754" s="9">
        <f>INDEX(LINEST(L495:L754,M495:T754,TRUE,TRUE),1,1)</f>
        <v/>
      </c>
      <c r="AJ754" s="10">
        <f>INDEX(LINEST(L495:L754,M495:T754,TRUE,TRUE),3,1)</f>
        <v/>
      </c>
      <c r="AK754" s="9">
        <f>AA753/52+AB753*M754+AC753*N754+AD753*O754+AE753*P754+AF753*Q754+AG753*R754+AH753*S754+AI753*T754</f>
        <v/>
      </c>
      <c r="AL754" s="9">
        <f>AVERAGE(L494:L753)</f>
        <v/>
      </c>
    </row>
    <row r="755">
      <c r="A755" s="7" t="n">
        <v>42895</v>
      </c>
      <c r="B755" s="8" t="n">
        <v>1266.55</v>
      </c>
      <c r="C755" s="8" t="n">
        <v>1.78</v>
      </c>
      <c r="D755" s="8" t="n">
        <v>0.43</v>
      </c>
      <c r="E755" s="8" t="n">
        <v>97.269997</v>
      </c>
      <c r="F755" s="8" t="n">
        <v>45.82</v>
      </c>
      <c r="G755" s="8" t="n">
        <v>10.7</v>
      </c>
      <c r="H755" s="8" t="n">
        <v>52.560001</v>
      </c>
      <c r="I755" s="8" t="n">
        <v>2431.77002</v>
      </c>
      <c r="J755" s="8" t="n">
        <v>84.771049</v>
      </c>
      <c r="L755" s="9">
        <f>LN(B755/B754)</f>
        <v/>
      </c>
      <c r="M755" s="9">
        <f>$M$1*(C755-C754)</f>
        <v/>
      </c>
      <c r="N755" s="9">
        <f>$N$1*(D755-D754)</f>
        <v/>
      </c>
      <c r="O755" s="9">
        <f>$O$1*LN(E755/E754)</f>
        <v/>
      </c>
      <c r="P755" s="9">
        <f>$P$1*LN(F755/F754)</f>
        <v/>
      </c>
      <c r="Q755" s="9">
        <f>$Q$1*(G755-G754)</f>
        <v/>
      </c>
      <c r="R755" s="9">
        <f>$R$1*(H755-H754)</f>
        <v/>
      </c>
      <c r="S755" s="9">
        <f>$S$1*LN(I755/I754)</f>
        <v/>
      </c>
      <c r="T755" s="9">
        <f>$T$1*LN(J755/J754)</f>
        <v/>
      </c>
      <c r="U755" s="9">
        <f>$W$12+$W$4*M755+$W$5*N755+$W$6*O755+$W$7*P755+$W$8*Q755+$W$9*R755+$W$10*S755+$W$11*T755</f>
        <v/>
      </c>
      <c r="AA755" s="10">
        <f>INDEX(LINEST(L496:L755,M496:T755,TRUE,TRUE),1,9)*52</f>
        <v/>
      </c>
      <c r="AB755" s="9">
        <f>INDEX(LINEST(L496:L755,M496:T755,TRUE,TRUE),1,8)</f>
        <v/>
      </c>
      <c r="AC755" s="9">
        <f>INDEX(LINEST(L496:L755,M496:T755,TRUE,TRUE),1,7)</f>
        <v/>
      </c>
      <c r="AD755" s="9">
        <f>INDEX(LINEST(L496:L755,M496:T755,TRUE,TRUE),1,6)</f>
        <v/>
      </c>
      <c r="AE755" s="9">
        <f>INDEX(LINEST(L496:L755,M496:T755,TRUE,TRUE),1,5)</f>
        <v/>
      </c>
      <c r="AF755" s="9">
        <f>INDEX(LINEST(L496:L755,M496:T755,TRUE,TRUE),1,4)</f>
        <v/>
      </c>
      <c r="AG755" s="9">
        <f>INDEX(LINEST(L496:L755,M496:T755,TRUE,TRUE),1,3)</f>
        <v/>
      </c>
      <c r="AH755" s="9">
        <f>INDEX(LINEST(L496:L755,M496:T755,TRUE,TRUE),1,2)</f>
        <v/>
      </c>
      <c r="AI755" s="9">
        <f>INDEX(LINEST(L496:L755,M496:T755,TRUE,TRUE),1,1)</f>
        <v/>
      </c>
      <c r="AJ755" s="10">
        <f>INDEX(LINEST(L496:L755,M496:T755,TRUE,TRUE),3,1)</f>
        <v/>
      </c>
      <c r="AK755" s="9">
        <f>AA754/52+AB754*M755+AC754*N755+AD754*O755+AE754*P755+AF754*Q755+AG754*R755+AH754*S755+AI754*T755</f>
        <v/>
      </c>
      <c r="AL755" s="9">
        <f>AVERAGE(L495:L754)</f>
        <v/>
      </c>
    </row>
    <row r="756">
      <c r="A756" s="7" t="n">
        <v>42902</v>
      </c>
      <c r="B756" s="8" t="n">
        <v>1255.4</v>
      </c>
      <c r="C756" s="8" t="n">
        <v>1.67</v>
      </c>
      <c r="D756" s="8" t="n">
        <v>0.49</v>
      </c>
      <c r="E756" s="8" t="n">
        <v>97.160004</v>
      </c>
      <c r="F756" s="8" t="n">
        <v>44.73</v>
      </c>
      <c r="G756" s="8" t="n">
        <v>10.38</v>
      </c>
      <c r="H756" s="8" t="n">
        <v>51.48</v>
      </c>
      <c r="I756" s="8" t="n">
        <v>2433.149902</v>
      </c>
      <c r="J756" s="8" t="n">
        <v>85.06510900000001</v>
      </c>
      <c r="L756" s="9">
        <f>LN(B756/B755)</f>
        <v/>
      </c>
      <c r="M756" s="9">
        <f>$M$1*(C756-C755)</f>
        <v/>
      </c>
      <c r="N756" s="9">
        <f>$N$1*(D756-D755)</f>
        <v/>
      </c>
      <c r="O756" s="9">
        <f>$O$1*LN(E756/E755)</f>
        <v/>
      </c>
      <c r="P756" s="9">
        <f>$P$1*LN(F756/F755)</f>
        <v/>
      </c>
      <c r="Q756" s="9">
        <f>$Q$1*(G756-G755)</f>
        <v/>
      </c>
      <c r="R756" s="9">
        <f>$R$1*(H756-H755)</f>
        <v/>
      </c>
      <c r="S756" s="9">
        <f>$S$1*LN(I756/I755)</f>
        <v/>
      </c>
      <c r="T756" s="9">
        <f>$T$1*LN(J756/J755)</f>
        <v/>
      </c>
      <c r="U756" s="9">
        <f>$W$12+$W$4*M756+$W$5*N756+$W$6*O756+$W$7*P756+$W$8*Q756+$W$9*R756+$W$10*S756+$W$11*T756</f>
        <v/>
      </c>
      <c r="AA756" s="10">
        <f>INDEX(LINEST(L497:L756,M497:T756,TRUE,TRUE),1,9)*52</f>
        <v/>
      </c>
      <c r="AB756" s="9">
        <f>INDEX(LINEST(L497:L756,M497:T756,TRUE,TRUE),1,8)</f>
        <v/>
      </c>
      <c r="AC756" s="9">
        <f>INDEX(LINEST(L497:L756,M497:T756,TRUE,TRUE),1,7)</f>
        <v/>
      </c>
      <c r="AD756" s="9">
        <f>INDEX(LINEST(L497:L756,M497:T756,TRUE,TRUE),1,6)</f>
        <v/>
      </c>
      <c r="AE756" s="9">
        <f>INDEX(LINEST(L497:L756,M497:T756,TRUE,TRUE),1,5)</f>
        <v/>
      </c>
      <c r="AF756" s="9">
        <f>INDEX(LINEST(L497:L756,M497:T756,TRUE,TRUE),1,4)</f>
        <v/>
      </c>
      <c r="AG756" s="9">
        <f>INDEX(LINEST(L497:L756,M497:T756,TRUE,TRUE),1,3)</f>
        <v/>
      </c>
      <c r="AH756" s="9">
        <f>INDEX(LINEST(L497:L756,M497:T756,TRUE,TRUE),1,2)</f>
        <v/>
      </c>
      <c r="AI756" s="9">
        <f>INDEX(LINEST(L497:L756,M497:T756,TRUE,TRUE),1,1)</f>
        <v/>
      </c>
      <c r="AJ756" s="10">
        <f>INDEX(LINEST(L497:L756,M497:T756,TRUE,TRUE),3,1)</f>
        <v/>
      </c>
      <c r="AK756" s="9">
        <f>AA755/52+AB755*M756+AC755*N756+AD755*O756+AE755*P756+AF755*Q756+AG755*R756+AH755*S756+AI755*T756</f>
        <v/>
      </c>
      <c r="AL756" s="9">
        <f>AVERAGE(L496:L755)</f>
        <v/>
      </c>
    </row>
    <row r="757">
      <c r="A757" s="7" t="n">
        <v>42909</v>
      </c>
      <c r="B757" s="8" t="n">
        <v>1255.7</v>
      </c>
      <c r="C757" s="8" t="n">
        <v>1.7</v>
      </c>
      <c r="D757" s="8" t="n">
        <v>0.45</v>
      </c>
      <c r="E757" s="8" t="n">
        <v>97.300003</v>
      </c>
      <c r="F757" s="8" t="n">
        <v>42.86</v>
      </c>
      <c r="G757" s="8" t="n">
        <v>10.02</v>
      </c>
      <c r="H757" s="8" t="n">
        <v>51.16</v>
      </c>
      <c r="I757" s="8" t="n">
        <v>2438.300049</v>
      </c>
      <c r="J757" s="8" t="n">
        <v>85.150215</v>
      </c>
      <c r="L757" s="9">
        <f>LN(B757/B756)</f>
        <v/>
      </c>
      <c r="M757" s="9">
        <f>$M$1*(C757-C756)</f>
        <v/>
      </c>
      <c r="N757" s="9">
        <f>$N$1*(D757-D756)</f>
        <v/>
      </c>
      <c r="O757" s="9">
        <f>$O$1*LN(E757/E756)</f>
        <v/>
      </c>
      <c r="P757" s="9">
        <f>$P$1*LN(F757/F756)</f>
        <v/>
      </c>
      <c r="Q757" s="9">
        <f>$Q$1*(G757-G756)</f>
        <v/>
      </c>
      <c r="R757" s="9">
        <f>$R$1*(H757-H756)</f>
        <v/>
      </c>
      <c r="S757" s="9">
        <f>$S$1*LN(I757/I756)</f>
        <v/>
      </c>
      <c r="T757" s="9">
        <f>$T$1*LN(J757/J756)</f>
        <v/>
      </c>
      <c r="U757" s="9">
        <f>$W$12+$W$4*M757+$W$5*N757+$W$6*O757+$W$7*P757+$W$8*Q757+$W$9*R757+$W$10*S757+$W$11*T757</f>
        <v/>
      </c>
      <c r="AA757" s="10">
        <f>INDEX(LINEST(L498:L757,M498:T757,TRUE,TRUE),1,9)*52</f>
        <v/>
      </c>
      <c r="AB757" s="9">
        <f>INDEX(LINEST(L498:L757,M498:T757,TRUE,TRUE),1,8)</f>
        <v/>
      </c>
      <c r="AC757" s="9">
        <f>INDEX(LINEST(L498:L757,M498:T757,TRUE,TRUE),1,7)</f>
        <v/>
      </c>
      <c r="AD757" s="9">
        <f>INDEX(LINEST(L498:L757,M498:T757,TRUE,TRUE),1,6)</f>
        <v/>
      </c>
      <c r="AE757" s="9">
        <f>INDEX(LINEST(L498:L757,M498:T757,TRUE,TRUE),1,5)</f>
        <v/>
      </c>
      <c r="AF757" s="9">
        <f>INDEX(LINEST(L498:L757,M498:T757,TRUE,TRUE),1,4)</f>
        <v/>
      </c>
      <c r="AG757" s="9">
        <f>INDEX(LINEST(L498:L757,M498:T757,TRUE,TRUE),1,3)</f>
        <v/>
      </c>
      <c r="AH757" s="9">
        <f>INDEX(LINEST(L498:L757,M498:T757,TRUE,TRUE),1,2)</f>
        <v/>
      </c>
      <c r="AI757" s="9">
        <f>INDEX(LINEST(L498:L757,M498:T757,TRUE,TRUE),1,1)</f>
        <v/>
      </c>
      <c r="AJ757" s="10">
        <f>INDEX(LINEST(L498:L757,M498:T757,TRUE,TRUE),3,1)</f>
        <v/>
      </c>
      <c r="AK757" s="9">
        <f>AA756/52+AB756*M757+AC756*N757+AD756*O757+AE756*P757+AF756*Q757+AG756*R757+AH756*S757+AI756*T757</f>
        <v/>
      </c>
      <c r="AL757" s="9">
        <f>AVERAGE(L497:L756)</f>
        <v/>
      </c>
    </row>
    <row r="758">
      <c r="A758" s="7" t="n">
        <v>42916</v>
      </c>
      <c r="B758" s="8" t="n">
        <v>1242.25</v>
      </c>
      <c r="C758" s="8" t="n">
        <v>1.73</v>
      </c>
      <c r="D758" s="8" t="n">
        <v>0.58</v>
      </c>
      <c r="E758" s="8" t="n">
        <v>95.660004</v>
      </c>
      <c r="F758" s="8" t="n">
        <v>46.02</v>
      </c>
      <c r="G758" s="8" t="n">
        <v>11.18</v>
      </c>
      <c r="H758" s="8" t="n">
        <v>55.220001</v>
      </c>
      <c r="I758" s="8" t="n">
        <v>2423.409912</v>
      </c>
      <c r="J758" s="8" t="n">
        <v>84.732399</v>
      </c>
      <c r="L758" s="9">
        <f>LN(B758/B757)</f>
        <v/>
      </c>
      <c r="M758" s="9">
        <f>$M$1*(C758-C757)</f>
        <v/>
      </c>
      <c r="N758" s="9">
        <f>$N$1*(D758-D757)</f>
        <v/>
      </c>
      <c r="O758" s="9">
        <f>$O$1*LN(E758/E757)</f>
        <v/>
      </c>
      <c r="P758" s="9">
        <f>$P$1*LN(F758/F757)</f>
        <v/>
      </c>
      <c r="Q758" s="9">
        <f>$Q$1*(G758-G757)</f>
        <v/>
      </c>
      <c r="R758" s="9">
        <f>$R$1*(H758-H757)</f>
        <v/>
      </c>
      <c r="S758" s="9">
        <f>$S$1*LN(I758/I757)</f>
        <v/>
      </c>
      <c r="T758" s="9">
        <f>$T$1*LN(J758/J757)</f>
        <v/>
      </c>
      <c r="U758" s="9">
        <f>$W$12+$W$4*M758+$W$5*N758+$W$6*O758+$W$7*P758+$W$8*Q758+$W$9*R758+$W$10*S758+$W$11*T758</f>
        <v/>
      </c>
      <c r="AA758" s="10">
        <f>INDEX(LINEST(L499:L758,M499:T758,TRUE,TRUE),1,9)*52</f>
        <v/>
      </c>
      <c r="AB758" s="9">
        <f>INDEX(LINEST(L499:L758,M499:T758,TRUE,TRUE),1,8)</f>
        <v/>
      </c>
      <c r="AC758" s="9">
        <f>INDEX(LINEST(L499:L758,M499:T758,TRUE,TRUE),1,7)</f>
        <v/>
      </c>
      <c r="AD758" s="9">
        <f>INDEX(LINEST(L499:L758,M499:T758,TRUE,TRUE),1,6)</f>
        <v/>
      </c>
      <c r="AE758" s="9">
        <f>INDEX(LINEST(L499:L758,M499:T758,TRUE,TRUE),1,5)</f>
        <v/>
      </c>
      <c r="AF758" s="9">
        <f>INDEX(LINEST(L499:L758,M499:T758,TRUE,TRUE),1,4)</f>
        <v/>
      </c>
      <c r="AG758" s="9">
        <f>INDEX(LINEST(L499:L758,M499:T758,TRUE,TRUE),1,3)</f>
        <v/>
      </c>
      <c r="AH758" s="9">
        <f>INDEX(LINEST(L499:L758,M499:T758,TRUE,TRUE),1,2)</f>
        <v/>
      </c>
      <c r="AI758" s="9">
        <f>INDEX(LINEST(L499:L758,M499:T758,TRUE,TRUE),1,1)</f>
        <v/>
      </c>
      <c r="AJ758" s="10">
        <f>INDEX(LINEST(L499:L758,M499:T758,TRUE,TRUE),3,1)</f>
        <v/>
      </c>
      <c r="AK758" s="9">
        <f>AA757/52+AB757*M758+AC757*N758+AD757*O758+AE757*P758+AF757*Q758+AG757*R758+AH757*S758+AI757*T758</f>
        <v/>
      </c>
      <c r="AL758" s="9">
        <f>AVERAGE(L498:L757)</f>
        <v/>
      </c>
    </row>
    <row r="759">
      <c r="A759" s="7" t="n">
        <v>42923</v>
      </c>
      <c r="B759" s="8" t="n">
        <v>1215.65</v>
      </c>
      <c r="C759" s="8" t="n">
        <v>1.73</v>
      </c>
      <c r="D759" s="8" t="n">
        <v>0.66</v>
      </c>
      <c r="E759" s="8" t="n">
        <v>96.010002</v>
      </c>
      <c r="F759" s="8" t="n">
        <v>44.25</v>
      </c>
      <c r="G759" s="8" t="n">
        <v>11.19</v>
      </c>
      <c r="H759" s="8" t="n">
        <v>55.759998</v>
      </c>
      <c r="I759" s="8" t="n">
        <v>2425.179932</v>
      </c>
      <c r="J759" s="8" t="n">
        <v>84.433891</v>
      </c>
      <c r="L759" s="9">
        <f>LN(B759/B758)</f>
        <v/>
      </c>
      <c r="M759" s="9">
        <f>$M$1*(C759-C758)</f>
        <v/>
      </c>
      <c r="N759" s="9">
        <f>$N$1*(D759-D758)</f>
        <v/>
      </c>
      <c r="O759" s="9">
        <f>$O$1*LN(E759/E758)</f>
        <v/>
      </c>
      <c r="P759" s="9">
        <f>$P$1*LN(F759/F758)</f>
        <v/>
      </c>
      <c r="Q759" s="9">
        <f>$Q$1*(G759-G758)</f>
        <v/>
      </c>
      <c r="R759" s="9">
        <f>$R$1*(H759-H758)</f>
        <v/>
      </c>
      <c r="S759" s="9">
        <f>$S$1*LN(I759/I758)</f>
        <v/>
      </c>
      <c r="T759" s="9">
        <f>$T$1*LN(J759/J758)</f>
        <v/>
      </c>
      <c r="U759" s="9">
        <f>$W$12+$W$4*M759+$W$5*N759+$W$6*O759+$W$7*P759+$W$8*Q759+$W$9*R759+$W$10*S759+$W$11*T759</f>
        <v/>
      </c>
      <c r="AA759" s="10">
        <f>INDEX(LINEST(L500:L759,M500:T759,TRUE,TRUE),1,9)*52</f>
        <v/>
      </c>
      <c r="AB759" s="9">
        <f>INDEX(LINEST(L500:L759,M500:T759,TRUE,TRUE),1,8)</f>
        <v/>
      </c>
      <c r="AC759" s="9">
        <f>INDEX(LINEST(L500:L759,M500:T759,TRUE,TRUE),1,7)</f>
        <v/>
      </c>
      <c r="AD759" s="9">
        <f>INDEX(LINEST(L500:L759,M500:T759,TRUE,TRUE),1,6)</f>
        <v/>
      </c>
      <c r="AE759" s="9">
        <f>INDEX(LINEST(L500:L759,M500:T759,TRUE,TRUE),1,5)</f>
        <v/>
      </c>
      <c r="AF759" s="9">
        <f>INDEX(LINEST(L500:L759,M500:T759,TRUE,TRUE),1,4)</f>
        <v/>
      </c>
      <c r="AG759" s="9">
        <f>INDEX(LINEST(L500:L759,M500:T759,TRUE,TRUE),1,3)</f>
        <v/>
      </c>
      <c r="AH759" s="9">
        <f>INDEX(LINEST(L500:L759,M500:T759,TRUE,TRUE),1,2)</f>
        <v/>
      </c>
      <c r="AI759" s="9">
        <f>INDEX(LINEST(L500:L759,M500:T759,TRUE,TRUE),1,1)</f>
        <v/>
      </c>
      <c r="AJ759" s="10">
        <f>INDEX(LINEST(L500:L759,M500:T759,TRUE,TRUE),3,1)</f>
        <v/>
      </c>
      <c r="AK759" s="9">
        <f>AA758/52+AB758*M759+AC758*N759+AD758*O759+AE758*P759+AF758*Q759+AG758*R759+AH758*S759+AI758*T759</f>
        <v/>
      </c>
      <c r="AL759" s="9">
        <f>AVERAGE(L499:L758)</f>
        <v/>
      </c>
    </row>
    <row r="760">
      <c r="A760" s="7" t="n">
        <v>42930</v>
      </c>
      <c r="B760" s="8" t="n">
        <v>1230.3</v>
      </c>
      <c r="C760" s="8" t="n">
        <v>1.76</v>
      </c>
      <c r="D760" s="8" t="n">
        <v>0.57</v>
      </c>
      <c r="E760" s="8" t="n">
        <v>95.110001</v>
      </c>
      <c r="F760" s="8" t="n">
        <v>46.53</v>
      </c>
      <c r="G760" s="8" t="n">
        <v>9.51</v>
      </c>
      <c r="H760" s="8" t="n">
        <v>51.029999</v>
      </c>
      <c r="I760" s="8" t="n">
        <v>2459.27002</v>
      </c>
      <c r="J760" s="8" t="n">
        <v>84.79827899999999</v>
      </c>
      <c r="L760" s="9">
        <f>LN(B760/B759)</f>
        <v/>
      </c>
      <c r="M760" s="9">
        <f>$M$1*(C760-C759)</f>
        <v/>
      </c>
      <c r="N760" s="9">
        <f>$N$1*(D760-D759)</f>
        <v/>
      </c>
      <c r="O760" s="9">
        <f>$O$1*LN(E760/E759)</f>
        <v/>
      </c>
      <c r="P760" s="9">
        <f>$P$1*LN(F760/F759)</f>
        <v/>
      </c>
      <c r="Q760" s="9">
        <f>$Q$1*(G760-G759)</f>
        <v/>
      </c>
      <c r="R760" s="9">
        <f>$R$1*(H760-H759)</f>
        <v/>
      </c>
      <c r="S760" s="9">
        <f>$S$1*LN(I760/I759)</f>
        <v/>
      </c>
      <c r="T760" s="9">
        <f>$T$1*LN(J760/J759)</f>
        <v/>
      </c>
      <c r="U760" s="9">
        <f>$W$12+$W$4*M760+$W$5*N760+$W$6*O760+$W$7*P760+$W$8*Q760+$W$9*R760+$W$10*S760+$W$11*T760</f>
        <v/>
      </c>
      <c r="AA760" s="10">
        <f>INDEX(LINEST(L501:L760,M501:T760,TRUE,TRUE),1,9)*52</f>
        <v/>
      </c>
      <c r="AB760" s="9">
        <f>INDEX(LINEST(L501:L760,M501:T760,TRUE,TRUE),1,8)</f>
        <v/>
      </c>
      <c r="AC760" s="9">
        <f>INDEX(LINEST(L501:L760,M501:T760,TRUE,TRUE),1,7)</f>
        <v/>
      </c>
      <c r="AD760" s="9">
        <f>INDEX(LINEST(L501:L760,M501:T760,TRUE,TRUE),1,6)</f>
        <v/>
      </c>
      <c r="AE760" s="9">
        <f>INDEX(LINEST(L501:L760,M501:T760,TRUE,TRUE),1,5)</f>
        <v/>
      </c>
      <c r="AF760" s="9">
        <f>INDEX(LINEST(L501:L760,M501:T760,TRUE,TRUE),1,4)</f>
        <v/>
      </c>
      <c r="AG760" s="9">
        <f>INDEX(LINEST(L501:L760,M501:T760,TRUE,TRUE),1,3)</f>
        <v/>
      </c>
      <c r="AH760" s="9">
        <f>INDEX(LINEST(L501:L760,M501:T760,TRUE,TRUE),1,2)</f>
        <v/>
      </c>
      <c r="AI760" s="9">
        <f>INDEX(LINEST(L501:L760,M501:T760,TRUE,TRUE),1,1)</f>
        <v/>
      </c>
      <c r="AJ760" s="10">
        <f>INDEX(LINEST(L501:L760,M501:T760,TRUE,TRUE),3,1)</f>
        <v/>
      </c>
      <c r="AK760" s="9">
        <f>AA759/52+AB759*M760+AC759*N760+AD759*O760+AE759*P760+AF759*Q760+AG759*R760+AH759*S760+AI759*T760</f>
        <v/>
      </c>
      <c r="AL760" s="9">
        <f>AVERAGE(L500:L759)</f>
        <v/>
      </c>
    </row>
    <row r="761">
      <c r="A761" s="7" t="n">
        <v>42937</v>
      </c>
      <c r="B761" s="8" t="n">
        <v>1248.55</v>
      </c>
      <c r="C761" s="8" t="n">
        <v>1.76</v>
      </c>
      <c r="D761" s="8" t="n">
        <v>0.48</v>
      </c>
      <c r="E761" s="8" t="n">
        <v>93.94000200000001</v>
      </c>
      <c r="F761" s="8" t="n">
        <v>45.78</v>
      </c>
      <c r="G761" s="8" t="n">
        <v>9.359999999999999</v>
      </c>
      <c r="H761" s="8" t="n">
        <v>47.450001</v>
      </c>
      <c r="I761" s="8" t="n">
        <v>2472.540039</v>
      </c>
      <c r="J761" s="8" t="n">
        <v>85.22473100000001</v>
      </c>
      <c r="L761" s="9">
        <f>LN(B761/B760)</f>
        <v/>
      </c>
      <c r="M761" s="9">
        <f>$M$1*(C761-C760)</f>
        <v/>
      </c>
      <c r="N761" s="9">
        <f>$N$1*(D761-D760)</f>
        <v/>
      </c>
      <c r="O761" s="9">
        <f>$O$1*LN(E761/E760)</f>
        <v/>
      </c>
      <c r="P761" s="9">
        <f>$P$1*LN(F761/F760)</f>
        <v/>
      </c>
      <c r="Q761" s="9">
        <f>$Q$1*(G761-G760)</f>
        <v/>
      </c>
      <c r="R761" s="9">
        <f>$R$1*(H761-H760)</f>
        <v/>
      </c>
      <c r="S761" s="9">
        <f>$S$1*LN(I761/I760)</f>
        <v/>
      </c>
      <c r="T761" s="9">
        <f>$T$1*LN(J761/J760)</f>
        <v/>
      </c>
      <c r="U761" s="9">
        <f>$W$12+$W$4*M761+$W$5*N761+$W$6*O761+$W$7*P761+$W$8*Q761+$W$9*R761+$W$10*S761+$W$11*T761</f>
        <v/>
      </c>
      <c r="AA761" s="10">
        <f>INDEX(LINEST(L502:L761,M502:T761,TRUE,TRUE),1,9)*52</f>
        <v/>
      </c>
      <c r="AB761" s="9">
        <f>INDEX(LINEST(L502:L761,M502:T761,TRUE,TRUE),1,8)</f>
        <v/>
      </c>
      <c r="AC761" s="9">
        <f>INDEX(LINEST(L502:L761,M502:T761,TRUE,TRUE),1,7)</f>
        <v/>
      </c>
      <c r="AD761" s="9">
        <f>INDEX(LINEST(L502:L761,M502:T761,TRUE,TRUE),1,6)</f>
        <v/>
      </c>
      <c r="AE761" s="9">
        <f>INDEX(LINEST(L502:L761,M502:T761,TRUE,TRUE),1,5)</f>
        <v/>
      </c>
      <c r="AF761" s="9">
        <f>INDEX(LINEST(L502:L761,M502:T761,TRUE,TRUE),1,4)</f>
        <v/>
      </c>
      <c r="AG761" s="9">
        <f>INDEX(LINEST(L502:L761,M502:T761,TRUE,TRUE),1,3)</f>
        <v/>
      </c>
      <c r="AH761" s="9">
        <f>INDEX(LINEST(L502:L761,M502:T761,TRUE,TRUE),1,2)</f>
        <v/>
      </c>
      <c r="AI761" s="9">
        <f>INDEX(LINEST(L502:L761,M502:T761,TRUE,TRUE),1,1)</f>
        <v/>
      </c>
      <c r="AJ761" s="10">
        <f>INDEX(LINEST(L502:L761,M502:T761,TRUE,TRUE),3,1)</f>
        <v/>
      </c>
      <c r="AK761" s="9">
        <f>AA760/52+AB760*M761+AC760*N761+AD760*O761+AE760*P761+AF760*Q761+AG760*R761+AH760*S761+AI760*T761</f>
        <v/>
      </c>
      <c r="AL761" s="9">
        <f>AVERAGE(L501:L760)</f>
        <v/>
      </c>
    </row>
    <row r="762">
      <c r="A762" s="7" t="n">
        <v>42944</v>
      </c>
      <c r="B762" s="8" t="n">
        <v>1264.9</v>
      </c>
      <c r="C762" s="8" t="n">
        <v>1.83</v>
      </c>
      <c r="D762" s="8" t="n">
        <v>0.47</v>
      </c>
      <c r="E762" s="8" t="n">
        <v>93.260002</v>
      </c>
      <c r="F762" s="8" t="n">
        <v>49.72</v>
      </c>
      <c r="G762" s="8" t="n">
        <v>10.29</v>
      </c>
      <c r="H762" s="8" t="n">
        <v>48.529999</v>
      </c>
      <c r="I762" s="8" t="n">
        <v>2472.100098</v>
      </c>
      <c r="J762" s="8" t="n">
        <v>85.05416099999999</v>
      </c>
      <c r="L762" s="9">
        <f>LN(B762/B761)</f>
        <v/>
      </c>
      <c r="M762" s="9">
        <f>$M$1*(C762-C761)</f>
        <v/>
      </c>
      <c r="N762" s="9">
        <f>$N$1*(D762-D761)</f>
        <v/>
      </c>
      <c r="O762" s="9">
        <f>$O$1*LN(E762/E761)</f>
        <v/>
      </c>
      <c r="P762" s="9">
        <f>$P$1*LN(F762/F761)</f>
        <v/>
      </c>
      <c r="Q762" s="9">
        <f>$Q$1*(G762-G761)</f>
        <v/>
      </c>
      <c r="R762" s="9">
        <f>$R$1*(H762-H761)</f>
        <v/>
      </c>
      <c r="S762" s="9">
        <f>$S$1*LN(I762/I761)</f>
        <v/>
      </c>
      <c r="T762" s="9">
        <f>$T$1*LN(J762/J761)</f>
        <v/>
      </c>
      <c r="U762" s="9">
        <f>$W$12+$W$4*M762+$W$5*N762+$W$6*O762+$W$7*P762+$W$8*Q762+$W$9*R762+$W$10*S762+$W$11*T762</f>
        <v/>
      </c>
      <c r="AA762" s="10">
        <f>INDEX(LINEST(L503:L762,M503:T762,TRUE,TRUE),1,9)*52</f>
        <v/>
      </c>
      <c r="AB762" s="9">
        <f>INDEX(LINEST(L503:L762,M503:T762,TRUE,TRUE),1,8)</f>
        <v/>
      </c>
      <c r="AC762" s="9">
        <f>INDEX(LINEST(L503:L762,M503:T762,TRUE,TRUE),1,7)</f>
        <v/>
      </c>
      <c r="AD762" s="9">
        <f>INDEX(LINEST(L503:L762,M503:T762,TRUE,TRUE),1,6)</f>
        <v/>
      </c>
      <c r="AE762" s="9">
        <f>INDEX(LINEST(L503:L762,M503:T762,TRUE,TRUE),1,5)</f>
        <v/>
      </c>
      <c r="AF762" s="9">
        <f>INDEX(LINEST(L503:L762,M503:T762,TRUE,TRUE),1,4)</f>
        <v/>
      </c>
      <c r="AG762" s="9">
        <f>INDEX(LINEST(L503:L762,M503:T762,TRUE,TRUE),1,3)</f>
        <v/>
      </c>
      <c r="AH762" s="9">
        <f>INDEX(LINEST(L503:L762,M503:T762,TRUE,TRUE),1,2)</f>
        <v/>
      </c>
      <c r="AI762" s="9">
        <f>INDEX(LINEST(L503:L762,M503:T762,TRUE,TRUE),1,1)</f>
        <v/>
      </c>
      <c r="AJ762" s="10">
        <f>INDEX(LINEST(L503:L762,M503:T762,TRUE,TRUE),3,1)</f>
        <v/>
      </c>
      <c r="AK762" s="9">
        <f>AA761/52+AB761*M762+AC761*N762+AD761*O762+AE761*P762+AF761*Q762+AG761*R762+AH761*S762+AI761*T762</f>
        <v/>
      </c>
      <c r="AL762" s="9">
        <f>AVERAGE(L502:L761)</f>
        <v/>
      </c>
    </row>
    <row r="763">
      <c r="A763" s="7" t="n">
        <v>42951</v>
      </c>
      <c r="B763" s="8" t="n">
        <v>1257.7</v>
      </c>
      <c r="C763" s="8" t="n">
        <v>1.8</v>
      </c>
      <c r="D763" s="8" t="n">
        <v>0.47</v>
      </c>
      <c r="E763" s="8" t="n">
        <v>93.540001</v>
      </c>
      <c r="F763" s="8" t="n">
        <v>49.57</v>
      </c>
      <c r="G763" s="8" t="n">
        <v>10.03</v>
      </c>
      <c r="H763" s="8" t="n">
        <v>47.279999</v>
      </c>
      <c r="I763" s="8" t="n">
        <v>2476.830078</v>
      </c>
      <c r="J763" s="8" t="n">
        <v>85.2174</v>
      </c>
      <c r="L763" s="9">
        <f>LN(B763/B762)</f>
        <v/>
      </c>
      <c r="M763" s="9">
        <f>$M$1*(C763-C762)</f>
        <v/>
      </c>
      <c r="N763" s="9">
        <f>$N$1*(D763-D762)</f>
        <v/>
      </c>
      <c r="O763" s="9">
        <f>$O$1*LN(E763/E762)</f>
        <v/>
      </c>
      <c r="P763" s="9">
        <f>$P$1*LN(F763/F762)</f>
        <v/>
      </c>
      <c r="Q763" s="9">
        <f>$Q$1*(G763-G762)</f>
        <v/>
      </c>
      <c r="R763" s="9">
        <f>$R$1*(H763-H762)</f>
        <v/>
      </c>
      <c r="S763" s="9">
        <f>$S$1*LN(I763/I762)</f>
        <v/>
      </c>
      <c r="T763" s="9">
        <f>$T$1*LN(J763/J762)</f>
        <v/>
      </c>
      <c r="U763" s="9">
        <f>$W$12+$W$4*M763+$W$5*N763+$W$6*O763+$W$7*P763+$W$8*Q763+$W$9*R763+$W$10*S763+$W$11*T763</f>
        <v/>
      </c>
      <c r="AA763" s="10">
        <f>INDEX(LINEST(L504:L763,M504:T763,TRUE,TRUE),1,9)*52</f>
        <v/>
      </c>
      <c r="AB763" s="9">
        <f>INDEX(LINEST(L504:L763,M504:T763,TRUE,TRUE),1,8)</f>
        <v/>
      </c>
      <c r="AC763" s="9">
        <f>INDEX(LINEST(L504:L763,M504:T763,TRUE,TRUE),1,7)</f>
        <v/>
      </c>
      <c r="AD763" s="9">
        <f>INDEX(LINEST(L504:L763,M504:T763,TRUE,TRUE),1,6)</f>
        <v/>
      </c>
      <c r="AE763" s="9">
        <f>INDEX(LINEST(L504:L763,M504:T763,TRUE,TRUE),1,5)</f>
        <v/>
      </c>
      <c r="AF763" s="9">
        <f>INDEX(LINEST(L504:L763,M504:T763,TRUE,TRUE),1,4)</f>
        <v/>
      </c>
      <c r="AG763" s="9">
        <f>INDEX(LINEST(L504:L763,M504:T763,TRUE,TRUE),1,3)</f>
        <v/>
      </c>
      <c r="AH763" s="9">
        <f>INDEX(LINEST(L504:L763,M504:T763,TRUE,TRUE),1,2)</f>
        <v/>
      </c>
      <c r="AI763" s="9">
        <f>INDEX(LINEST(L504:L763,M504:T763,TRUE,TRUE),1,1)</f>
        <v/>
      </c>
      <c r="AJ763" s="10">
        <f>INDEX(LINEST(L504:L763,M504:T763,TRUE,TRUE),3,1)</f>
        <v/>
      </c>
      <c r="AK763" s="9">
        <f>AA762/52+AB762*M763+AC762*N763+AD762*O763+AE762*P763+AF762*Q763+AG762*R763+AH762*S763+AI762*T763</f>
        <v/>
      </c>
      <c r="AL763" s="9">
        <f>AVERAGE(L503:L762)</f>
        <v/>
      </c>
    </row>
    <row r="764">
      <c r="A764" s="7" t="n">
        <v>42958</v>
      </c>
      <c r="B764" s="8" t="n">
        <v>1286.1</v>
      </c>
      <c r="C764" s="8" t="n">
        <v>1.79</v>
      </c>
      <c r="D764" s="8" t="n">
        <v>0.4</v>
      </c>
      <c r="E764" s="8" t="n">
        <v>93.06999999999999</v>
      </c>
      <c r="F764" s="8" t="n">
        <v>48.81</v>
      </c>
      <c r="G764" s="8" t="n">
        <v>15.51</v>
      </c>
      <c r="H764" s="8" t="n">
        <v>52.060001</v>
      </c>
      <c r="I764" s="8" t="n">
        <v>2441.320068</v>
      </c>
      <c r="J764" s="8" t="n">
        <v>85.365028</v>
      </c>
      <c r="L764" s="9">
        <f>LN(B764/B763)</f>
        <v/>
      </c>
      <c r="M764" s="9">
        <f>$M$1*(C764-C763)</f>
        <v/>
      </c>
      <c r="N764" s="9">
        <f>$N$1*(D764-D763)</f>
        <v/>
      </c>
      <c r="O764" s="9">
        <f>$O$1*LN(E764/E763)</f>
        <v/>
      </c>
      <c r="P764" s="9">
        <f>$P$1*LN(F764/F763)</f>
        <v/>
      </c>
      <c r="Q764" s="9">
        <f>$Q$1*(G764-G763)</f>
        <v/>
      </c>
      <c r="R764" s="9">
        <f>$R$1*(H764-H763)</f>
        <v/>
      </c>
      <c r="S764" s="9">
        <f>$S$1*LN(I764/I763)</f>
        <v/>
      </c>
      <c r="T764" s="9">
        <f>$T$1*LN(J764/J763)</f>
        <v/>
      </c>
      <c r="U764" s="9">
        <f>$W$12+$W$4*M764+$W$5*N764+$W$6*O764+$W$7*P764+$W$8*Q764+$W$9*R764+$W$10*S764+$W$11*T764</f>
        <v/>
      </c>
      <c r="AA764" s="10">
        <f>INDEX(LINEST(L505:L764,M505:T764,TRUE,TRUE),1,9)*52</f>
        <v/>
      </c>
      <c r="AB764" s="9">
        <f>INDEX(LINEST(L505:L764,M505:T764,TRUE,TRUE),1,8)</f>
        <v/>
      </c>
      <c r="AC764" s="9">
        <f>INDEX(LINEST(L505:L764,M505:T764,TRUE,TRUE),1,7)</f>
        <v/>
      </c>
      <c r="AD764" s="9">
        <f>INDEX(LINEST(L505:L764,M505:T764,TRUE,TRUE),1,6)</f>
        <v/>
      </c>
      <c r="AE764" s="9">
        <f>INDEX(LINEST(L505:L764,M505:T764,TRUE,TRUE),1,5)</f>
        <v/>
      </c>
      <c r="AF764" s="9">
        <f>INDEX(LINEST(L505:L764,M505:T764,TRUE,TRUE),1,4)</f>
        <v/>
      </c>
      <c r="AG764" s="9">
        <f>INDEX(LINEST(L505:L764,M505:T764,TRUE,TRUE),1,3)</f>
        <v/>
      </c>
      <c r="AH764" s="9">
        <f>INDEX(LINEST(L505:L764,M505:T764,TRUE,TRUE),1,2)</f>
        <v/>
      </c>
      <c r="AI764" s="9">
        <f>INDEX(LINEST(L505:L764,M505:T764,TRUE,TRUE),1,1)</f>
        <v/>
      </c>
      <c r="AJ764" s="10">
        <f>INDEX(LINEST(L505:L764,M505:T764,TRUE,TRUE),3,1)</f>
        <v/>
      </c>
      <c r="AK764" s="9">
        <f>AA763/52+AB763*M764+AC763*N764+AD763*O764+AE763*P764+AF763*Q764+AG763*R764+AH763*S764+AI763*T764</f>
        <v/>
      </c>
      <c r="AL764" s="9">
        <f>AVERAGE(L504:L763)</f>
        <v/>
      </c>
    </row>
    <row r="765">
      <c r="A765" s="7" t="n">
        <v>42965</v>
      </c>
      <c r="B765" s="8" t="n">
        <v>1295.8</v>
      </c>
      <c r="C765" s="8" t="n">
        <v>1.76</v>
      </c>
      <c r="D765" s="8" t="n">
        <v>0.43</v>
      </c>
      <c r="E765" s="8" t="n">
        <v>93.43000000000001</v>
      </c>
      <c r="F765" s="8" t="n">
        <v>48.59</v>
      </c>
      <c r="G765" s="8" t="n">
        <v>14.26</v>
      </c>
      <c r="H765" s="8" t="n">
        <v>50.16</v>
      </c>
      <c r="I765" s="8" t="n">
        <v>2425.550049</v>
      </c>
      <c r="J765" s="8" t="n">
        <v>85.427155</v>
      </c>
      <c r="L765" s="9">
        <f>LN(B765/B764)</f>
        <v/>
      </c>
      <c r="M765" s="9">
        <f>$M$1*(C765-C764)</f>
        <v/>
      </c>
      <c r="N765" s="9">
        <f>$N$1*(D765-D764)</f>
        <v/>
      </c>
      <c r="O765" s="9">
        <f>$O$1*LN(E765/E764)</f>
        <v/>
      </c>
      <c r="P765" s="9">
        <f>$P$1*LN(F765/F764)</f>
        <v/>
      </c>
      <c r="Q765" s="9">
        <f>$Q$1*(G765-G764)</f>
        <v/>
      </c>
      <c r="R765" s="9">
        <f>$R$1*(H765-H764)</f>
        <v/>
      </c>
      <c r="S765" s="9">
        <f>$S$1*LN(I765/I764)</f>
        <v/>
      </c>
      <c r="T765" s="9">
        <f>$T$1*LN(J765/J764)</f>
        <v/>
      </c>
      <c r="U765" s="9">
        <f>$W$12+$W$4*M765+$W$5*N765+$W$6*O765+$W$7*P765+$W$8*Q765+$W$9*R765+$W$10*S765+$W$11*T765</f>
        <v/>
      </c>
      <c r="AA765" s="10">
        <f>INDEX(LINEST(L506:L765,M506:T765,TRUE,TRUE),1,9)*52</f>
        <v/>
      </c>
      <c r="AB765" s="9">
        <f>INDEX(LINEST(L506:L765,M506:T765,TRUE,TRUE),1,8)</f>
        <v/>
      </c>
      <c r="AC765" s="9">
        <f>INDEX(LINEST(L506:L765,M506:T765,TRUE,TRUE),1,7)</f>
        <v/>
      </c>
      <c r="AD765" s="9">
        <f>INDEX(LINEST(L506:L765,M506:T765,TRUE,TRUE),1,6)</f>
        <v/>
      </c>
      <c r="AE765" s="9">
        <f>INDEX(LINEST(L506:L765,M506:T765,TRUE,TRUE),1,5)</f>
        <v/>
      </c>
      <c r="AF765" s="9">
        <f>INDEX(LINEST(L506:L765,M506:T765,TRUE,TRUE),1,4)</f>
        <v/>
      </c>
      <c r="AG765" s="9">
        <f>INDEX(LINEST(L506:L765,M506:T765,TRUE,TRUE),1,3)</f>
        <v/>
      </c>
      <c r="AH765" s="9">
        <f>INDEX(LINEST(L506:L765,M506:T765,TRUE,TRUE),1,2)</f>
        <v/>
      </c>
      <c r="AI765" s="9">
        <f>INDEX(LINEST(L506:L765,M506:T765,TRUE,TRUE),1,1)</f>
        <v/>
      </c>
      <c r="AJ765" s="10">
        <f>INDEX(LINEST(L506:L765,M506:T765,TRUE,TRUE),3,1)</f>
        <v/>
      </c>
      <c r="AK765" s="9">
        <f>AA764/52+AB764*M765+AC764*N765+AD764*O765+AE764*P765+AF764*Q765+AG764*R765+AH764*S765+AI764*T765</f>
        <v/>
      </c>
      <c r="AL765" s="9">
        <f>AVERAGE(L505:L764)</f>
        <v/>
      </c>
    </row>
    <row r="766">
      <c r="A766" s="7" t="n">
        <v>42972</v>
      </c>
      <c r="B766" s="8" t="n">
        <v>1285.3</v>
      </c>
      <c r="C766" s="8" t="n">
        <v>1.75</v>
      </c>
      <c r="D766" s="8" t="n">
        <v>0.42</v>
      </c>
      <c r="E766" s="8" t="n">
        <v>92.739998</v>
      </c>
      <c r="F766" s="8" t="n">
        <v>47.65</v>
      </c>
      <c r="G766" s="8" t="n">
        <v>11.28</v>
      </c>
      <c r="H766" s="8" t="n">
        <v>50.560001</v>
      </c>
      <c r="I766" s="8" t="n">
        <v>2443.050049</v>
      </c>
      <c r="J766" s="8" t="n">
        <v>85.55922700000001</v>
      </c>
      <c r="L766" s="9">
        <f>LN(B766/B765)</f>
        <v/>
      </c>
      <c r="M766" s="9">
        <f>$M$1*(C766-C765)</f>
        <v/>
      </c>
      <c r="N766" s="9">
        <f>$N$1*(D766-D765)</f>
        <v/>
      </c>
      <c r="O766" s="9">
        <f>$O$1*LN(E766/E765)</f>
        <v/>
      </c>
      <c r="P766" s="9">
        <f>$P$1*LN(F766/F765)</f>
        <v/>
      </c>
      <c r="Q766" s="9">
        <f>$Q$1*(G766-G765)</f>
        <v/>
      </c>
      <c r="R766" s="9">
        <f>$R$1*(H766-H765)</f>
        <v/>
      </c>
      <c r="S766" s="9">
        <f>$S$1*LN(I766/I765)</f>
        <v/>
      </c>
      <c r="T766" s="9">
        <f>$T$1*LN(J766/J765)</f>
        <v/>
      </c>
      <c r="U766" s="9">
        <f>$W$12+$W$4*M766+$W$5*N766+$W$6*O766+$W$7*P766+$W$8*Q766+$W$9*R766+$W$10*S766+$W$11*T766</f>
        <v/>
      </c>
      <c r="AA766" s="10">
        <f>INDEX(LINEST(L507:L766,M507:T766,TRUE,TRUE),1,9)*52</f>
        <v/>
      </c>
      <c r="AB766" s="9">
        <f>INDEX(LINEST(L507:L766,M507:T766,TRUE,TRUE),1,8)</f>
        <v/>
      </c>
      <c r="AC766" s="9">
        <f>INDEX(LINEST(L507:L766,M507:T766,TRUE,TRUE),1,7)</f>
        <v/>
      </c>
      <c r="AD766" s="9">
        <f>INDEX(LINEST(L507:L766,M507:T766,TRUE,TRUE),1,6)</f>
        <v/>
      </c>
      <c r="AE766" s="9">
        <f>INDEX(LINEST(L507:L766,M507:T766,TRUE,TRUE),1,5)</f>
        <v/>
      </c>
      <c r="AF766" s="9">
        <f>INDEX(LINEST(L507:L766,M507:T766,TRUE,TRUE),1,4)</f>
        <v/>
      </c>
      <c r="AG766" s="9">
        <f>INDEX(LINEST(L507:L766,M507:T766,TRUE,TRUE),1,3)</f>
        <v/>
      </c>
      <c r="AH766" s="9">
        <f>INDEX(LINEST(L507:L766,M507:T766,TRUE,TRUE),1,2)</f>
        <v/>
      </c>
      <c r="AI766" s="9">
        <f>INDEX(LINEST(L507:L766,M507:T766,TRUE,TRUE),1,1)</f>
        <v/>
      </c>
      <c r="AJ766" s="10">
        <f>INDEX(LINEST(L507:L766,M507:T766,TRUE,TRUE),3,1)</f>
        <v/>
      </c>
      <c r="AK766" s="9">
        <f>AA765/52+AB765*M766+AC765*N766+AD765*O766+AE765*P766+AF765*Q766+AG765*R766+AH765*S766+AI765*T766</f>
        <v/>
      </c>
      <c r="AL766" s="9">
        <f>AVERAGE(L506:L765)</f>
        <v/>
      </c>
    </row>
    <row r="767">
      <c r="A767" s="7" t="n">
        <v>42979</v>
      </c>
      <c r="B767" s="8" t="n">
        <v>1320.4</v>
      </c>
      <c r="C767" s="8" t="n">
        <v>1.79</v>
      </c>
      <c r="D767" s="8" t="n">
        <v>0.37</v>
      </c>
      <c r="E767" s="8" t="n">
        <v>92.80999799999999</v>
      </c>
      <c r="F767" s="8" t="n">
        <v>47.32</v>
      </c>
      <c r="G767" s="8" t="n">
        <v>10.13</v>
      </c>
      <c r="H767" s="8" t="n">
        <v>49.439999</v>
      </c>
      <c r="I767" s="8" t="n">
        <v>2476.550049</v>
      </c>
      <c r="J767" s="8" t="n">
        <v>85.621048</v>
      </c>
      <c r="L767" s="9">
        <f>LN(B767/B766)</f>
        <v/>
      </c>
      <c r="M767" s="9">
        <f>$M$1*(C767-C766)</f>
        <v/>
      </c>
      <c r="N767" s="9">
        <f>$N$1*(D767-D766)</f>
        <v/>
      </c>
      <c r="O767" s="9">
        <f>$O$1*LN(E767/E766)</f>
        <v/>
      </c>
      <c r="P767" s="9">
        <f>$P$1*LN(F767/F766)</f>
        <v/>
      </c>
      <c r="Q767" s="9">
        <f>$Q$1*(G767-G766)</f>
        <v/>
      </c>
      <c r="R767" s="9">
        <f>$R$1*(H767-H766)</f>
        <v/>
      </c>
      <c r="S767" s="9">
        <f>$S$1*LN(I767/I766)</f>
        <v/>
      </c>
      <c r="T767" s="9">
        <f>$T$1*LN(J767/J766)</f>
        <v/>
      </c>
      <c r="U767" s="9">
        <f>$W$12+$W$4*M767+$W$5*N767+$W$6*O767+$W$7*P767+$W$8*Q767+$W$9*R767+$W$10*S767+$W$11*T767</f>
        <v/>
      </c>
      <c r="AA767" s="10">
        <f>INDEX(LINEST(L508:L767,M508:T767,TRUE,TRUE),1,9)*52</f>
        <v/>
      </c>
      <c r="AB767" s="9">
        <f>INDEX(LINEST(L508:L767,M508:T767,TRUE,TRUE),1,8)</f>
        <v/>
      </c>
      <c r="AC767" s="9">
        <f>INDEX(LINEST(L508:L767,M508:T767,TRUE,TRUE),1,7)</f>
        <v/>
      </c>
      <c r="AD767" s="9">
        <f>INDEX(LINEST(L508:L767,M508:T767,TRUE,TRUE),1,6)</f>
        <v/>
      </c>
      <c r="AE767" s="9">
        <f>INDEX(LINEST(L508:L767,M508:T767,TRUE,TRUE),1,5)</f>
        <v/>
      </c>
      <c r="AF767" s="9">
        <f>INDEX(LINEST(L508:L767,M508:T767,TRUE,TRUE),1,4)</f>
        <v/>
      </c>
      <c r="AG767" s="9">
        <f>INDEX(LINEST(L508:L767,M508:T767,TRUE,TRUE),1,3)</f>
        <v/>
      </c>
      <c r="AH767" s="9">
        <f>INDEX(LINEST(L508:L767,M508:T767,TRUE,TRUE),1,2)</f>
        <v/>
      </c>
      <c r="AI767" s="9">
        <f>INDEX(LINEST(L508:L767,M508:T767,TRUE,TRUE),1,1)</f>
        <v/>
      </c>
      <c r="AJ767" s="10">
        <f>INDEX(LINEST(L508:L767,M508:T767,TRUE,TRUE),3,1)</f>
        <v/>
      </c>
      <c r="AK767" s="9">
        <f>AA766/52+AB766*M767+AC766*N767+AD766*O767+AE766*P767+AF766*Q767+AG766*R767+AH766*S767+AI766*T767</f>
        <v/>
      </c>
      <c r="AL767" s="9">
        <f>AVERAGE(L507:L766)</f>
        <v/>
      </c>
    </row>
    <row r="768">
      <c r="A768" s="7" t="n">
        <v>42986</v>
      </c>
      <c r="B768" s="8" t="n">
        <v>1346.25</v>
      </c>
      <c r="C768" s="8" t="n">
        <v>1.81</v>
      </c>
      <c r="D768" s="8" t="n">
        <v>0.25</v>
      </c>
      <c r="E768" s="8" t="n">
        <v>91.33000199999999</v>
      </c>
      <c r="F768" s="8" t="n">
        <v>47.44</v>
      </c>
      <c r="G768" s="8" t="n">
        <v>12.12</v>
      </c>
      <c r="H768" s="8" t="n">
        <v>54.009998</v>
      </c>
      <c r="I768" s="8" t="n">
        <v>2461.429932</v>
      </c>
      <c r="J768" s="8" t="n">
        <v>85.986931</v>
      </c>
      <c r="L768" s="9">
        <f>LN(B768/B767)</f>
        <v/>
      </c>
      <c r="M768" s="9">
        <f>$M$1*(C768-C767)</f>
        <v/>
      </c>
      <c r="N768" s="9">
        <f>$N$1*(D768-D767)</f>
        <v/>
      </c>
      <c r="O768" s="9">
        <f>$O$1*LN(E768/E767)</f>
        <v/>
      </c>
      <c r="P768" s="9">
        <f>$P$1*LN(F768/F767)</f>
        <v/>
      </c>
      <c r="Q768" s="9">
        <f>$Q$1*(G768-G767)</f>
        <v/>
      </c>
      <c r="R768" s="9">
        <f>$R$1*(H768-H767)</f>
        <v/>
      </c>
      <c r="S768" s="9">
        <f>$S$1*LN(I768/I767)</f>
        <v/>
      </c>
      <c r="T768" s="9">
        <f>$T$1*LN(J768/J767)</f>
        <v/>
      </c>
      <c r="U768" s="9">
        <f>$W$12+$W$4*M768+$W$5*N768+$W$6*O768+$W$7*P768+$W$8*Q768+$W$9*R768+$W$10*S768+$W$11*T768</f>
        <v/>
      </c>
      <c r="AA768" s="10">
        <f>INDEX(LINEST(L509:L768,M509:T768,TRUE,TRUE),1,9)*52</f>
        <v/>
      </c>
      <c r="AB768" s="9">
        <f>INDEX(LINEST(L509:L768,M509:T768,TRUE,TRUE),1,8)</f>
        <v/>
      </c>
      <c r="AC768" s="9">
        <f>INDEX(LINEST(L509:L768,M509:T768,TRUE,TRUE),1,7)</f>
        <v/>
      </c>
      <c r="AD768" s="9">
        <f>INDEX(LINEST(L509:L768,M509:T768,TRUE,TRUE),1,6)</f>
        <v/>
      </c>
      <c r="AE768" s="9">
        <f>INDEX(LINEST(L509:L768,M509:T768,TRUE,TRUE),1,5)</f>
        <v/>
      </c>
      <c r="AF768" s="9">
        <f>INDEX(LINEST(L509:L768,M509:T768,TRUE,TRUE),1,4)</f>
        <v/>
      </c>
      <c r="AG768" s="9">
        <f>INDEX(LINEST(L509:L768,M509:T768,TRUE,TRUE),1,3)</f>
        <v/>
      </c>
      <c r="AH768" s="9">
        <f>INDEX(LINEST(L509:L768,M509:T768,TRUE,TRUE),1,2)</f>
        <v/>
      </c>
      <c r="AI768" s="9">
        <f>INDEX(LINEST(L509:L768,M509:T768,TRUE,TRUE),1,1)</f>
        <v/>
      </c>
      <c r="AJ768" s="10">
        <f>INDEX(LINEST(L509:L768,M509:T768,TRUE,TRUE),3,1)</f>
        <v/>
      </c>
      <c r="AK768" s="9">
        <f>AA767/52+AB767*M768+AC767*N768+AD767*O768+AE767*P768+AF767*Q768+AG767*R768+AH767*S768+AI767*T768</f>
        <v/>
      </c>
      <c r="AL768" s="9">
        <f>AVERAGE(L508:L767)</f>
        <v/>
      </c>
    </row>
    <row r="769">
      <c r="A769" s="7" t="n">
        <v>42993</v>
      </c>
      <c r="B769" s="8" t="n">
        <v>1322.85</v>
      </c>
      <c r="C769" s="8" t="n">
        <v>1.85</v>
      </c>
      <c r="D769" s="8" t="n">
        <v>0.35</v>
      </c>
      <c r="E769" s="8" t="n">
        <v>91.870003</v>
      </c>
      <c r="F769" s="8" t="n">
        <v>49.9</v>
      </c>
      <c r="G769" s="8" t="n">
        <v>10.17</v>
      </c>
      <c r="H769" s="8" t="n">
        <v>50.630001</v>
      </c>
      <c r="I769" s="8" t="n">
        <v>2500.22998</v>
      </c>
      <c r="J769" s="8" t="n">
        <v>85.574333</v>
      </c>
      <c r="L769" s="9">
        <f>LN(B769/B768)</f>
        <v/>
      </c>
      <c r="M769" s="9">
        <f>$M$1*(C769-C768)</f>
        <v/>
      </c>
      <c r="N769" s="9">
        <f>$N$1*(D769-D768)</f>
        <v/>
      </c>
      <c r="O769" s="9">
        <f>$O$1*LN(E769/E768)</f>
        <v/>
      </c>
      <c r="P769" s="9">
        <f>$P$1*LN(F769/F768)</f>
        <v/>
      </c>
      <c r="Q769" s="9">
        <f>$Q$1*(G769-G768)</f>
        <v/>
      </c>
      <c r="R769" s="9">
        <f>$R$1*(H769-H768)</f>
        <v/>
      </c>
      <c r="S769" s="9">
        <f>$S$1*LN(I769/I768)</f>
        <v/>
      </c>
      <c r="T769" s="9">
        <f>$T$1*LN(J769/J768)</f>
        <v/>
      </c>
      <c r="U769" s="9">
        <f>$W$12+$W$4*M769+$W$5*N769+$W$6*O769+$W$7*P769+$W$8*Q769+$W$9*R769+$W$10*S769+$W$11*T769</f>
        <v/>
      </c>
      <c r="AA769" s="10">
        <f>INDEX(LINEST(L510:L769,M510:T769,TRUE,TRUE),1,9)*52</f>
        <v/>
      </c>
      <c r="AB769" s="9">
        <f>INDEX(LINEST(L510:L769,M510:T769,TRUE,TRUE),1,8)</f>
        <v/>
      </c>
      <c r="AC769" s="9">
        <f>INDEX(LINEST(L510:L769,M510:T769,TRUE,TRUE),1,7)</f>
        <v/>
      </c>
      <c r="AD769" s="9">
        <f>INDEX(LINEST(L510:L769,M510:T769,TRUE,TRUE),1,6)</f>
        <v/>
      </c>
      <c r="AE769" s="9">
        <f>INDEX(LINEST(L510:L769,M510:T769,TRUE,TRUE),1,5)</f>
        <v/>
      </c>
      <c r="AF769" s="9">
        <f>INDEX(LINEST(L510:L769,M510:T769,TRUE,TRUE),1,4)</f>
        <v/>
      </c>
      <c r="AG769" s="9">
        <f>INDEX(LINEST(L510:L769,M510:T769,TRUE,TRUE),1,3)</f>
        <v/>
      </c>
      <c r="AH769" s="9">
        <f>INDEX(LINEST(L510:L769,M510:T769,TRUE,TRUE),1,2)</f>
        <v/>
      </c>
      <c r="AI769" s="9">
        <f>INDEX(LINEST(L510:L769,M510:T769,TRUE,TRUE),1,1)</f>
        <v/>
      </c>
      <c r="AJ769" s="10">
        <f>INDEX(LINEST(L510:L769,M510:T769,TRUE,TRUE),3,1)</f>
        <v/>
      </c>
      <c r="AK769" s="9">
        <f>AA768/52+AB768*M769+AC768*N769+AD768*O769+AE768*P769+AF768*Q769+AG768*R769+AH768*S769+AI768*T769</f>
        <v/>
      </c>
      <c r="AL769" s="9">
        <f>AVERAGE(L509:L768)</f>
        <v/>
      </c>
    </row>
    <row r="770">
      <c r="A770" s="7" t="n">
        <v>43000</v>
      </c>
      <c r="B770" s="8" t="n">
        <v>1294.8</v>
      </c>
      <c r="C770" s="8" t="n">
        <v>1.84</v>
      </c>
      <c r="D770" s="8" t="n">
        <v>0.42</v>
      </c>
      <c r="E770" s="8" t="n">
        <v>92.16999800000001</v>
      </c>
      <c r="F770" s="8" t="n">
        <v>50.33</v>
      </c>
      <c r="G770" s="8" t="n">
        <v>9.59</v>
      </c>
      <c r="H770" s="8" t="n">
        <v>50.52</v>
      </c>
      <c r="I770" s="8" t="n">
        <v>2502.219971</v>
      </c>
      <c r="J770" s="8" t="n">
        <v>85.46528600000001</v>
      </c>
      <c r="L770" s="9">
        <f>LN(B770/B769)</f>
        <v/>
      </c>
      <c r="M770" s="9">
        <f>$M$1*(C770-C769)</f>
        <v/>
      </c>
      <c r="N770" s="9">
        <f>$N$1*(D770-D769)</f>
        <v/>
      </c>
      <c r="O770" s="9">
        <f>$O$1*LN(E770/E769)</f>
        <v/>
      </c>
      <c r="P770" s="9">
        <f>$P$1*LN(F770/F769)</f>
        <v/>
      </c>
      <c r="Q770" s="9">
        <f>$Q$1*(G770-G769)</f>
        <v/>
      </c>
      <c r="R770" s="9">
        <f>$R$1*(H770-H769)</f>
        <v/>
      </c>
      <c r="S770" s="9">
        <f>$S$1*LN(I770/I769)</f>
        <v/>
      </c>
      <c r="T770" s="9">
        <f>$T$1*LN(J770/J769)</f>
        <v/>
      </c>
      <c r="U770" s="9">
        <f>$W$12+$W$4*M770+$W$5*N770+$W$6*O770+$W$7*P770+$W$8*Q770+$W$9*R770+$W$10*S770+$W$11*T770</f>
        <v/>
      </c>
      <c r="AA770" s="10">
        <f>INDEX(LINEST(L511:L770,M511:T770,TRUE,TRUE),1,9)*52</f>
        <v/>
      </c>
      <c r="AB770" s="9">
        <f>INDEX(LINEST(L511:L770,M511:T770,TRUE,TRUE),1,8)</f>
        <v/>
      </c>
      <c r="AC770" s="9">
        <f>INDEX(LINEST(L511:L770,M511:T770,TRUE,TRUE),1,7)</f>
        <v/>
      </c>
      <c r="AD770" s="9">
        <f>INDEX(LINEST(L511:L770,M511:T770,TRUE,TRUE),1,6)</f>
        <v/>
      </c>
      <c r="AE770" s="9">
        <f>INDEX(LINEST(L511:L770,M511:T770,TRUE,TRUE),1,5)</f>
        <v/>
      </c>
      <c r="AF770" s="9">
        <f>INDEX(LINEST(L511:L770,M511:T770,TRUE,TRUE),1,4)</f>
        <v/>
      </c>
      <c r="AG770" s="9">
        <f>INDEX(LINEST(L511:L770,M511:T770,TRUE,TRUE),1,3)</f>
        <v/>
      </c>
      <c r="AH770" s="9">
        <f>INDEX(LINEST(L511:L770,M511:T770,TRUE,TRUE),1,2)</f>
        <v/>
      </c>
      <c r="AI770" s="9">
        <f>INDEX(LINEST(L511:L770,M511:T770,TRUE,TRUE),1,1)</f>
        <v/>
      </c>
      <c r="AJ770" s="10">
        <f>INDEX(LINEST(L511:L770,M511:T770,TRUE,TRUE),3,1)</f>
        <v/>
      </c>
      <c r="AK770" s="9">
        <f>AA769/52+AB769*M770+AC769*N770+AD769*O770+AE769*P770+AF769*Q770+AG769*R770+AH769*S770+AI769*T770</f>
        <v/>
      </c>
      <c r="AL770" s="9">
        <f>AVERAGE(L510:L769)</f>
        <v/>
      </c>
    </row>
    <row r="771">
      <c r="A771" s="7" t="n">
        <v>43007</v>
      </c>
      <c r="B771" s="8" t="n">
        <v>1283.1</v>
      </c>
      <c r="C771" s="8" t="n">
        <v>1.84</v>
      </c>
      <c r="D771" s="8" t="n">
        <v>0.49</v>
      </c>
      <c r="E771" s="8" t="n">
        <v>93.08000199999999</v>
      </c>
      <c r="F771" s="8" t="n">
        <v>51.67</v>
      </c>
      <c r="G771" s="8" t="n">
        <v>9.51</v>
      </c>
      <c r="H771" s="8" t="n">
        <v>52.880001</v>
      </c>
      <c r="I771" s="8" t="n">
        <v>2519.360107</v>
      </c>
      <c r="J771" s="8" t="n">
        <v>85.325165</v>
      </c>
      <c r="L771" s="9">
        <f>LN(B771/B770)</f>
        <v/>
      </c>
      <c r="M771" s="9">
        <f>$M$1*(C771-C770)</f>
        <v/>
      </c>
      <c r="N771" s="9">
        <f>$N$1*(D771-D770)</f>
        <v/>
      </c>
      <c r="O771" s="9">
        <f>$O$1*LN(E771/E770)</f>
        <v/>
      </c>
      <c r="P771" s="9">
        <f>$P$1*LN(F771/F770)</f>
        <v/>
      </c>
      <c r="Q771" s="9">
        <f>$Q$1*(G771-G770)</f>
        <v/>
      </c>
      <c r="R771" s="9">
        <f>$R$1*(H771-H770)</f>
        <v/>
      </c>
      <c r="S771" s="9">
        <f>$S$1*LN(I771/I770)</f>
        <v/>
      </c>
      <c r="T771" s="9">
        <f>$T$1*LN(J771/J770)</f>
        <v/>
      </c>
      <c r="U771" s="9">
        <f>$W$12+$W$4*M771+$W$5*N771+$W$6*O771+$W$7*P771+$W$8*Q771+$W$9*R771+$W$10*S771+$W$11*T771</f>
        <v/>
      </c>
      <c r="AA771" s="10">
        <f>INDEX(LINEST(L512:L771,M512:T771,TRUE,TRUE),1,9)*52</f>
        <v/>
      </c>
      <c r="AB771" s="9">
        <f>INDEX(LINEST(L512:L771,M512:T771,TRUE,TRUE),1,8)</f>
        <v/>
      </c>
      <c r="AC771" s="9">
        <f>INDEX(LINEST(L512:L771,M512:T771,TRUE,TRUE),1,7)</f>
        <v/>
      </c>
      <c r="AD771" s="9">
        <f>INDEX(LINEST(L512:L771,M512:T771,TRUE,TRUE),1,6)</f>
        <v/>
      </c>
      <c r="AE771" s="9">
        <f>INDEX(LINEST(L512:L771,M512:T771,TRUE,TRUE),1,5)</f>
        <v/>
      </c>
      <c r="AF771" s="9">
        <f>INDEX(LINEST(L512:L771,M512:T771,TRUE,TRUE),1,4)</f>
        <v/>
      </c>
      <c r="AG771" s="9">
        <f>INDEX(LINEST(L512:L771,M512:T771,TRUE,TRUE),1,3)</f>
        <v/>
      </c>
      <c r="AH771" s="9">
        <f>INDEX(LINEST(L512:L771,M512:T771,TRUE,TRUE),1,2)</f>
        <v/>
      </c>
      <c r="AI771" s="9">
        <f>INDEX(LINEST(L512:L771,M512:T771,TRUE,TRUE),1,1)</f>
        <v/>
      </c>
      <c r="AJ771" s="10">
        <f>INDEX(LINEST(L512:L771,M512:T771,TRUE,TRUE),3,1)</f>
        <v/>
      </c>
      <c r="AK771" s="9">
        <f>AA770/52+AB770*M771+AC770*N771+AD770*O771+AE770*P771+AF770*Q771+AG770*R771+AH770*S771+AI770*T771</f>
        <v/>
      </c>
      <c r="AL771" s="9">
        <f>AVERAGE(L511:L770)</f>
        <v/>
      </c>
    </row>
    <row r="772">
      <c r="A772" s="7" t="n">
        <v>43014</v>
      </c>
      <c r="B772" s="8" t="n">
        <v>1261.8</v>
      </c>
      <c r="C772" s="8" t="n">
        <v>1.87</v>
      </c>
      <c r="D772" s="8" t="n">
        <v>0.5</v>
      </c>
      <c r="E772" s="8" t="n">
        <v>93.800003</v>
      </c>
      <c r="F772" s="8" t="n">
        <v>49.34</v>
      </c>
      <c r="G772" s="8" t="n">
        <v>9.65</v>
      </c>
      <c r="H772" s="8" t="n">
        <v>54.98</v>
      </c>
      <c r="I772" s="8" t="n">
        <v>2549.330078</v>
      </c>
      <c r="J772" s="8" t="n">
        <v>85.260429</v>
      </c>
      <c r="L772" s="9">
        <f>LN(B772/B771)</f>
        <v/>
      </c>
      <c r="M772" s="9">
        <f>$M$1*(C772-C771)</f>
        <v/>
      </c>
      <c r="N772" s="9">
        <f>$N$1*(D772-D771)</f>
        <v/>
      </c>
      <c r="O772" s="9">
        <f>$O$1*LN(E772/E771)</f>
        <v/>
      </c>
      <c r="P772" s="9">
        <f>$P$1*LN(F772/F771)</f>
        <v/>
      </c>
      <c r="Q772" s="9">
        <f>$Q$1*(G772-G771)</f>
        <v/>
      </c>
      <c r="R772" s="9">
        <f>$R$1*(H772-H771)</f>
        <v/>
      </c>
      <c r="S772" s="9">
        <f>$S$1*LN(I772/I771)</f>
        <v/>
      </c>
      <c r="T772" s="9">
        <f>$T$1*LN(J772/J771)</f>
        <v/>
      </c>
      <c r="U772" s="9">
        <f>$W$12+$W$4*M772+$W$5*N772+$W$6*O772+$W$7*P772+$W$8*Q772+$W$9*R772+$W$10*S772+$W$11*T772</f>
        <v/>
      </c>
      <c r="AA772" s="10">
        <f>INDEX(LINEST(L513:L772,M513:T772,TRUE,TRUE),1,9)*52</f>
        <v/>
      </c>
      <c r="AB772" s="9">
        <f>INDEX(LINEST(L513:L772,M513:T772,TRUE,TRUE),1,8)</f>
        <v/>
      </c>
      <c r="AC772" s="9">
        <f>INDEX(LINEST(L513:L772,M513:T772,TRUE,TRUE),1,7)</f>
        <v/>
      </c>
      <c r="AD772" s="9">
        <f>INDEX(LINEST(L513:L772,M513:T772,TRUE,TRUE),1,6)</f>
        <v/>
      </c>
      <c r="AE772" s="9">
        <f>INDEX(LINEST(L513:L772,M513:T772,TRUE,TRUE),1,5)</f>
        <v/>
      </c>
      <c r="AF772" s="9">
        <f>INDEX(LINEST(L513:L772,M513:T772,TRUE,TRUE),1,4)</f>
        <v/>
      </c>
      <c r="AG772" s="9">
        <f>INDEX(LINEST(L513:L772,M513:T772,TRUE,TRUE),1,3)</f>
        <v/>
      </c>
      <c r="AH772" s="9">
        <f>INDEX(LINEST(L513:L772,M513:T772,TRUE,TRUE),1,2)</f>
        <v/>
      </c>
      <c r="AI772" s="9">
        <f>INDEX(LINEST(L513:L772,M513:T772,TRUE,TRUE),1,1)</f>
        <v/>
      </c>
      <c r="AJ772" s="10">
        <f>INDEX(LINEST(L513:L772,M513:T772,TRUE,TRUE),3,1)</f>
        <v/>
      </c>
      <c r="AK772" s="9">
        <f>AA771/52+AB771*M772+AC771*N772+AD771*O772+AE771*P772+AF771*Q772+AG771*R772+AH771*S772+AI771*T772</f>
        <v/>
      </c>
      <c r="AL772" s="9">
        <f>AVERAGE(L512:L771)</f>
        <v/>
      </c>
    </row>
    <row r="773">
      <c r="A773" s="7" t="n">
        <v>43021</v>
      </c>
      <c r="B773" s="8" t="n">
        <v>1299.6</v>
      </c>
      <c r="C773" s="8" t="n">
        <v>1.85</v>
      </c>
      <c r="D773" s="8" t="n">
        <v>0.43</v>
      </c>
      <c r="E773" s="8" t="n">
        <v>93.089996</v>
      </c>
      <c r="F773" s="8" t="n">
        <v>51.43</v>
      </c>
      <c r="G773" s="8" t="n">
        <v>9.609999999999999</v>
      </c>
      <c r="H773" s="8" t="n">
        <v>50.849998</v>
      </c>
      <c r="I773" s="8" t="n">
        <v>2553.169922</v>
      </c>
      <c r="J773" s="8" t="n">
        <v>85.712906</v>
      </c>
      <c r="L773" s="9">
        <f>LN(B773/B772)</f>
        <v/>
      </c>
      <c r="M773" s="9">
        <f>$M$1*(C773-C772)</f>
        <v/>
      </c>
      <c r="N773" s="9">
        <f>$N$1*(D773-D772)</f>
        <v/>
      </c>
      <c r="O773" s="9">
        <f>$O$1*LN(E773/E772)</f>
        <v/>
      </c>
      <c r="P773" s="9">
        <f>$P$1*LN(F773/F772)</f>
        <v/>
      </c>
      <c r="Q773" s="9">
        <f>$Q$1*(G773-G772)</f>
        <v/>
      </c>
      <c r="R773" s="9">
        <f>$R$1*(H773-H772)</f>
        <v/>
      </c>
      <c r="S773" s="9">
        <f>$S$1*LN(I773/I772)</f>
        <v/>
      </c>
      <c r="T773" s="9">
        <f>$T$1*LN(J773/J772)</f>
        <v/>
      </c>
      <c r="U773" s="9">
        <f>$W$12+$W$4*M773+$W$5*N773+$W$6*O773+$W$7*P773+$W$8*Q773+$W$9*R773+$W$10*S773+$W$11*T773</f>
        <v/>
      </c>
      <c r="AA773" s="10">
        <f>INDEX(LINEST(L514:L773,M514:T773,TRUE,TRUE),1,9)*52</f>
        <v/>
      </c>
      <c r="AB773" s="9">
        <f>INDEX(LINEST(L514:L773,M514:T773,TRUE,TRUE),1,8)</f>
        <v/>
      </c>
      <c r="AC773" s="9">
        <f>INDEX(LINEST(L514:L773,M514:T773,TRUE,TRUE),1,7)</f>
        <v/>
      </c>
      <c r="AD773" s="9">
        <f>INDEX(LINEST(L514:L773,M514:T773,TRUE,TRUE),1,6)</f>
        <v/>
      </c>
      <c r="AE773" s="9">
        <f>INDEX(LINEST(L514:L773,M514:T773,TRUE,TRUE),1,5)</f>
        <v/>
      </c>
      <c r="AF773" s="9">
        <f>INDEX(LINEST(L514:L773,M514:T773,TRUE,TRUE),1,4)</f>
        <v/>
      </c>
      <c r="AG773" s="9">
        <f>INDEX(LINEST(L514:L773,M514:T773,TRUE,TRUE),1,3)</f>
        <v/>
      </c>
      <c r="AH773" s="9">
        <f>INDEX(LINEST(L514:L773,M514:T773,TRUE,TRUE),1,2)</f>
        <v/>
      </c>
      <c r="AI773" s="9">
        <f>INDEX(LINEST(L514:L773,M514:T773,TRUE,TRUE),1,1)</f>
        <v/>
      </c>
      <c r="AJ773" s="10">
        <f>INDEX(LINEST(L514:L773,M514:T773,TRUE,TRUE),3,1)</f>
        <v/>
      </c>
      <c r="AK773" s="9">
        <f>AA772/52+AB772*M773+AC772*N773+AD772*O773+AE772*P773+AF772*Q773+AG772*R773+AH772*S773+AI772*T773</f>
        <v/>
      </c>
      <c r="AL773" s="9">
        <f>AVERAGE(L513:L772)</f>
        <v/>
      </c>
    </row>
    <row r="774">
      <c r="A774" s="7" t="n">
        <v>43028</v>
      </c>
      <c r="B774" s="8" t="n">
        <v>1281.2</v>
      </c>
      <c r="C774" s="8" t="n">
        <v>1.87</v>
      </c>
      <c r="D774" s="8" t="n">
        <v>0.52</v>
      </c>
      <c r="E774" s="8" t="n">
        <v>93.699997</v>
      </c>
      <c r="F774" s="8" t="n">
        <v>51.63</v>
      </c>
      <c r="G774" s="8" t="n">
        <v>9.970000000000001</v>
      </c>
      <c r="H774" s="8" t="n">
        <v>53.98</v>
      </c>
      <c r="I774" s="8" t="n">
        <v>2575.209961</v>
      </c>
      <c r="J774" s="8" t="n">
        <v>85.27600099999999</v>
      </c>
      <c r="L774" s="9">
        <f>LN(B774/B773)</f>
        <v/>
      </c>
      <c r="M774" s="9">
        <f>$M$1*(C774-C773)</f>
        <v/>
      </c>
      <c r="N774" s="9">
        <f>$N$1*(D774-D773)</f>
        <v/>
      </c>
      <c r="O774" s="9">
        <f>$O$1*LN(E774/E773)</f>
        <v/>
      </c>
      <c r="P774" s="9">
        <f>$P$1*LN(F774/F773)</f>
        <v/>
      </c>
      <c r="Q774" s="9">
        <f>$Q$1*(G774-G773)</f>
        <v/>
      </c>
      <c r="R774" s="9">
        <f>$R$1*(H774-H773)</f>
        <v/>
      </c>
      <c r="S774" s="9">
        <f>$S$1*LN(I774/I773)</f>
        <v/>
      </c>
      <c r="T774" s="9">
        <f>$T$1*LN(J774/J773)</f>
        <v/>
      </c>
      <c r="U774" s="9">
        <f>$W$12+$W$4*M774+$W$5*N774+$W$6*O774+$W$7*P774+$W$8*Q774+$W$9*R774+$W$10*S774+$W$11*T774</f>
        <v/>
      </c>
      <c r="AA774" s="10">
        <f>INDEX(LINEST(L515:L774,M515:T774,TRUE,TRUE),1,9)*52</f>
        <v/>
      </c>
      <c r="AB774" s="9">
        <f>INDEX(LINEST(L515:L774,M515:T774,TRUE,TRUE),1,8)</f>
        <v/>
      </c>
      <c r="AC774" s="9">
        <f>INDEX(LINEST(L515:L774,M515:T774,TRUE,TRUE),1,7)</f>
        <v/>
      </c>
      <c r="AD774" s="9">
        <f>INDEX(LINEST(L515:L774,M515:T774,TRUE,TRUE),1,6)</f>
        <v/>
      </c>
      <c r="AE774" s="9">
        <f>INDEX(LINEST(L515:L774,M515:T774,TRUE,TRUE),1,5)</f>
        <v/>
      </c>
      <c r="AF774" s="9">
        <f>INDEX(LINEST(L515:L774,M515:T774,TRUE,TRUE),1,4)</f>
        <v/>
      </c>
      <c r="AG774" s="9">
        <f>INDEX(LINEST(L515:L774,M515:T774,TRUE,TRUE),1,3)</f>
        <v/>
      </c>
      <c r="AH774" s="9">
        <f>INDEX(LINEST(L515:L774,M515:T774,TRUE,TRUE),1,2)</f>
        <v/>
      </c>
      <c r="AI774" s="9">
        <f>INDEX(LINEST(L515:L774,M515:T774,TRUE,TRUE),1,1)</f>
        <v/>
      </c>
      <c r="AJ774" s="10">
        <f>INDEX(LINEST(L515:L774,M515:T774,TRUE,TRUE),3,1)</f>
        <v/>
      </c>
      <c r="AK774" s="9">
        <f>AA773/52+AB773*M774+AC773*N774+AD773*O774+AE773*P774+AF773*Q774+AG773*R774+AH773*S774+AI773*T774</f>
        <v/>
      </c>
      <c r="AL774" s="9">
        <f>AVERAGE(L514:L773)</f>
        <v/>
      </c>
    </row>
    <row r="775">
      <c r="A775" s="7" t="n">
        <v>43035</v>
      </c>
      <c r="B775" s="8" t="n">
        <v>1266.45</v>
      </c>
      <c r="C775" s="8" t="n">
        <v>1.88</v>
      </c>
      <c r="D775" s="8" t="n">
        <v>0.54</v>
      </c>
      <c r="E775" s="8" t="n">
        <v>94.91999800000001</v>
      </c>
      <c r="F775" s="8" t="n">
        <v>53.92</v>
      </c>
      <c r="G775" s="8" t="n">
        <v>9.800000000000001</v>
      </c>
      <c r="H775" s="8" t="n">
        <v>54.669998</v>
      </c>
      <c r="I775" s="8" t="n">
        <v>2581.070068</v>
      </c>
      <c r="J775" s="8" t="n">
        <v>85.229141</v>
      </c>
      <c r="L775" s="9">
        <f>LN(B775/B774)</f>
        <v/>
      </c>
      <c r="M775" s="9">
        <f>$M$1*(C775-C774)</f>
        <v/>
      </c>
      <c r="N775" s="9">
        <f>$N$1*(D775-D774)</f>
        <v/>
      </c>
      <c r="O775" s="9">
        <f>$O$1*LN(E775/E774)</f>
        <v/>
      </c>
      <c r="P775" s="9">
        <f>$P$1*LN(F775/F774)</f>
        <v/>
      </c>
      <c r="Q775" s="9">
        <f>$Q$1*(G775-G774)</f>
        <v/>
      </c>
      <c r="R775" s="9">
        <f>$R$1*(H775-H774)</f>
        <v/>
      </c>
      <c r="S775" s="9">
        <f>$S$1*LN(I775/I774)</f>
        <v/>
      </c>
      <c r="T775" s="9">
        <f>$T$1*LN(J775/J774)</f>
        <v/>
      </c>
      <c r="U775" s="9">
        <f>$W$12+$W$4*M775+$W$5*N775+$W$6*O775+$W$7*P775+$W$8*Q775+$W$9*R775+$W$10*S775+$W$11*T775</f>
        <v/>
      </c>
      <c r="AA775" s="10">
        <f>INDEX(LINEST(L516:L775,M516:T775,TRUE,TRUE),1,9)*52</f>
        <v/>
      </c>
      <c r="AB775" s="9">
        <f>INDEX(LINEST(L516:L775,M516:T775,TRUE,TRUE),1,8)</f>
        <v/>
      </c>
      <c r="AC775" s="9">
        <f>INDEX(LINEST(L516:L775,M516:T775,TRUE,TRUE),1,7)</f>
        <v/>
      </c>
      <c r="AD775" s="9">
        <f>INDEX(LINEST(L516:L775,M516:T775,TRUE,TRUE),1,6)</f>
        <v/>
      </c>
      <c r="AE775" s="9">
        <f>INDEX(LINEST(L516:L775,M516:T775,TRUE,TRUE),1,5)</f>
        <v/>
      </c>
      <c r="AF775" s="9">
        <f>INDEX(LINEST(L516:L775,M516:T775,TRUE,TRUE),1,4)</f>
        <v/>
      </c>
      <c r="AG775" s="9">
        <f>INDEX(LINEST(L516:L775,M516:T775,TRUE,TRUE),1,3)</f>
        <v/>
      </c>
      <c r="AH775" s="9">
        <f>INDEX(LINEST(L516:L775,M516:T775,TRUE,TRUE),1,2)</f>
        <v/>
      </c>
      <c r="AI775" s="9">
        <f>INDEX(LINEST(L516:L775,M516:T775,TRUE,TRUE),1,1)</f>
        <v/>
      </c>
      <c r="AJ775" s="10">
        <f>INDEX(LINEST(L516:L775,M516:T775,TRUE,TRUE),3,1)</f>
        <v/>
      </c>
      <c r="AK775" s="9">
        <f>AA774/52+AB774*M775+AC774*N775+AD774*O775+AE774*P775+AF774*Q775+AG774*R775+AH774*S775+AI774*T775</f>
        <v/>
      </c>
      <c r="AL775" s="9">
        <f>AVERAGE(L515:L774)</f>
        <v/>
      </c>
    </row>
    <row r="776">
      <c r="A776" s="7" t="n">
        <v>43042</v>
      </c>
      <c r="B776" s="8" t="n">
        <v>1267.2</v>
      </c>
      <c r="C776" s="8" t="n">
        <v>1.86</v>
      </c>
      <c r="D776" s="8" t="n">
        <v>0.48</v>
      </c>
      <c r="E776" s="8" t="n">
        <v>94.94000200000001</v>
      </c>
      <c r="F776" s="8" t="n">
        <v>55.63</v>
      </c>
      <c r="G776" s="8" t="n">
        <v>9.140000000000001</v>
      </c>
      <c r="H776" s="8" t="n">
        <v>45.830002</v>
      </c>
      <c r="I776" s="8" t="n">
        <v>2587.840088</v>
      </c>
      <c r="J776" s="8" t="n">
        <v>85.571243</v>
      </c>
      <c r="L776" s="9">
        <f>LN(B776/B775)</f>
        <v/>
      </c>
      <c r="M776" s="9">
        <f>$M$1*(C776-C775)</f>
        <v/>
      </c>
      <c r="N776" s="9">
        <f>$N$1*(D776-D775)</f>
        <v/>
      </c>
      <c r="O776" s="9">
        <f>$O$1*LN(E776/E775)</f>
        <v/>
      </c>
      <c r="P776" s="9">
        <f>$P$1*LN(F776/F775)</f>
        <v/>
      </c>
      <c r="Q776" s="9">
        <f>$Q$1*(G776-G775)</f>
        <v/>
      </c>
      <c r="R776" s="9">
        <f>$R$1*(H776-H775)</f>
        <v/>
      </c>
      <c r="S776" s="9">
        <f>$S$1*LN(I776/I775)</f>
        <v/>
      </c>
      <c r="T776" s="9">
        <f>$T$1*LN(J776/J775)</f>
        <v/>
      </c>
      <c r="U776" s="9">
        <f>$W$12+$W$4*M776+$W$5*N776+$W$6*O776+$W$7*P776+$W$8*Q776+$W$9*R776+$W$10*S776+$W$11*T776</f>
        <v/>
      </c>
      <c r="AA776" s="10">
        <f>INDEX(LINEST(L517:L776,M517:T776,TRUE,TRUE),1,9)*52</f>
        <v/>
      </c>
      <c r="AB776" s="9">
        <f>INDEX(LINEST(L517:L776,M517:T776,TRUE,TRUE),1,8)</f>
        <v/>
      </c>
      <c r="AC776" s="9">
        <f>INDEX(LINEST(L517:L776,M517:T776,TRUE,TRUE),1,7)</f>
        <v/>
      </c>
      <c r="AD776" s="9">
        <f>INDEX(LINEST(L517:L776,M517:T776,TRUE,TRUE),1,6)</f>
        <v/>
      </c>
      <c r="AE776" s="9">
        <f>INDEX(LINEST(L517:L776,M517:T776,TRUE,TRUE),1,5)</f>
        <v/>
      </c>
      <c r="AF776" s="9">
        <f>INDEX(LINEST(L517:L776,M517:T776,TRUE,TRUE),1,4)</f>
        <v/>
      </c>
      <c r="AG776" s="9">
        <f>INDEX(LINEST(L517:L776,M517:T776,TRUE,TRUE),1,3)</f>
        <v/>
      </c>
      <c r="AH776" s="9">
        <f>INDEX(LINEST(L517:L776,M517:T776,TRUE,TRUE),1,2)</f>
        <v/>
      </c>
      <c r="AI776" s="9">
        <f>INDEX(LINEST(L517:L776,M517:T776,TRUE,TRUE),1,1)</f>
        <v/>
      </c>
      <c r="AJ776" s="10">
        <f>INDEX(LINEST(L517:L776,M517:T776,TRUE,TRUE),3,1)</f>
        <v/>
      </c>
      <c r="AK776" s="9">
        <f>AA775/52+AB775*M776+AC775*N776+AD775*O776+AE775*P776+AF775*Q776+AG775*R776+AH775*S776+AI775*T776</f>
        <v/>
      </c>
      <c r="AL776" s="9">
        <f>AVERAGE(L516:L775)</f>
        <v/>
      </c>
    </row>
    <row r="777">
      <c r="A777" s="7" t="n">
        <v>43049</v>
      </c>
      <c r="B777" s="8" t="n">
        <v>1284.3</v>
      </c>
      <c r="C777" s="8" t="n">
        <v>1.88</v>
      </c>
      <c r="D777" s="8" t="n">
        <v>0.52</v>
      </c>
      <c r="E777" s="8" t="n">
        <v>94.389999</v>
      </c>
      <c r="F777" s="8" t="n">
        <v>56.75</v>
      </c>
      <c r="G777" s="8" t="n">
        <v>11.29</v>
      </c>
      <c r="H777" s="8" t="n">
        <v>47.290001</v>
      </c>
      <c r="I777" s="8" t="n">
        <v>2582.300049</v>
      </c>
      <c r="J777" s="8" t="n">
        <v>85.211586</v>
      </c>
      <c r="L777" s="9">
        <f>LN(B777/B776)</f>
        <v/>
      </c>
      <c r="M777" s="9">
        <f>$M$1*(C777-C776)</f>
        <v/>
      </c>
      <c r="N777" s="9">
        <f>$N$1*(D777-D776)</f>
        <v/>
      </c>
      <c r="O777" s="9">
        <f>$O$1*LN(E777/E776)</f>
        <v/>
      </c>
      <c r="P777" s="9">
        <f>$P$1*LN(F777/F776)</f>
        <v/>
      </c>
      <c r="Q777" s="9">
        <f>$Q$1*(G777-G776)</f>
        <v/>
      </c>
      <c r="R777" s="9">
        <f>$R$1*(H777-H776)</f>
        <v/>
      </c>
      <c r="S777" s="9">
        <f>$S$1*LN(I777/I776)</f>
        <v/>
      </c>
      <c r="T777" s="9">
        <f>$T$1*LN(J777/J776)</f>
        <v/>
      </c>
      <c r="U777" s="9">
        <f>$W$12+$W$4*M777+$W$5*N777+$W$6*O777+$W$7*P777+$W$8*Q777+$W$9*R777+$W$10*S777+$W$11*T777</f>
        <v/>
      </c>
      <c r="AA777" s="10">
        <f>INDEX(LINEST(L518:L777,M518:T777,TRUE,TRUE),1,9)*52</f>
        <v/>
      </c>
      <c r="AB777" s="9">
        <f>INDEX(LINEST(L518:L777,M518:T777,TRUE,TRUE),1,8)</f>
        <v/>
      </c>
      <c r="AC777" s="9">
        <f>INDEX(LINEST(L518:L777,M518:T777,TRUE,TRUE),1,7)</f>
        <v/>
      </c>
      <c r="AD777" s="9">
        <f>INDEX(LINEST(L518:L777,M518:T777,TRUE,TRUE),1,6)</f>
        <v/>
      </c>
      <c r="AE777" s="9">
        <f>INDEX(LINEST(L518:L777,M518:T777,TRUE,TRUE),1,5)</f>
        <v/>
      </c>
      <c r="AF777" s="9">
        <f>INDEX(LINEST(L518:L777,M518:T777,TRUE,TRUE),1,4)</f>
        <v/>
      </c>
      <c r="AG777" s="9">
        <f>INDEX(LINEST(L518:L777,M518:T777,TRUE,TRUE),1,3)</f>
        <v/>
      </c>
      <c r="AH777" s="9">
        <f>INDEX(LINEST(L518:L777,M518:T777,TRUE,TRUE),1,2)</f>
        <v/>
      </c>
      <c r="AI777" s="9">
        <f>INDEX(LINEST(L518:L777,M518:T777,TRUE,TRUE),1,1)</f>
        <v/>
      </c>
      <c r="AJ777" s="10">
        <f>INDEX(LINEST(L518:L777,M518:T777,TRUE,TRUE),3,1)</f>
        <v/>
      </c>
      <c r="AK777" s="9">
        <f>AA776/52+AB776*M777+AC776*N777+AD776*O777+AE776*P777+AF776*Q777+AG776*R777+AH776*S777+AI776*T777</f>
        <v/>
      </c>
      <c r="AL777" s="9">
        <f>AVERAGE(L517:L776)</f>
        <v/>
      </c>
    </row>
    <row r="778">
      <c r="A778" s="7" t="n">
        <v>43056</v>
      </c>
      <c r="B778" s="8" t="n">
        <v>1284.35</v>
      </c>
      <c r="C778" s="8" t="n">
        <v>1.86</v>
      </c>
      <c r="D778" s="8" t="n">
        <v>0.49</v>
      </c>
      <c r="E778" s="8" t="n">
        <v>93.660004</v>
      </c>
      <c r="F778" s="8" t="n">
        <v>56.21</v>
      </c>
      <c r="G778" s="8" t="n">
        <v>11.43</v>
      </c>
      <c r="H778" s="8" t="n">
        <v>49.09</v>
      </c>
      <c r="I778" s="8" t="n">
        <v>2578.850098</v>
      </c>
      <c r="J778" s="8" t="n">
        <v>85.461792</v>
      </c>
      <c r="L778" s="9">
        <f>LN(B778/B777)</f>
        <v/>
      </c>
      <c r="M778" s="9">
        <f>$M$1*(C778-C777)</f>
        <v/>
      </c>
      <c r="N778" s="9">
        <f>$N$1*(D778-D777)</f>
        <v/>
      </c>
      <c r="O778" s="9">
        <f>$O$1*LN(E778/E777)</f>
        <v/>
      </c>
      <c r="P778" s="9">
        <f>$P$1*LN(F778/F777)</f>
        <v/>
      </c>
      <c r="Q778" s="9">
        <f>$Q$1*(G778-G777)</f>
        <v/>
      </c>
      <c r="R778" s="9">
        <f>$R$1*(H778-H777)</f>
        <v/>
      </c>
      <c r="S778" s="9">
        <f>$S$1*LN(I778/I777)</f>
        <v/>
      </c>
      <c r="T778" s="9">
        <f>$T$1*LN(J778/J777)</f>
        <v/>
      </c>
      <c r="U778" s="9">
        <f>$W$12+$W$4*M778+$W$5*N778+$W$6*O778+$W$7*P778+$W$8*Q778+$W$9*R778+$W$10*S778+$W$11*T778</f>
        <v/>
      </c>
      <c r="AA778" s="10">
        <f>INDEX(LINEST(L519:L778,M519:T778,TRUE,TRUE),1,9)*52</f>
        <v/>
      </c>
      <c r="AB778" s="9">
        <f>INDEX(LINEST(L519:L778,M519:T778,TRUE,TRUE),1,8)</f>
        <v/>
      </c>
      <c r="AC778" s="9">
        <f>INDEX(LINEST(L519:L778,M519:T778,TRUE,TRUE),1,7)</f>
        <v/>
      </c>
      <c r="AD778" s="9">
        <f>INDEX(LINEST(L519:L778,M519:T778,TRUE,TRUE),1,6)</f>
        <v/>
      </c>
      <c r="AE778" s="9">
        <f>INDEX(LINEST(L519:L778,M519:T778,TRUE,TRUE),1,5)</f>
        <v/>
      </c>
      <c r="AF778" s="9">
        <f>INDEX(LINEST(L519:L778,M519:T778,TRUE,TRUE),1,4)</f>
        <v/>
      </c>
      <c r="AG778" s="9">
        <f>INDEX(LINEST(L519:L778,M519:T778,TRUE,TRUE),1,3)</f>
        <v/>
      </c>
      <c r="AH778" s="9">
        <f>INDEX(LINEST(L519:L778,M519:T778,TRUE,TRUE),1,2)</f>
        <v/>
      </c>
      <c r="AI778" s="9">
        <f>INDEX(LINEST(L519:L778,M519:T778,TRUE,TRUE),1,1)</f>
        <v/>
      </c>
      <c r="AJ778" s="10">
        <f>INDEX(LINEST(L519:L778,M519:T778,TRUE,TRUE),3,1)</f>
        <v/>
      </c>
      <c r="AK778" s="9">
        <f>AA777/52+AB777*M778+AC777*N778+AD777*O778+AE777*P778+AF777*Q778+AG777*R778+AH777*S778+AI777*T778</f>
        <v/>
      </c>
      <c r="AL778" s="9">
        <f>AVERAGE(L518:L777)</f>
        <v/>
      </c>
    </row>
    <row r="779">
      <c r="A779" s="7" t="n">
        <v>43063</v>
      </c>
      <c r="B779" s="8" t="n">
        <v>1290.5</v>
      </c>
      <c r="C779" s="8" t="n">
        <v>1.84</v>
      </c>
      <c r="D779" s="8" t="n">
        <v>0.5</v>
      </c>
      <c r="E779" s="8" t="n">
        <v>92.760002</v>
      </c>
      <c r="F779" s="8" t="n">
        <v>58.94</v>
      </c>
      <c r="G779" s="8" t="n">
        <v>9.67</v>
      </c>
      <c r="H779" s="8" t="n">
        <v>46.16</v>
      </c>
      <c r="I779" s="8" t="n">
        <v>2602.419922</v>
      </c>
      <c r="J779" s="8" t="n">
        <v>85.633804</v>
      </c>
      <c r="L779" s="9">
        <f>LN(B779/B778)</f>
        <v/>
      </c>
      <c r="M779" s="9">
        <f>$M$1*(C779-C778)</f>
        <v/>
      </c>
      <c r="N779" s="9">
        <f>$N$1*(D779-D778)</f>
        <v/>
      </c>
      <c r="O779" s="9">
        <f>$O$1*LN(E779/E778)</f>
        <v/>
      </c>
      <c r="P779" s="9">
        <f>$P$1*LN(F779/F778)</f>
        <v/>
      </c>
      <c r="Q779" s="9">
        <f>$Q$1*(G779-G778)</f>
        <v/>
      </c>
      <c r="R779" s="9">
        <f>$R$1*(H779-H778)</f>
        <v/>
      </c>
      <c r="S779" s="9">
        <f>$S$1*LN(I779/I778)</f>
        <v/>
      </c>
      <c r="T779" s="9">
        <f>$T$1*LN(J779/J778)</f>
        <v/>
      </c>
      <c r="U779" s="9">
        <f>$W$12+$W$4*M779+$W$5*N779+$W$6*O779+$W$7*P779+$W$8*Q779+$W$9*R779+$W$10*S779+$W$11*T779</f>
        <v/>
      </c>
      <c r="AA779" s="10">
        <f>INDEX(LINEST(L520:L779,M520:T779,TRUE,TRUE),1,9)*52</f>
        <v/>
      </c>
      <c r="AB779" s="9">
        <f>INDEX(LINEST(L520:L779,M520:T779,TRUE,TRUE),1,8)</f>
        <v/>
      </c>
      <c r="AC779" s="9">
        <f>INDEX(LINEST(L520:L779,M520:T779,TRUE,TRUE),1,7)</f>
        <v/>
      </c>
      <c r="AD779" s="9">
        <f>INDEX(LINEST(L520:L779,M520:T779,TRUE,TRUE),1,6)</f>
        <v/>
      </c>
      <c r="AE779" s="9">
        <f>INDEX(LINEST(L520:L779,M520:T779,TRUE,TRUE),1,5)</f>
        <v/>
      </c>
      <c r="AF779" s="9">
        <f>INDEX(LINEST(L520:L779,M520:T779,TRUE,TRUE),1,4)</f>
        <v/>
      </c>
      <c r="AG779" s="9">
        <f>INDEX(LINEST(L520:L779,M520:T779,TRUE,TRUE),1,3)</f>
        <v/>
      </c>
      <c r="AH779" s="9">
        <f>INDEX(LINEST(L520:L779,M520:T779,TRUE,TRUE),1,2)</f>
        <v/>
      </c>
      <c r="AI779" s="9">
        <f>INDEX(LINEST(L520:L779,M520:T779,TRUE,TRUE),1,1)</f>
        <v/>
      </c>
      <c r="AJ779" s="10">
        <f>INDEX(LINEST(L520:L779,M520:T779,TRUE,TRUE),3,1)</f>
        <v/>
      </c>
      <c r="AK779" s="9">
        <f>AA778/52+AB778*M779+AC778*N779+AD778*O779+AE778*P779+AF778*Q779+AG778*R779+AH778*S779+AI778*T779</f>
        <v/>
      </c>
      <c r="AL779" s="9">
        <f>AVERAGE(L519:L778)</f>
        <v/>
      </c>
    </row>
    <row r="780">
      <c r="A780" s="7" t="n">
        <v>43070</v>
      </c>
      <c r="B780" s="8" t="n">
        <v>1275.5</v>
      </c>
      <c r="C780" s="8" t="n">
        <v>1.86</v>
      </c>
      <c r="D780" s="8" t="n">
        <v>0.51</v>
      </c>
      <c r="E780" s="8" t="n">
        <v>92.900002</v>
      </c>
      <c r="F780" s="8" t="n">
        <v>58.35</v>
      </c>
      <c r="G780" s="8" t="n">
        <v>11.43</v>
      </c>
      <c r="H780" s="8" t="n">
        <v>50.169998</v>
      </c>
      <c r="I780" s="8" t="n">
        <v>2642.219971</v>
      </c>
      <c r="J780" s="8" t="n">
        <v>85.525642</v>
      </c>
      <c r="L780" s="9">
        <f>LN(B780/B779)</f>
        <v/>
      </c>
      <c r="M780" s="9">
        <f>$M$1*(C780-C779)</f>
        <v/>
      </c>
      <c r="N780" s="9">
        <f>$N$1*(D780-D779)</f>
        <v/>
      </c>
      <c r="O780" s="9">
        <f>$O$1*LN(E780/E779)</f>
        <v/>
      </c>
      <c r="P780" s="9">
        <f>$P$1*LN(F780/F779)</f>
        <v/>
      </c>
      <c r="Q780" s="9">
        <f>$Q$1*(G780-G779)</f>
        <v/>
      </c>
      <c r="R780" s="9">
        <f>$R$1*(H780-H779)</f>
        <v/>
      </c>
      <c r="S780" s="9">
        <f>$S$1*LN(I780/I779)</f>
        <v/>
      </c>
      <c r="T780" s="9">
        <f>$T$1*LN(J780/J779)</f>
        <v/>
      </c>
      <c r="U780" s="9">
        <f>$W$12+$W$4*M780+$W$5*N780+$W$6*O780+$W$7*P780+$W$8*Q780+$W$9*R780+$W$10*S780+$W$11*T780</f>
        <v/>
      </c>
      <c r="AA780" s="10">
        <f>INDEX(LINEST(L521:L780,M521:T780,TRUE,TRUE),1,9)*52</f>
        <v/>
      </c>
      <c r="AB780" s="9">
        <f>INDEX(LINEST(L521:L780,M521:T780,TRUE,TRUE),1,8)</f>
        <v/>
      </c>
      <c r="AC780" s="9">
        <f>INDEX(LINEST(L521:L780,M521:T780,TRUE,TRUE),1,7)</f>
        <v/>
      </c>
      <c r="AD780" s="9">
        <f>INDEX(LINEST(L521:L780,M521:T780,TRUE,TRUE),1,6)</f>
        <v/>
      </c>
      <c r="AE780" s="9">
        <f>INDEX(LINEST(L521:L780,M521:T780,TRUE,TRUE),1,5)</f>
        <v/>
      </c>
      <c r="AF780" s="9">
        <f>INDEX(LINEST(L521:L780,M521:T780,TRUE,TRUE),1,4)</f>
        <v/>
      </c>
      <c r="AG780" s="9">
        <f>INDEX(LINEST(L521:L780,M521:T780,TRUE,TRUE),1,3)</f>
        <v/>
      </c>
      <c r="AH780" s="9">
        <f>INDEX(LINEST(L521:L780,M521:T780,TRUE,TRUE),1,2)</f>
        <v/>
      </c>
      <c r="AI780" s="9">
        <f>INDEX(LINEST(L521:L780,M521:T780,TRUE,TRUE),1,1)</f>
        <v/>
      </c>
      <c r="AJ780" s="10">
        <f>INDEX(LINEST(L521:L780,M521:T780,TRUE,TRUE),3,1)</f>
        <v/>
      </c>
      <c r="AK780" s="9">
        <f>AA779/52+AB779*M780+AC779*N780+AD779*O780+AE779*P780+AF779*Q780+AG779*R780+AH779*S780+AI779*T780</f>
        <v/>
      </c>
      <c r="AL780" s="9">
        <f>AVERAGE(L520:L779)</f>
        <v/>
      </c>
    </row>
    <row r="781">
      <c r="A781" s="7" t="n">
        <v>43077</v>
      </c>
      <c r="B781" s="8" t="n">
        <v>1250.65</v>
      </c>
      <c r="C781" s="8" t="n">
        <v>1.88</v>
      </c>
      <c r="D781" s="8" t="n">
        <v>0.5</v>
      </c>
      <c r="E781" s="8" t="n">
        <v>93.900002</v>
      </c>
      <c r="F781" s="8" t="n">
        <v>57.15</v>
      </c>
      <c r="G781" s="8" t="n">
        <v>9.58</v>
      </c>
      <c r="H781" s="8" t="n">
        <v>47.490002</v>
      </c>
      <c r="I781" s="8" t="n">
        <v>2651.5</v>
      </c>
      <c r="J781" s="8" t="n">
        <v>85.549133</v>
      </c>
      <c r="L781" s="9">
        <f>LN(B781/B780)</f>
        <v/>
      </c>
      <c r="M781" s="9">
        <f>$M$1*(C781-C780)</f>
        <v/>
      </c>
      <c r="N781" s="9">
        <f>$N$1*(D781-D780)</f>
        <v/>
      </c>
      <c r="O781" s="9">
        <f>$O$1*LN(E781/E780)</f>
        <v/>
      </c>
      <c r="P781" s="9">
        <f>$P$1*LN(F781/F780)</f>
        <v/>
      </c>
      <c r="Q781" s="9">
        <f>$Q$1*(G781-G780)</f>
        <v/>
      </c>
      <c r="R781" s="9">
        <f>$R$1*(H781-H780)</f>
        <v/>
      </c>
      <c r="S781" s="9">
        <f>$S$1*LN(I781/I780)</f>
        <v/>
      </c>
      <c r="T781" s="9">
        <f>$T$1*LN(J781/J780)</f>
        <v/>
      </c>
      <c r="U781" s="9">
        <f>$W$12+$W$4*M781+$W$5*N781+$W$6*O781+$W$7*P781+$W$8*Q781+$W$9*R781+$W$10*S781+$W$11*T781</f>
        <v/>
      </c>
      <c r="AA781" s="10">
        <f>INDEX(LINEST(L522:L781,M522:T781,TRUE,TRUE),1,9)*52</f>
        <v/>
      </c>
      <c r="AB781" s="9">
        <f>INDEX(LINEST(L522:L781,M522:T781,TRUE,TRUE),1,8)</f>
        <v/>
      </c>
      <c r="AC781" s="9">
        <f>INDEX(LINEST(L522:L781,M522:T781,TRUE,TRUE),1,7)</f>
        <v/>
      </c>
      <c r="AD781" s="9">
        <f>INDEX(LINEST(L522:L781,M522:T781,TRUE,TRUE),1,6)</f>
        <v/>
      </c>
      <c r="AE781" s="9">
        <f>INDEX(LINEST(L522:L781,M522:T781,TRUE,TRUE),1,5)</f>
        <v/>
      </c>
      <c r="AF781" s="9">
        <f>INDEX(LINEST(L522:L781,M522:T781,TRUE,TRUE),1,4)</f>
        <v/>
      </c>
      <c r="AG781" s="9">
        <f>INDEX(LINEST(L522:L781,M522:T781,TRUE,TRUE),1,3)</f>
        <v/>
      </c>
      <c r="AH781" s="9">
        <f>INDEX(LINEST(L522:L781,M522:T781,TRUE,TRUE),1,2)</f>
        <v/>
      </c>
      <c r="AI781" s="9">
        <f>INDEX(LINEST(L522:L781,M522:T781,TRUE,TRUE),1,1)</f>
        <v/>
      </c>
      <c r="AJ781" s="10">
        <f>INDEX(LINEST(L522:L781,M522:T781,TRUE,TRUE),3,1)</f>
        <v/>
      </c>
      <c r="AK781" s="9">
        <f>AA780/52+AB780*M781+AC780*N781+AD780*O781+AE780*P781+AF780*Q781+AG780*R781+AH780*S781+AI780*T781</f>
        <v/>
      </c>
      <c r="AL781" s="9">
        <f>AVERAGE(L521:L780)</f>
        <v/>
      </c>
    </row>
    <row r="782">
      <c r="A782" s="7" t="n">
        <v>43084</v>
      </c>
      <c r="B782" s="8" t="n">
        <v>1254.6</v>
      </c>
      <c r="C782" s="8" t="n">
        <v>1.88</v>
      </c>
      <c r="D782" s="8" t="n">
        <v>0.47</v>
      </c>
      <c r="E782" s="8" t="n">
        <v>93.93000000000001</v>
      </c>
      <c r="F782" s="8" t="n">
        <v>57.29</v>
      </c>
      <c r="G782" s="8" t="n">
        <v>9.42</v>
      </c>
      <c r="H782" s="8" t="n">
        <v>46.43</v>
      </c>
      <c r="I782" s="8" t="n">
        <v>2675.810059</v>
      </c>
      <c r="J782" s="8" t="n">
        <v>85.768539</v>
      </c>
      <c r="L782" s="9">
        <f>LN(B782/B781)</f>
        <v/>
      </c>
      <c r="M782" s="9">
        <f>$M$1*(C782-C781)</f>
        <v/>
      </c>
      <c r="N782" s="9">
        <f>$N$1*(D782-D781)</f>
        <v/>
      </c>
      <c r="O782" s="9">
        <f>$O$1*LN(E782/E781)</f>
        <v/>
      </c>
      <c r="P782" s="9">
        <f>$P$1*LN(F782/F781)</f>
        <v/>
      </c>
      <c r="Q782" s="9">
        <f>$Q$1*(G782-G781)</f>
        <v/>
      </c>
      <c r="R782" s="9">
        <f>$R$1*(H782-H781)</f>
        <v/>
      </c>
      <c r="S782" s="9">
        <f>$S$1*LN(I782/I781)</f>
        <v/>
      </c>
      <c r="T782" s="9">
        <f>$T$1*LN(J782/J781)</f>
        <v/>
      </c>
      <c r="U782" s="9">
        <f>$W$12+$W$4*M782+$W$5*N782+$W$6*O782+$W$7*P782+$W$8*Q782+$W$9*R782+$W$10*S782+$W$11*T782</f>
        <v/>
      </c>
      <c r="AA782" s="10">
        <f>INDEX(LINEST(L523:L782,M523:T782,TRUE,TRUE),1,9)*52</f>
        <v/>
      </c>
      <c r="AB782" s="9">
        <f>INDEX(LINEST(L523:L782,M523:T782,TRUE,TRUE),1,8)</f>
        <v/>
      </c>
      <c r="AC782" s="9">
        <f>INDEX(LINEST(L523:L782,M523:T782,TRUE,TRUE),1,7)</f>
        <v/>
      </c>
      <c r="AD782" s="9">
        <f>INDEX(LINEST(L523:L782,M523:T782,TRUE,TRUE),1,6)</f>
        <v/>
      </c>
      <c r="AE782" s="9">
        <f>INDEX(LINEST(L523:L782,M523:T782,TRUE,TRUE),1,5)</f>
        <v/>
      </c>
      <c r="AF782" s="9">
        <f>INDEX(LINEST(L523:L782,M523:T782,TRUE,TRUE),1,4)</f>
        <v/>
      </c>
      <c r="AG782" s="9">
        <f>INDEX(LINEST(L523:L782,M523:T782,TRUE,TRUE),1,3)</f>
        <v/>
      </c>
      <c r="AH782" s="9">
        <f>INDEX(LINEST(L523:L782,M523:T782,TRUE,TRUE),1,2)</f>
        <v/>
      </c>
      <c r="AI782" s="9">
        <f>INDEX(LINEST(L523:L782,M523:T782,TRUE,TRUE),1,1)</f>
        <v/>
      </c>
      <c r="AJ782" s="10">
        <f>INDEX(LINEST(L523:L782,M523:T782,TRUE,TRUE),3,1)</f>
        <v/>
      </c>
      <c r="AK782" s="9">
        <f>AA781/52+AB781*M782+AC781*N782+AD781*O782+AE781*P782+AF781*Q782+AG781*R782+AH781*S782+AI781*T782</f>
        <v/>
      </c>
      <c r="AL782" s="9">
        <f>AVERAGE(L522:L781)</f>
        <v/>
      </c>
    </row>
    <row r="783">
      <c r="A783" s="7" t="n">
        <v>43091</v>
      </c>
      <c r="B783" s="8" t="n">
        <v>1264.55</v>
      </c>
      <c r="C783" s="8" t="n">
        <v>1.94</v>
      </c>
      <c r="D783" s="8" t="n">
        <v>0.54</v>
      </c>
      <c r="E783" s="8" t="n">
        <v>93.349998</v>
      </c>
      <c r="F783" s="8" t="n">
        <v>58.25</v>
      </c>
      <c r="G783" s="8" t="n">
        <v>9.9</v>
      </c>
      <c r="H783" s="8" t="n">
        <v>50.380001</v>
      </c>
      <c r="I783" s="8" t="n">
        <v>2683.340088</v>
      </c>
      <c r="J783" s="8" t="n">
        <v>85.326683</v>
      </c>
      <c r="L783" s="9">
        <f>LN(B783/B782)</f>
        <v/>
      </c>
      <c r="M783" s="9">
        <f>$M$1*(C783-C782)</f>
        <v/>
      </c>
      <c r="N783" s="9">
        <f>$N$1*(D783-D782)</f>
        <v/>
      </c>
      <c r="O783" s="9">
        <f>$O$1*LN(E783/E782)</f>
        <v/>
      </c>
      <c r="P783" s="9">
        <f>$P$1*LN(F783/F782)</f>
        <v/>
      </c>
      <c r="Q783" s="9">
        <f>$Q$1*(G783-G782)</f>
        <v/>
      </c>
      <c r="R783" s="9">
        <f>$R$1*(H783-H782)</f>
        <v/>
      </c>
      <c r="S783" s="9">
        <f>$S$1*LN(I783/I782)</f>
        <v/>
      </c>
      <c r="T783" s="9">
        <f>$T$1*LN(J783/J782)</f>
        <v/>
      </c>
      <c r="U783" s="9">
        <f>$W$12+$W$4*M783+$W$5*N783+$W$6*O783+$W$7*P783+$W$8*Q783+$W$9*R783+$W$10*S783+$W$11*T783</f>
        <v/>
      </c>
      <c r="AA783" s="10">
        <f>INDEX(LINEST(L524:L783,M524:T783,TRUE,TRUE),1,9)*52</f>
        <v/>
      </c>
      <c r="AB783" s="9">
        <f>INDEX(LINEST(L524:L783,M524:T783,TRUE,TRUE),1,8)</f>
        <v/>
      </c>
      <c r="AC783" s="9">
        <f>INDEX(LINEST(L524:L783,M524:T783,TRUE,TRUE),1,7)</f>
        <v/>
      </c>
      <c r="AD783" s="9">
        <f>INDEX(LINEST(L524:L783,M524:T783,TRUE,TRUE),1,6)</f>
        <v/>
      </c>
      <c r="AE783" s="9">
        <f>INDEX(LINEST(L524:L783,M524:T783,TRUE,TRUE),1,5)</f>
        <v/>
      </c>
      <c r="AF783" s="9">
        <f>INDEX(LINEST(L524:L783,M524:T783,TRUE,TRUE),1,4)</f>
        <v/>
      </c>
      <c r="AG783" s="9">
        <f>INDEX(LINEST(L524:L783,M524:T783,TRUE,TRUE),1,3)</f>
        <v/>
      </c>
      <c r="AH783" s="9">
        <f>INDEX(LINEST(L524:L783,M524:T783,TRUE,TRUE),1,2)</f>
        <v/>
      </c>
      <c r="AI783" s="9">
        <f>INDEX(LINEST(L524:L783,M524:T783,TRUE,TRUE),1,1)</f>
        <v/>
      </c>
      <c r="AJ783" s="10">
        <f>INDEX(LINEST(L524:L783,M524:T783,TRUE,TRUE),3,1)</f>
        <v/>
      </c>
      <c r="AK783" s="9">
        <f>AA782/52+AB782*M783+AC782*N783+AD782*O783+AE782*P783+AF782*Q783+AG782*R783+AH782*S783+AI782*T783</f>
        <v/>
      </c>
      <c r="AL783" s="9">
        <f>AVERAGE(L523:L782)</f>
        <v/>
      </c>
    </row>
    <row r="784">
      <c r="A784" s="7" t="n">
        <v>43098</v>
      </c>
      <c r="B784" s="8" t="n">
        <v>1291</v>
      </c>
      <c r="C784" s="8" t="n">
        <v>1.96</v>
      </c>
      <c r="D784" s="8" t="n">
        <v>0.44</v>
      </c>
      <c r="E784" s="8" t="n">
        <v>92.120003</v>
      </c>
      <c r="F784" s="8" t="n">
        <v>60.46</v>
      </c>
      <c r="G784" s="8" t="n">
        <v>11.04</v>
      </c>
      <c r="H784" s="8" t="n">
        <v>46.599998</v>
      </c>
      <c r="I784" s="8" t="n">
        <v>2673.610107</v>
      </c>
      <c r="J784" s="8" t="n">
        <v>85.687195</v>
      </c>
      <c r="L784" s="9">
        <f>LN(B784/B783)</f>
        <v/>
      </c>
      <c r="M784" s="9">
        <f>$M$1*(C784-C783)</f>
        <v/>
      </c>
      <c r="N784" s="9">
        <f>$N$1*(D784-D783)</f>
        <v/>
      </c>
      <c r="O784" s="9">
        <f>$O$1*LN(E784/E783)</f>
        <v/>
      </c>
      <c r="P784" s="9">
        <f>$P$1*LN(F784/F783)</f>
        <v/>
      </c>
      <c r="Q784" s="9">
        <f>$Q$1*(G784-G783)</f>
        <v/>
      </c>
      <c r="R784" s="9">
        <f>$R$1*(H784-H783)</f>
        <v/>
      </c>
      <c r="S784" s="9">
        <f>$S$1*LN(I784/I783)</f>
        <v/>
      </c>
      <c r="T784" s="9">
        <f>$T$1*LN(J784/J783)</f>
        <v/>
      </c>
      <c r="U784" s="9">
        <f>$W$12+$W$4*M784+$W$5*N784+$W$6*O784+$W$7*P784+$W$8*Q784+$W$9*R784+$W$10*S784+$W$11*T784</f>
        <v/>
      </c>
      <c r="AA784" s="10">
        <f>INDEX(LINEST(L525:L784,M525:T784,TRUE,TRUE),1,9)*52</f>
        <v/>
      </c>
      <c r="AB784" s="9">
        <f>INDEX(LINEST(L525:L784,M525:T784,TRUE,TRUE),1,8)</f>
        <v/>
      </c>
      <c r="AC784" s="9">
        <f>INDEX(LINEST(L525:L784,M525:T784,TRUE,TRUE),1,7)</f>
        <v/>
      </c>
      <c r="AD784" s="9">
        <f>INDEX(LINEST(L525:L784,M525:T784,TRUE,TRUE),1,6)</f>
        <v/>
      </c>
      <c r="AE784" s="9">
        <f>INDEX(LINEST(L525:L784,M525:T784,TRUE,TRUE),1,5)</f>
        <v/>
      </c>
      <c r="AF784" s="9">
        <f>INDEX(LINEST(L525:L784,M525:T784,TRUE,TRUE),1,4)</f>
        <v/>
      </c>
      <c r="AG784" s="9">
        <f>INDEX(LINEST(L525:L784,M525:T784,TRUE,TRUE),1,3)</f>
        <v/>
      </c>
      <c r="AH784" s="9">
        <f>INDEX(LINEST(L525:L784,M525:T784,TRUE,TRUE),1,2)</f>
        <v/>
      </c>
      <c r="AI784" s="9">
        <f>INDEX(LINEST(L525:L784,M525:T784,TRUE,TRUE),1,1)</f>
        <v/>
      </c>
      <c r="AJ784" s="10">
        <f>INDEX(LINEST(L525:L784,M525:T784,TRUE,TRUE),3,1)</f>
        <v/>
      </c>
      <c r="AK784" s="9">
        <f>AA783/52+AB783*M784+AC783*N784+AD783*O784+AE783*P784+AF783*Q784+AG783*R784+AH783*S784+AI783*T784</f>
        <v/>
      </c>
      <c r="AL784" s="9">
        <f>AVERAGE(L524:L783)</f>
        <v/>
      </c>
    </row>
    <row r="785">
      <c r="A785" s="7" t="n">
        <v>43105</v>
      </c>
      <c r="B785" s="8" t="n">
        <v>1317.15</v>
      </c>
      <c r="C785" s="8" t="n">
        <v>2.01</v>
      </c>
      <c r="D785" s="8" t="n">
        <v>0.46</v>
      </c>
      <c r="E785" s="8" t="n">
        <v>91.949997</v>
      </c>
      <c r="F785" s="8" t="n">
        <v>61.49</v>
      </c>
      <c r="G785" s="8" t="n">
        <v>9.220000000000001</v>
      </c>
      <c r="H785" s="8" t="n">
        <v>46.07</v>
      </c>
      <c r="I785" s="8" t="n">
        <v>2743.149902</v>
      </c>
      <c r="J785" s="8" t="n">
        <v>85.459908</v>
      </c>
      <c r="L785" s="9">
        <f>LN(B785/B784)</f>
        <v/>
      </c>
      <c r="M785" s="9">
        <f>$M$1*(C785-C784)</f>
        <v/>
      </c>
      <c r="N785" s="9">
        <f>$N$1*(D785-D784)</f>
        <v/>
      </c>
      <c r="O785" s="9">
        <f>$O$1*LN(E785/E784)</f>
        <v/>
      </c>
      <c r="P785" s="9">
        <f>$P$1*LN(F785/F784)</f>
        <v/>
      </c>
      <c r="Q785" s="9">
        <f>$Q$1*(G785-G784)</f>
        <v/>
      </c>
      <c r="R785" s="9">
        <f>$R$1*(H785-H784)</f>
        <v/>
      </c>
      <c r="S785" s="9">
        <f>$S$1*LN(I785/I784)</f>
        <v/>
      </c>
      <c r="T785" s="9">
        <f>$T$1*LN(J785/J784)</f>
        <v/>
      </c>
      <c r="U785" s="9">
        <f>$W$12+$W$4*M785+$W$5*N785+$W$6*O785+$W$7*P785+$W$8*Q785+$W$9*R785+$W$10*S785+$W$11*T785</f>
        <v/>
      </c>
      <c r="AA785" s="10">
        <f>INDEX(LINEST(L526:L785,M526:T785,TRUE,TRUE),1,9)*52</f>
        <v/>
      </c>
      <c r="AB785" s="9">
        <f>INDEX(LINEST(L526:L785,M526:T785,TRUE,TRUE),1,8)</f>
        <v/>
      </c>
      <c r="AC785" s="9">
        <f>INDEX(LINEST(L526:L785,M526:T785,TRUE,TRUE),1,7)</f>
        <v/>
      </c>
      <c r="AD785" s="9">
        <f>INDEX(LINEST(L526:L785,M526:T785,TRUE,TRUE),1,6)</f>
        <v/>
      </c>
      <c r="AE785" s="9">
        <f>INDEX(LINEST(L526:L785,M526:T785,TRUE,TRUE),1,5)</f>
        <v/>
      </c>
      <c r="AF785" s="9">
        <f>INDEX(LINEST(L526:L785,M526:T785,TRUE,TRUE),1,4)</f>
        <v/>
      </c>
      <c r="AG785" s="9">
        <f>INDEX(LINEST(L526:L785,M526:T785,TRUE,TRUE),1,3)</f>
        <v/>
      </c>
      <c r="AH785" s="9">
        <f>INDEX(LINEST(L526:L785,M526:T785,TRUE,TRUE),1,2)</f>
        <v/>
      </c>
      <c r="AI785" s="9">
        <f>INDEX(LINEST(L526:L785,M526:T785,TRUE,TRUE),1,1)</f>
        <v/>
      </c>
      <c r="AJ785" s="10">
        <f>INDEX(LINEST(L526:L785,M526:T785,TRUE,TRUE),3,1)</f>
        <v/>
      </c>
      <c r="AK785" s="9">
        <f>AA784/52+AB784*M785+AC784*N785+AD784*O785+AE784*P785+AF784*Q785+AG784*R785+AH784*S785+AI784*T785</f>
        <v/>
      </c>
      <c r="AL785" s="9">
        <f>AVERAGE(L525:L784)</f>
        <v/>
      </c>
    </row>
    <row r="786">
      <c r="A786" s="7" t="n">
        <v>43112</v>
      </c>
      <c r="B786" s="8" t="n">
        <v>1326.8</v>
      </c>
      <c r="C786" s="8" t="n">
        <v>2.01</v>
      </c>
      <c r="D786" s="8" t="n">
        <v>0.54</v>
      </c>
      <c r="E786" s="8" t="n">
        <v>90.970001</v>
      </c>
      <c r="F786" s="8" t="n">
        <v>64.22</v>
      </c>
      <c r="G786" s="8" t="n">
        <v>10.16</v>
      </c>
      <c r="H786" s="8" t="n">
        <v>47.610001</v>
      </c>
      <c r="I786" s="8" t="n">
        <v>2786.23999</v>
      </c>
      <c r="J786" s="8" t="n">
        <v>85.224777</v>
      </c>
      <c r="L786" s="9">
        <f>LN(B786/B785)</f>
        <v/>
      </c>
      <c r="M786" s="9">
        <f>$M$1*(C786-C785)</f>
        <v/>
      </c>
      <c r="N786" s="9">
        <f>$N$1*(D786-D785)</f>
        <v/>
      </c>
      <c r="O786" s="9">
        <f>$O$1*LN(E786/E785)</f>
        <v/>
      </c>
      <c r="P786" s="9">
        <f>$P$1*LN(F786/F785)</f>
        <v/>
      </c>
      <c r="Q786" s="9">
        <f>$Q$1*(G786-G785)</f>
        <v/>
      </c>
      <c r="R786" s="9">
        <f>$R$1*(H786-H785)</f>
        <v/>
      </c>
      <c r="S786" s="9">
        <f>$S$1*LN(I786/I785)</f>
        <v/>
      </c>
      <c r="T786" s="9">
        <f>$T$1*LN(J786/J785)</f>
        <v/>
      </c>
      <c r="U786" s="9">
        <f>$W$12+$W$4*M786+$W$5*N786+$W$6*O786+$W$7*P786+$W$8*Q786+$W$9*R786+$W$10*S786+$W$11*T786</f>
        <v/>
      </c>
      <c r="AA786" s="10">
        <f>INDEX(LINEST(L527:L786,M527:T786,TRUE,TRUE),1,9)*52</f>
        <v/>
      </c>
      <c r="AB786" s="9">
        <f>INDEX(LINEST(L527:L786,M527:T786,TRUE,TRUE),1,8)</f>
        <v/>
      </c>
      <c r="AC786" s="9">
        <f>INDEX(LINEST(L527:L786,M527:T786,TRUE,TRUE),1,7)</f>
        <v/>
      </c>
      <c r="AD786" s="9">
        <f>INDEX(LINEST(L527:L786,M527:T786,TRUE,TRUE),1,6)</f>
        <v/>
      </c>
      <c r="AE786" s="9">
        <f>INDEX(LINEST(L527:L786,M527:T786,TRUE,TRUE),1,5)</f>
        <v/>
      </c>
      <c r="AF786" s="9">
        <f>INDEX(LINEST(L527:L786,M527:T786,TRUE,TRUE),1,4)</f>
        <v/>
      </c>
      <c r="AG786" s="9">
        <f>INDEX(LINEST(L527:L786,M527:T786,TRUE,TRUE),1,3)</f>
        <v/>
      </c>
      <c r="AH786" s="9">
        <f>INDEX(LINEST(L527:L786,M527:T786,TRUE,TRUE),1,2)</f>
        <v/>
      </c>
      <c r="AI786" s="9">
        <f>INDEX(LINEST(L527:L786,M527:T786,TRUE,TRUE),1,1)</f>
        <v/>
      </c>
      <c r="AJ786" s="10">
        <f>INDEX(LINEST(L527:L786,M527:T786,TRUE,TRUE),3,1)</f>
        <v/>
      </c>
      <c r="AK786" s="9">
        <f>AA785/52+AB785*M786+AC785*N786+AD785*O786+AE785*P786+AF785*Q786+AG785*R786+AH785*S786+AI785*T786</f>
        <v/>
      </c>
      <c r="AL786" s="9">
        <f>AVERAGE(L526:L785)</f>
        <v/>
      </c>
    </row>
    <row r="787">
      <c r="A787" s="7" t="n">
        <v>43119</v>
      </c>
      <c r="B787" s="8" t="n">
        <v>1334.95</v>
      </c>
      <c r="C787" s="8" t="n">
        <v>2.06</v>
      </c>
      <c r="D787" s="8" t="n">
        <v>0.58</v>
      </c>
      <c r="E787" s="8" t="n">
        <v>90.56999999999999</v>
      </c>
      <c r="F787" s="8" t="n">
        <v>63.38</v>
      </c>
      <c r="G787" s="8" t="n">
        <v>11.27</v>
      </c>
      <c r="H787" s="8" t="n">
        <v>48.549999</v>
      </c>
      <c r="I787" s="8" t="n">
        <v>2810.300049</v>
      </c>
      <c r="J787" s="8" t="n">
        <v>84.785873</v>
      </c>
      <c r="L787" s="9">
        <f>LN(B787/B786)</f>
        <v/>
      </c>
      <c r="M787" s="9">
        <f>$M$1*(C787-C786)</f>
        <v/>
      </c>
      <c r="N787" s="9">
        <f>$N$1*(D787-D786)</f>
        <v/>
      </c>
      <c r="O787" s="9">
        <f>$O$1*LN(E787/E786)</f>
        <v/>
      </c>
      <c r="P787" s="9">
        <f>$P$1*LN(F787/F786)</f>
        <v/>
      </c>
      <c r="Q787" s="9">
        <f>$Q$1*(G787-G786)</f>
        <v/>
      </c>
      <c r="R787" s="9">
        <f>$R$1*(H787-H786)</f>
        <v/>
      </c>
      <c r="S787" s="9">
        <f>$S$1*LN(I787/I786)</f>
        <v/>
      </c>
      <c r="T787" s="9">
        <f>$T$1*LN(J787/J786)</f>
        <v/>
      </c>
      <c r="U787" s="9">
        <f>$W$12+$W$4*M787+$W$5*N787+$W$6*O787+$W$7*P787+$W$8*Q787+$W$9*R787+$W$10*S787+$W$11*T787</f>
        <v/>
      </c>
      <c r="AA787" s="10">
        <f>INDEX(LINEST(L528:L787,M528:T787,TRUE,TRUE),1,9)*52</f>
        <v/>
      </c>
      <c r="AB787" s="9">
        <f>INDEX(LINEST(L528:L787,M528:T787,TRUE,TRUE),1,8)</f>
        <v/>
      </c>
      <c r="AC787" s="9">
        <f>INDEX(LINEST(L528:L787,M528:T787,TRUE,TRUE),1,7)</f>
        <v/>
      </c>
      <c r="AD787" s="9">
        <f>INDEX(LINEST(L528:L787,M528:T787,TRUE,TRUE),1,6)</f>
        <v/>
      </c>
      <c r="AE787" s="9">
        <f>INDEX(LINEST(L528:L787,M528:T787,TRUE,TRUE),1,5)</f>
        <v/>
      </c>
      <c r="AF787" s="9">
        <f>INDEX(LINEST(L528:L787,M528:T787,TRUE,TRUE),1,4)</f>
        <v/>
      </c>
      <c r="AG787" s="9">
        <f>INDEX(LINEST(L528:L787,M528:T787,TRUE,TRUE),1,3)</f>
        <v/>
      </c>
      <c r="AH787" s="9">
        <f>INDEX(LINEST(L528:L787,M528:T787,TRUE,TRUE),1,2)</f>
        <v/>
      </c>
      <c r="AI787" s="9">
        <f>INDEX(LINEST(L528:L787,M528:T787,TRUE,TRUE),1,1)</f>
        <v/>
      </c>
      <c r="AJ787" s="10">
        <f>INDEX(LINEST(L528:L787,M528:T787,TRUE,TRUE),3,1)</f>
        <v/>
      </c>
      <c r="AK787" s="9">
        <f>AA786/52+AB786*M787+AC786*N787+AD786*O787+AE786*P787+AF786*Q787+AG786*R787+AH786*S787+AI786*T787</f>
        <v/>
      </c>
      <c r="AL787" s="9">
        <f>AVERAGE(L527:L786)</f>
        <v/>
      </c>
    </row>
    <row r="788">
      <c r="A788" s="7" t="n">
        <v>43126</v>
      </c>
      <c r="B788" s="8" t="n">
        <v>1353.15</v>
      </c>
      <c r="C788" s="8" t="n">
        <v>2.09</v>
      </c>
      <c r="D788" s="8" t="n">
        <v>0.57</v>
      </c>
      <c r="E788" s="8" t="n">
        <v>89.06999999999999</v>
      </c>
      <c r="F788" s="8" t="n">
        <v>66.27</v>
      </c>
      <c r="G788" s="8" t="n">
        <v>11.08</v>
      </c>
      <c r="H788" s="8" t="n">
        <v>55.630001</v>
      </c>
      <c r="I788" s="8" t="n">
        <v>2872.870117</v>
      </c>
      <c r="J788" s="8" t="n">
        <v>84.93480700000001</v>
      </c>
      <c r="L788" s="9">
        <f>LN(B788/B787)</f>
        <v/>
      </c>
      <c r="M788" s="9">
        <f>$M$1*(C788-C787)</f>
        <v/>
      </c>
      <c r="N788" s="9">
        <f>$N$1*(D788-D787)</f>
        <v/>
      </c>
      <c r="O788" s="9">
        <f>$O$1*LN(E788/E787)</f>
        <v/>
      </c>
      <c r="P788" s="9">
        <f>$P$1*LN(F788/F787)</f>
        <v/>
      </c>
      <c r="Q788" s="9">
        <f>$Q$1*(G788-G787)</f>
        <v/>
      </c>
      <c r="R788" s="9">
        <f>$R$1*(H788-H787)</f>
        <v/>
      </c>
      <c r="S788" s="9">
        <f>$S$1*LN(I788/I787)</f>
        <v/>
      </c>
      <c r="T788" s="9">
        <f>$T$1*LN(J788/J787)</f>
        <v/>
      </c>
      <c r="U788" s="9">
        <f>$W$12+$W$4*M788+$W$5*N788+$W$6*O788+$W$7*P788+$W$8*Q788+$W$9*R788+$W$10*S788+$W$11*T788</f>
        <v/>
      </c>
      <c r="AA788" s="10">
        <f>INDEX(LINEST(L529:L788,M529:T788,TRUE,TRUE),1,9)*52</f>
        <v/>
      </c>
      <c r="AB788" s="9">
        <f>INDEX(LINEST(L529:L788,M529:T788,TRUE,TRUE),1,8)</f>
        <v/>
      </c>
      <c r="AC788" s="9">
        <f>INDEX(LINEST(L529:L788,M529:T788,TRUE,TRUE),1,7)</f>
        <v/>
      </c>
      <c r="AD788" s="9">
        <f>INDEX(LINEST(L529:L788,M529:T788,TRUE,TRUE),1,6)</f>
        <v/>
      </c>
      <c r="AE788" s="9">
        <f>INDEX(LINEST(L529:L788,M529:T788,TRUE,TRUE),1,5)</f>
        <v/>
      </c>
      <c r="AF788" s="9">
        <f>INDEX(LINEST(L529:L788,M529:T788,TRUE,TRUE),1,4)</f>
        <v/>
      </c>
      <c r="AG788" s="9">
        <f>INDEX(LINEST(L529:L788,M529:T788,TRUE,TRUE),1,3)</f>
        <v/>
      </c>
      <c r="AH788" s="9">
        <f>INDEX(LINEST(L529:L788,M529:T788,TRUE,TRUE),1,2)</f>
        <v/>
      </c>
      <c r="AI788" s="9">
        <f>INDEX(LINEST(L529:L788,M529:T788,TRUE,TRUE),1,1)</f>
        <v/>
      </c>
      <c r="AJ788" s="10">
        <f>INDEX(LINEST(L529:L788,M529:T788,TRUE,TRUE),3,1)</f>
        <v/>
      </c>
      <c r="AK788" s="9">
        <f>AA787/52+AB787*M788+AC787*N788+AD787*O788+AE787*P788+AF787*Q788+AG787*R788+AH787*S788+AI787*T788</f>
        <v/>
      </c>
      <c r="AL788" s="9">
        <f>AVERAGE(L528:L787)</f>
        <v/>
      </c>
    </row>
    <row r="789">
      <c r="A789" s="7" t="n">
        <v>43133</v>
      </c>
      <c r="B789" s="8" t="n">
        <v>1331.15</v>
      </c>
      <c r="C789" s="8" t="n">
        <v>2.14</v>
      </c>
      <c r="D789" s="8" t="n">
        <v>0.7</v>
      </c>
      <c r="E789" s="8" t="n">
        <v>89.199997</v>
      </c>
      <c r="F789" s="8" t="n">
        <v>65.5</v>
      </c>
      <c r="G789" s="8" t="n">
        <v>17.31</v>
      </c>
      <c r="H789" s="8" t="n">
        <v>60.330002</v>
      </c>
      <c r="I789" s="8" t="n">
        <v>2762.129883</v>
      </c>
      <c r="J789" s="8" t="n">
        <v>84.206329</v>
      </c>
      <c r="L789" s="9">
        <f>LN(B789/B788)</f>
        <v/>
      </c>
      <c r="M789" s="9">
        <f>$M$1*(C789-C788)</f>
        <v/>
      </c>
      <c r="N789" s="9">
        <f>$N$1*(D789-D788)</f>
        <v/>
      </c>
      <c r="O789" s="9">
        <f>$O$1*LN(E789/E788)</f>
        <v/>
      </c>
      <c r="P789" s="9">
        <f>$P$1*LN(F789/F788)</f>
        <v/>
      </c>
      <c r="Q789" s="9">
        <f>$Q$1*(G789-G788)</f>
        <v/>
      </c>
      <c r="R789" s="9">
        <f>$R$1*(H789-H788)</f>
        <v/>
      </c>
      <c r="S789" s="9">
        <f>$S$1*LN(I789/I788)</f>
        <v/>
      </c>
      <c r="T789" s="9">
        <f>$T$1*LN(J789/J788)</f>
        <v/>
      </c>
      <c r="U789" s="9">
        <f>$W$12+$W$4*M789+$W$5*N789+$W$6*O789+$W$7*P789+$W$8*Q789+$W$9*R789+$W$10*S789+$W$11*T789</f>
        <v/>
      </c>
      <c r="AA789" s="10">
        <f>INDEX(LINEST(L530:L789,M530:T789,TRUE,TRUE),1,9)*52</f>
        <v/>
      </c>
      <c r="AB789" s="9">
        <f>INDEX(LINEST(L530:L789,M530:T789,TRUE,TRUE),1,8)</f>
        <v/>
      </c>
      <c r="AC789" s="9">
        <f>INDEX(LINEST(L530:L789,M530:T789,TRUE,TRUE),1,7)</f>
        <v/>
      </c>
      <c r="AD789" s="9">
        <f>INDEX(LINEST(L530:L789,M530:T789,TRUE,TRUE),1,6)</f>
        <v/>
      </c>
      <c r="AE789" s="9">
        <f>INDEX(LINEST(L530:L789,M530:T789,TRUE,TRUE),1,5)</f>
        <v/>
      </c>
      <c r="AF789" s="9">
        <f>INDEX(LINEST(L530:L789,M530:T789,TRUE,TRUE),1,4)</f>
        <v/>
      </c>
      <c r="AG789" s="9">
        <f>INDEX(LINEST(L530:L789,M530:T789,TRUE,TRUE),1,3)</f>
        <v/>
      </c>
      <c r="AH789" s="9">
        <f>INDEX(LINEST(L530:L789,M530:T789,TRUE,TRUE),1,2)</f>
        <v/>
      </c>
      <c r="AI789" s="9">
        <f>INDEX(LINEST(L530:L789,M530:T789,TRUE,TRUE),1,1)</f>
        <v/>
      </c>
      <c r="AJ789" s="10">
        <f>INDEX(LINEST(L530:L789,M530:T789,TRUE,TRUE),3,1)</f>
        <v/>
      </c>
      <c r="AK789" s="9">
        <f>AA788/52+AB788*M789+AC788*N789+AD788*O789+AE788*P789+AF788*Q789+AG788*R789+AH788*S789+AI788*T789</f>
        <v/>
      </c>
      <c r="AL789" s="9">
        <f>AVERAGE(L529:L788)</f>
        <v/>
      </c>
    </row>
    <row r="790">
      <c r="A790" s="7" t="n">
        <v>43140</v>
      </c>
      <c r="B790" s="8" t="n">
        <v>1314.1</v>
      </c>
      <c r="C790" s="8" t="n">
        <v>2.05</v>
      </c>
      <c r="D790" s="8" t="n">
        <v>0.78</v>
      </c>
      <c r="E790" s="8" t="n">
        <v>90.44000200000001</v>
      </c>
      <c r="F790" s="8" t="n">
        <v>59.2</v>
      </c>
      <c r="G790" s="8" t="n">
        <v>29.06</v>
      </c>
      <c r="H790" s="8" t="n">
        <v>67.849998</v>
      </c>
      <c r="I790" s="8" t="n">
        <v>2619.550049</v>
      </c>
      <c r="J790" s="8" t="n">
        <v>83.86067199999999</v>
      </c>
      <c r="L790" s="9">
        <f>LN(B790/B789)</f>
        <v/>
      </c>
      <c r="M790" s="9">
        <f>$M$1*(C790-C789)</f>
        <v/>
      </c>
      <c r="N790" s="9">
        <f>$N$1*(D790-D789)</f>
        <v/>
      </c>
      <c r="O790" s="9">
        <f>$O$1*LN(E790/E789)</f>
        <v/>
      </c>
      <c r="P790" s="9">
        <f>$P$1*LN(F790/F789)</f>
        <v/>
      </c>
      <c r="Q790" s="9">
        <f>$Q$1*(G790-G789)</f>
        <v/>
      </c>
      <c r="R790" s="9">
        <f>$R$1*(H790-H789)</f>
        <v/>
      </c>
      <c r="S790" s="9">
        <f>$S$1*LN(I790/I789)</f>
        <v/>
      </c>
      <c r="T790" s="9">
        <f>$T$1*LN(J790/J789)</f>
        <v/>
      </c>
      <c r="U790" s="9">
        <f>$W$12+$W$4*M790+$W$5*N790+$W$6*O790+$W$7*P790+$W$8*Q790+$W$9*R790+$W$10*S790+$W$11*T790</f>
        <v/>
      </c>
      <c r="AA790" s="10">
        <f>INDEX(LINEST(L531:L790,M531:T790,TRUE,TRUE),1,9)*52</f>
        <v/>
      </c>
      <c r="AB790" s="9">
        <f>INDEX(LINEST(L531:L790,M531:T790,TRUE,TRUE),1,8)</f>
        <v/>
      </c>
      <c r="AC790" s="9">
        <f>INDEX(LINEST(L531:L790,M531:T790,TRUE,TRUE),1,7)</f>
        <v/>
      </c>
      <c r="AD790" s="9">
        <f>INDEX(LINEST(L531:L790,M531:T790,TRUE,TRUE),1,6)</f>
        <v/>
      </c>
      <c r="AE790" s="9">
        <f>INDEX(LINEST(L531:L790,M531:T790,TRUE,TRUE),1,5)</f>
        <v/>
      </c>
      <c r="AF790" s="9">
        <f>INDEX(LINEST(L531:L790,M531:T790,TRUE,TRUE),1,4)</f>
        <v/>
      </c>
      <c r="AG790" s="9">
        <f>INDEX(LINEST(L531:L790,M531:T790,TRUE,TRUE),1,3)</f>
        <v/>
      </c>
      <c r="AH790" s="9">
        <f>INDEX(LINEST(L531:L790,M531:T790,TRUE,TRUE),1,2)</f>
        <v/>
      </c>
      <c r="AI790" s="9">
        <f>INDEX(LINEST(L531:L790,M531:T790,TRUE,TRUE),1,1)</f>
        <v/>
      </c>
      <c r="AJ790" s="10">
        <f>INDEX(LINEST(L531:L790,M531:T790,TRUE,TRUE),3,1)</f>
        <v/>
      </c>
      <c r="AK790" s="9">
        <f>AA789/52+AB789*M790+AC789*N790+AD789*O790+AE789*P790+AF789*Q790+AG789*R790+AH789*S790+AI789*T790</f>
        <v/>
      </c>
      <c r="AL790" s="9">
        <f>AVERAGE(L530:L789)</f>
        <v/>
      </c>
    </row>
    <row r="791">
      <c r="A791" s="7" t="n">
        <v>43147</v>
      </c>
      <c r="B791" s="8" t="n">
        <v>1352.1</v>
      </c>
      <c r="C791" s="8" t="n">
        <v>2.09</v>
      </c>
      <c r="D791" s="8" t="n">
        <v>0.78</v>
      </c>
      <c r="E791" s="8" t="n">
        <v>89.099998</v>
      </c>
      <c r="F791" s="8" t="n">
        <v>61.89</v>
      </c>
      <c r="G791" s="8" t="n">
        <v>19.46</v>
      </c>
      <c r="H791" s="8" t="n">
        <v>63.029999</v>
      </c>
      <c r="I791" s="8" t="n">
        <v>2732.219971</v>
      </c>
      <c r="J791" s="8" t="n">
        <v>83.89211299999999</v>
      </c>
      <c r="L791" s="9">
        <f>LN(B791/B790)</f>
        <v/>
      </c>
      <c r="M791" s="9">
        <f>$M$1*(C791-C790)</f>
        <v/>
      </c>
      <c r="N791" s="9">
        <f>$N$1*(D791-D790)</f>
        <v/>
      </c>
      <c r="O791" s="9">
        <f>$O$1*LN(E791/E790)</f>
        <v/>
      </c>
      <c r="P791" s="9">
        <f>$P$1*LN(F791/F790)</f>
        <v/>
      </c>
      <c r="Q791" s="9">
        <f>$Q$1*(G791-G790)</f>
        <v/>
      </c>
      <c r="R791" s="9">
        <f>$R$1*(H791-H790)</f>
        <v/>
      </c>
      <c r="S791" s="9">
        <f>$S$1*LN(I791/I790)</f>
        <v/>
      </c>
      <c r="T791" s="9">
        <f>$T$1*LN(J791/J790)</f>
        <v/>
      </c>
      <c r="U791" s="9">
        <f>$W$12+$W$4*M791+$W$5*N791+$W$6*O791+$W$7*P791+$W$8*Q791+$W$9*R791+$W$10*S791+$W$11*T791</f>
        <v/>
      </c>
      <c r="AA791" s="10">
        <f>INDEX(LINEST(L532:L791,M532:T791,TRUE,TRUE),1,9)*52</f>
        <v/>
      </c>
      <c r="AB791" s="9">
        <f>INDEX(LINEST(L532:L791,M532:T791,TRUE,TRUE),1,8)</f>
        <v/>
      </c>
      <c r="AC791" s="9">
        <f>INDEX(LINEST(L532:L791,M532:T791,TRUE,TRUE),1,7)</f>
        <v/>
      </c>
      <c r="AD791" s="9">
        <f>INDEX(LINEST(L532:L791,M532:T791,TRUE,TRUE),1,6)</f>
        <v/>
      </c>
      <c r="AE791" s="9">
        <f>INDEX(LINEST(L532:L791,M532:T791,TRUE,TRUE),1,5)</f>
        <v/>
      </c>
      <c r="AF791" s="9">
        <f>INDEX(LINEST(L532:L791,M532:T791,TRUE,TRUE),1,4)</f>
        <v/>
      </c>
      <c r="AG791" s="9">
        <f>INDEX(LINEST(L532:L791,M532:T791,TRUE,TRUE),1,3)</f>
        <v/>
      </c>
      <c r="AH791" s="9">
        <f>INDEX(LINEST(L532:L791,M532:T791,TRUE,TRUE),1,2)</f>
        <v/>
      </c>
      <c r="AI791" s="9">
        <f>INDEX(LINEST(L532:L791,M532:T791,TRUE,TRUE),1,1)</f>
        <v/>
      </c>
      <c r="AJ791" s="10">
        <f>INDEX(LINEST(L532:L791,M532:T791,TRUE,TRUE),3,1)</f>
        <v/>
      </c>
      <c r="AK791" s="9">
        <f>AA790/52+AB790*M791+AC790*N791+AD790*O791+AE790*P791+AF790*Q791+AG790*R791+AH790*S791+AI790*T791</f>
        <v/>
      </c>
      <c r="AL791" s="9">
        <f>AVERAGE(L531:L790)</f>
        <v/>
      </c>
    </row>
    <row r="792">
      <c r="A792" s="7" t="n">
        <v>43154</v>
      </c>
      <c r="B792" s="8" t="n">
        <v>1327.95</v>
      </c>
      <c r="C792" s="8" t="n">
        <v>2.12</v>
      </c>
      <c r="D792" s="8" t="n">
        <v>0.76</v>
      </c>
      <c r="E792" s="8" t="n">
        <v>89.879997</v>
      </c>
      <c r="F792" s="8" t="n">
        <v>63.52</v>
      </c>
      <c r="G792" s="8" t="n">
        <v>16.49</v>
      </c>
      <c r="H792" s="8" t="n">
        <v>64.599998</v>
      </c>
      <c r="I792" s="8" t="n">
        <v>2747.300049</v>
      </c>
      <c r="J792" s="8" t="n">
        <v>83.758568</v>
      </c>
      <c r="L792" s="9">
        <f>LN(B792/B791)</f>
        <v/>
      </c>
      <c r="M792" s="9">
        <f>$M$1*(C792-C791)</f>
        <v/>
      </c>
      <c r="N792" s="9">
        <f>$N$1*(D792-D791)</f>
        <v/>
      </c>
      <c r="O792" s="9">
        <f>$O$1*LN(E792/E791)</f>
        <v/>
      </c>
      <c r="P792" s="9">
        <f>$P$1*LN(F792/F791)</f>
        <v/>
      </c>
      <c r="Q792" s="9">
        <f>$Q$1*(G792-G791)</f>
        <v/>
      </c>
      <c r="R792" s="9">
        <f>$R$1*(H792-H791)</f>
        <v/>
      </c>
      <c r="S792" s="9">
        <f>$S$1*LN(I792/I791)</f>
        <v/>
      </c>
      <c r="T792" s="9">
        <f>$T$1*LN(J792/J791)</f>
        <v/>
      </c>
      <c r="U792" s="9">
        <f>$W$12+$W$4*M792+$W$5*N792+$W$6*O792+$W$7*P792+$W$8*Q792+$W$9*R792+$W$10*S792+$W$11*T792</f>
        <v/>
      </c>
      <c r="AA792" s="10">
        <f>INDEX(LINEST(L533:L792,M533:T792,TRUE,TRUE),1,9)*52</f>
        <v/>
      </c>
      <c r="AB792" s="9">
        <f>INDEX(LINEST(L533:L792,M533:T792,TRUE,TRUE),1,8)</f>
        <v/>
      </c>
      <c r="AC792" s="9">
        <f>INDEX(LINEST(L533:L792,M533:T792,TRUE,TRUE),1,7)</f>
        <v/>
      </c>
      <c r="AD792" s="9">
        <f>INDEX(LINEST(L533:L792,M533:T792,TRUE,TRUE),1,6)</f>
        <v/>
      </c>
      <c r="AE792" s="9">
        <f>INDEX(LINEST(L533:L792,M533:T792,TRUE,TRUE),1,5)</f>
        <v/>
      </c>
      <c r="AF792" s="9">
        <f>INDEX(LINEST(L533:L792,M533:T792,TRUE,TRUE),1,4)</f>
        <v/>
      </c>
      <c r="AG792" s="9">
        <f>INDEX(LINEST(L533:L792,M533:T792,TRUE,TRUE),1,3)</f>
        <v/>
      </c>
      <c r="AH792" s="9">
        <f>INDEX(LINEST(L533:L792,M533:T792,TRUE,TRUE),1,2)</f>
        <v/>
      </c>
      <c r="AI792" s="9">
        <f>INDEX(LINEST(L533:L792,M533:T792,TRUE,TRUE),1,1)</f>
        <v/>
      </c>
      <c r="AJ792" s="10">
        <f>INDEX(LINEST(L533:L792,M533:T792,TRUE,TRUE),3,1)</f>
        <v/>
      </c>
      <c r="AK792" s="9">
        <f>AA791/52+AB791*M792+AC791*N792+AD791*O792+AE791*P792+AF791*Q792+AG791*R792+AH791*S792+AI791*T792</f>
        <v/>
      </c>
      <c r="AL792" s="9">
        <f>AVERAGE(L532:L791)</f>
        <v/>
      </c>
    </row>
    <row r="793">
      <c r="A793" s="7" t="n">
        <v>43161</v>
      </c>
      <c r="B793" s="8" t="n">
        <v>1322.3</v>
      </c>
      <c r="C793" s="8" t="n">
        <v>2.12</v>
      </c>
      <c r="D793" s="8" t="n">
        <v>0.74</v>
      </c>
      <c r="E793" s="8" t="n">
        <v>89.94000200000001</v>
      </c>
      <c r="F793" s="8" t="n">
        <v>61.19</v>
      </c>
      <c r="G793" s="8" t="n">
        <v>19.59</v>
      </c>
      <c r="H793" s="8" t="n">
        <v>65.300003</v>
      </c>
      <c r="I793" s="8" t="n">
        <v>2691.25</v>
      </c>
      <c r="J793" s="8" t="n">
        <v>83.809532</v>
      </c>
      <c r="L793" s="9">
        <f>LN(B793/B792)</f>
        <v/>
      </c>
      <c r="M793" s="9">
        <f>$M$1*(C793-C792)</f>
        <v/>
      </c>
      <c r="N793" s="9">
        <f>$N$1*(D793-D792)</f>
        <v/>
      </c>
      <c r="O793" s="9">
        <f>$O$1*LN(E793/E792)</f>
        <v/>
      </c>
      <c r="P793" s="9">
        <f>$P$1*LN(F793/F792)</f>
        <v/>
      </c>
      <c r="Q793" s="9">
        <f>$Q$1*(G793-G792)</f>
        <v/>
      </c>
      <c r="R793" s="9">
        <f>$R$1*(H793-H792)</f>
        <v/>
      </c>
      <c r="S793" s="9">
        <f>$S$1*LN(I793/I792)</f>
        <v/>
      </c>
      <c r="T793" s="9">
        <f>$T$1*LN(J793/J792)</f>
        <v/>
      </c>
      <c r="U793" s="9">
        <f>$W$12+$W$4*M793+$W$5*N793+$W$6*O793+$W$7*P793+$W$8*Q793+$W$9*R793+$W$10*S793+$W$11*T793</f>
        <v/>
      </c>
      <c r="AA793" s="10">
        <f>INDEX(LINEST(L534:L793,M534:T793,TRUE,TRUE),1,9)*52</f>
        <v/>
      </c>
      <c r="AB793" s="9">
        <f>INDEX(LINEST(L534:L793,M534:T793,TRUE,TRUE),1,8)</f>
        <v/>
      </c>
      <c r="AC793" s="9">
        <f>INDEX(LINEST(L534:L793,M534:T793,TRUE,TRUE),1,7)</f>
        <v/>
      </c>
      <c r="AD793" s="9">
        <f>INDEX(LINEST(L534:L793,M534:T793,TRUE,TRUE),1,6)</f>
        <v/>
      </c>
      <c r="AE793" s="9">
        <f>INDEX(LINEST(L534:L793,M534:T793,TRUE,TRUE),1,5)</f>
        <v/>
      </c>
      <c r="AF793" s="9">
        <f>INDEX(LINEST(L534:L793,M534:T793,TRUE,TRUE),1,4)</f>
        <v/>
      </c>
      <c r="AG793" s="9">
        <f>INDEX(LINEST(L534:L793,M534:T793,TRUE,TRUE),1,3)</f>
        <v/>
      </c>
      <c r="AH793" s="9">
        <f>INDEX(LINEST(L534:L793,M534:T793,TRUE,TRUE),1,2)</f>
        <v/>
      </c>
      <c r="AI793" s="9">
        <f>INDEX(LINEST(L534:L793,M534:T793,TRUE,TRUE),1,1)</f>
        <v/>
      </c>
      <c r="AJ793" s="10">
        <f>INDEX(LINEST(L534:L793,M534:T793,TRUE,TRUE),3,1)</f>
        <v/>
      </c>
      <c r="AK793" s="9">
        <f>AA792/52+AB792*M793+AC792*N793+AD792*O793+AE792*P793+AF792*Q793+AG792*R793+AH792*S793+AI792*T793</f>
        <v/>
      </c>
      <c r="AL793" s="9">
        <f>AVERAGE(L533:L792)</f>
        <v/>
      </c>
    </row>
    <row r="794">
      <c r="A794" s="7" t="n">
        <v>43168</v>
      </c>
      <c r="B794" s="8" t="n">
        <v>1320.6</v>
      </c>
      <c r="C794" s="8" t="n">
        <v>2.12</v>
      </c>
      <c r="D794" s="8" t="n">
        <v>0.78</v>
      </c>
      <c r="E794" s="8" t="n">
        <v>90.089996</v>
      </c>
      <c r="F794" s="8" t="n">
        <v>62.02</v>
      </c>
      <c r="G794" s="8" t="n">
        <v>14.64</v>
      </c>
      <c r="H794" s="8" t="n">
        <v>58.970001</v>
      </c>
      <c r="I794" s="8" t="n">
        <v>2786.570068</v>
      </c>
      <c r="J794" s="8" t="n">
        <v>83.73867</v>
      </c>
      <c r="L794" s="9">
        <f>LN(B794/B793)</f>
        <v/>
      </c>
      <c r="M794" s="9">
        <f>$M$1*(C794-C793)</f>
        <v/>
      </c>
      <c r="N794" s="9">
        <f>$N$1*(D794-D793)</f>
        <v/>
      </c>
      <c r="O794" s="9">
        <f>$O$1*LN(E794/E793)</f>
        <v/>
      </c>
      <c r="P794" s="9">
        <f>$P$1*LN(F794/F793)</f>
        <v/>
      </c>
      <c r="Q794" s="9">
        <f>$Q$1*(G794-G793)</f>
        <v/>
      </c>
      <c r="R794" s="9">
        <f>$R$1*(H794-H793)</f>
        <v/>
      </c>
      <c r="S794" s="9">
        <f>$S$1*LN(I794/I793)</f>
        <v/>
      </c>
      <c r="T794" s="9">
        <f>$T$1*LN(J794/J793)</f>
        <v/>
      </c>
      <c r="U794" s="9">
        <f>$W$12+$W$4*M794+$W$5*N794+$W$6*O794+$W$7*P794+$W$8*Q794+$W$9*R794+$W$10*S794+$W$11*T794</f>
        <v/>
      </c>
      <c r="AA794" s="10">
        <f>INDEX(LINEST(L535:L794,M535:T794,TRUE,TRUE),1,9)*52</f>
        <v/>
      </c>
      <c r="AB794" s="9">
        <f>INDEX(LINEST(L535:L794,M535:T794,TRUE,TRUE),1,8)</f>
        <v/>
      </c>
      <c r="AC794" s="9">
        <f>INDEX(LINEST(L535:L794,M535:T794,TRUE,TRUE),1,7)</f>
        <v/>
      </c>
      <c r="AD794" s="9">
        <f>INDEX(LINEST(L535:L794,M535:T794,TRUE,TRUE),1,6)</f>
        <v/>
      </c>
      <c r="AE794" s="9">
        <f>INDEX(LINEST(L535:L794,M535:T794,TRUE,TRUE),1,5)</f>
        <v/>
      </c>
      <c r="AF794" s="9">
        <f>INDEX(LINEST(L535:L794,M535:T794,TRUE,TRUE),1,4)</f>
        <v/>
      </c>
      <c r="AG794" s="9">
        <f>INDEX(LINEST(L535:L794,M535:T794,TRUE,TRUE),1,3)</f>
        <v/>
      </c>
      <c r="AH794" s="9">
        <f>INDEX(LINEST(L535:L794,M535:T794,TRUE,TRUE),1,2)</f>
        <v/>
      </c>
      <c r="AI794" s="9">
        <f>INDEX(LINEST(L535:L794,M535:T794,TRUE,TRUE),1,1)</f>
        <v/>
      </c>
      <c r="AJ794" s="10">
        <f>INDEX(LINEST(L535:L794,M535:T794,TRUE,TRUE),3,1)</f>
        <v/>
      </c>
      <c r="AK794" s="9">
        <f>AA793/52+AB793*M794+AC793*N794+AD793*O794+AE793*P794+AF793*Q794+AG793*R794+AH793*S794+AI793*T794</f>
        <v/>
      </c>
      <c r="AL794" s="9">
        <f>AVERAGE(L534:L793)</f>
        <v/>
      </c>
    </row>
    <row r="795">
      <c r="A795" s="7" t="n">
        <v>43175</v>
      </c>
      <c r="B795" s="8" t="n">
        <v>1310.1</v>
      </c>
      <c r="C795" s="8" t="n">
        <v>2.08</v>
      </c>
      <c r="D795" s="8" t="n">
        <v>0.77</v>
      </c>
      <c r="E795" s="8" t="n">
        <v>90.230003</v>
      </c>
      <c r="F795" s="8" t="n">
        <v>62.29</v>
      </c>
      <c r="G795" s="8" t="n">
        <v>15.8</v>
      </c>
      <c r="H795" s="8" t="n">
        <v>59.009998</v>
      </c>
      <c r="I795" s="8" t="n">
        <v>2752.01001</v>
      </c>
      <c r="J795" s="8" t="n">
        <v>83.998474</v>
      </c>
      <c r="L795" s="9">
        <f>LN(B795/B794)</f>
        <v/>
      </c>
      <c r="M795" s="9">
        <f>$M$1*(C795-C794)</f>
        <v/>
      </c>
      <c r="N795" s="9">
        <f>$N$1*(D795-D794)</f>
        <v/>
      </c>
      <c r="O795" s="9">
        <f>$O$1*LN(E795/E794)</f>
        <v/>
      </c>
      <c r="P795" s="9">
        <f>$P$1*LN(F795/F794)</f>
        <v/>
      </c>
      <c r="Q795" s="9">
        <f>$Q$1*(G795-G794)</f>
        <v/>
      </c>
      <c r="R795" s="9">
        <f>$R$1*(H795-H794)</f>
        <v/>
      </c>
      <c r="S795" s="9">
        <f>$S$1*LN(I795/I794)</f>
        <v/>
      </c>
      <c r="T795" s="9">
        <f>$T$1*LN(J795/J794)</f>
        <v/>
      </c>
      <c r="U795" s="9">
        <f>$W$12+$W$4*M795+$W$5*N795+$W$6*O795+$W$7*P795+$W$8*Q795+$W$9*R795+$W$10*S795+$W$11*T795</f>
        <v/>
      </c>
      <c r="AA795" s="10">
        <f>INDEX(LINEST(L536:L795,M536:T795,TRUE,TRUE),1,9)*52</f>
        <v/>
      </c>
      <c r="AB795" s="9">
        <f>INDEX(LINEST(L536:L795,M536:T795,TRUE,TRUE),1,8)</f>
        <v/>
      </c>
      <c r="AC795" s="9">
        <f>INDEX(LINEST(L536:L795,M536:T795,TRUE,TRUE),1,7)</f>
        <v/>
      </c>
      <c r="AD795" s="9">
        <f>INDEX(LINEST(L536:L795,M536:T795,TRUE,TRUE),1,6)</f>
        <v/>
      </c>
      <c r="AE795" s="9">
        <f>INDEX(LINEST(L536:L795,M536:T795,TRUE,TRUE),1,5)</f>
        <v/>
      </c>
      <c r="AF795" s="9">
        <f>INDEX(LINEST(L536:L795,M536:T795,TRUE,TRUE),1,4)</f>
        <v/>
      </c>
      <c r="AG795" s="9">
        <f>INDEX(LINEST(L536:L795,M536:T795,TRUE,TRUE),1,3)</f>
        <v/>
      </c>
      <c r="AH795" s="9">
        <f>INDEX(LINEST(L536:L795,M536:T795,TRUE,TRUE),1,2)</f>
        <v/>
      </c>
      <c r="AI795" s="9">
        <f>INDEX(LINEST(L536:L795,M536:T795,TRUE,TRUE),1,1)</f>
        <v/>
      </c>
      <c r="AJ795" s="10">
        <f>INDEX(LINEST(L536:L795,M536:T795,TRUE,TRUE),3,1)</f>
        <v/>
      </c>
      <c r="AK795" s="9">
        <f>AA794/52+AB794*M795+AC794*N795+AD794*O795+AE794*P795+AF794*Q795+AG794*R795+AH794*S795+AI794*T795</f>
        <v/>
      </c>
      <c r="AL795" s="9">
        <f>AVERAGE(L535:L794)</f>
        <v/>
      </c>
    </row>
    <row r="796">
      <c r="A796" s="7" t="n">
        <v>43182</v>
      </c>
      <c r="B796" s="8" t="n">
        <v>1346.6</v>
      </c>
      <c r="C796" s="8" t="n">
        <v>2.07</v>
      </c>
      <c r="D796" s="8" t="n">
        <v>0.75</v>
      </c>
      <c r="E796" s="8" t="n">
        <v>89.44000200000001</v>
      </c>
      <c r="F796" s="8" t="n">
        <v>65.8</v>
      </c>
      <c r="G796" s="8" t="n">
        <v>24.87</v>
      </c>
      <c r="H796" s="8" t="n">
        <v>56.169998</v>
      </c>
      <c r="I796" s="8" t="n">
        <v>2588.26001</v>
      </c>
      <c r="J796" s="8" t="n">
        <v>83.927605</v>
      </c>
      <c r="L796" s="9">
        <f>LN(B796/B795)</f>
        <v/>
      </c>
      <c r="M796" s="9">
        <f>$M$1*(C796-C795)</f>
        <v/>
      </c>
      <c r="N796" s="9">
        <f>$N$1*(D796-D795)</f>
        <v/>
      </c>
      <c r="O796" s="9">
        <f>$O$1*LN(E796/E795)</f>
        <v/>
      </c>
      <c r="P796" s="9">
        <f>$P$1*LN(F796/F795)</f>
        <v/>
      </c>
      <c r="Q796" s="9">
        <f>$Q$1*(G796-G795)</f>
        <v/>
      </c>
      <c r="R796" s="9">
        <f>$R$1*(H796-H795)</f>
        <v/>
      </c>
      <c r="S796" s="9">
        <f>$S$1*LN(I796/I795)</f>
        <v/>
      </c>
      <c r="T796" s="9">
        <f>$T$1*LN(J796/J795)</f>
        <v/>
      </c>
      <c r="U796" s="9">
        <f>$W$12+$W$4*M796+$W$5*N796+$W$6*O796+$W$7*P796+$W$8*Q796+$W$9*R796+$W$10*S796+$W$11*T796</f>
        <v/>
      </c>
      <c r="AA796" s="10">
        <f>INDEX(LINEST(L537:L796,M537:T796,TRUE,TRUE),1,9)*52</f>
        <v/>
      </c>
      <c r="AB796" s="9">
        <f>INDEX(LINEST(L537:L796,M537:T796,TRUE,TRUE),1,8)</f>
        <v/>
      </c>
      <c r="AC796" s="9">
        <f>INDEX(LINEST(L537:L796,M537:T796,TRUE,TRUE),1,7)</f>
        <v/>
      </c>
      <c r="AD796" s="9">
        <f>INDEX(LINEST(L537:L796,M537:T796,TRUE,TRUE),1,6)</f>
        <v/>
      </c>
      <c r="AE796" s="9">
        <f>INDEX(LINEST(L537:L796,M537:T796,TRUE,TRUE),1,5)</f>
        <v/>
      </c>
      <c r="AF796" s="9">
        <f>INDEX(LINEST(L537:L796,M537:T796,TRUE,TRUE),1,4)</f>
        <v/>
      </c>
      <c r="AG796" s="9">
        <f>INDEX(LINEST(L537:L796,M537:T796,TRUE,TRUE),1,3)</f>
        <v/>
      </c>
      <c r="AH796" s="9">
        <f>INDEX(LINEST(L537:L796,M537:T796,TRUE,TRUE),1,2)</f>
        <v/>
      </c>
      <c r="AI796" s="9">
        <f>INDEX(LINEST(L537:L796,M537:T796,TRUE,TRUE),1,1)</f>
        <v/>
      </c>
      <c r="AJ796" s="10">
        <f>INDEX(LINEST(L537:L796,M537:T796,TRUE,TRUE),3,1)</f>
        <v/>
      </c>
      <c r="AK796" s="9">
        <f>AA795/52+AB795*M796+AC795*N796+AD795*O796+AE795*P796+AF795*Q796+AG795*R796+AH795*S796+AI795*T796</f>
        <v/>
      </c>
      <c r="AL796" s="9">
        <f>AVERAGE(L536:L795)</f>
        <v/>
      </c>
    </row>
    <row r="797">
      <c r="A797" s="7" t="n">
        <v>43189</v>
      </c>
      <c r="B797" s="8" t="n">
        <v>1323.85</v>
      </c>
      <c r="C797" s="8" t="n">
        <v>2.05</v>
      </c>
      <c r="D797" s="8" t="n">
        <v>0.6899999999999999</v>
      </c>
      <c r="E797" s="8" t="n">
        <v>90.150002</v>
      </c>
      <c r="F797" s="8" t="n">
        <v>64.87</v>
      </c>
      <c r="G797" s="8" t="n">
        <v>19.97</v>
      </c>
      <c r="H797" s="8" t="n">
        <v>58.540001</v>
      </c>
      <c r="I797" s="8" t="n">
        <v>2640.870117</v>
      </c>
      <c r="J797" s="8" t="n">
        <v>84.431442</v>
      </c>
      <c r="L797" s="9">
        <f>LN(B797/B796)</f>
        <v/>
      </c>
      <c r="M797" s="9">
        <f>$M$1*(C797-C796)</f>
        <v/>
      </c>
      <c r="N797" s="9">
        <f>$N$1*(D797-D796)</f>
        <v/>
      </c>
      <c r="O797" s="9">
        <f>$O$1*LN(E797/E796)</f>
        <v/>
      </c>
      <c r="P797" s="9">
        <f>$P$1*LN(F797/F796)</f>
        <v/>
      </c>
      <c r="Q797" s="9">
        <f>$Q$1*(G797-G796)</f>
        <v/>
      </c>
      <c r="R797" s="9">
        <f>$R$1*(H797-H796)</f>
        <v/>
      </c>
      <c r="S797" s="9">
        <f>$S$1*LN(I797/I796)</f>
        <v/>
      </c>
      <c r="T797" s="9">
        <f>$T$1*LN(J797/J796)</f>
        <v/>
      </c>
      <c r="U797" s="9">
        <f>$W$12+$W$4*M797+$W$5*N797+$W$6*O797+$W$7*P797+$W$8*Q797+$W$9*R797+$W$10*S797+$W$11*T797</f>
        <v/>
      </c>
      <c r="AA797" s="10">
        <f>INDEX(LINEST(L538:L797,M538:T797,TRUE,TRUE),1,9)*52</f>
        <v/>
      </c>
      <c r="AB797" s="9">
        <f>INDEX(LINEST(L538:L797,M538:T797,TRUE,TRUE),1,8)</f>
        <v/>
      </c>
      <c r="AC797" s="9">
        <f>INDEX(LINEST(L538:L797,M538:T797,TRUE,TRUE),1,7)</f>
        <v/>
      </c>
      <c r="AD797" s="9">
        <f>INDEX(LINEST(L538:L797,M538:T797,TRUE,TRUE),1,6)</f>
        <v/>
      </c>
      <c r="AE797" s="9">
        <f>INDEX(LINEST(L538:L797,M538:T797,TRUE,TRUE),1,5)</f>
        <v/>
      </c>
      <c r="AF797" s="9">
        <f>INDEX(LINEST(L538:L797,M538:T797,TRUE,TRUE),1,4)</f>
        <v/>
      </c>
      <c r="AG797" s="9">
        <f>INDEX(LINEST(L538:L797,M538:T797,TRUE,TRUE),1,3)</f>
        <v/>
      </c>
      <c r="AH797" s="9">
        <f>INDEX(LINEST(L538:L797,M538:T797,TRUE,TRUE),1,2)</f>
        <v/>
      </c>
      <c r="AI797" s="9">
        <f>INDEX(LINEST(L538:L797,M538:T797,TRUE,TRUE),1,1)</f>
        <v/>
      </c>
      <c r="AJ797" s="10">
        <f>INDEX(LINEST(L538:L797,M538:T797,TRUE,TRUE),3,1)</f>
        <v/>
      </c>
      <c r="AK797" s="9">
        <f>AA796/52+AB796*M797+AC796*N797+AD796*O797+AE796*P797+AF796*Q797+AG796*R797+AH796*S797+AI796*T797</f>
        <v/>
      </c>
      <c r="AL797" s="9">
        <f>AVERAGE(L537:L796)</f>
        <v/>
      </c>
    </row>
    <row r="798">
      <c r="A798" s="7" t="n">
        <v>43196</v>
      </c>
      <c r="B798" s="8" t="n">
        <v>1331.2</v>
      </c>
      <c r="C798" s="8" t="n">
        <v>2.07</v>
      </c>
      <c r="D798" s="8" t="n">
        <v>0.7</v>
      </c>
      <c r="E798" s="8" t="n">
        <v>90.110001</v>
      </c>
      <c r="F798" s="8" t="n">
        <v>62.03</v>
      </c>
      <c r="G798" s="8" t="n">
        <v>21.49</v>
      </c>
      <c r="H798" s="8" t="n">
        <v>56.07</v>
      </c>
      <c r="I798" s="8" t="n">
        <v>2604.469971</v>
      </c>
      <c r="J798" s="8" t="n">
        <v>84.354919</v>
      </c>
      <c r="L798" s="9">
        <f>LN(B798/B797)</f>
        <v/>
      </c>
      <c r="M798" s="9">
        <f>$M$1*(C798-C797)</f>
        <v/>
      </c>
      <c r="N798" s="9">
        <f>$N$1*(D798-D797)</f>
        <v/>
      </c>
      <c r="O798" s="9">
        <f>$O$1*LN(E798/E797)</f>
        <v/>
      </c>
      <c r="P798" s="9">
        <f>$P$1*LN(F798/F797)</f>
        <v/>
      </c>
      <c r="Q798" s="9">
        <f>$Q$1*(G798-G797)</f>
        <v/>
      </c>
      <c r="R798" s="9">
        <f>$R$1*(H798-H797)</f>
        <v/>
      </c>
      <c r="S798" s="9">
        <f>$S$1*LN(I798/I797)</f>
        <v/>
      </c>
      <c r="T798" s="9">
        <f>$T$1*LN(J798/J797)</f>
        <v/>
      </c>
      <c r="U798" s="9">
        <f>$W$12+$W$4*M798+$W$5*N798+$W$6*O798+$W$7*P798+$W$8*Q798+$W$9*R798+$W$10*S798+$W$11*T798</f>
        <v/>
      </c>
      <c r="AA798" s="10">
        <f>INDEX(LINEST(L539:L798,M539:T798,TRUE,TRUE),1,9)*52</f>
        <v/>
      </c>
      <c r="AB798" s="9">
        <f>INDEX(LINEST(L539:L798,M539:T798,TRUE,TRUE),1,8)</f>
        <v/>
      </c>
      <c r="AC798" s="9">
        <f>INDEX(LINEST(L539:L798,M539:T798,TRUE,TRUE),1,7)</f>
        <v/>
      </c>
      <c r="AD798" s="9">
        <f>INDEX(LINEST(L539:L798,M539:T798,TRUE,TRUE),1,6)</f>
        <v/>
      </c>
      <c r="AE798" s="9">
        <f>INDEX(LINEST(L539:L798,M539:T798,TRUE,TRUE),1,5)</f>
        <v/>
      </c>
      <c r="AF798" s="9">
        <f>INDEX(LINEST(L539:L798,M539:T798,TRUE,TRUE),1,4)</f>
        <v/>
      </c>
      <c r="AG798" s="9">
        <f>INDEX(LINEST(L539:L798,M539:T798,TRUE,TRUE),1,3)</f>
        <v/>
      </c>
      <c r="AH798" s="9">
        <f>INDEX(LINEST(L539:L798,M539:T798,TRUE,TRUE),1,2)</f>
        <v/>
      </c>
      <c r="AI798" s="9">
        <f>INDEX(LINEST(L539:L798,M539:T798,TRUE,TRUE),1,1)</f>
        <v/>
      </c>
      <c r="AJ798" s="10">
        <f>INDEX(LINEST(L539:L798,M539:T798,TRUE,TRUE),3,1)</f>
        <v/>
      </c>
      <c r="AK798" s="9">
        <f>AA797/52+AB797*M798+AC797*N798+AD797*O798+AE797*P798+AF797*Q798+AG797*R798+AH797*S798+AI797*T798</f>
        <v/>
      </c>
      <c r="AL798" s="9">
        <f>AVERAGE(L538:L797)</f>
        <v/>
      </c>
    </row>
    <row r="799">
      <c r="A799" s="7" t="n">
        <v>43203</v>
      </c>
      <c r="B799" s="8" t="n">
        <v>1343.7</v>
      </c>
      <c r="C799" s="8" t="n">
        <v>2.13</v>
      </c>
      <c r="D799" s="8" t="n">
        <v>0.6899999999999999</v>
      </c>
      <c r="E799" s="8" t="n">
        <v>89.800003</v>
      </c>
      <c r="F799" s="8" t="n">
        <v>67.34999999999999</v>
      </c>
      <c r="G799" s="8" t="n">
        <v>17.41</v>
      </c>
      <c r="H799" s="8" t="n">
        <v>51.139999</v>
      </c>
      <c r="I799" s="8" t="n">
        <v>2656.300049</v>
      </c>
      <c r="J799" s="8" t="n">
        <v>84.268089</v>
      </c>
      <c r="L799" s="9">
        <f>LN(B799/B798)</f>
        <v/>
      </c>
      <c r="M799" s="9">
        <f>$M$1*(C799-C798)</f>
        <v/>
      </c>
      <c r="N799" s="9">
        <f>$N$1*(D799-D798)</f>
        <v/>
      </c>
      <c r="O799" s="9">
        <f>$O$1*LN(E799/E798)</f>
        <v/>
      </c>
      <c r="P799" s="9">
        <f>$P$1*LN(F799/F798)</f>
        <v/>
      </c>
      <c r="Q799" s="9">
        <f>$Q$1*(G799-G798)</f>
        <v/>
      </c>
      <c r="R799" s="9">
        <f>$R$1*(H799-H798)</f>
        <v/>
      </c>
      <c r="S799" s="9">
        <f>$S$1*LN(I799/I798)</f>
        <v/>
      </c>
      <c r="T799" s="9">
        <f>$T$1*LN(J799/J798)</f>
        <v/>
      </c>
      <c r="U799" s="9">
        <f>$W$12+$W$4*M799+$W$5*N799+$W$6*O799+$W$7*P799+$W$8*Q799+$W$9*R799+$W$10*S799+$W$11*T799</f>
        <v/>
      </c>
      <c r="AA799" s="10">
        <f>INDEX(LINEST(L540:L799,M540:T799,TRUE,TRUE),1,9)*52</f>
        <v/>
      </c>
      <c r="AB799" s="9">
        <f>INDEX(LINEST(L540:L799,M540:T799,TRUE,TRUE),1,8)</f>
        <v/>
      </c>
      <c r="AC799" s="9">
        <f>INDEX(LINEST(L540:L799,M540:T799,TRUE,TRUE),1,7)</f>
        <v/>
      </c>
      <c r="AD799" s="9">
        <f>INDEX(LINEST(L540:L799,M540:T799,TRUE,TRUE),1,6)</f>
        <v/>
      </c>
      <c r="AE799" s="9">
        <f>INDEX(LINEST(L540:L799,M540:T799,TRUE,TRUE),1,5)</f>
        <v/>
      </c>
      <c r="AF799" s="9">
        <f>INDEX(LINEST(L540:L799,M540:T799,TRUE,TRUE),1,4)</f>
        <v/>
      </c>
      <c r="AG799" s="9">
        <f>INDEX(LINEST(L540:L799,M540:T799,TRUE,TRUE),1,3)</f>
        <v/>
      </c>
      <c r="AH799" s="9">
        <f>INDEX(LINEST(L540:L799,M540:T799,TRUE,TRUE),1,2)</f>
        <v/>
      </c>
      <c r="AI799" s="9">
        <f>INDEX(LINEST(L540:L799,M540:T799,TRUE,TRUE),1,1)</f>
        <v/>
      </c>
      <c r="AJ799" s="10">
        <f>INDEX(LINEST(L540:L799,M540:T799,TRUE,TRUE),3,1)</f>
        <v/>
      </c>
      <c r="AK799" s="9">
        <f>AA798/52+AB798*M799+AC798*N799+AD798*O799+AE798*P799+AF798*Q799+AG798*R799+AH798*S799+AI798*T799</f>
        <v/>
      </c>
      <c r="AL799" s="9">
        <f>AVERAGE(L539:L798)</f>
        <v/>
      </c>
    </row>
    <row r="800">
      <c r="A800" s="7" t="n">
        <v>43210</v>
      </c>
      <c r="B800" s="8" t="n">
        <v>1336.75</v>
      </c>
      <c r="C800" s="8" t="n">
        <v>2.17</v>
      </c>
      <c r="D800" s="8" t="n">
        <v>0.79</v>
      </c>
      <c r="E800" s="8" t="n">
        <v>90.31999999999999</v>
      </c>
      <c r="F800" s="8" t="n">
        <v>68.26000000000001</v>
      </c>
      <c r="G800" s="8" t="n">
        <v>16.88</v>
      </c>
      <c r="H800" s="8" t="n">
        <v>52.709999</v>
      </c>
      <c r="I800" s="8" t="n">
        <v>2670.139893</v>
      </c>
      <c r="J800" s="8" t="n">
        <v>83.636864</v>
      </c>
      <c r="L800" s="9">
        <f>LN(B800/B799)</f>
        <v/>
      </c>
      <c r="M800" s="9">
        <f>$M$1*(C800-C799)</f>
        <v/>
      </c>
      <c r="N800" s="9">
        <f>$N$1*(D800-D799)</f>
        <v/>
      </c>
      <c r="O800" s="9">
        <f>$O$1*LN(E800/E799)</f>
        <v/>
      </c>
      <c r="P800" s="9">
        <f>$P$1*LN(F800/F799)</f>
        <v/>
      </c>
      <c r="Q800" s="9">
        <f>$Q$1*(G800-G799)</f>
        <v/>
      </c>
      <c r="R800" s="9">
        <f>$R$1*(H800-H799)</f>
        <v/>
      </c>
      <c r="S800" s="9">
        <f>$S$1*LN(I800/I799)</f>
        <v/>
      </c>
      <c r="T800" s="9">
        <f>$T$1*LN(J800/J799)</f>
        <v/>
      </c>
      <c r="U800" s="9">
        <f>$W$12+$W$4*M800+$W$5*N800+$W$6*O800+$W$7*P800+$W$8*Q800+$W$9*R800+$W$10*S800+$W$11*T800</f>
        <v/>
      </c>
      <c r="AA800" s="10">
        <f>INDEX(LINEST(L541:L800,M541:T800,TRUE,TRUE),1,9)*52</f>
        <v/>
      </c>
      <c r="AB800" s="9">
        <f>INDEX(LINEST(L541:L800,M541:T800,TRUE,TRUE),1,8)</f>
        <v/>
      </c>
      <c r="AC800" s="9">
        <f>INDEX(LINEST(L541:L800,M541:T800,TRUE,TRUE),1,7)</f>
        <v/>
      </c>
      <c r="AD800" s="9">
        <f>INDEX(LINEST(L541:L800,M541:T800,TRUE,TRUE),1,6)</f>
        <v/>
      </c>
      <c r="AE800" s="9">
        <f>INDEX(LINEST(L541:L800,M541:T800,TRUE,TRUE),1,5)</f>
        <v/>
      </c>
      <c r="AF800" s="9">
        <f>INDEX(LINEST(L541:L800,M541:T800,TRUE,TRUE),1,4)</f>
        <v/>
      </c>
      <c r="AG800" s="9">
        <f>INDEX(LINEST(L541:L800,M541:T800,TRUE,TRUE),1,3)</f>
        <v/>
      </c>
      <c r="AH800" s="9">
        <f>INDEX(LINEST(L541:L800,M541:T800,TRUE,TRUE),1,2)</f>
        <v/>
      </c>
      <c r="AI800" s="9">
        <f>INDEX(LINEST(L541:L800,M541:T800,TRUE,TRUE),1,1)</f>
        <v/>
      </c>
      <c r="AJ800" s="10">
        <f>INDEX(LINEST(L541:L800,M541:T800,TRUE,TRUE),3,1)</f>
        <v/>
      </c>
      <c r="AK800" s="9">
        <f>AA799/52+AB799*M800+AC799*N800+AD799*O800+AE799*P800+AF799*Q800+AG799*R800+AH799*S800+AI799*T800</f>
        <v/>
      </c>
      <c r="AL800" s="9">
        <f>AVERAGE(L540:L799)</f>
        <v/>
      </c>
    </row>
    <row r="801">
      <c r="A801" s="7" t="n">
        <v>43217</v>
      </c>
      <c r="B801" s="8" t="n">
        <v>1321.5</v>
      </c>
      <c r="C801" s="8" t="n">
        <v>2.17</v>
      </c>
      <c r="D801" s="8" t="n">
        <v>0.79</v>
      </c>
      <c r="E801" s="8" t="n">
        <v>91.540001</v>
      </c>
      <c r="F801" s="8" t="n">
        <v>68.11</v>
      </c>
      <c r="G801" s="8" t="n">
        <v>15.41</v>
      </c>
      <c r="H801" s="8" t="n">
        <v>51.27</v>
      </c>
      <c r="I801" s="8" t="n">
        <v>2669.909912</v>
      </c>
      <c r="J801" s="8" t="n">
        <v>83.621094</v>
      </c>
      <c r="L801" s="9">
        <f>LN(B801/B800)</f>
        <v/>
      </c>
      <c r="M801" s="9">
        <f>$M$1*(C801-C800)</f>
        <v/>
      </c>
      <c r="N801" s="9">
        <f>$N$1*(D801-D800)</f>
        <v/>
      </c>
      <c r="O801" s="9">
        <f>$O$1*LN(E801/E800)</f>
        <v/>
      </c>
      <c r="P801" s="9">
        <f>$P$1*LN(F801/F800)</f>
        <v/>
      </c>
      <c r="Q801" s="9">
        <f>$Q$1*(G801-G800)</f>
        <v/>
      </c>
      <c r="R801" s="9">
        <f>$R$1*(H801-H800)</f>
        <v/>
      </c>
      <c r="S801" s="9">
        <f>$S$1*LN(I801/I800)</f>
        <v/>
      </c>
      <c r="T801" s="9">
        <f>$T$1*LN(J801/J800)</f>
        <v/>
      </c>
      <c r="U801" s="9">
        <f>$W$12+$W$4*M801+$W$5*N801+$W$6*O801+$W$7*P801+$W$8*Q801+$W$9*R801+$W$10*S801+$W$11*T801</f>
        <v/>
      </c>
      <c r="AA801" s="10">
        <f>INDEX(LINEST(L542:L801,M542:T801,TRUE,TRUE),1,9)*52</f>
        <v/>
      </c>
      <c r="AB801" s="9">
        <f>INDEX(LINEST(L542:L801,M542:T801,TRUE,TRUE),1,8)</f>
        <v/>
      </c>
      <c r="AC801" s="9">
        <f>INDEX(LINEST(L542:L801,M542:T801,TRUE,TRUE),1,7)</f>
        <v/>
      </c>
      <c r="AD801" s="9">
        <f>INDEX(LINEST(L542:L801,M542:T801,TRUE,TRUE),1,6)</f>
        <v/>
      </c>
      <c r="AE801" s="9">
        <f>INDEX(LINEST(L542:L801,M542:T801,TRUE,TRUE),1,5)</f>
        <v/>
      </c>
      <c r="AF801" s="9">
        <f>INDEX(LINEST(L542:L801,M542:T801,TRUE,TRUE),1,4)</f>
        <v/>
      </c>
      <c r="AG801" s="9">
        <f>INDEX(LINEST(L542:L801,M542:T801,TRUE,TRUE),1,3)</f>
        <v/>
      </c>
      <c r="AH801" s="9">
        <f>INDEX(LINEST(L542:L801,M542:T801,TRUE,TRUE),1,2)</f>
        <v/>
      </c>
      <c r="AI801" s="9">
        <f>INDEX(LINEST(L542:L801,M542:T801,TRUE,TRUE),1,1)</f>
        <v/>
      </c>
      <c r="AJ801" s="10">
        <f>INDEX(LINEST(L542:L801,M542:T801,TRUE,TRUE),3,1)</f>
        <v/>
      </c>
      <c r="AK801" s="9">
        <f>AA800/52+AB800*M801+AC800*N801+AD800*O801+AE800*P801+AF800*Q801+AG800*R801+AH800*S801+AI800*T801</f>
        <v/>
      </c>
      <c r="AL801" s="9">
        <f>AVERAGE(L541:L800)</f>
        <v/>
      </c>
    </row>
    <row r="802">
      <c r="A802" s="7" t="n">
        <v>43224</v>
      </c>
      <c r="B802" s="8" t="n">
        <v>1309.4</v>
      </c>
      <c r="C802" s="8" t="n">
        <v>2.16</v>
      </c>
      <c r="D802" s="8" t="n">
        <v>0.79</v>
      </c>
      <c r="E802" s="8" t="n">
        <v>92.56999999999999</v>
      </c>
      <c r="F802" s="8" t="n">
        <v>69.70999999999999</v>
      </c>
      <c r="G802" s="8" t="n">
        <v>14.77</v>
      </c>
      <c r="H802" s="8" t="n">
        <v>49.43</v>
      </c>
      <c r="I802" s="8" t="n">
        <v>2663.419922</v>
      </c>
      <c r="J802" s="8" t="n">
        <v>83.715942</v>
      </c>
      <c r="L802" s="9">
        <f>LN(B802/B801)</f>
        <v/>
      </c>
      <c r="M802" s="9">
        <f>$M$1*(C802-C801)</f>
        <v/>
      </c>
      <c r="N802" s="9">
        <f>$N$1*(D802-D801)</f>
        <v/>
      </c>
      <c r="O802" s="9">
        <f>$O$1*LN(E802/E801)</f>
        <v/>
      </c>
      <c r="P802" s="9">
        <f>$P$1*LN(F802/F801)</f>
        <v/>
      </c>
      <c r="Q802" s="9">
        <f>$Q$1*(G802-G801)</f>
        <v/>
      </c>
      <c r="R802" s="9">
        <f>$R$1*(H802-H801)</f>
        <v/>
      </c>
      <c r="S802" s="9">
        <f>$S$1*LN(I802/I801)</f>
        <v/>
      </c>
      <c r="T802" s="9">
        <f>$T$1*LN(J802/J801)</f>
        <v/>
      </c>
      <c r="U802" s="9">
        <f>$W$12+$W$4*M802+$W$5*N802+$W$6*O802+$W$7*P802+$W$8*Q802+$W$9*R802+$W$10*S802+$W$11*T802</f>
        <v/>
      </c>
      <c r="AA802" s="10">
        <f>INDEX(LINEST(L543:L802,M543:T802,TRUE,TRUE),1,9)*52</f>
        <v/>
      </c>
      <c r="AB802" s="9">
        <f>INDEX(LINEST(L543:L802,M543:T802,TRUE,TRUE),1,8)</f>
        <v/>
      </c>
      <c r="AC802" s="9">
        <f>INDEX(LINEST(L543:L802,M543:T802,TRUE,TRUE),1,7)</f>
        <v/>
      </c>
      <c r="AD802" s="9">
        <f>INDEX(LINEST(L543:L802,M543:T802,TRUE,TRUE),1,6)</f>
        <v/>
      </c>
      <c r="AE802" s="9">
        <f>INDEX(LINEST(L543:L802,M543:T802,TRUE,TRUE),1,5)</f>
        <v/>
      </c>
      <c r="AF802" s="9">
        <f>INDEX(LINEST(L543:L802,M543:T802,TRUE,TRUE),1,4)</f>
        <v/>
      </c>
      <c r="AG802" s="9">
        <f>INDEX(LINEST(L543:L802,M543:T802,TRUE,TRUE),1,3)</f>
        <v/>
      </c>
      <c r="AH802" s="9">
        <f>INDEX(LINEST(L543:L802,M543:T802,TRUE,TRUE),1,2)</f>
        <v/>
      </c>
      <c r="AI802" s="9">
        <f>INDEX(LINEST(L543:L802,M543:T802,TRUE,TRUE),1,1)</f>
        <v/>
      </c>
      <c r="AJ802" s="10">
        <f>INDEX(LINEST(L543:L802,M543:T802,TRUE,TRUE),3,1)</f>
        <v/>
      </c>
      <c r="AK802" s="9">
        <f>AA801/52+AB801*M802+AC801*N802+AD801*O802+AE801*P802+AF801*Q802+AG801*R802+AH801*S802+AI801*T802</f>
        <v/>
      </c>
      <c r="AL802" s="9">
        <f>AVERAGE(L542:L801)</f>
        <v/>
      </c>
    </row>
    <row r="803">
      <c r="A803" s="7" t="n">
        <v>43231</v>
      </c>
      <c r="B803" s="8" t="n">
        <v>1324.35</v>
      </c>
      <c r="C803" s="8" t="n">
        <v>2.15</v>
      </c>
      <c r="D803" s="8" t="n">
        <v>0.82</v>
      </c>
      <c r="E803" s="8" t="n">
        <v>92.540001</v>
      </c>
      <c r="F803" s="8" t="n">
        <v>70.69</v>
      </c>
      <c r="G803" s="8" t="n">
        <v>12.65</v>
      </c>
      <c r="H803" s="8" t="n">
        <v>47.060001</v>
      </c>
      <c r="I803" s="8" t="n">
        <v>2727.719971</v>
      </c>
      <c r="J803" s="8" t="n">
        <v>83.715942</v>
      </c>
      <c r="L803" s="9">
        <f>LN(B803/B802)</f>
        <v/>
      </c>
      <c r="M803" s="9">
        <f>$M$1*(C803-C802)</f>
        <v/>
      </c>
      <c r="N803" s="9">
        <f>$N$1*(D803-D802)</f>
        <v/>
      </c>
      <c r="O803" s="9">
        <f>$O$1*LN(E803/E802)</f>
        <v/>
      </c>
      <c r="P803" s="9">
        <f>$P$1*LN(F803/F802)</f>
        <v/>
      </c>
      <c r="Q803" s="9">
        <f>$Q$1*(G803-G802)</f>
        <v/>
      </c>
      <c r="R803" s="9">
        <f>$R$1*(H803-H802)</f>
        <v/>
      </c>
      <c r="S803" s="9">
        <f>$S$1*LN(I803/I802)</f>
        <v/>
      </c>
      <c r="T803" s="9">
        <f>$T$1*LN(J803/J802)</f>
        <v/>
      </c>
      <c r="U803" s="9">
        <f>$W$12+$W$4*M803+$W$5*N803+$W$6*O803+$W$7*P803+$W$8*Q803+$W$9*R803+$W$10*S803+$W$11*T803</f>
        <v/>
      </c>
      <c r="AA803" s="10">
        <f>INDEX(LINEST(L544:L803,M544:T803,TRUE,TRUE),1,9)*52</f>
        <v/>
      </c>
      <c r="AB803" s="9">
        <f>INDEX(LINEST(L544:L803,M544:T803,TRUE,TRUE),1,8)</f>
        <v/>
      </c>
      <c r="AC803" s="9">
        <f>INDEX(LINEST(L544:L803,M544:T803,TRUE,TRUE),1,7)</f>
        <v/>
      </c>
      <c r="AD803" s="9">
        <f>INDEX(LINEST(L544:L803,M544:T803,TRUE,TRUE),1,6)</f>
        <v/>
      </c>
      <c r="AE803" s="9">
        <f>INDEX(LINEST(L544:L803,M544:T803,TRUE,TRUE),1,5)</f>
        <v/>
      </c>
      <c r="AF803" s="9">
        <f>INDEX(LINEST(L544:L803,M544:T803,TRUE,TRUE),1,4)</f>
        <v/>
      </c>
      <c r="AG803" s="9">
        <f>INDEX(LINEST(L544:L803,M544:T803,TRUE,TRUE),1,3)</f>
        <v/>
      </c>
      <c r="AH803" s="9">
        <f>INDEX(LINEST(L544:L803,M544:T803,TRUE,TRUE),1,2)</f>
        <v/>
      </c>
      <c r="AI803" s="9">
        <f>INDEX(LINEST(L544:L803,M544:T803,TRUE,TRUE),1,1)</f>
        <v/>
      </c>
      <c r="AJ803" s="10">
        <f>INDEX(LINEST(L544:L803,M544:T803,TRUE,TRUE),3,1)</f>
        <v/>
      </c>
      <c r="AK803" s="9">
        <f>AA802/52+AB802*M803+AC802*N803+AD802*O803+AE802*P803+AF802*Q803+AG802*R803+AH802*S803+AI802*T803</f>
        <v/>
      </c>
      <c r="AL803" s="9">
        <f>AVERAGE(L543:L802)</f>
        <v/>
      </c>
    </row>
    <row r="804">
      <c r="A804" s="7" t="n">
        <v>43238</v>
      </c>
      <c r="B804" s="8" t="n">
        <v>1288.3</v>
      </c>
      <c r="C804" s="8" t="n">
        <v>2.15</v>
      </c>
      <c r="D804" s="8" t="n">
        <v>0.91</v>
      </c>
      <c r="E804" s="8" t="n">
        <v>93.639999</v>
      </c>
      <c r="F804" s="8" t="n">
        <v>71.23</v>
      </c>
      <c r="G804" s="8" t="n">
        <v>13.42</v>
      </c>
      <c r="H804" s="8" t="n">
        <v>53.259998</v>
      </c>
      <c r="I804" s="8" t="n">
        <v>2712.969971</v>
      </c>
      <c r="J804" s="8" t="n">
        <v>83.273079</v>
      </c>
      <c r="L804" s="9">
        <f>LN(B804/B803)</f>
        <v/>
      </c>
      <c r="M804" s="9">
        <f>$M$1*(C804-C803)</f>
        <v/>
      </c>
      <c r="N804" s="9">
        <f>$N$1*(D804-D803)</f>
        <v/>
      </c>
      <c r="O804" s="9">
        <f>$O$1*LN(E804/E803)</f>
        <v/>
      </c>
      <c r="P804" s="9">
        <f>$P$1*LN(F804/F803)</f>
        <v/>
      </c>
      <c r="Q804" s="9">
        <f>$Q$1*(G804-G803)</f>
        <v/>
      </c>
      <c r="R804" s="9">
        <f>$R$1*(H804-H803)</f>
        <v/>
      </c>
      <c r="S804" s="9">
        <f>$S$1*LN(I804/I803)</f>
        <v/>
      </c>
      <c r="T804" s="9">
        <f>$T$1*LN(J804/J803)</f>
        <v/>
      </c>
      <c r="U804" s="9">
        <f>$W$12+$W$4*M804+$W$5*N804+$W$6*O804+$W$7*P804+$W$8*Q804+$W$9*R804+$W$10*S804+$W$11*T804</f>
        <v/>
      </c>
      <c r="AA804" s="10">
        <f>INDEX(LINEST(L545:L804,M545:T804,TRUE,TRUE),1,9)*52</f>
        <v/>
      </c>
      <c r="AB804" s="9">
        <f>INDEX(LINEST(L545:L804,M545:T804,TRUE,TRUE),1,8)</f>
        <v/>
      </c>
      <c r="AC804" s="9">
        <f>INDEX(LINEST(L545:L804,M545:T804,TRUE,TRUE),1,7)</f>
        <v/>
      </c>
      <c r="AD804" s="9">
        <f>INDEX(LINEST(L545:L804,M545:T804,TRUE,TRUE),1,6)</f>
        <v/>
      </c>
      <c r="AE804" s="9">
        <f>INDEX(LINEST(L545:L804,M545:T804,TRUE,TRUE),1,5)</f>
        <v/>
      </c>
      <c r="AF804" s="9">
        <f>INDEX(LINEST(L545:L804,M545:T804,TRUE,TRUE),1,4)</f>
        <v/>
      </c>
      <c r="AG804" s="9">
        <f>INDEX(LINEST(L545:L804,M545:T804,TRUE,TRUE),1,3)</f>
        <v/>
      </c>
      <c r="AH804" s="9">
        <f>INDEX(LINEST(L545:L804,M545:T804,TRUE,TRUE),1,2)</f>
        <v/>
      </c>
      <c r="AI804" s="9">
        <f>INDEX(LINEST(L545:L804,M545:T804,TRUE,TRUE),1,1)</f>
        <v/>
      </c>
      <c r="AJ804" s="10">
        <f>INDEX(LINEST(L545:L804,M545:T804,TRUE,TRUE),3,1)</f>
        <v/>
      </c>
      <c r="AK804" s="9">
        <f>AA803/52+AB803*M804+AC803*N804+AD803*O804+AE803*P804+AF803*Q804+AG803*R804+AH803*S804+AI803*T804</f>
        <v/>
      </c>
      <c r="AL804" s="9">
        <f>AVERAGE(L544:L803)</f>
        <v/>
      </c>
    </row>
    <row r="805">
      <c r="A805" s="7" t="n">
        <v>43245</v>
      </c>
      <c r="B805" s="8" t="n">
        <v>1303.5</v>
      </c>
      <c r="C805" s="8" t="n">
        <v>2.09</v>
      </c>
      <c r="D805" s="8" t="n">
        <v>0.84</v>
      </c>
      <c r="E805" s="8" t="n">
        <v>94.19000200000001</v>
      </c>
      <c r="F805" s="8" t="n">
        <v>67.92</v>
      </c>
      <c r="G805" s="8" t="n">
        <v>13.22</v>
      </c>
      <c r="H805" s="8" t="n">
        <v>54.099998</v>
      </c>
      <c r="I805" s="8" t="n">
        <v>2721.330078</v>
      </c>
      <c r="J805" s="8" t="n">
        <v>83.92158499999999</v>
      </c>
      <c r="L805" s="9">
        <f>LN(B805/B804)</f>
        <v/>
      </c>
      <c r="M805" s="9">
        <f>$M$1*(C805-C804)</f>
        <v/>
      </c>
      <c r="N805" s="9">
        <f>$N$1*(D805-D804)</f>
        <v/>
      </c>
      <c r="O805" s="9">
        <f>$O$1*LN(E805/E804)</f>
        <v/>
      </c>
      <c r="P805" s="9">
        <f>$P$1*LN(F805/F804)</f>
        <v/>
      </c>
      <c r="Q805" s="9">
        <f>$Q$1*(G805-G804)</f>
        <v/>
      </c>
      <c r="R805" s="9">
        <f>$R$1*(H805-H804)</f>
        <v/>
      </c>
      <c r="S805" s="9">
        <f>$S$1*LN(I805/I804)</f>
        <v/>
      </c>
      <c r="T805" s="9">
        <f>$T$1*LN(J805/J804)</f>
        <v/>
      </c>
      <c r="U805" s="9">
        <f>$W$12+$W$4*M805+$W$5*N805+$W$6*O805+$W$7*P805+$W$8*Q805+$W$9*R805+$W$10*S805+$W$11*T805</f>
        <v/>
      </c>
      <c r="AA805" s="10">
        <f>INDEX(LINEST(L546:L805,M546:T805,TRUE,TRUE),1,9)*52</f>
        <v/>
      </c>
      <c r="AB805" s="9">
        <f>INDEX(LINEST(L546:L805,M546:T805,TRUE,TRUE),1,8)</f>
        <v/>
      </c>
      <c r="AC805" s="9">
        <f>INDEX(LINEST(L546:L805,M546:T805,TRUE,TRUE),1,7)</f>
        <v/>
      </c>
      <c r="AD805" s="9">
        <f>INDEX(LINEST(L546:L805,M546:T805,TRUE,TRUE),1,6)</f>
        <v/>
      </c>
      <c r="AE805" s="9">
        <f>INDEX(LINEST(L546:L805,M546:T805,TRUE,TRUE),1,5)</f>
        <v/>
      </c>
      <c r="AF805" s="9">
        <f>INDEX(LINEST(L546:L805,M546:T805,TRUE,TRUE),1,4)</f>
        <v/>
      </c>
      <c r="AG805" s="9">
        <f>INDEX(LINEST(L546:L805,M546:T805,TRUE,TRUE),1,3)</f>
        <v/>
      </c>
      <c r="AH805" s="9">
        <f>INDEX(LINEST(L546:L805,M546:T805,TRUE,TRUE),1,2)</f>
        <v/>
      </c>
      <c r="AI805" s="9">
        <f>INDEX(LINEST(L546:L805,M546:T805,TRUE,TRUE),1,1)</f>
        <v/>
      </c>
      <c r="AJ805" s="10">
        <f>INDEX(LINEST(L546:L805,M546:T805,TRUE,TRUE),3,1)</f>
        <v/>
      </c>
      <c r="AK805" s="9">
        <f>AA804/52+AB804*M805+AC804*N805+AD804*O805+AE804*P805+AF804*Q805+AG804*R805+AH804*S805+AI804*T805</f>
        <v/>
      </c>
      <c r="AL805" s="9">
        <f>AVERAGE(L545:L804)</f>
        <v/>
      </c>
    </row>
    <row r="806">
      <c r="A806" s="7" t="n">
        <v>43252</v>
      </c>
      <c r="B806" s="8" t="n">
        <v>1294.6</v>
      </c>
      <c r="C806" s="8" t="n">
        <v>2.09</v>
      </c>
      <c r="D806" s="8" t="n">
        <v>0.8</v>
      </c>
      <c r="E806" s="8" t="n">
        <v>94.19000200000001</v>
      </c>
      <c r="F806" s="8" t="n">
        <v>65.81</v>
      </c>
      <c r="G806" s="8" t="n">
        <v>13.46</v>
      </c>
      <c r="H806" s="8" t="n">
        <v>56.939999</v>
      </c>
      <c r="I806" s="8" t="n">
        <v>2734.620117</v>
      </c>
      <c r="J806" s="8" t="n">
        <v>84.08663199999999</v>
      </c>
      <c r="L806" s="9">
        <f>LN(B806/B805)</f>
        <v/>
      </c>
      <c r="M806" s="9">
        <f>$M$1*(C806-C805)</f>
        <v/>
      </c>
      <c r="N806" s="9">
        <f>$N$1*(D806-D805)</f>
        <v/>
      </c>
      <c r="O806" s="9">
        <f>$O$1*LN(E806/E805)</f>
        <v/>
      </c>
      <c r="P806" s="9">
        <f>$P$1*LN(F806/F805)</f>
        <v/>
      </c>
      <c r="Q806" s="9">
        <f>$Q$1*(G806-G805)</f>
        <v/>
      </c>
      <c r="R806" s="9">
        <f>$R$1*(H806-H805)</f>
        <v/>
      </c>
      <c r="S806" s="9">
        <f>$S$1*LN(I806/I805)</f>
        <v/>
      </c>
      <c r="T806" s="9">
        <f>$T$1*LN(J806/J805)</f>
        <v/>
      </c>
      <c r="U806" s="9">
        <f>$W$12+$W$4*M806+$W$5*N806+$W$6*O806+$W$7*P806+$W$8*Q806+$W$9*R806+$W$10*S806+$W$11*T806</f>
        <v/>
      </c>
      <c r="AA806" s="10">
        <f>INDEX(LINEST(L547:L806,M547:T806,TRUE,TRUE),1,9)*52</f>
        <v/>
      </c>
      <c r="AB806" s="9">
        <f>INDEX(LINEST(L547:L806,M547:T806,TRUE,TRUE),1,8)</f>
        <v/>
      </c>
      <c r="AC806" s="9">
        <f>INDEX(LINEST(L547:L806,M547:T806,TRUE,TRUE),1,7)</f>
        <v/>
      </c>
      <c r="AD806" s="9">
        <f>INDEX(LINEST(L547:L806,M547:T806,TRUE,TRUE),1,6)</f>
        <v/>
      </c>
      <c r="AE806" s="9">
        <f>INDEX(LINEST(L547:L806,M547:T806,TRUE,TRUE),1,5)</f>
        <v/>
      </c>
      <c r="AF806" s="9">
        <f>INDEX(LINEST(L547:L806,M547:T806,TRUE,TRUE),1,4)</f>
        <v/>
      </c>
      <c r="AG806" s="9">
        <f>INDEX(LINEST(L547:L806,M547:T806,TRUE,TRUE),1,3)</f>
        <v/>
      </c>
      <c r="AH806" s="9">
        <f>INDEX(LINEST(L547:L806,M547:T806,TRUE,TRUE),1,2)</f>
        <v/>
      </c>
      <c r="AI806" s="9">
        <f>INDEX(LINEST(L547:L806,M547:T806,TRUE,TRUE),1,1)</f>
        <v/>
      </c>
      <c r="AJ806" s="10">
        <f>INDEX(LINEST(L547:L806,M547:T806,TRUE,TRUE),3,1)</f>
        <v/>
      </c>
      <c r="AK806" s="9">
        <f>AA805/52+AB805*M806+AC805*N806+AD805*O806+AE805*P806+AF805*Q806+AG805*R806+AH805*S806+AI805*T806</f>
        <v/>
      </c>
      <c r="AL806" s="9">
        <f>AVERAGE(L546:L805)</f>
        <v/>
      </c>
    </row>
    <row r="807">
      <c r="A807" s="7" t="n">
        <v>43259</v>
      </c>
      <c r="B807" s="8" t="n">
        <v>1298.25</v>
      </c>
      <c r="C807" s="8" t="n">
        <v>2.11</v>
      </c>
      <c r="D807" s="8" t="n">
        <v>0.82</v>
      </c>
      <c r="E807" s="8" t="n">
        <v>93.550003</v>
      </c>
      <c r="F807" s="8" t="n">
        <v>65.77</v>
      </c>
      <c r="G807" s="8" t="n">
        <v>12.18</v>
      </c>
      <c r="H807" s="8" t="n">
        <v>59.57</v>
      </c>
      <c r="I807" s="8" t="n">
        <v>2779.030029</v>
      </c>
      <c r="J807" s="8" t="n">
        <v>83.82506600000001</v>
      </c>
      <c r="L807" s="9">
        <f>LN(B807/B806)</f>
        <v/>
      </c>
      <c r="M807" s="9">
        <f>$M$1*(C807-C806)</f>
        <v/>
      </c>
      <c r="N807" s="9">
        <f>$N$1*(D807-D806)</f>
        <v/>
      </c>
      <c r="O807" s="9">
        <f>$O$1*LN(E807/E806)</f>
        <v/>
      </c>
      <c r="P807" s="9">
        <f>$P$1*LN(F807/F806)</f>
        <v/>
      </c>
      <c r="Q807" s="9">
        <f>$Q$1*(G807-G806)</f>
        <v/>
      </c>
      <c r="R807" s="9">
        <f>$R$1*(H807-H806)</f>
        <v/>
      </c>
      <c r="S807" s="9">
        <f>$S$1*LN(I807/I806)</f>
        <v/>
      </c>
      <c r="T807" s="9">
        <f>$T$1*LN(J807/J806)</f>
        <v/>
      </c>
      <c r="U807" s="9">
        <f>$W$12+$W$4*M807+$W$5*N807+$W$6*O807+$W$7*P807+$W$8*Q807+$W$9*R807+$W$10*S807+$W$11*T807</f>
        <v/>
      </c>
      <c r="AA807" s="10">
        <f>INDEX(LINEST(L548:L807,M548:T807,TRUE,TRUE),1,9)*52</f>
        <v/>
      </c>
      <c r="AB807" s="9">
        <f>INDEX(LINEST(L548:L807,M548:T807,TRUE,TRUE),1,8)</f>
        <v/>
      </c>
      <c r="AC807" s="9">
        <f>INDEX(LINEST(L548:L807,M548:T807,TRUE,TRUE),1,7)</f>
        <v/>
      </c>
      <c r="AD807" s="9">
        <f>INDEX(LINEST(L548:L807,M548:T807,TRUE,TRUE),1,6)</f>
        <v/>
      </c>
      <c r="AE807" s="9">
        <f>INDEX(LINEST(L548:L807,M548:T807,TRUE,TRUE),1,5)</f>
        <v/>
      </c>
      <c r="AF807" s="9">
        <f>INDEX(LINEST(L548:L807,M548:T807,TRUE,TRUE),1,4)</f>
        <v/>
      </c>
      <c r="AG807" s="9">
        <f>INDEX(LINEST(L548:L807,M548:T807,TRUE,TRUE),1,3)</f>
        <v/>
      </c>
      <c r="AH807" s="9">
        <f>INDEX(LINEST(L548:L807,M548:T807,TRUE,TRUE),1,2)</f>
        <v/>
      </c>
      <c r="AI807" s="9">
        <f>INDEX(LINEST(L548:L807,M548:T807,TRUE,TRUE),1,1)</f>
        <v/>
      </c>
      <c r="AJ807" s="10">
        <f>INDEX(LINEST(L548:L807,M548:T807,TRUE,TRUE),3,1)</f>
        <v/>
      </c>
      <c r="AK807" s="9">
        <f>AA806/52+AB806*M807+AC806*N807+AD806*O807+AE806*P807+AF806*Q807+AG806*R807+AH806*S807+AI806*T807</f>
        <v/>
      </c>
      <c r="AL807" s="9">
        <f>AVERAGE(L547:L806)</f>
        <v/>
      </c>
    </row>
    <row r="808">
      <c r="A808" s="7" t="n">
        <v>43266</v>
      </c>
      <c r="B808" s="8" t="n">
        <v>1285.25</v>
      </c>
      <c r="C808" s="8" t="n">
        <v>2.12</v>
      </c>
      <c r="D808" s="8" t="n">
        <v>0.8100000000000001</v>
      </c>
      <c r="E808" s="8" t="n">
        <v>94.790001</v>
      </c>
      <c r="F808" s="8" t="n">
        <v>65.01000000000001</v>
      </c>
      <c r="G808" s="8" t="n">
        <v>11.98</v>
      </c>
      <c r="H808" s="8" t="n">
        <v>53.080002</v>
      </c>
      <c r="I808" s="8" t="n">
        <v>2779.659912</v>
      </c>
      <c r="J808" s="8" t="n">
        <v>83.928078</v>
      </c>
      <c r="L808" s="9">
        <f>LN(B808/B807)</f>
        <v/>
      </c>
      <c r="M808" s="9">
        <f>$M$1*(C808-C807)</f>
        <v/>
      </c>
      <c r="N808" s="9">
        <f>$N$1*(D808-D807)</f>
        <v/>
      </c>
      <c r="O808" s="9">
        <f>$O$1*LN(E808/E807)</f>
        <v/>
      </c>
      <c r="P808" s="9">
        <f>$P$1*LN(F808/F807)</f>
        <v/>
      </c>
      <c r="Q808" s="9">
        <f>$Q$1*(G808-G807)</f>
        <v/>
      </c>
      <c r="R808" s="9">
        <f>$R$1*(H808-H807)</f>
        <v/>
      </c>
      <c r="S808" s="9">
        <f>$S$1*LN(I808/I807)</f>
        <v/>
      </c>
      <c r="T808" s="9">
        <f>$T$1*LN(J808/J807)</f>
        <v/>
      </c>
      <c r="U808" s="9">
        <f>$W$12+$W$4*M808+$W$5*N808+$W$6*O808+$W$7*P808+$W$8*Q808+$W$9*R808+$W$10*S808+$W$11*T808</f>
        <v/>
      </c>
      <c r="AA808" s="10">
        <f>INDEX(LINEST(L549:L808,M549:T808,TRUE,TRUE),1,9)*52</f>
        <v/>
      </c>
      <c r="AB808" s="9">
        <f>INDEX(LINEST(L549:L808,M549:T808,TRUE,TRUE),1,8)</f>
        <v/>
      </c>
      <c r="AC808" s="9">
        <f>INDEX(LINEST(L549:L808,M549:T808,TRUE,TRUE),1,7)</f>
        <v/>
      </c>
      <c r="AD808" s="9">
        <f>INDEX(LINEST(L549:L808,M549:T808,TRUE,TRUE),1,6)</f>
        <v/>
      </c>
      <c r="AE808" s="9">
        <f>INDEX(LINEST(L549:L808,M549:T808,TRUE,TRUE),1,5)</f>
        <v/>
      </c>
      <c r="AF808" s="9">
        <f>INDEX(LINEST(L549:L808,M549:T808,TRUE,TRUE),1,4)</f>
        <v/>
      </c>
      <c r="AG808" s="9">
        <f>INDEX(LINEST(L549:L808,M549:T808,TRUE,TRUE),1,3)</f>
        <v/>
      </c>
      <c r="AH808" s="9">
        <f>INDEX(LINEST(L549:L808,M549:T808,TRUE,TRUE),1,2)</f>
        <v/>
      </c>
      <c r="AI808" s="9">
        <f>INDEX(LINEST(L549:L808,M549:T808,TRUE,TRUE),1,1)</f>
        <v/>
      </c>
      <c r="AJ808" s="10">
        <f>INDEX(LINEST(L549:L808,M549:T808,TRUE,TRUE),3,1)</f>
        <v/>
      </c>
      <c r="AK808" s="9">
        <f>AA807/52+AB807*M808+AC807*N808+AD807*O808+AE807*P808+AF807*Q808+AG807*R808+AH807*S808+AI807*T808</f>
        <v/>
      </c>
      <c r="AL808" s="9">
        <f>AVERAGE(L548:L807)</f>
        <v/>
      </c>
    </row>
    <row r="809">
      <c r="A809" s="7" t="n">
        <v>43273</v>
      </c>
      <c r="B809" s="8" t="n">
        <v>1269.15</v>
      </c>
      <c r="C809" s="8" t="n">
        <v>2.12</v>
      </c>
      <c r="D809" s="8" t="n">
        <v>0.78</v>
      </c>
      <c r="E809" s="8" t="n">
        <v>94.519997</v>
      </c>
      <c r="F809" s="8" t="n">
        <v>69.02</v>
      </c>
      <c r="G809" s="8" t="n">
        <v>13.77</v>
      </c>
      <c r="H809" s="8" t="n">
        <v>53.029999</v>
      </c>
      <c r="I809" s="8" t="n">
        <v>2754.879883</v>
      </c>
      <c r="J809" s="8" t="n">
        <v>83.975662</v>
      </c>
      <c r="L809" s="9">
        <f>LN(B809/B808)</f>
        <v/>
      </c>
      <c r="M809" s="9">
        <f>$M$1*(C809-C808)</f>
        <v/>
      </c>
      <c r="N809" s="9">
        <f>$N$1*(D809-D808)</f>
        <v/>
      </c>
      <c r="O809" s="9">
        <f>$O$1*LN(E809/E808)</f>
        <v/>
      </c>
      <c r="P809" s="9">
        <f>$P$1*LN(F809/F808)</f>
        <v/>
      </c>
      <c r="Q809" s="9">
        <f>$Q$1*(G809-G808)</f>
        <v/>
      </c>
      <c r="R809" s="9">
        <f>$R$1*(H809-H808)</f>
        <v/>
      </c>
      <c r="S809" s="9">
        <f>$S$1*LN(I809/I808)</f>
        <v/>
      </c>
      <c r="T809" s="9">
        <f>$T$1*LN(J809/J808)</f>
        <v/>
      </c>
      <c r="U809" s="9">
        <f>$W$12+$W$4*M809+$W$5*N809+$W$6*O809+$W$7*P809+$W$8*Q809+$W$9*R809+$W$10*S809+$W$11*T809</f>
        <v/>
      </c>
      <c r="AA809" s="10">
        <f>INDEX(LINEST(L550:L809,M550:T809,TRUE,TRUE),1,9)*52</f>
        <v/>
      </c>
      <c r="AB809" s="9">
        <f>INDEX(LINEST(L550:L809,M550:T809,TRUE,TRUE),1,8)</f>
        <v/>
      </c>
      <c r="AC809" s="9">
        <f>INDEX(LINEST(L550:L809,M550:T809,TRUE,TRUE),1,7)</f>
        <v/>
      </c>
      <c r="AD809" s="9">
        <f>INDEX(LINEST(L550:L809,M550:T809,TRUE,TRUE),1,6)</f>
        <v/>
      </c>
      <c r="AE809" s="9">
        <f>INDEX(LINEST(L550:L809,M550:T809,TRUE,TRUE),1,5)</f>
        <v/>
      </c>
      <c r="AF809" s="9">
        <f>INDEX(LINEST(L550:L809,M550:T809,TRUE,TRUE),1,4)</f>
        <v/>
      </c>
      <c r="AG809" s="9">
        <f>INDEX(LINEST(L550:L809,M550:T809,TRUE,TRUE),1,3)</f>
        <v/>
      </c>
      <c r="AH809" s="9">
        <f>INDEX(LINEST(L550:L809,M550:T809,TRUE,TRUE),1,2)</f>
        <v/>
      </c>
      <c r="AI809" s="9">
        <f>INDEX(LINEST(L550:L809,M550:T809,TRUE,TRUE),1,1)</f>
        <v/>
      </c>
      <c r="AJ809" s="10">
        <f>INDEX(LINEST(L550:L809,M550:T809,TRUE,TRUE),3,1)</f>
        <v/>
      </c>
      <c r="AK809" s="9">
        <f>AA808/52+AB808*M809+AC808*N809+AD808*O809+AE808*P809+AF808*Q809+AG808*R809+AH808*S809+AI808*T809</f>
        <v/>
      </c>
      <c r="AL809" s="9">
        <f>AVERAGE(L549:L808)</f>
        <v/>
      </c>
    </row>
    <row r="810">
      <c r="A810" s="7" t="n">
        <v>43280</v>
      </c>
      <c r="B810" s="8" t="n">
        <v>1250.45</v>
      </c>
      <c r="C810" s="8" t="n">
        <v>2.11</v>
      </c>
      <c r="D810" s="8" t="n">
        <v>0.74</v>
      </c>
      <c r="E810" s="8" t="n">
        <v>94.629997</v>
      </c>
      <c r="F810" s="8" t="n">
        <v>74.13</v>
      </c>
      <c r="G810" s="8" t="n">
        <v>16.09</v>
      </c>
      <c r="H810" s="8" t="n">
        <v>51.169998</v>
      </c>
      <c r="I810" s="8" t="n">
        <v>2718.370117</v>
      </c>
      <c r="J810" s="8" t="n">
        <v>84.276825</v>
      </c>
      <c r="L810" s="9">
        <f>LN(B810/B809)</f>
        <v/>
      </c>
      <c r="M810" s="9">
        <f>$M$1*(C810-C809)</f>
        <v/>
      </c>
      <c r="N810" s="9">
        <f>$N$1*(D810-D809)</f>
        <v/>
      </c>
      <c r="O810" s="9">
        <f>$O$1*LN(E810/E809)</f>
        <v/>
      </c>
      <c r="P810" s="9">
        <f>$P$1*LN(F810/F809)</f>
        <v/>
      </c>
      <c r="Q810" s="9">
        <f>$Q$1*(G810-G809)</f>
        <v/>
      </c>
      <c r="R810" s="9">
        <f>$R$1*(H810-H809)</f>
        <v/>
      </c>
      <c r="S810" s="9">
        <f>$S$1*LN(I810/I809)</f>
        <v/>
      </c>
      <c r="T810" s="9">
        <f>$T$1*LN(J810/J809)</f>
        <v/>
      </c>
      <c r="U810" s="9">
        <f>$W$12+$W$4*M810+$W$5*N810+$W$6*O810+$W$7*P810+$W$8*Q810+$W$9*R810+$W$10*S810+$W$11*T810</f>
        <v/>
      </c>
      <c r="AA810" s="10">
        <f>INDEX(LINEST(L551:L810,M551:T810,TRUE,TRUE),1,9)*52</f>
        <v/>
      </c>
      <c r="AB810" s="9">
        <f>INDEX(LINEST(L551:L810,M551:T810,TRUE,TRUE),1,8)</f>
        <v/>
      </c>
      <c r="AC810" s="9">
        <f>INDEX(LINEST(L551:L810,M551:T810,TRUE,TRUE),1,7)</f>
        <v/>
      </c>
      <c r="AD810" s="9">
        <f>INDEX(LINEST(L551:L810,M551:T810,TRUE,TRUE),1,6)</f>
        <v/>
      </c>
      <c r="AE810" s="9">
        <f>INDEX(LINEST(L551:L810,M551:T810,TRUE,TRUE),1,5)</f>
        <v/>
      </c>
      <c r="AF810" s="9">
        <f>INDEX(LINEST(L551:L810,M551:T810,TRUE,TRUE),1,4)</f>
        <v/>
      </c>
      <c r="AG810" s="9">
        <f>INDEX(LINEST(L551:L810,M551:T810,TRUE,TRUE),1,3)</f>
        <v/>
      </c>
      <c r="AH810" s="9">
        <f>INDEX(LINEST(L551:L810,M551:T810,TRUE,TRUE),1,2)</f>
        <v/>
      </c>
      <c r="AI810" s="9">
        <f>INDEX(LINEST(L551:L810,M551:T810,TRUE,TRUE),1,1)</f>
        <v/>
      </c>
      <c r="AJ810" s="10">
        <f>INDEX(LINEST(L551:L810,M551:T810,TRUE,TRUE),3,1)</f>
        <v/>
      </c>
      <c r="AK810" s="9">
        <f>AA809/52+AB809*M810+AC809*N810+AD809*O810+AE809*P810+AF809*Q810+AG809*R810+AH809*S810+AI809*T810</f>
        <v/>
      </c>
      <c r="AL810" s="9">
        <f>AVERAGE(L550:L809)</f>
        <v/>
      </c>
    </row>
    <row r="811">
      <c r="A811" s="7" t="n">
        <v>43287</v>
      </c>
      <c r="B811" s="8" t="n">
        <v>1255.35</v>
      </c>
      <c r="C811" s="8" t="n">
        <v>2.12</v>
      </c>
      <c r="D811" s="8" t="n">
        <v>0.7</v>
      </c>
      <c r="E811" s="8" t="n">
        <v>94.040001</v>
      </c>
      <c r="F811" s="8" t="n">
        <v>73.78</v>
      </c>
      <c r="G811" s="8" t="n">
        <v>13.37</v>
      </c>
      <c r="H811" s="8" t="n">
        <v>50.130001</v>
      </c>
      <c r="I811" s="8" t="n">
        <v>2759.820068</v>
      </c>
      <c r="J811" s="8" t="n">
        <v>84.53819300000001</v>
      </c>
      <c r="L811" s="9">
        <f>LN(B811/B810)</f>
        <v/>
      </c>
      <c r="M811" s="9">
        <f>$M$1*(C811-C810)</f>
        <v/>
      </c>
      <c r="N811" s="9">
        <f>$N$1*(D811-D810)</f>
        <v/>
      </c>
      <c r="O811" s="9">
        <f>$O$1*LN(E811/E810)</f>
        <v/>
      </c>
      <c r="P811" s="9">
        <f>$P$1*LN(F811/F810)</f>
        <v/>
      </c>
      <c r="Q811" s="9">
        <f>$Q$1*(G811-G810)</f>
        <v/>
      </c>
      <c r="R811" s="9">
        <f>$R$1*(H811-H810)</f>
        <v/>
      </c>
      <c r="S811" s="9">
        <f>$S$1*LN(I811/I810)</f>
        <v/>
      </c>
      <c r="T811" s="9">
        <f>$T$1*LN(J811/J810)</f>
        <v/>
      </c>
      <c r="U811" s="9">
        <f>$W$12+$W$4*M811+$W$5*N811+$W$6*O811+$W$7*P811+$W$8*Q811+$W$9*R811+$W$10*S811+$W$11*T811</f>
        <v/>
      </c>
      <c r="AA811" s="10">
        <f>INDEX(LINEST(L552:L811,M552:T811,TRUE,TRUE),1,9)*52</f>
        <v/>
      </c>
      <c r="AB811" s="9">
        <f>INDEX(LINEST(L552:L811,M552:T811,TRUE,TRUE),1,8)</f>
        <v/>
      </c>
      <c r="AC811" s="9">
        <f>INDEX(LINEST(L552:L811,M552:T811,TRUE,TRUE),1,7)</f>
        <v/>
      </c>
      <c r="AD811" s="9">
        <f>INDEX(LINEST(L552:L811,M552:T811,TRUE,TRUE),1,6)</f>
        <v/>
      </c>
      <c r="AE811" s="9">
        <f>INDEX(LINEST(L552:L811,M552:T811,TRUE,TRUE),1,5)</f>
        <v/>
      </c>
      <c r="AF811" s="9">
        <f>INDEX(LINEST(L552:L811,M552:T811,TRUE,TRUE),1,4)</f>
        <v/>
      </c>
      <c r="AG811" s="9">
        <f>INDEX(LINEST(L552:L811,M552:T811,TRUE,TRUE),1,3)</f>
        <v/>
      </c>
      <c r="AH811" s="9">
        <f>INDEX(LINEST(L552:L811,M552:T811,TRUE,TRUE),1,2)</f>
        <v/>
      </c>
      <c r="AI811" s="9">
        <f>INDEX(LINEST(L552:L811,M552:T811,TRUE,TRUE),1,1)</f>
        <v/>
      </c>
      <c r="AJ811" s="10">
        <f>INDEX(LINEST(L552:L811,M552:T811,TRUE,TRUE),3,1)</f>
        <v/>
      </c>
      <c r="AK811" s="9">
        <f>AA810/52+AB810*M811+AC810*N811+AD810*O811+AE810*P811+AF810*Q811+AG810*R811+AH810*S811+AI810*T811</f>
        <v/>
      </c>
      <c r="AL811" s="9">
        <f>AVERAGE(L551:L810)</f>
        <v/>
      </c>
    </row>
    <row r="812">
      <c r="A812" s="7" t="n">
        <v>43294</v>
      </c>
      <c r="B812" s="8" t="n">
        <v>1241.7</v>
      </c>
      <c r="C812" s="8" t="n">
        <v>2.11</v>
      </c>
      <c r="D812" s="8" t="n">
        <v>0.72</v>
      </c>
      <c r="E812" s="8" t="n">
        <v>94.75</v>
      </c>
      <c r="F812" s="8" t="n">
        <v>71.03</v>
      </c>
      <c r="G812" s="8" t="n">
        <v>12.18</v>
      </c>
      <c r="H812" s="8" t="n">
        <v>48.279999</v>
      </c>
      <c r="I812" s="8" t="n">
        <v>2801.310059</v>
      </c>
      <c r="J812" s="8" t="n">
        <v>84.609657</v>
      </c>
      <c r="L812" s="9">
        <f>LN(B812/B811)</f>
        <v/>
      </c>
      <c r="M812" s="9">
        <f>$M$1*(C812-C811)</f>
        <v/>
      </c>
      <c r="N812" s="9">
        <f>$N$1*(D812-D811)</f>
        <v/>
      </c>
      <c r="O812" s="9">
        <f>$O$1*LN(E812/E811)</f>
        <v/>
      </c>
      <c r="P812" s="9">
        <f>$P$1*LN(F812/F811)</f>
        <v/>
      </c>
      <c r="Q812" s="9">
        <f>$Q$1*(G812-G811)</f>
        <v/>
      </c>
      <c r="R812" s="9">
        <f>$R$1*(H812-H811)</f>
        <v/>
      </c>
      <c r="S812" s="9">
        <f>$S$1*LN(I812/I811)</f>
        <v/>
      </c>
      <c r="T812" s="9">
        <f>$T$1*LN(J812/J811)</f>
        <v/>
      </c>
      <c r="U812" s="9">
        <f>$W$12+$W$4*M812+$W$5*N812+$W$6*O812+$W$7*P812+$W$8*Q812+$W$9*R812+$W$10*S812+$W$11*T812</f>
        <v/>
      </c>
      <c r="AA812" s="10">
        <f>INDEX(LINEST(L553:L812,M553:T812,TRUE,TRUE),1,9)*52</f>
        <v/>
      </c>
      <c r="AB812" s="9">
        <f>INDEX(LINEST(L553:L812,M553:T812,TRUE,TRUE),1,8)</f>
        <v/>
      </c>
      <c r="AC812" s="9">
        <f>INDEX(LINEST(L553:L812,M553:T812,TRUE,TRUE),1,7)</f>
        <v/>
      </c>
      <c r="AD812" s="9">
        <f>INDEX(LINEST(L553:L812,M553:T812,TRUE,TRUE),1,6)</f>
        <v/>
      </c>
      <c r="AE812" s="9">
        <f>INDEX(LINEST(L553:L812,M553:T812,TRUE,TRUE),1,5)</f>
        <v/>
      </c>
      <c r="AF812" s="9">
        <f>INDEX(LINEST(L553:L812,M553:T812,TRUE,TRUE),1,4)</f>
        <v/>
      </c>
      <c r="AG812" s="9">
        <f>INDEX(LINEST(L553:L812,M553:T812,TRUE,TRUE),1,3)</f>
        <v/>
      </c>
      <c r="AH812" s="9">
        <f>INDEX(LINEST(L553:L812,M553:T812,TRUE,TRUE),1,2)</f>
        <v/>
      </c>
      <c r="AI812" s="9">
        <f>INDEX(LINEST(L553:L812,M553:T812,TRUE,TRUE),1,1)</f>
        <v/>
      </c>
      <c r="AJ812" s="10">
        <f>INDEX(LINEST(L553:L812,M553:T812,TRUE,TRUE),3,1)</f>
        <v/>
      </c>
      <c r="AK812" s="9">
        <f>AA811/52+AB811*M812+AC811*N812+AD811*O812+AE811*P812+AF811*Q812+AG811*R812+AH811*S812+AI811*T812</f>
        <v/>
      </c>
      <c r="AL812" s="9">
        <f>AVERAGE(L552:L811)</f>
        <v/>
      </c>
    </row>
    <row r="813">
      <c r="A813" s="7" t="n">
        <v>43301</v>
      </c>
      <c r="B813" s="8" t="n">
        <v>1228.75</v>
      </c>
      <c r="C813" s="8" t="n">
        <v>2.11</v>
      </c>
      <c r="D813" s="8" t="n">
        <v>0.78</v>
      </c>
      <c r="E813" s="8" t="n">
        <v>94.459999</v>
      </c>
      <c r="F813" s="8" t="n">
        <v>70.31</v>
      </c>
      <c r="G813" s="8" t="n">
        <v>12.86</v>
      </c>
      <c r="H813" s="8" t="n">
        <v>49.049999</v>
      </c>
      <c r="I813" s="8" t="n">
        <v>2801.830078</v>
      </c>
      <c r="J813" s="8" t="n">
        <v>84.419037</v>
      </c>
      <c r="L813" s="9">
        <f>LN(B813/B812)</f>
        <v/>
      </c>
      <c r="M813" s="9">
        <f>$M$1*(C813-C812)</f>
        <v/>
      </c>
      <c r="N813" s="9">
        <f>$N$1*(D813-D812)</f>
        <v/>
      </c>
      <c r="O813" s="9">
        <f>$O$1*LN(E813/E812)</f>
        <v/>
      </c>
      <c r="P813" s="9">
        <f>$P$1*LN(F813/F812)</f>
        <v/>
      </c>
      <c r="Q813" s="9">
        <f>$Q$1*(G813-G812)</f>
        <v/>
      </c>
      <c r="R813" s="9">
        <f>$R$1*(H813-H812)</f>
        <v/>
      </c>
      <c r="S813" s="9">
        <f>$S$1*LN(I813/I812)</f>
        <v/>
      </c>
      <c r="T813" s="9">
        <f>$T$1*LN(J813/J812)</f>
        <v/>
      </c>
      <c r="U813" s="9">
        <f>$W$12+$W$4*M813+$W$5*N813+$W$6*O813+$W$7*P813+$W$8*Q813+$W$9*R813+$W$10*S813+$W$11*T813</f>
        <v/>
      </c>
      <c r="AA813" s="10">
        <f>INDEX(LINEST(L554:L813,M554:T813,TRUE,TRUE),1,9)*52</f>
        <v/>
      </c>
      <c r="AB813" s="9">
        <f>INDEX(LINEST(L554:L813,M554:T813,TRUE,TRUE),1,8)</f>
        <v/>
      </c>
      <c r="AC813" s="9">
        <f>INDEX(LINEST(L554:L813,M554:T813,TRUE,TRUE),1,7)</f>
        <v/>
      </c>
      <c r="AD813" s="9">
        <f>INDEX(LINEST(L554:L813,M554:T813,TRUE,TRUE),1,6)</f>
        <v/>
      </c>
      <c r="AE813" s="9">
        <f>INDEX(LINEST(L554:L813,M554:T813,TRUE,TRUE),1,5)</f>
        <v/>
      </c>
      <c r="AF813" s="9">
        <f>INDEX(LINEST(L554:L813,M554:T813,TRUE,TRUE),1,4)</f>
        <v/>
      </c>
      <c r="AG813" s="9">
        <f>INDEX(LINEST(L554:L813,M554:T813,TRUE,TRUE),1,3)</f>
        <v/>
      </c>
      <c r="AH813" s="9">
        <f>INDEX(LINEST(L554:L813,M554:T813,TRUE,TRUE),1,2)</f>
        <v/>
      </c>
      <c r="AI813" s="9">
        <f>INDEX(LINEST(L554:L813,M554:T813,TRUE,TRUE),1,1)</f>
        <v/>
      </c>
      <c r="AJ813" s="10">
        <f>INDEX(LINEST(L554:L813,M554:T813,TRUE,TRUE),3,1)</f>
        <v/>
      </c>
      <c r="AK813" s="9">
        <f>AA812/52+AB812*M813+AC812*N813+AD812*O813+AE812*P813+AF812*Q813+AG812*R813+AH812*S813+AI812*T813</f>
        <v/>
      </c>
      <c r="AL813" s="9">
        <f>AVERAGE(L553:L812)</f>
        <v/>
      </c>
    </row>
    <row r="814">
      <c r="A814" s="7" t="n">
        <v>43308</v>
      </c>
      <c r="B814" s="8" t="n">
        <v>1223.95</v>
      </c>
      <c r="C814" s="8" t="n">
        <v>2.12</v>
      </c>
      <c r="D814" s="8" t="n">
        <v>0.84</v>
      </c>
      <c r="E814" s="8" t="n">
        <v>94.68000000000001</v>
      </c>
      <c r="F814" s="8" t="n">
        <v>68.66</v>
      </c>
      <c r="G814" s="8" t="n">
        <v>13.03</v>
      </c>
      <c r="H814" s="8" t="n">
        <v>48.830002</v>
      </c>
      <c r="I814" s="8" t="n">
        <v>2818.820068</v>
      </c>
      <c r="J814" s="8" t="n">
        <v>84.26810500000001</v>
      </c>
      <c r="L814" s="9">
        <f>LN(B814/B813)</f>
        <v/>
      </c>
      <c r="M814" s="9">
        <f>$M$1*(C814-C813)</f>
        <v/>
      </c>
      <c r="N814" s="9">
        <f>$N$1*(D814-D813)</f>
        <v/>
      </c>
      <c r="O814" s="9">
        <f>$O$1*LN(E814/E813)</f>
        <v/>
      </c>
      <c r="P814" s="9">
        <f>$P$1*LN(F814/F813)</f>
        <v/>
      </c>
      <c r="Q814" s="9">
        <f>$Q$1*(G814-G813)</f>
        <v/>
      </c>
      <c r="R814" s="9">
        <f>$R$1*(H814-H813)</f>
        <v/>
      </c>
      <c r="S814" s="9">
        <f>$S$1*LN(I814/I813)</f>
        <v/>
      </c>
      <c r="T814" s="9">
        <f>$T$1*LN(J814/J813)</f>
        <v/>
      </c>
      <c r="U814" s="9">
        <f>$W$12+$W$4*M814+$W$5*N814+$W$6*O814+$W$7*P814+$W$8*Q814+$W$9*R814+$W$10*S814+$W$11*T814</f>
        <v/>
      </c>
      <c r="AA814" s="10">
        <f>INDEX(LINEST(L555:L814,M555:T814,TRUE,TRUE),1,9)*52</f>
        <v/>
      </c>
      <c r="AB814" s="9">
        <f>INDEX(LINEST(L555:L814,M555:T814,TRUE,TRUE),1,8)</f>
        <v/>
      </c>
      <c r="AC814" s="9">
        <f>INDEX(LINEST(L555:L814,M555:T814,TRUE,TRUE),1,7)</f>
        <v/>
      </c>
      <c r="AD814" s="9">
        <f>INDEX(LINEST(L555:L814,M555:T814,TRUE,TRUE),1,6)</f>
        <v/>
      </c>
      <c r="AE814" s="9">
        <f>INDEX(LINEST(L555:L814,M555:T814,TRUE,TRUE),1,5)</f>
        <v/>
      </c>
      <c r="AF814" s="9">
        <f>INDEX(LINEST(L555:L814,M555:T814,TRUE,TRUE),1,4)</f>
        <v/>
      </c>
      <c r="AG814" s="9">
        <f>INDEX(LINEST(L555:L814,M555:T814,TRUE,TRUE),1,3)</f>
        <v/>
      </c>
      <c r="AH814" s="9">
        <f>INDEX(LINEST(L555:L814,M555:T814,TRUE,TRUE),1,2)</f>
        <v/>
      </c>
      <c r="AI814" s="9">
        <f>INDEX(LINEST(L555:L814,M555:T814,TRUE,TRUE),1,1)</f>
        <v/>
      </c>
      <c r="AJ814" s="10">
        <f>INDEX(LINEST(L555:L814,M555:T814,TRUE,TRUE),3,1)</f>
        <v/>
      </c>
      <c r="AK814" s="9">
        <f>AA813/52+AB813*M814+AC813*N814+AD813*O814+AE813*P814+AF813*Q814+AG813*R814+AH813*S814+AI813*T814</f>
        <v/>
      </c>
      <c r="AL814" s="9">
        <f>AVERAGE(L554:L813)</f>
        <v/>
      </c>
    </row>
    <row r="815">
      <c r="A815" s="7" t="n">
        <v>43315</v>
      </c>
      <c r="B815" s="8" t="n">
        <v>1216.3</v>
      </c>
      <c r="C815" s="8" t="n">
        <v>2.12</v>
      </c>
      <c r="D815" s="8" t="n">
        <v>0.83</v>
      </c>
      <c r="E815" s="8" t="n">
        <v>95.139999</v>
      </c>
      <c r="F815" s="8" t="n">
        <v>68.48999999999999</v>
      </c>
      <c r="G815" s="8" t="n">
        <v>11.64</v>
      </c>
      <c r="H815" s="8" t="n">
        <v>47.669998</v>
      </c>
      <c r="I815" s="8" t="n">
        <v>2840.350098</v>
      </c>
      <c r="J815" s="8" t="n">
        <v>84.380394</v>
      </c>
      <c r="L815" s="9">
        <f>LN(B815/B814)</f>
        <v/>
      </c>
      <c r="M815" s="9">
        <f>$M$1*(C815-C814)</f>
        <v/>
      </c>
      <c r="N815" s="9">
        <f>$N$1*(D815-D814)</f>
        <v/>
      </c>
      <c r="O815" s="9">
        <f>$O$1*LN(E815/E814)</f>
        <v/>
      </c>
      <c r="P815" s="9">
        <f>$P$1*LN(F815/F814)</f>
        <v/>
      </c>
      <c r="Q815" s="9">
        <f>$Q$1*(G815-G814)</f>
        <v/>
      </c>
      <c r="R815" s="9">
        <f>$R$1*(H815-H814)</f>
        <v/>
      </c>
      <c r="S815" s="9">
        <f>$S$1*LN(I815/I814)</f>
        <v/>
      </c>
      <c r="T815" s="9">
        <f>$T$1*LN(J815/J814)</f>
        <v/>
      </c>
      <c r="U815" s="9">
        <f>$W$12+$W$4*M815+$W$5*N815+$W$6*O815+$W$7*P815+$W$8*Q815+$W$9*R815+$W$10*S815+$W$11*T815</f>
        <v/>
      </c>
      <c r="AA815" s="10">
        <f>INDEX(LINEST(L556:L815,M556:T815,TRUE,TRUE),1,9)*52</f>
        <v/>
      </c>
      <c r="AB815" s="9">
        <f>INDEX(LINEST(L556:L815,M556:T815,TRUE,TRUE),1,8)</f>
        <v/>
      </c>
      <c r="AC815" s="9">
        <f>INDEX(LINEST(L556:L815,M556:T815,TRUE,TRUE),1,7)</f>
        <v/>
      </c>
      <c r="AD815" s="9">
        <f>INDEX(LINEST(L556:L815,M556:T815,TRUE,TRUE),1,6)</f>
        <v/>
      </c>
      <c r="AE815" s="9">
        <f>INDEX(LINEST(L556:L815,M556:T815,TRUE,TRUE),1,5)</f>
        <v/>
      </c>
      <c r="AF815" s="9">
        <f>INDEX(LINEST(L556:L815,M556:T815,TRUE,TRUE),1,4)</f>
        <v/>
      </c>
      <c r="AG815" s="9">
        <f>INDEX(LINEST(L556:L815,M556:T815,TRUE,TRUE),1,3)</f>
        <v/>
      </c>
      <c r="AH815" s="9">
        <f>INDEX(LINEST(L556:L815,M556:T815,TRUE,TRUE),1,2)</f>
        <v/>
      </c>
      <c r="AI815" s="9">
        <f>INDEX(LINEST(L556:L815,M556:T815,TRUE,TRUE),1,1)</f>
        <v/>
      </c>
      <c r="AJ815" s="10">
        <f>INDEX(LINEST(L556:L815,M556:T815,TRUE,TRUE),3,1)</f>
        <v/>
      </c>
      <c r="AK815" s="9">
        <f>AA814/52+AB814*M815+AC814*N815+AD814*O815+AE814*P815+AF814*Q815+AG814*R815+AH814*S815+AI814*T815</f>
        <v/>
      </c>
      <c r="AL815" s="9">
        <f>AVERAGE(L555:L814)</f>
        <v/>
      </c>
    </row>
    <row r="816">
      <c r="A816" s="7" t="n">
        <v>43322</v>
      </c>
      <c r="B816" s="8" t="n">
        <v>1214.4</v>
      </c>
      <c r="C816" s="8" t="n">
        <v>2.09</v>
      </c>
      <c r="D816" s="8" t="n">
        <v>0.78</v>
      </c>
      <c r="E816" s="8" t="n">
        <v>96.360001</v>
      </c>
      <c r="F816" s="8" t="n">
        <v>67.61</v>
      </c>
      <c r="G816" s="8" t="n">
        <v>13.16</v>
      </c>
      <c r="H816" s="8" t="n">
        <v>50.630001</v>
      </c>
      <c r="I816" s="8" t="n">
        <v>2833.280029</v>
      </c>
      <c r="J816" s="8" t="n">
        <v>84.58747099999999</v>
      </c>
      <c r="L816" s="9">
        <f>LN(B816/B815)</f>
        <v/>
      </c>
      <c r="M816" s="9">
        <f>$M$1*(C816-C815)</f>
        <v/>
      </c>
      <c r="N816" s="9">
        <f>$N$1*(D816-D815)</f>
        <v/>
      </c>
      <c r="O816" s="9">
        <f>$O$1*LN(E816/E815)</f>
        <v/>
      </c>
      <c r="P816" s="9">
        <f>$P$1*LN(F816/F815)</f>
        <v/>
      </c>
      <c r="Q816" s="9">
        <f>$Q$1*(G816-G815)</f>
        <v/>
      </c>
      <c r="R816" s="9">
        <f>$R$1*(H816-H815)</f>
        <v/>
      </c>
      <c r="S816" s="9">
        <f>$S$1*LN(I816/I815)</f>
        <v/>
      </c>
      <c r="T816" s="9">
        <f>$T$1*LN(J816/J815)</f>
        <v/>
      </c>
      <c r="U816" s="9">
        <f>$W$12+$W$4*M816+$W$5*N816+$W$6*O816+$W$7*P816+$W$8*Q816+$W$9*R816+$W$10*S816+$W$11*T816</f>
        <v/>
      </c>
      <c r="AA816" s="10">
        <f>INDEX(LINEST(L557:L816,M557:T816,TRUE,TRUE),1,9)*52</f>
        <v/>
      </c>
      <c r="AB816" s="9">
        <f>INDEX(LINEST(L557:L816,M557:T816,TRUE,TRUE),1,8)</f>
        <v/>
      </c>
      <c r="AC816" s="9">
        <f>INDEX(LINEST(L557:L816,M557:T816,TRUE,TRUE),1,7)</f>
        <v/>
      </c>
      <c r="AD816" s="9">
        <f>INDEX(LINEST(L557:L816,M557:T816,TRUE,TRUE),1,6)</f>
        <v/>
      </c>
      <c r="AE816" s="9">
        <f>INDEX(LINEST(L557:L816,M557:T816,TRUE,TRUE),1,5)</f>
        <v/>
      </c>
      <c r="AF816" s="9">
        <f>INDEX(LINEST(L557:L816,M557:T816,TRUE,TRUE),1,4)</f>
        <v/>
      </c>
      <c r="AG816" s="9">
        <f>INDEX(LINEST(L557:L816,M557:T816,TRUE,TRUE),1,3)</f>
        <v/>
      </c>
      <c r="AH816" s="9">
        <f>INDEX(LINEST(L557:L816,M557:T816,TRUE,TRUE),1,2)</f>
        <v/>
      </c>
      <c r="AI816" s="9">
        <f>INDEX(LINEST(L557:L816,M557:T816,TRUE,TRUE),1,1)</f>
        <v/>
      </c>
      <c r="AJ816" s="10">
        <f>INDEX(LINEST(L557:L816,M557:T816,TRUE,TRUE),3,1)</f>
        <v/>
      </c>
      <c r="AK816" s="9">
        <f>AA815/52+AB815*M816+AC815*N816+AD815*O816+AE815*P816+AF815*Q816+AG815*R816+AH815*S816+AI815*T816</f>
        <v/>
      </c>
      <c r="AL816" s="9">
        <f>AVERAGE(L556:L815)</f>
        <v/>
      </c>
    </row>
    <row r="817">
      <c r="A817" s="7" t="n">
        <v>43329</v>
      </c>
      <c r="B817" s="8" t="n">
        <v>1178.4</v>
      </c>
      <c r="C817" s="8" t="n">
        <v>2.08</v>
      </c>
      <c r="D817" s="8" t="n">
        <v>0.79</v>
      </c>
      <c r="E817" s="8" t="n">
        <v>96.099998</v>
      </c>
      <c r="F817" s="8" t="n">
        <v>65.93000000000001</v>
      </c>
      <c r="G817" s="8" t="n">
        <v>12.64</v>
      </c>
      <c r="H817" s="8" t="n">
        <v>50.689999</v>
      </c>
      <c r="I817" s="8" t="n">
        <v>2850.129883</v>
      </c>
      <c r="J817" s="8" t="n">
        <v>84.770599</v>
      </c>
      <c r="L817" s="9">
        <f>LN(B817/B816)</f>
        <v/>
      </c>
      <c r="M817" s="9">
        <f>$M$1*(C817-C816)</f>
        <v/>
      </c>
      <c r="N817" s="9">
        <f>$N$1*(D817-D816)</f>
        <v/>
      </c>
      <c r="O817" s="9">
        <f>$O$1*LN(E817/E816)</f>
        <v/>
      </c>
      <c r="P817" s="9">
        <f>$P$1*LN(F817/F816)</f>
        <v/>
      </c>
      <c r="Q817" s="9">
        <f>$Q$1*(G817-G816)</f>
        <v/>
      </c>
      <c r="R817" s="9">
        <f>$R$1*(H817-H816)</f>
        <v/>
      </c>
      <c r="S817" s="9">
        <f>$S$1*LN(I817/I816)</f>
        <v/>
      </c>
      <c r="T817" s="9">
        <f>$T$1*LN(J817/J816)</f>
        <v/>
      </c>
      <c r="U817" s="9">
        <f>$W$12+$W$4*M817+$W$5*N817+$W$6*O817+$W$7*P817+$W$8*Q817+$W$9*R817+$W$10*S817+$W$11*T817</f>
        <v/>
      </c>
      <c r="AA817" s="10">
        <f>INDEX(LINEST(L558:L817,M558:T817,TRUE,TRUE),1,9)*52</f>
        <v/>
      </c>
      <c r="AB817" s="9">
        <f>INDEX(LINEST(L558:L817,M558:T817,TRUE,TRUE),1,8)</f>
        <v/>
      </c>
      <c r="AC817" s="9">
        <f>INDEX(LINEST(L558:L817,M558:T817,TRUE,TRUE),1,7)</f>
        <v/>
      </c>
      <c r="AD817" s="9">
        <f>INDEX(LINEST(L558:L817,M558:T817,TRUE,TRUE),1,6)</f>
        <v/>
      </c>
      <c r="AE817" s="9">
        <f>INDEX(LINEST(L558:L817,M558:T817,TRUE,TRUE),1,5)</f>
        <v/>
      </c>
      <c r="AF817" s="9">
        <f>INDEX(LINEST(L558:L817,M558:T817,TRUE,TRUE),1,4)</f>
        <v/>
      </c>
      <c r="AG817" s="9">
        <f>INDEX(LINEST(L558:L817,M558:T817,TRUE,TRUE),1,3)</f>
        <v/>
      </c>
      <c r="AH817" s="9">
        <f>INDEX(LINEST(L558:L817,M558:T817,TRUE,TRUE),1,2)</f>
        <v/>
      </c>
      <c r="AI817" s="9">
        <f>INDEX(LINEST(L558:L817,M558:T817,TRUE,TRUE),1,1)</f>
        <v/>
      </c>
      <c r="AJ817" s="10">
        <f>INDEX(LINEST(L558:L817,M558:T817,TRUE,TRUE),3,1)</f>
        <v/>
      </c>
      <c r="AK817" s="9">
        <f>AA816/52+AB816*M817+AC816*N817+AD816*O817+AE816*P817+AF816*Q817+AG816*R817+AH816*S817+AI816*T817</f>
        <v/>
      </c>
      <c r="AL817" s="9">
        <f>AVERAGE(L557:L816)</f>
        <v/>
      </c>
    </row>
    <row r="818">
      <c r="A818" s="7" t="n">
        <v>43336</v>
      </c>
      <c r="B818" s="8" t="n">
        <v>1197.7</v>
      </c>
      <c r="C818" s="8" t="n">
        <v>2.09</v>
      </c>
      <c r="D818" s="8" t="n">
        <v>0.73</v>
      </c>
      <c r="E818" s="8" t="n">
        <v>95.150002</v>
      </c>
      <c r="F818" s="8" t="n">
        <v>69.70999999999999</v>
      </c>
      <c r="G818" s="8" t="n">
        <v>11.99</v>
      </c>
      <c r="H818" s="8" t="n">
        <v>49.16</v>
      </c>
      <c r="I818" s="8" t="n">
        <v>2874.689941</v>
      </c>
      <c r="J818" s="8" t="n">
        <v>84.985619</v>
      </c>
      <c r="L818" s="9">
        <f>LN(B818/B817)</f>
        <v/>
      </c>
      <c r="M818" s="9">
        <f>$M$1*(C818-C817)</f>
        <v/>
      </c>
      <c r="N818" s="9">
        <f>$N$1*(D818-D817)</f>
        <v/>
      </c>
      <c r="O818" s="9">
        <f>$O$1*LN(E818/E817)</f>
        <v/>
      </c>
      <c r="P818" s="9">
        <f>$P$1*LN(F818/F817)</f>
        <v/>
      </c>
      <c r="Q818" s="9">
        <f>$Q$1*(G818-G817)</f>
        <v/>
      </c>
      <c r="R818" s="9">
        <f>$R$1*(H818-H817)</f>
        <v/>
      </c>
      <c r="S818" s="9">
        <f>$S$1*LN(I818/I817)</f>
        <v/>
      </c>
      <c r="T818" s="9">
        <f>$T$1*LN(J818/J817)</f>
        <v/>
      </c>
      <c r="U818" s="9">
        <f>$W$12+$W$4*M818+$W$5*N818+$W$6*O818+$W$7*P818+$W$8*Q818+$W$9*R818+$W$10*S818+$W$11*T818</f>
        <v/>
      </c>
      <c r="AA818" s="10">
        <f>INDEX(LINEST(L559:L818,M559:T818,TRUE,TRUE),1,9)*52</f>
        <v/>
      </c>
      <c r="AB818" s="9">
        <f>INDEX(LINEST(L559:L818,M559:T818,TRUE,TRUE),1,8)</f>
        <v/>
      </c>
      <c r="AC818" s="9">
        <f>INDEX(LINEST(L559:L818,M559:T818,TRUE,TRUE),1,7)</f>
        <v/>
      </c>
      <c r="AD818" s="9">
        <f>INDEX(LINEST(L559:L818,M559:T818,TRUE,TRUE),1,6)</f>
        <v/>
      </c>
      <c r="AE818" s="9">
        <f>INDEX(LINEST(L559:L818,M559:T818,TRUE,TRUE),1,5)</f>
        <v/>
      </c>
      <c r="AF818" s="9">
        <f>INDEX(LINEST(L559:L818,M559:T818,TRUE,TRUE),1,4)</f>
        <v/>
      </c>
      <c r="AG818" s="9">
        <f>INDEX(LINEST(L559:L818,M559:T818,TRUE,TRUE),1,3)</f>
        <v/>
      </c>
      <c r="AH818" s="9">
        <f>INDEX(LINEST(L559:L818,M559:T818,TRUE,TRUE),1,2)</f>
        <v/>
      </c>
      <c r="AI818" s="9">
        <f>INDEX(LINEST(L559:L818,M559:T818,TRUE,TRUE),1,1)</f>
        <v/>
      </c>
      <c r="AJ818" s="10">
        <f>INDEX(LINEST(L559:L818,M559:T818,TRUE,TRUE),3,1)</f>
        <v/>
      </c>
      <c r="AK818" s="9">
        <f>AA817/52+AB817*M818+AC817*N818+AD817*O818+AE817*P818+AF817*Q818+AG817*R818+AH817*S818+AI817*T818</f>
        <v/>
      </c>
      <c r="AL818" s="9">
        <f>AVERAGE(L558:L817)</f>
        <v/>
      </c>
    </row>
    <row r="819">
      <c r="A819" s="7" t="n">
        <v>43343</v>
      </c>
      <c r="B819" s="8" t="n">
        <v>1202.45</v>
      </c>
      <c r="C819" s="8" t="n">
        <v>2.08</v>
      </c>
      <c r="D819" s="8" t="n">
        <v>0.78</v>
      </c>
      <c r="E819" s="8" t="n">
        <v>95.139999</v>
      </c>
      <c r="F819" s="8" t="n">
        <v>69.84</v>
      </c>
      <c r="G819" s="8" t="n">
        <v>12.86</v>
      </c>
      <c r="H819" s="8" t="n">
        <v>50.709999</v>
      </c>
      <c r="I819" s="8" t="n">
        <v>2901.52002</v>
      </c>
      <c r="J819" s="8" t="n">
        <v>84.730774</v>
      </c>
      <c r="L819" s="9">
        <f>LN(B819/B818)</f>
        <v/>
      </c>
      <c r="M819" s="9">
        <f>$M$1*(C819-C818)</f>
        <v/>
      </c>
      <c r="N819" s="9">
        <f>$N$1*(D819-D818)</f>
        <v/>
      </c>
      <c r="O819" s="9">
        <f>$O$1*LN(E819/E818)</f>
        <v/>
      </c>
      <c r="P819" s="9">
        <f>$P$1*LN(F819/F818)</f>
        <v/>
      </c>
      <c r="Q819" s="9">
        <f>$Q$1*(G819-G818)</f>
        <v/>
      </c>
      <c r="R819" s="9">
        <f>$R$1*(H819-H818)</f>
        <v/>
      </c>
      <c r="S819" s="9">
        <f>$S$1*LN(I819/I818)</f>
        <v/>
      </c>
      <c r="T819" s="9">
        <f>$T$1*LN(J819/J818)</f>
        <v/>
      </c>
      <c r="U819" s="9">
        <f>$W$12+$W$4*M819+$W$5*N819+$W$6*O819+$W$7*P819+$W$8*Q819+$W$9*R819+$W$10*S819+$W$11*T819</f>
        <v/>
      </c>
      <c r="AA819" s="10">
        <f>INDEX(LINEST(L560:L819,M560:T819,TRUE,TRUE),1,9)*52</f>
        <v/>
      </c>
      <c r="AB819" s="9">
        <f>INDEX(LINEST(L560:L819,M560:T819,TRUE,TRUE),1,8)</f>
        <v/>
      </c>
      <c r="AC819" s="9">
        <f>INDEX(LINEST(L560:L819,M560:T819,TRUE,TRUE),1,7)</f>
        <v/>
      </c>
      <c r="AD819" s="9">
        <f>INDEX(LINEST(L560:L819,M560:T819,TRUE,TRUE),1,6)</f>
        <v/>
      </c>
      <c r="AE819" s="9">
        <f>INDEX(LINEST(L560:L819,M560:T819,TRUE,TRUE),1,5)</f>
        <v/>
      </c>
      <c r="AF819" s="9">
        <f>INDEX(LINEST(L560:L819,M560:T819,TRUE,TRUE),1,4)</f>
        <v/>
      </c>
      <c r="AG819" s="9">
        <f>INDEX(LINEST(L560:L819,M560:T819,TRUE,TRUE),1,3)</f>
        <v/>
      </c>
      <c r="AH819" s="9">
        <f>INDEX(LINEST(L560:L819,M560:T819,TRUE,TRUE),1,2)</f>
        <v/>
      </c>
      <c r="AI819" s="9">
        <f>INDEX(LINEST(L560:L819,M560:T819,TRUE,TRUE),1,1)</f>
        <v/>
      </c>
      <c r="AJ819" s="10">
        <f>INDEX(LINEST(L560:L819,M560:T819,TRUE,TRUE),3,1)</f>
        <v/>
      </c>
      <c r="AK819" s="9">
        <f>AA818/52+AB818*M819+AC818*N819+AD818*O819+AE818*P819+AF818*Q819+AG818*R819+AH818*S819+AI818*T819</f>
        <v/>
      </c>
      <c r="AL819" s="9">
        <f>AVERAGE(L559:L818)</f>
        <v/>
      </c>
    </row>
    <row r="820">
      <c r="A820" s="7" t="n">
        <v>43350</v>
      </c>
      <c r="B820" s="8" t="n">
        <v>1198.9</v>
      </c>
      <c r="C820" s="8" t="n">
        <v>2.1</v>
      </c>
      <c r="D820" s="8" t="n">
        <v>0.84</v>
      </c>
      <c r="E820" s="8" t="n">
        <v>95.370003</v>
      </c>
      <c r="F820" s="8" t="n">
        <v>67.73</v>
      </c>
      <c r="G820" s="8" t="n">
        <v>14.88</v>
      </c>
      <c r="H820" s="8" t="n">
        <v>49.43</v>
      </c>
      <c r="I820" s="8" t="n">
        <v>2871.679932</v>
      </c>
      <c r="J820" s="8" t="n">
        <v>84.437111</v>
      </c>
      <c r="L820" s="9">
        <f>LN(B820/B819)</f>
        <v/>
      </c>
      <c r="M820" s="9">
        <f>$M$1*(C820-C819)</f>
        <v/>
      </c>
      <c r="N820" s="9">
        <f>$N$1*(D820-D819)</f>
        <v/>
      </c>
      <c r="O820" s="9">
        <f>$O$1*LN(E820/E819)</f>
        <v/>
      </c>
      <c r="P820" s="9">
        <f>$P$1*LN(F820/F819)</f>
        <v/>
      </c>
      <c r="Q820" s="9">
        <f>$Q$1*(G820-G819)</f>
        <v/>
      </c>
      <c r="R820" s="9">
        <f>$R$1*(H820-H819)</f>
        <v/>
      </c>
      <c r="S820" s="9">
        <f>$S$1*LN(I820/I819)</f>
        <v/>
      </c>
      <c r="T820" s="9">
        <f>$T$1*LN(J820/J819)</f>
        <v/>
      </c>
      <c r="U820" s="9">
        <f>$W$12+$W$4*M820+$W$5*N820+$W$6*O820+$W$7*P820+$W$8*Q820+$W$9*R820+$W$10*S820+$W$11*T820</f>
        <v/>
      </c>
      <c r="AA820" s="10">
        <f>INDEX(LINEST(L561:L820,M561:T820,TRUE,TRUE),1,9)*52</f>
        <v/>
      </c>
      <c r="AB820" s="9">
        <f>INDEX(LINEST(L561:L820,M561:T820,TRUE,TRUE),1,8)</f>
        <v/>
      </c>
      <c r="AC820" s="9">
        <f>INDEX(LINEST(L561:L820,M561:T820,TRUE,TRUE),1,7)</f>
        <v/>
      </c>
      <c r="AD820" s="9">
        <f>INDEX(LINEST(L561:L820,M561:T820,TRUE,TRUE),1,6)</f>
        <v/>
      </c>
      <c r="AE820" s="9">
        <f>INDEX(LINEST(L561:L820,M561:T820,TRUE,TRUE),1,5)</f>
        <v/>
      </c>
      <c r="AF820" s="9">
        <f>INDEX(LINEST(L561:L820,M561:T820,TRUE,TRUE),1,4)</f>
        <v/>
      </c>
      <c r="AG820" s="9">
        <f>INDEX(LINEST(L561:L820,M561:T820,TRUE,TRUE),1,3)</f>
        <v/>
      </c>
      <c r="AH820" s="9">
        <f>INDEX(LINEST(L561:L820,M561:T820,TRUE,TRUE),1,2)</f>
        <v/>
      </c>
      <c r="AI820" s="9">
        <f>INDEX(LINEST(L561:L820,M561:T820,TRUE,TRUE),1,1)</f>
        <v/>
      </c>
      <c r="AJ820" s="10">
        <f>INDEX(LINEST(L561:L820,M561:T820,TRUE,TRUE),3,1)</f>
        <v/>
      </c>
      <c r="AK820" s="9">
        <f>AA819/52+AB819*M820+AC819*N820+AD819*O820+AE819*P820+AF819*Q820+AG819*R820+AH819*S820+AI819*T820</f>
        <v/>
      </c>
      <c r="AL820" s="9">
        <f>AVERAGE(L560:L819)</f>
        <v/>
      </c>
    </row>
    <row r="821">
      <c r="A821" s="7" t="n">
        <v>43357</v>
      </c>
      <c r="B821" s="8" t="n">
        <v>1201.95</v>
      </c>
      <c r="C821" s="8" t="n">
        <v>2.1</v>
      </c>
      <c r="D821" s="8" t="n">
        <v>0.89</v>
      </c>
      <c r="E821" s="8" t="n">
        <v>94.980003</v>
      </c>
      <c r="F821" s="8" t="n">
        <v>68.98</v>
      </c>
      <c r="G821" s="8" t="n">
        <v>12.07</v>
      </c>
      <c r="H821" s="8" t="n">
        <v>47.450001</v>
      </c>
      <c r="I821" s="8" t="n">
        <v>2904.97998</v>
      </c>
      <c r="J821" s="8" t="n">
        <v>84.325356</v>
      </c>
      <c r="L821" s="9">
        <f>LN(B821/B820)</f>
        <v/>
      </c>
      <c r="M821" s="9">
        <f>$M$1*(C821-C820)</f>
        <v/>
      </c>
      <c r="N821" s="9">
        <f>$N$1*(D821-D820)</f>
        <v/>
      </c>
      <c r="O821" s="9">
        <f>$O$1*LN(E821/E820)</f>
        <v/>
      </c>
      <c r="P821" s="9">
        <f>$P$1*LN(F821/F820)</f>
        <v/>
      </c>
      <c r="Q821" s="9">
        <f>$Q$1*(G821-G820)</f>
        <v/>
      </c>
      <c r="R821" s="9">
        <f>$R$1*(H821-H820)</f>
        <v/>
      </c>
      <c r="S821" s="9">
        <f>$S$1*LN(I821/I820)</f>
        <v/>
      </c>
      <c r="T821" s="9">
        <f>$T$1*LN(J821/J820)</f>
        <v/>
      </c>
      <c r="U821" s="9">
        <f>$W$12+$W$4*M821+$W$5*N821+$W$6*O821+$W$7*P821+$W$8*Q821+$W$9*R821+$W$10*S821+$W$11*T821</f>
        <v/>
      </c>
      <c r="AA821" s="10">
        <f>INDEX(LINEST(L562:L821,M562:T821,TRUE,TRUE),1,9)*52</f>
        <v/>
      </c>
      <c r="AB821" s="9">
        <f>INDEX(LINEST(L562:L821,M562:T821,TRUE,TRUE),1,8)</f>
        <v/>
      </c>
      <c r="AC821" s="9">
        <f>INDEX(LINEST(L562:L821,M562:T821,TRUE,TRUE),1,7)</f>
        <v/>
      </c>
      <c r="AD821" s="9">
        <f>INDEX(LINEST(L562:L821,M562:T821,TRUE,TRUE),1,6)</f>
        <v/>
      </c>
      <c r="AE821" s="9">
        <f>INDEX(LINEST(L562:L821,M562:T821,TRUE,TRUE),1,5)</f>
        <v/>
      </c>
      <c r="AF821" s="9">
        <f>INDEX(LINEST(L562:L821,M562:T821,TRUE,TRUE),1,4)</f>
        <v/>
      </c>
      <c r="AG821" s="9">
        <f>INDEX(LINEST(L562:L821,M562:T821,TRUE,TRUE),1,3)</f>
        <v/>
      </c>
      <c r="AH821" s="9">
        <f>INDEX(LINEST(L562:L821,M562:T821,TRUE,TRUE),1,2)</f>
        <v/>
      </c>
      <c r="AI821" s="9">
        <f>INDEX(LINEST(L562:L821,M562:T821,TRUE,TRUE),1,1)</f>
        <v/>
      </c>
      <c r="AJ821" s="10">
        <f>INDEX(LINEST(L562:L821,M562:T821,TRUE,TRUE),3,1)</f>
        <v/>
      </c>
      <c r="AK821" s="9">
        <f>AA820/52+AB820*M821+AC820*N821+AD820*O821+AE820*P821+AF820*Q821+AG820*R821+AH820*S821+AI820*T821</f>
        <v/>
      </c>
      <c r="AL821" s="9">
        <f>AVERAGE(L561:L820)</f>
        <v/>
      </c>
    </row>
    <row r="822">
      <c r="A822" s="7" t="n">
        <v>43364</v>
      </c>
      <c r="B822" s="8" t="n">
        <v>1198.7</v>
      </c>
      <c r="C822" s="8" t="n">
        <v>2.15</v>
      </c>
      <c r="D822" s="8" t="n">
        <v>0.92</v>
      </c>
      <c r="E822" s="8" t="n">
        <v>94.220001</v>
      </c>
      <c r="F822" s="8" t="n">
        <v>70.8</v>
      </c>
      <c r="G822" s="8" t="n">
        <v>11.68</v>
      </c>
      <c r="H822" s="8" t="n">
        <v>48.830002</v>
      </c>
      <c r="I822" s="8" t="n">
        <v>2929.669922</v>
      </c>
      <c r="J822" s="8" t="n">
        <v>84.15780599999999</v>
      </c>
      <c r="L822" s="9">
        <f>LN(B822/B821)</f>
        <v/>
      </c>
      <c r="M822" s="9">
        <f>$M$1*(C822-C821)</f>
        <v/>
      </c>
      <c r="N822" s="9">
        <f>$N$1*(D822-D821)</f>
        <v/>
      </c>
      <c r="O822" s="9">
        <f>$O$1*LN(E822/E821)</f>
        <v/>
      </c>
      <c r="P822" s="9">
        <f>$P$1*LN(F822/F821)</f>
        <v/>
      </c>
      <c r="Q822" s="9">
        <f>$Q$1*(G822-G821)</f>
        <v/>
      </c>
      <c r="R822" s="9">
        <f>$R$1*(H822-H821)</f>
        <v/>
      </c>
      <c r="S822" s="9">
        <f>$S$1*LN(I822/I821)</f>
        <v/>
      </c>
      <c r="T822" s="9">
        <f>$T$1*LN(J822/J821)</f>
        <v/>
      </c>
      <c r="U822" s="9">
        <f>$W$12+$W$4*M822+$W$5*N822+$W$6*O822+$W$7*P822+$W$8*Q822+$W$9*R822+$W$10*S822+$W$11*T822</f>
        <v/>
      </c>
      <c r="AA822" s="10">
        <f>INDEX(LINEST(L563:L822,M563:T822,TRUE,TRUE),1,9)*52</f>
        <v/>
      </c>
      <c r="AB822" s="9">
        <f>INDEX(LINEST(L563:L822,M563:T822,TRUE,TRUE),1,8)</f>
        <v/>
      </c>
      <c r="AC822" s="9">
        <f>INDEX(LINEST(L563:L822,M563:T822,TRUE,TRUE),1,7)</f>
        <v/>
      </c>
      <c r="AD822" s="9">
        <f>INDEX(LINEST(L563:L822,M563:T822,TRUE,TRUE),1,6)</f>
        <v/>
      </c>
      <c r="AE822" s="9">
        <f>INDEX(LINEST(L563:L822,M563:T822,TRUE,TRUE),1,5)</f>
        <v/>
      </c>
      <c r="AF822" s="9">
        <f>INDEX(LINEST(L563:L822,M563:T822,TRUE,TRUE),1,4)</f>
        <v/>
      </c>
      <c r="AG822" s="9">
        <f>INDEX(LINEST(L563:L822,M563:T822,TRUE,TRUE),1,3)</f>
        <v/>
      </c>
      <c r="AH822" s="9">
        <f>INDEX(LINEST(L563:L822,M563:T822,TRUE,TRUE),1,2)</f>
        <v/>
      </c>
      <c r="AI822" s="9">
        <f>INDEX(LINEST(L563:L822,M563:T822,TRUE,TRUE),1,1)</f>
        <v/>
      </c>
      <c r="AJ822" s="10">
        <f>INDEX(LINEST(L563:L822,M563:T822,TRUE,TRUE),3,1)</f>
        <v/>
      </c>
      <c r="AK822" s="9">
        <f>AA821/52+AB821*M822+AC821*N822+AD821*O822+AE821*P822+AF821*Q822+AG821*R822+AH821*S822+AI821*T822</f>
        <v/>
      </c>
      <c r="AL822" s="9">
        <f>AVERAGE(L562:L821)</f>
        <v/>
      </c>
    </row>
    <row r="823">
      <c r="A823" s="7" t="n">
        <v>43371</v>
      </c>
      <c r="B823" s="8" t="n">
        <v>1187.25</v>
      </c>
      <c r="C823" s="8" t="n">
        <v>2.14</v>
      </c>
      <c r="D823" s="8" t="n">
        <v>0.91</v>
      </c>
      <c r="E823" s="8" t="n">
        <v>95.19000200000001</v>
      </c>
      <c r="F823" s="8" t="n">
        <v>73.16</v>
      </c>
      <c r="G823" s="8" t="n">
        <v>12.12</v>
      </c>
      <c r="H823" s="8" t="n">
        <v>46.16</v>
      </c>
      <c r="I823" s="8" t="n">
        <v>2913.97998</v>
      </c>
      <c r="J823" s="8" t="n">
        <v>84.20568799999999</v>
      </c>
      <c r="L823" s="9">
        <f>LN(B823/B822)</f>
        <v/>
      </c>
      <c r="M823" s="9">
        <f>$M$1*(C823-C822)</f>
        <v/>
      </c>
      <c r="N823" s="9">
        <f>$N$1*(D823-D822)</f>
        <v/>
      </c>
      <c r="O823" s="9">
        <f>$O$1*LN(E823/E822)</f>
        <v/>
      </c>
      <c r="P823" s="9">
        <f>$P$1*LN(F823/F822)</f>
        <v/>
      </c>
      <c r="Q823" s="9">
        <f>$Q$1*(G823-G822)</f>
        <v/>
      </c>
      <c r="R823" s="9">
        <f>$R$1*(H823-H822)</f>
        <v/>
      </c>
      <c r="S823" s="9">
        <f>$S$1*LN(I823/I822)</f>
        <v/>
      </c>
      <c r="T823" s="9">
        <f>$T$1*LN(J823/J822)</f>
        <v/>
      </c>
      <c r="U823" s="9">
        <f>$W$12+$W$4*M823+$W$5*N823+$W$6*O823+$W$7*P823+$W$8*Q823+$W$9*R823+$W$10*S823+$W$11*T823</f>
        <v/>
      </c>
      <c r="AA823" s="10">
        <f>INDEX(LINEST(L564:L823,M564:T823,TRUE,TRUE),1,9)*52</f>
        <v/>
      </c>
      <c r="AB823" s="9">
        <f>INDEX(LINEST(L564:L823,M564:T823,TRUE,TRUE),1,8)</f>
        <v/>
      </c>
      <c r="AC823" s="9">
        <f>INDEX(LINEST(L564:L823,M564:T823,TRUE,TRUE),1,7)</f>
        <v/>
      </c>
      <c r="AD823" s="9">
        <f>INDEX(LINEST(L564:L823,M564:T823,TRUE,TRUE),1,6)</f>
        <v/>
      </c>
      <c r="AE823" s="9">
        <f>INDEX(LINEST(L564:L823,M564:T823,TRUE,TRUE),1,5)</f>
        <v/>
      </c>
      <c r="AF823" s="9">
        <f>INDEX(LINEST(L564:L823,M564:T823,TRUE,TRUE),1,4)</f>
        <v/>
      </c>
      <c r="AG823" s="9">
        <f>INDEX(LINEST(L564:L823,M564:T823,TRUE,TRUE),1,3)</f>
        <v/>
      </c>
      <c r="AH823" s="9">
        <f>INDEX(LINEST(L564:L823,M564:T823,TRUE,TRUE),1,2)</f>
        <v/>
      </c>
      <c r="AI823" s="9">
        <f>INDEX(LINEST(L564:L823,M564:T823,TRUE,TRUE),1,1)</f>
        <v/>
      </c>
      <c r="AJ823" s="10">
        <f>INDEX(LINEST(L564:L823,M564:T823,TRUE,TRUE),3,1)</f>
        <v/>
      </c>
      <c r="AK823" s="9">
        <f>AA822/52+AB822*M823+AC822*N823+AD822*O823+AE822*P823+AF822*Q823+AG822*R823+AH822*S823+AI822*T823</f>
        <v/>
      </c>
      <c r="AL823" s="9">
        <f>AVERAGE(L563:L822)</f>
        <v/>
      </c>
    </row>
    <row r="824">
      <c r="A824" s="7" t="n">
        <v>43378</v>
      </c>
      <c r="B824" s="8" t="n">
        <v>1203.8</v>
      </c>
      <c r="C824" s="8" t="n">
        <v>2.16</v>
      </c>
      <c r="D824" s="8" t="n">
        <v>1.07</v>
      </c>
      <c r="E824" s="8" t="n">
        <v>95.620003</v>
      </c>
      <c r="F824" s="8" t="n">
        <v>74.26000000000001</v>
      </c>
      <c r="G824" s="8" t="n">
        <v>14.82</v>
      </c>
      <c r="H824" s="8" t="n">
        <v>55.189999</v>
      </c>
      <c r="I824" s="8" t="n">
        <v>2885.570068</v>
      </c>
      <c r="J824" s="8" t="n">
        <v>83.45536800000001</v>
      </c>
      <c r="L824" s="9">
        <f>LN(B824/B823)</f>
        <v/>
      </c>
      <c r="M824" s="9">
        <f>$M$1*(C824-C823)</f>
        <v/>
      </c>
      <c r="N824" s="9">
        <f>$N$1*(D824-D823)</f>
        <v/>
      </c>
      <c r="O824" s="9">
        <f>$O$1*LN(E824/E823)</f>
        <v/>
      </c>
      <c r="P824" s="9">
        <f>$P$1*LN(F824/F823)</f>
        <v/>
      </c>
      <c r="Q824" s="9">
        <f>$Q$1*(G824-G823)</f>
        <v/>
      </c>
      <c r="R824" s="9">
        <f>$R$1*(H824-H823)</f>
        <v/>
      </c>
      <c r="S824" s="9">
        <f>$S$1*LN(I824/I823)</f>
        <v/>
      </c>
      <c r="T824" s="9">
        <f>$T$1*LN(J824/J823)</f>
        <v/>
      </c>
      <c r="U824" s="9">
        <f>$W$12+$W$4*M824+$W$5*N824+$W$6*O824+$W$7*P824+$W$8*Q824+$W$9*R824+$W$10*S824+$W$11*T824</f>
        <v/>
      </c>
      <c r="AA824" s="10">
        <f>INDEX(LINEST(L565:L824,M565:T824,TRUE,TRUE),1,9)*52</f>
        <v/>
      </c>
      <c r="AB824" s="9">
        <f>INDEX(LINEST(L565:L824,M565:T824,TRUE,TRUE),1,8)</f>
        <v/>
      </c>
      <c r="AC824" s="9">
        <f>INDEX(LINEST(L565:L824,M565:T824,TRUE,TRUE),1,7)</f>
        <v/>
      </c>
      <c r="AD824" s="9">
        <f>INDEX(LINEST(L565:L824,M565:T824,TRUE,TRUE),1,6)</f>
        <v/>
      </c>
      <c r="AE824" s="9">
        <f>INDEX(LINEST(L565:L824,M565:T824,TRUE,TRUE),1,5)</f>
        <v/>
      </c>
      <c r="AF824" s="9">
        <f>INDEX(LINEST(L565:L824,M565:T824,TRUE,TRUE),1,4)</f>
        <v/>
      </c>
      <c r="AG824" s="9">
        <f>INDEX(LINEST(L565:L824,M565:T824,TRUE,TRUE),1,3)</f>
        <v/>
      </c>
      <c r="AH824" s="9">
        <f>INDEX(LINEST(L565:L824,M565:T824,TRUE,TRUE),1,2)</f>
        <v/>
      </c>
      <c r="AI824" s="9">
        <f>INDEX(LINEST(L565:L824,M565:T824,TRUE,TRUE),1,1)</f>
        <v/>
      </c>
      <c r="AJ824" s="10">
        <f>INDEX(LINEST(L565:L824,M565:T824,TRUE,TRUE),3,1)</f>
        <v/>
      </c>
      <c r="AK824" s="9">
        <f>AA823/52+AB823*M824+AC823*N824+AD823*O824+AE823*P824+AF823*Q824+AG823*R824+AH823*S824+AI823*T824</f>
        <v/>
      </c>
      <c r="AL824" s="9">
        <f>AVERAGE(L564:L823)</f>
        <v/>
      </c>
    </row>
    <row r="825">
      <c r="A825" s="7" t="n">
        <v>43385</v>
      </c>
      <c r="B825" s="8" t="n">
        <v>1219.75</v>
      </c>
      <c r="C825" s="8" t="n">
        <v>2.12</v>
      </c>
      <c r="D825" s="8" t="n">
        <v>1.03</v>
      </c>
      <c r="E825" s="8" t="n">
        <v>95.220001</v>
      </c>
      <c r="F825" s="8" t="n">
        <v>71.41</v>
      </c>
      <c r="G825" s="8" t="n">
        <v>21.31</v>
      </c>
      <c r="H825" s="8" t="n">
        <v>54.369999</v>
      </c>
      <c r="I825" s="8" t="n">
        <v>2767.129883</v>
      </c>
      <c r="J825" s="8" t="n">
        <v>83.79135100000001</v>
      </c>
      <c r="L825" s="9">
        <f>LN(B825/B824)</f>
        <v/>
      </c>
      <c r="M825" s="9">
        <f>$M$1*(C825-C824)</f>
        <v/>
      </c>
      <c r="N825" s="9">
        <f>$N$1*(D825-D824)</f>
        <v/>
      </c>
      <c r="O825" s="9">
        <f>$O$1*LN(E825/E824)</f>
        <v/>
      </c>
      <c r="P825" s="9">
        <f>$P$1*LN(F825/F824)</f>
        <v/>
      </c>
      <c r="Q825" s="9">
        <f>$Q$1*(G825-G824)</f>
        <v/>
      </c>
      <c r="R825" s="9">
        <f>$R$1*(H825-H824)</f>
        <v/>
      </c>
      <c r="S825" s="9">
        <f>$S$1*LN(I825/I824)</f>
        <v/>
      </c>
      <c r="T825" s="9">
        <f>$T$1*LN(J825/J824)</f>
        <v/>
      </c>
      <c r="U825" s="9">
        <f>$W$12+$W$4*M825+$W$5*N825+$W$6*O825+$W$7*P825+$W$8*Q825+$W$9*R825+$W$10*S825+$W$11*T825</f>
        <v/>
      </c>
      <c r="AA825" s="10">
        <f>INDEX(LINEST(L566:L825,M566:T825,TRUE,TRUE),1,9)*52</f>
        <v/>
      </c>
      <c r="AB825" s="9">
        <f>INDEX(LINEST(L566:L825,M566:T825,TRUE,TRUE),1,8)</f>
        <v/>
      </c>
      <c r="AC825" s="9">
        <f>INDEX(LINEST(L566:L825,M566:T825,TRUE,TRUE),1,7)</f>
        <v/>
      </c>
      <c r="AD825" s="9">
        <f>INDEX(LINEST(L566:L825,M566:T825,TRUE,TRUE),1,6)</f>
        <v/>
      </c>
      <c r="AE825" s="9">
        <f>INDEX(LINEST(L566:L825,M566:T825,TRUE,TRUE),1,5)</f>
        <v/>
      </c>
      <c r="AF825" s="9">
        <f>INDEX(LINEST(L566:L825,M566:T825,TRUE,TRUE),1,4)</f>
        <v/>
      </c>
      <c r="AG825" s="9">
        <f>INDEX(LINEST(L566:L825,M566:T825,TRUE,TRUE),1,3)</f>
        <v/>
      </c>
      <c r="AH825" s="9">
        <f>INDEX(LINEST(L566:L825,M566:T825,TRUE,TRUE),1,2)</f>
        <v/>
      </c>
      <c r="AI825" s="9">
        <f>INDEX(LINEST(L566:L825,M566:T825,TRUE,TRUE),1,1)</f>
        <v/>
      </c>
      <c r="AJ825" s="10">
        <f>INDEX(LINEST(L566:L825,M566:T825,TRUE,TRUE),3,1)</f>
        <v/>
      </c>
      <c r="AK825" s="9">
        <f>AA824/52+AB824*M825+AC824*N825+AD824*O825+AE824*P825+AF824*Q825+AG824*R825+AH824*S825+AI824*T825</f>
        <v/>
      </c>
      <c r="AL825" s="9">
        <f>AVERAGE(L565:L824)</f>
        <v/>
      </c>
    </row>
    <row r="826">
      <c r="A826" s="7" t="n">
        <v>43392</v>
      </c>
      <c r="B826" s="8" t="n">
        <v>1227.85</v>
      </c>
      <c r="C826" s="8" t="n">
        <v>2.11</v>
      </c>
      <c r="D826" s="8" t="n">
        <v>1.09</v>
      </c>
      <c r="E826" s="8" t="n">
        <v>95.709999</v>
      </c>
      <c r="F826" s="8" t="n">
        <v>69.16</v>
      </c>
      <c r="G826" s="8" t="n">
        <v>19.89</v>
      </c>
      <c r="H826" s="8" t="n">
        <v>52.040001</v>
      </c>
      <c r="I826" s="8" t="n">
        <v>2767.780029</v>
      </c>
      <c r="J826" s="8" t="n">
        <v>83.48736599999999</v>
      </c>
      <c r="L826" s="9">
        <f>LN(B826/B825)</f>
        <v/>
      </c>
      <c r="M826" s="9">
        <f>$M$1*(C826-C825)</f>
        <v/>
      </c>
      <c r="N826" s="9">
        <f>$N$1*(D826-D825)</f>
        <v/>
      </c>
      <c r="O826" s="9">
        <f>$O$1*LN(E826/E825)</f>
        <v/>
      </c>
      <c r="P826" s="9">
        <f>$P$1*LN(F826/F825)</f>
        <v/>
      </c>
      <c r="Q826" s="9">
        <f>$Q$1*(G826-G825)</f>
        <v/>
      </c>
      <c r="R826" s="9">
        <f>$R$1*(H826-H825)</f>
        <v/>
      </c>
      <c r="S826" s="9">
        <f>$S$1*LN(I826/I825)</f>
        <v/>
      </c>
      <c r="T826" s="9">
        <f>$T$1*LN(J826/J825)</f>
        <v/>
      </c>
      <c r="U826" s="9">
        <f>$W$12+$W$4*M826+$W$5*N826+$W$6*O826+$W$7*P826+$W$8*Q826+$W$9*R826+$W$10*S826+$W$11*T826</f>
        <v/>
      </c>
      <c r="AA826" s="10">
        <f>INDEX(LINEST(L567:L826,M567:T826,TRUE,TRUE),1,9)*52</f>
        <v/>
      </c>
      <c r="AB826" s="9">
        <f>INDEX(LINEST(L567:L826,M567:T826,TRUE,TRUE),1,8)</f>
        <v/>
      </c>
      <c r="AC826" s="9">
        <f>INDEX(LINEST(L567:L826,M567:T826,TRUE,TRUE),1,7)</f>
        <v/>
      </c>
      <c r="AD826" s="9">
        <f>INDEX(LINEST(L567:L826,M567:T826,TRUE,TRUE),1,6)</f>
        <v/>
      </c>
      <c r="AE826" s="9">
        <f>INDEX(LINEST(L567:L826,M567:T826,TRUE,TRUE),1,5)</f>
        <v/>
      </c>
      <c r="AF826" s="9">
        <f>INDEX(LINEST(L567:L826,M567:T826,TRUE,TRUE),1,4)</f>
        <v/>
      </c>
      <c r="AG826" s="9">
        <f>INDEX(LINEST(L567:L826,M567:T826,TRUE,TRUE),1,3)</f>
        <v/>
      </c>
      <c r="AH826" s="9">
        <f>INDEX(LINEST(L567:L826,M567:T826,TRUE,TRUE),1,2)</f>
        <v/>
      </c>
      <c r="AI826" s="9">
        <f>INDEX(LINEST(L567:L826,M567:T826,TRUE,TRUE),1,1)</f>
        <v/>
      </c>
      <c r="AJ826" s="10">
        <f>INDEX(LINEST(L567:L826,M567:T826,TRUE,TRUE),3,1)</f>
        <v/>
      </c>
      <c r="AK826" s="9">
        <f>AA825/52+AB825*M826+AC825*N826+AD825*O826+AE825*P826+AF825*Q826+AG825*R826+AH825*S826+AI825*T826</f>
        <v/>
      </c>
      <c r="AL826" s="9">
        <f>AVERAGE(L566:L825)</f>
        <v/>
      </c>
    </row>
    <row r="827">
      <c r="A827" s="7" t="n">
        <v>43399</v>
      </c>
      <c r="B827" s="8" t="n">
        <v>1233.85</v>
      </c>
      <c r="C827" s="8" t="n">
        <v>2.06</v>
      </c>
      <c r="D827" s="8" t="n">
        <v>1.02</v>
      </c>
      <c r="E827" s="8" t="n">
        <v>96.360001</v>
      </c>
      <c r="F827" s="8" t="n">
        <v>67.58</v>
      </c>
      <c r="G827" s="8" t="n">
        <v>24.16</v>
      </c>
      <c r="H827" s="8" t="n">
        <v>62.700001</v>
      </c>
      <c r="I827" s="8" t="n">
        <v>2658.689941</v>
      </c>
      <c r="J827" s="8" t="n">
        <v>83.91132399999999</v>
      </c>
      <c r="L827" s="9">
        <f>LN(B827/B826)</f>
        <v/>
      </c>
      <c r="M827" s="9">
        <f>$M$1*(C827-C826)</f>
        <v/>
      </c>
      <c r="N827" s="9">
        <f>$N$1*(D827-D826)</f>
        <v/>
      </c>
      <c r="O827" s="9">
        <f>$O$1*LN(E827/E826)</f>
        <v/>
      </c>
      <c r="P827" s="9">
        <f>$P$1*LN(F827/F826)</f>
        <v/>
      </c>
      <c r="Q827" s="9">
        <f>$Q$1*(G827-G826)</f>
        <v/>
      </c>
      <c r="R827" s="9">
        <f>$R$1*(H827-H826)</f>
        <v/>
      </c>
      <c r="S827" s="9">
        <f>$S$1*LN(I827/I826)</f>
        <v/>
      </c>
      <c r="T827" s="9">
        <f>$T$1*LN(J827/J826)</f>
        <v/>
      </c>
      <c r="U827" s="9">
        <f>$W$12+$W$4*M827+$W$5*N827+$W$6*O827+$W$7*P827+$W$8*Q827+$W$9*R827+$W$10*S827+$W$11*T827</f>
        <v/>
      </c>
      <c r="AA827" s="10">
        <f>INDEX(LINEST(L568:L827,M568:T827,TRUE,TRUE),1,9)*52</f>
        <v/>
      </c>
      <c r="AB827" s="9">
        <f>INDEX(LINEST(L568:L827,M568:T827,TRUE,TRUE),1,8)</f>
        <v/>
      </c>
      <c r="AC827" s="9">
        <f>INDEX(LINEST(L568:L827,M568:T827,TRUE,TRUE),1,7)</f>
        <v/>
      </c>
      <c r="AD827" s="9">
        <f>INDEX(LINEST(L568:L827,M568:T827,TRUE,TRUE),1,6)</f>
        <v/>
      </c>
      <c r="AE827" s="9">
        <f>INDEX(LINEST(L568:L827,M568:T827,TRUE,TRUE),1,5)</f>
        <v/>
      </c>
      <c r="AF827" s="9">
        <f>INDEX(LINEST(L568:L827,M568:T827,TRUE,TRUE),1,4)</f>
        <v/>
      </c>
      <c r="AG827" s="9">
        <f>INDEX(LINEST(L568:L827,M568:T827,TRUE,TRUE),1,3)</f>
        <v/>
      </c>
      <c r="AH827" s="9">
        <f>INDEX(LINEST(L568:L827,M568:T827,TRUE,TRUE),1,2)</f>
        <v/>
      </c>
      <c r="AI827" s="9">
        <f>INDEX(LINEST(L568:L827,M568:T827,TRUE,TRUE),1,1)</f>
        <v/>
      </c>
      <c r="AJ827" s="10">
        <f>INDEX(LINEST(L568:L827,M568:T827,TRUE,TRUE),3,1)</f>
        <v/>
      </c>
      <c r="AK827" s="9">
        <f>AA826/52+AB826*M827+AC826*N827+AD826*O827+AE826*P827+AF826*Q827+AG826*R827+AH826*S827+AI826*T827</f>
        <v/>
      </c>
      <c r="AL827" s="9">
        <f>AVERAGE(L567:L826)</f>
        <v/>
      </c>
    </row>
    <row r="828">
      <c r="A828" s="7" t="n">
        <v>43406</v>
      </c>
      <c r="B828" s="8" t="n">
        <v>1232.1</v>
      </c>
      <c r="C828" s="8" t="n">
        <v>2.06</v>
      </c>
      <c r="D828" s="8" t="n">
        <v>1.16</v>
      </c>
      <c r="E828" s="8" t="n">
        <v>96.540001</v>
      </c>
      <c r="F828" s="8" t="n">
        <v>63.12</v>
      </c>
      <c r="G828" s="8" t="n">
        <v>19.51</v>
      </c>
      <c r="H828" s="8" t="n">
        <v>61.419998</v>
      </c>
      <c r="I828" s="8" t="n">
        <v>2723.060059</v>
      </c>
      <c r="J828" s="8" t="n">
        <v>83.62556499999999</v>
      </c>
      <c r="L828" s="9">
        <f>LN(B828/B827)</f>
        <v/>
      </c>
      <c r="M828" s="9">
        <f>$M$1*(C828-C827)</f>
        <v/>
      </c>
      <c r="N828" s="9">
        <f>$N$1*(D828-D827)</f>
        <v/>
      </c>
      <c r="O828" s="9">
        <f>$O$1*LN(E828/E827)</f>
        <v/>
      </c>
      <c r="P828" s="9">
        <f>$P$1*LN(F828/F827)</f>
        <v/>
      </c>
      <c r="Q828" s="9">
        <f>$Q$1*(G828-G827)</f>
        <v/>
      </c>
      <c r="R828" s="9">
        <f>$R$1*(H828-H827)</f>
        <v/>
      </c>
      <c r="S828" s="9">
        <f>$S$1*LN(I828/I827)</f>
        <v/>
      </c>
      <c r="T828" s="9">
        <f>$T$1*LN(J828/J827)</f>
        <v/>
      </c>
      <c r="U828" s="9">
        <f>$W$12+$W$4*M828+$W$5*N828+$W$6*O828+$W$7*P828+$W$8*Q828+$W$9*R828+$W$10*S828+$W$11*T828</f>
        <v/>
      </c>
      <c r="AA828" s="10">
        <f>INDEX(LINEST(L569:L828,M569:T828,TRUE,TRUE),1,9)*52</f>
        <v/>
      </c>
      <c r="AB828" s="9">
        <f>INDEX(LINEST(L569:L828,M569:T828,TRUE,TRUE),1,8)</f>
        <v/>
      </c>
      <c r="AC828" s="9">
        <f>INDEX(LINEST(L569:L828,M569:T828,TRUE,TRUE),1,7)</f>
        <v/>
      </c>
      <c r="AD828" s="9">
        <f>INDEX(LINEST(L569:L828,M569:T828,TRUE,TRUE),1,6)</f>
        <v/>
      </c>
      <c r="AE828" s="9">
        <f>INDEX(LINEST(L569:L828,M569:T828,TRUE,TRUE),1,5)</f>
        <v/>
      </c>
      <c r="AF828" s="9">
        <f>INDEX(LINEST(L569:L828,M569:T828,TRUE,TRUE),1,4)</f>
        <v/>
      </c>
      <c r="AG828" s="9">
        <f>INDEX(LINEST(L569:L828,M569:T828,TRUE,TRUE),1,3)</f>
        <v/>
      </c>
      <c r="AH828" s="9">
        <f>INDEX(LINEST(L569:L828,M569:T828,TRUE,TRUE),1,2)</f>
        <v/>
      </c>
      <c r="AI828" s="9">
        <f>INDEX(LINEST(L569:L828,M569:T828,TRUE,TRUE),1,1)</f>
        <v/>
      </c>
      <c r="AJ828" s="10">
        <f>INDEX(LINEST(L569:L828,M569:T828,TRUE,TRUE),3,1)</f>
        <v/>
      </c>
      <c r="AK828" s="9">
        <f>AA827/52+AB827*M828+AC827*N828+AD827*O828+AE827*P828+AF827*Q828+AG827*R828+AH827*S828+AI827*T828</f>
        <v/>
      </c>
      <c r="AL828" s="9">
        <f>AVERAGE(L568:L827)</f>
        <v/>
      </c>
    </row>
    <row r="829">
      <c r="A829" s="7" t="n">
        <v>43413</v>
      </c>
      <c r="B829" s="8" t="n">
        <v>1211.4</v>
      </c>
      <c r="C829" s="8" t="n">
        <v>2.04</v>
      </c>
      <c r="D829" s="8" t="n">
        <v>1.15</v>
      </c>
      <c r="E829" s="8" t="n">
        <v>96.910004</v>
      </c>
      <c r="F829" s="8" t="n">
        <v>60.19</v>
      </c>
      <c r="G829" s="8" t="n">
        <v>17.36</v>
      </c>
      <c r="H829" s="8" t="n">
        <v>53.540001</v>
      </c>
      <c r="I829" s="8" t="n">
        <v>2781.01001</v>
      </c>
      <c r="J829" s="8" t="n">
        <v>83.714005</v>
      </c>
      <c r="L829" s="9">
        <f>LN(B829/B828)</f>
        <v/>
      </c>
      <c r="M829" s="9">
        <f>$M$1*(C829-C828)</f>
        <v/>
      </c>
      <c r="N829" s="9">
        <f>$N$1*(D829-D828)</f>
        <v/>
      </c>
      <c r="O829" s="9">
        <f>$O$1*LN(E829/E828)</f>
        <v/>
      </c>
      <c r="P829" s="9">
        <f>$P$1*LN(F829/F828)</f>
        <v/>
      </c>
      <c r="Q829" s="9">
        <f>$Q$1*(G829-G828)</f>
        <v/>
      </c>
      <c r="R829" s="9">
        <f>$R$1*(H829-H828)</f>
        <v/>
      </c>
      <c r="S829" s="9">
        <f>$S$1*LN(I829/I828)</f>
        <v/>
      </c>
      <c r="T829" s="9">
        <f>$T$1*LN(J829/J828)</f>
        <v/>
      </c>
      <c r="U829" s="9">
        <f>$W$12+$W$4*M829+$W$5*N829+$W$6*O829+$W$7*P829+$W$8*Q829+$W$9*R829+$W$10*S829+$W$11*T829</f>
        <v/>
      </c>
      <c r="AA829" s="10">
        <f>INDEX(LINEST(L570:L829,M570:T829,TRUE,TRUE),1,9)*52</f>
        <v/>
      </c>
      <c r="AB829" s="9">
        <f>INDEX(LINEST(L570:L829,M570:T829,TRUE,TRUE),1,8)</f>
        <v/>
      </c>
      <c r="AC829" s="9">
        <f>INDEX(LINEST(L570:L829,M570:T829,TRUE,TRUE),1,7)</f>
        <v/>
      </c>
      <c r="AD829" s="9">
        <f>INDEX(LINEST(L570:L829,M570:T829,TRUE,TRUE),1,6)</f>
        <v/>
      </c>
      <c r="AE829" s="9">
        <f>INDEX(LINEST(L570:L829,M570:T829,TRUE,TRUE),1,5)</f>
        <v/>
      </c>
      <c r="AF829" s="9">
        <f>INDEX(LINEST(L570:L829,M570:T829,TRUE,TRUE),1,4)</f>
        <v/>
      </c>
      <c r="AG829" s="9">
        <f>INDEX(LINEST(L570:L829,M570:T829,TRUE,TRUE),1,3)</f>
        <v/>
      </c>
      <c r="AH829" s="9">
        <f>INDEX(LINEST(L570:L829,M570:T829,TRUE,TRUE),1,2)</f>
        <v/>
      </c>
      <c r="AI829" s="9">
        <f>INDEX(LINEST(L570:L829,M570:T829,TRUE,TRUE),1,1)</f>
        <v/>
      </c>
      <c r="AJ829" s="10">
        <f>INDEX(LINEST(L570:L829,M570:T829,TRUE,TRUE),3,1)</f>
        <v/>
      </c>
      <c r="AK829" s="9">
        <f>AA828/52+AB828*M829+AC828*N829+AD828*O829+AE828*P829+AF828*Q829+AG828*R829+AH828*S829+AI828*T829</f>
        <v/>
      </c>
      <c r="AL829" s="9">
        <f>AVERAGE(L569:L828)</f>
        <v/>
      </c>
    </row>
    <row r="830">
      <c r="A830" s="7" t="n">
        <v>43420</v>
      </c>
      <c r="B830" s="8" t="n">
        <v>1222.4</v>
      </c>
      <c r="C830" s="8" t="n">
        <v>2.02</v>
      </c>
      <c r="D830" s="8" t="n">
        <v>1.06</v>
      </c>
      <c r="E830" s="8" t="n">
        <v>96.470001</v>
      </c>
      <c r="F830" s="8" t="n">
        <v>56.49</v>
      </c>
      <c r="G830" s="8" t="n">
        <v>18.14</v>
      </c>
      <c r="H830" s="8" t="n">
        <v>60.43</v>
      </c>
      <c r="I830" s="8" t="n">
        <v>2736.27002</v>
      </c>
      <c r="J830" s="8" t="n">
        <v>84.13200399999999</v>
      </c>
      <c r="L830" s="9">
        <f>LN(B830/B829)</f>
        <v/>
      </c>
      <c r="M830" s="9">
        <f>$M$1*(C830-C829)</f>
        <v/>
      </c>
      <c r="N830" s="9">
        <f>$N$1*(D830-D829)</f>
        <v/>
      </c>
      <c r="O830" s="9">
        <f>$O$1*LN(E830/E829)</f>
        <v/>
      </c>
      <c r="P830" s="9">
        <f>$P$1*LN(F830/F829)</f>
        <v/>
      </c>
      <c r="Q830" s="9">
        <f>$Q$1*(G830-G829)</f>
        <v/>
      </c>
      <c r="R830" s="9">
        <f>$R$1*(H830-H829)</f>
        <v/>
      </c>
      <c r="S830" s="9">
        <f>$S$1*LN(I830/I829)</f>
        <v/>
      </c>
      <c r="T830" s="9">
        <f>$T$1*LN(J830/J829)</f>
        <v/>
      </c>
      <c r="U830" s="9">
        <f>$W$12+$W$4*M830+$W$5*N830+$W$6*O830+$W$7*P830+$W$8*Q830+$W$9*R830+$W$10*S830+$W$11*T830</f>
        <v/>
      </c>
      <c r="AA830" s="10">
        <f>INDEX(LINEST(L571:L830,M571:T830,TRUE,TRUE),1,9)*52</f>
        <v/>
      </c>
      <c r="AB830" s="9">
        <f>INDEX(LINEST(L571:L830,M571:T830,TRUE,TRUE),1,8)</f>
        <v/>
      </c>
      <c r="AC830" s="9">
        <f>INDEX(LINEST(L571:L830,M571:T830,TRUE,TRUE),1,7)</f>
        <v/>
      </c>
      <c r="AD830" s="9">
        <f>INDEX(LINEST(L571:L830,M571:T830,TRUE,TRUE),1,6)</f>
        <v/>
      </c>
      <c r="AE830" s="9">
        <f>INDEX(LINEST(L571:L830,M571:T830,TRUE,TRUE),1,5)</f>
        <v/>
      </c>
      <c r="AF830" s="9">
        <f>INDEX(LINEST(L571:L830,M571:T830,TRUE,TRUE),1,4)</f>
        <v/>
      </c>
      <c r="AG830" s="9">
        <f>INDEX(LINEST(L571:L830,M571:T830,TRUE,TRUE),1,3)</f>
        <v/>
      </c>
      <c r="AH830" s="9">
        <f>INDEX(LINEST(L571:L830,M571:T830,TRUE,TRUE),1,2)</f>
        <v/>
      </c>
      <c r="AI830" s="9">
        <f>INDEX(LINEST(L571:L830,M571:T830,TRUE,TRUE),1,1)</f>
        <v/>
      </c>
      <c r="AJ830" s="10">
        <f>INDEX(LINEST(L571:L830,M571:T830,TRUE,TRUE),3,1)</f>
        <v/>
      </c>
      <c r="AK830" s="9">
        <f>AA829/52+AB829*M830+AC829*N830+AD829*O830+AE829*P830+AF829*Q830+AG829*R830+AH829*S830+AI829*T830</f>
        <v/>
      </c>
      <c r="AL830" s="9">
        <f>AVERAGE(L570:L829)</f>
        <v/>
      </c>
    </row>
    <row r="831">
      <c r="A831" s="7" t="n">
        <v>43427</v>
      </c>
      <c r="B831" s="8" t="n">
        <v>1223.65</v>
      </c>
      <c r="C831" s="8" t="n">
        <v>1.96</v>
      </c>
      <c r="D831" s="8" t="n">
        <v>1.09</v>
      </c>
      <c r="E831" s="8" t="n">
        <v>96.91999800000001</v>
      </c>
      <c r="F831" s="8" t="n">
        <v>54.41</v>
      </c>
      <c r="G831" s="8" t="n">
        <v>21.52</v>
      </c>
      <c r="H831" s="8" t="n">
        <v>57.310001</v>
      </c>
      <c r="I831" s="8" t="n">
        <v>2632.560059</v>
      </c>
      <c r="J831" s="8" t="n">
        <v>84.12396200000001</v>
      </c>
      <c r="L831" s="9">
        <f>LN(B831/B830)</f>
        <v/>
      </c>
      <c r="M831" s="9">
        <f>$M$1*(C831-C830)</f>
        <v/>
      </c>
      <c r="N831" s="9">
        <f>$N$1*(D831-D830)</f>
        <v/>
      </c>
      <c r="O831" s="9">
        <f>$O$1*LN(E831/E830)</f>
        <v/>
      </c>
      <c r="P831" s="9">
        <f>$P$1*LN(F831/F830)</f>
        <v/>
      </c>
      <c r="Q831" s="9">
        <f>$Q$1*(G831-G830)</f>
        <v/>
      </c>
      <c r="R831" s="9">
        <f>$R$1*(H831-H830)</f>
        <v/>
      </c>
      <c r="S831" s="9">
        <f>$S$1*LN(I831/I830)</f>
        <v/>
      </c>
      <c r="T831" s="9">
        <f>$T$1*LN(J831/J830)</f>
        <v/>
      </c>
      <c r="U831" s="9">
        <f>$W$12+$W$4*M831+$W$5*N831+$W$6*O831+$W$7*P831+$W$8*Q831+$W$9*R831+$W$10*S831+$W$11*T831</f>
        <v/>
      </c>
      <c r="AA831" s="10">
        <f>INDEX(LINEST(L572:L831,M572:T831,TRUE,TRUE),1,9)*52</f>
        <v/>
      </c>
      <c r="AB831" s="9">
        <f>INDEX(LINEST(L572:L831,M572:T831,TRUE,TRUE),1,8)</f>
        <v/>
      </c>
      <c r="AC831" s="9">
        <f>INDEX(LINEST(L572:L831,M572:T831,TRUE,TRUE),1,7)</f>
        <v/>
      </c>
      <c r="AD831" s="9">
        <f>INDEX(LINEST(L572:L831,M572:T831,TRUE,TRUE),1,6)</f>
        <v/>
      </c>
      <c r="AE831" s="9">
        <f>INDEX(LINEST(L572:L831,M572:T831,TRUE,TRUE),1,5)</f>
        <v/>
      </c>
      <c r="AF831" s="9">
        <f>INDEX(LINEST(L572:L831,M572:T831,TRUE,TRUE),1,4)</f>
        <v/>
      </c>
      <c r="AG831" s="9">
        <f>INDEX(LINEST(L572:L831,M572:T831,TRUE,TRUE),1,3)</f>
        <v/>
      </c>
      <c r="AH831" s="9">
        <f>INDEX(LINEST(L572:L831,M572:T831,TRUE,TRUE),1,2)</f>
        <v/>
      </c>
      <c r="AI831" s="9">
        <f>INDEX(LINEST(L572:L831,M572:T831,TRUE,TRUE),1,1)</f>
        <v/>
      </c>
      <c r="AJ831" s="10">
        <f>INDEX(LINEST(L572:L831,M572:T831,TRUE,TRUE),3,1)</f>
        <v/>
      </c>
      <c r="AK831" s="9">
        <f>AA830/52+AB830*M831+AC830*N831+AD830*O831+AE830*P831+AF830*Q831+AG830*R831+AH830*S831+AI830*T831</f>
        <v/>
      </c>
      <c r="AL831" s="9">
        <f>AVERAGE(L571:L830)</f>
        <v/>
      </c>
    </row>
    <row r="832">
      <c r="A832" s="7" t="n">
        <v>43434</v>
      </c>
      <c r="B832" s="8" t="n">
        <v>1217.55</v>
      </c>
      <c r="C832" s="8" t="n">
        <v>1.97</v>
      </c>
      <c r="D832" s="8" t="n">
        <v>1.04</v>
      </c>
      <c r="E832" s="8" t="n">
        <v>97.269997</v>
      </c>
      <c r="F832" s="8" t="n">
        <v>50.78</v>
      </c>
      <c r="G832" s="8" t="n">
        <v>18.07</v>
      </c>
      <c r="H832" s="8" t="n">
        <v>52.43</v>
      </c>
      <c r="I832" s="8" t="n">
        <v>2760.169922</v>
      </c>
      <c r="J832" s="8" t="n">
        <v>84.30886099999999</v>
      </c>
      <c r="L832" s="9">
        <f>LN(B832/B831)</f>
        <v/>
      </c>
      <c r="M832" s="9">
        <f>$M$1*(C832-C831)</f>
        <v/>
      </c>
      <c r="N832" s="9">
        <f>$N$1*(D832-D831)</f>
        <v/>
      </c>
      <c r="O832" s="9">
        <f>$O$1*LN(E832/E831)</f>
        <v/>
      </c>
      <c r="P832" s="9">
        <f>$P$1*LN(F832/F831)</f>
        <v/>
      </c>
      <c r="Q832" s="9">
        <f>$Q$1*(G832-G831)</f>
        <v/>
      </c>
      <c r="R832" s="9">
        <f>$R$1*(H832-H831)</f>
        <v/>
      </c>
      <c r="S832" s="9">
        <f>$S$1*LN(I832/I831)</f>
        <v/>
      </c>
      <c r="T832" s="9">
        <f>$T$1*LN(J832/J831)</f>
        <v/>
      </c>
      <c r="U832" s="9">
        <f>$W$12+$W$4*M832+$W$5*N832+$W$6*O832+$W$7*P832+$W$8*Q832+$W$9*R832+$W$10*S832+$W$11*T832</f>
        <v/>
      </c>
      <c r="AA832" s="10">
        <f>INDEX(LINEST(L573:L832,M573:T832,TRUE,TRUE),1,9)*52</f>
        <v/>
      </c>
      <c r="AB832" s="9">
        <f>INDEX(LINEST(L573:L832,M573:T832,TRUE,TRUE),1,8)</f>
        <v/>
      </c>
      <c r="AC832" s="9">
        <f>INDEX(LINEST(L573:L832,M573:T832,TRUE,TRUE),1,7)</f>
        <v/>
      </c>
      <c r="AD832" s="9">
        <f>INDEX(LINEST(L573:L832,M573:T832,TRUE,TRUE),1,6)</f>
        <v/>
      </c>
      <c r="AE832" s="9">
        <f>INDEX(LINEST(L573:L832,M573:T832,TRUE,TRUE),1,5)</f>
        <v/>
      </c>
      <c r="AF832" s="9">
        <f>INDEX(LINEST(L573:L832,M573:T832,TRUE,TRUE),1,4)</f>
        <v/>
      </c>
      <c r="AG832" s="9">
        <f>INDEX(LINEST(L573:L832,M573:T832,TRUE,TRUE),1,3)</f>
        <v/>
      </c>
      <c r="AH832" s="9">
        <f>INDEX(LINEST(L573:L832,M573:T832,TRUE,TRUE),1,2)</f>
        <v/>
      </c>
      <c r="AI832" s="9">
        <f>INDEX(LINEST(L573:L832,M573:T832,TRUE,TRUE),1,1)</f>
        <v/>
      </c>
      <c r="AJ832" s="10">
        <f>INDEX(LINEST(L573:L832,M573:T832,TRUE,TRUE),3,1)</f>
        <v/>
      </c>
      <c r="AK832" s="9">
        <f>AA831/52+AB831*M832+AC831*N832+AD831*O832+AE831*P832+AF831*Q832+AG831*R832+AH831*S832+AI831*T832</f>
        <v/>
      </c>
      <c r="AL832" s="9">
        <f>AVERAGE(L572:L831)</f>
        <v/>
      </c>
    </row>
    <row r="833">
      <c r="A833" s="7" t="n">
        <v>43441</v>
      </c>
      <c r="B833" s="8" t="n">
        <v>1243.3</v>
      </c>
      <c r="C833" s="8" t="n">
        <v>1.89</v>
      </c>
      <c r="D833" s="8" t="n">
        <v>0.96</v>
      </c>
      <c r="E833" s="8" t="n">
        <v>96.510002</v>
      </c>
      <c r="F833" s="8" t="n">
        <v>52.76</v>
      </c>
      <c r="G833" s="8" t="n">
        <v>23.23</v>
      </c>
      <c r="H833" s="8" t="n">
        <v>60.740002</v>
      </c>
      <c r="I833" s="8" t="n">
        <v>2633.080078</v>
      </c>
      <c r="J833" s="8" t="n">
        <v>84.994598</v>
      </c>
      <c r="L833" s="9">
        <f>LN(B833/B832)</f>
        <v/>
      </c>
      <c r="M833" s="9">
        <f>$M$1*(C833-C832)</f>
        <v/>
      </c>
      <c r="N833" s="9">
        <f>$N$1*(D833-D832)</f>
        <v/>
      </c>
      <c r="O833" s="9">
        <f>$O$1*LN(E833/E832)</f>
        <v/>
      </c>
      <c r="P833" s="9">
        <f>$P$1*LN(F833/F832)</f>
        <v/>
      </c>
      <c r="Q833" s="9">
        <f>$Q$1*(G833-G832)</f>
        <v/>
      </c>
      <c r="R833" s="9">
        <f>$R$1*(H833-H832)</f>
        <v/>
      </c>
      <c r="S833" s="9">
        <f>$S$1*LN(I833/I832)</f>
        <v/>
      </c>
      <c r="T833" s="9">
        <f>$T$1*LN(J833/J832)</f>
        <v/>
      </c>
      <c r="U833" s="9">
        <f>$W$12+$W$4*M833+$W$5*N833+$W$6*O833+$W$7*P833+$W$8*Q833+$W$9*R833+$W$10*S833+$W$11*T833</f>
        <v/>
      </c>
      <c r="AA833" s="10">
        <f>INDEX(LINEST(L574:L833,M574:T833,TRUE,TRUE),1,9)*52</f>
        <v/>
      </c>
      <c r="AB833" s="9">
        <f>INDEX(LINEST(L574:L833,M574:T833,TRUE,TRUE),1,8)</f>
        <v/>
      </c>
      <c r="AC833" s="9">
        <f>INDEX(LINEST(L574:L833,M574:T833,TRUE,TRUE),1,7)</f>
        <v/>
      </c>
      <c r="AD833" s="9">
        <f>INDEX(LINEST(L574:L833,M574:T833,TRUE,TRUE),1,6)</f>
        <v/>
      </c>
      <c r="AE833" s="9">
        <f>INDEX(LINEST(L574:L833,M574:T833,TRUE,TRUE),1,5)</f>
        <v/>
      </c>
      <c r="AF833" s="9">
        <f>INDEX(LINEST(L574:L833,M574:T833,TRUE,TRUE),1,4)</f>
        <v/>
      </c>
      <c r="AG833" s="9">
        <f>INDEX(LINEST(L574:L833,M574:T833,TRUE,TRUE),1,3)</f>
        <v/>
      </c>
      <c r="AH833" s="9">
        <f>INDEX(LINEST(L574:L833,M574:T833,TRUE,TRUE),1,2)</f>
        <v/>
      </c>
      <c r="AI833" s="9">
        <f>INDEX(LINEST(L574:L833,M574:T833,TRUE,TRUE),1,1)</f>
        <v/>
      </c>
      <c r="AJ833" s="10">
        <f>INDEX(LINEST(L574:L833,M574:T833,TRUE,TRUE),3,1)</f>
        <v/>
      </c>
      <c r="AK833" s="9">
        <f>AA832/52+AB832*M833+AC832*N833+AD832*O833+AE832*P833+AF832*Q833+AG832*R833+AH832*S833+AI832*T833</f>
        <v/>
      </c>
      <c r="AL833" s="9">
        <f>AVERAGE(L573:L832)</f>
        <v/>
      </c>
    </row>
    <row r="834">
      <c r="A834" s="7" t="n">
        <v>43448</v>
      </c>
      <c r="B834" s="8" t="n">
        <v>1235.35</v>
      </c>
      <c r="C834" s="8" t="n">
        <v>1.82</v>
      </c>
      <c r="D834" s="8" t="n">
        <v>1.07</v>
      </c>
      <c r="E834" s="8" t="n">
        <v>97.44000200000001</v>
      </c>
      <c r="F834" s="8" t="n">
        <v>51.26</v>
      </c>
      <c r="G834" s="8" t="n">
        <v>21.63</v>
      </c>
      <c r="H834" s="8" t="n">
        <v>56.130001</v>
      </c>
      <c r="I834" s="8" t="n">
        <v>2599.949951</v>
      </c>
      <c r="J834" s="8" t="n">
        <v>85.059006</v>
      </c>
      <c r="L834" s="9">
        <f>LN(B834/B833)</f>
        <v/>
      </c>
      <c r="M834" s="9">
        <f>$M$1*(C834-C833)</f>
        <v/>
      </c>
      <c r="N834" s="9">
        <f>$N$1*(D834-D833)</f>
        <v/>
      </c>
      <c r="O834" s="9">
        <f>$O$1*LN(E834/E833)</f>
        <v/>
      </c>
      <c r="P834" s="9">
        <f>$P$1*LN(F834/F833)</f>
        <v/>
      </c>
      <c r="Q834" s="9">
        <f>$Q$1*(G834-G833)</f>
        <v/>
      </c>
      <c r="R834" s="9">
        <f>$R$1*(H834-H833)</f>
        <v/>
      </c>
      <c r="S834" s="9">
        <f>$S$1*LN(I834/I833)</f>
        <v/>
      </c>
      <c r="T834" s="9">
        <f>$T$1*LN(J834/J833)</f>
        <v/>
      </c>
      <c r="U834" s="9">
        <f>$W$12+$W$4*M834+$W$5*N834+$W$6*O834+$W$7*P834+$W$8*Q834+$W$9*R834+$W$10*S834+$W$11*T834</f>
        <v/>
      </c>
      <c r="AA834" s="10">
        <f>INDEX(LINEST(L575:L834,M575:T834,TRUE,TRUE),1,9)*52</f>
        <v/>
      </c>
      <c r="AB834" s="9">
        <f>INDEX(LINEST(L575:L834,M575:T834,TRUE,TRUE),1,8)</f>
        <v/>
      </c>
      <c r="AC834" s="9">
        <f>INDEX(LINEST(L575:L834,M575:T834,TRUE,TRUE),1,7)</f>
        <v/>
      </c>
      <c r="AD834" s="9">
        <f>INDEX(LINEST(L575:L834,M575:T834,TRUE,TRUE),1,6)</f>
        <v/>
      </c>
      <c r="AE834" s="9">
        <f>INDEX(LINEST(L575:L834,M575:T834,TRUE,TRUE),1,5)</f>
        <v/>
      </c>
      <c r="AF834" s="9">
        <f>INDEX(LINEST(L575:L834,M575:T834,TRUE,TRUE),1,4)</f>
        <v/>
      </c>
      <c r="AG834" s="9">
        <f>INDEX(LINEST(L575:L834,M575:T834,TRUE,TRUE),1,3)</f>
        <v/>
      </c>
      <c r="AH834" s="9">
        <f>INDEX(LINEST(L575:L834,M575:T834,TRUE,TRUE),1,2)</f>
        <v/>
      </c>
      <c r="AI834" s="9">
        <f>INDEX(LINEST(L575:L834,M575:T834,TRUE,TRUE),1,1)</f>
        <v/>
      </c>
      <c r="AJ834" s="10">
        <f>INDEX(LINEST(L575:L834,M575:T834,TRUE,TRUE),3,1)</f>
        <v/>
      </c>
      <c r="AK834" s="9">
        <f>AA833/52+AB833*M834+AC833*N834+AD833*O834+AE833*P834+AF833*Q834+AG833*R834+AH833*S834+AI833*T834</f>
        <v/>
      </c>
      <c r="AL834" s="9">
        <f>AVERAGE(L574:L833)</f>
        <v/>
      </c>
    </row>
    <row r="835">
      <c r="A835" s="7" t="n">
        <v>43455</v>
      </c>
      <c r="B835" s="8" t="n">
        <v>1258.15</v>
      </c>
      <c r="C835" s="8" t="n">
        <v>1.77</v>
      </c>
      <c r="D835" s="8" t="n">
        <v>1.02</v>
      </c>
      <c r="E835" s="8" t="n">
        <v>96.959999</v>
      </c>
      <c r="F835" s="8" t="n">
        <v>45.38</v>
      </c>
      <c r="G835" s="8" t="n">
        <v>30.11</v>
      </c>
      <c r="H835" s="8" t="n">
        <v>61.610001</v>
      </c>
      <c r="I835" s="8" t="n">
        <v>2416.620117</v>
      </c>
      <c r="J835" s="8" t="n">
        <v>85.414017</v>
      </c>
      <c r="L835" s="9">
        <f>LN(B835/B834)</f>
        <v/>
      </c>
      <c r="M835" s="9">
        <f>$M$1*(C835-C834)</f>
        <v/>
      </c>
      <c r="N835" s="9">
        <f>$N$1*(D835-D834)</f>
        <v/>
      </c>
      <c r="O835" s="9">
        <f>$O$1*LN(E835/E834)</f>
        <v/>
      </c>
      <c r="P835" s="9">
        <f>$P$1*LN(F835/F834)</f>
        <v/>
      </c>
      <c r="Q835" s="9">
        <f>$Q$1*(G835-G834)</f>
        <v/>
      </c>
      <c r="R835" s="9">
        <f>$R$1*(H835-H834)</f>
        <v/>
      </c>
      <c r="S835" s="9">
        <f>$S$1*LN(I835/I834)</f>
        <v/>
      </c>
      <c r="T835" s="9">
        <f>$T$1*LN(J835/J834)</f>
        <v/>
      </c>
      <c r="U835" s="9">
        <f>$W$12+$W$4*M835+$W$5*N835+$W$6*O835+$W$7*P835+$W$8*Q835+$W$9*R835+$W$10*S835+$W$11*T835</f>
        <v/>
      </c>
      <c r="AA835" s="10">
        <f>INDEX(LINEST(L576:L835,M576:T835,TRUE,TRUE),1,9)*52</f>
        <v/>
      </c>
      <c r="AB835" s="9">
        <f>INDEX(LINEST(L576:L835,M576:T835,TRUE,TRUE),1,8)</f>
        <v/>
      </c>
      <c r="AC835" s="9">
        <f>INDEX(LINEST(L576:L835,M576:T835,TRUE,TRUE),1,7)</f>
        <v/>
      </c>
      <c r="AD835" s="9">
        <f>INDEX(LINEST(L576:L835,M576:T835,TRUE,TRUE),1,6)</f>
        <v/>
      </c>
      <c r="AE835" s="9">
        <f>INDEX(LINEST(L576:L835,M576:T835,TRUE,TRUE),1,5)</f>
        <v/>
      </c>
      <c r="AF835" s="9">
        <f>INDEX(LINEST(L576:L835,M576:T835,TRUE,TRUE),1,4)</f>
        <v/>
      </c>
      <c r="AG835" s="9">
        <f>INDEX(LINEST(L576:L835,M576:T835,TRUE,TRUE),1,3)</f>
        <v/>
      </c>
      <c r="AH835" s="9">
        <f>INDEX(LINEST(L576:L835,M576:T835,TRUE,TRUE),1,2)</f>
        <v/>
      </c>
      <c r="AI835" s="9">
        <f>INDEX(LINEST(L576:L835,M576:T835,TRUE,TRUE),1,1)</f>
        <v/>
      </c>
      <c r="AJ835" s="10">
        <f>INDEX(LINEST(L576:L835,M576:T835,TRUE,TRUE),3,1)</f>
        <v/>
      </c>
      <c r="AK835" s="9">
        <f>AA834/52+AB834*M835+AC834*N835+AD834*O835+AE834*P835+AF834*Q835+AG834*R835+AH834*S835+AI834*T835</f>
        <v/>
      </c>
      <c r="AL835" s="9">
        <f>AVERAGE(L575:L834)</f>
        <v/>
      </c>
    </row>
    <row r="836">
      <c r="A836" s="7" t="n">
        <v>43462</v>
      </c>
      <c r="B836" s="8" t="n">
        <v>1279</v>
      </c>
      <c r="C836" s="8" t="n">
        <v>1.73</v>
      </c>
      <c r="D836" s="8" t="n">
        <v>0.99</v>
      </c>
      <c r="E836" s="8" t="n">
        <v>96.389999</v>
      </c>
      <c r="F836" s="8" t="n">
        <v>45.15</v>
      </c>
      <c r="G836" s="8" t="n">
        <v>28.34</v>
      </c>
      <c r="H836" s="8" t="n">
        <v>66.660004</v>
      </c>
      <c r="I836" s="8" t="n">
        <v>2485.73999</v>
      </c>
      <c r="J836" s="8" t="n">
        <v>85.761177</v>
      </c>
      <c r="L836" s="9">
        <f>LN(B836/B835)</f>
        <v/>
      </c>
      <c r="M836" s="9">
        <f>$M$1*(C836-C835)</f>
        <v/>
      </c>
      <c r="N836" s="9">
        <f>$N$1*(D836-D835)</f>
        <v/>
      </c>
      <c r="O836" s="9">
        <f>$O$1*LN(E836/E835)</f>
        <v/>
      </c>
      <c r="P836" s="9">
        <f>$P$1*LN(F836/F835)</f>
        <v/>
      </c>
      <c r="Q836" s="9">
        <f>$Q$1*(G836-G835)</f>
        <v/>
      </c>
      <c r="R836" s="9">
        <f>$R$1*(H836-H835)</f>
        <v/>
      </c>
      <c r="S836" s="9">
        <f>$S$1*LN(I836/I835)</f>
        <v/>
      </c>
      <c r="T836" s="9">
        <f>$T$1*LN(J836/J835)</f>
        <v/>
      </c>
      <c r="U836" s="9">
        <f>$W$12+$W$4*M836+$W$5*N836+$W$6*O836+$W$7*P836+$W$8*Q836+$W$9*R836+$W$10*S836+$W$11*T836</f>
        <v/>
      </c>
      <c r="AA836" s="10">
        <f>INDEX(LINEST(L577:L836,M577:T836,TRUE,TRUE),1,9)*52</f>
        <v/>
      </c>
      <c r="AB836" s="9">
        <f>INDEX(LINEST(L577:L836,M577:T836,TRUE,TRUE),1,8)</f>
        <v/>
      </c>
      <c r="AC836" s="9">
        <f>INDEX(LINEST(L577:L836,M577:T836,TRUE,TRUE),1,7)</f>
        <v/>
      </c>
      <c r="AD836" s="9">
        <f>INDEX(LINEST(L577:L836,M577:T836,TRUE,TRUE),1,6)</f>
        <v/>
      </c>
      <c r="AE836" s="9">
        <f>INDEX(LINEST(L577:L836,M577:T836,TRUE,TRUE),1,5)</f>
        <v/>
      </c>
      <c r="AF836" s="9">
        <f>INDEX(LINEST(L577:L836,M577:T836,TRUE,TRUE),1,4)</f>
        <v/>
      </c>
      <c r="AG836" s="9">
        <f>INDEX(LINEST(L577:L836,M577:T836,TRUE,TRUE),1,3)</f>
        <v/>
      </c>
      <c r="AH836" s="9">
        <f>INDEX(LINEST(L577:L836,M577:T836,TRUE,TRUE),1,2)</f>
        <v/>
      </c>
      <c r="AI836" s="9">
        <f>INDEX(LINEST(L577:L836,M577:T836,TRUE,TRUE),1,1)</f>
        <v/>
      </c>
      <c r="AJ836" s="10">
        <f>INDEX(LINEST(L577:L836,M577:T836,TRUE,TRUE),3,1)</f>
        <v/>
      </c>
      <c r="AK836" s="9">
        <f>AA835/52+AB835*M836+AC835*N836+AD835*O836+AE835*P836+AF835*Q836+AG835*R836+AH835*S836+AI835*T836</f>
        <v/>
      </c>
      <c r="AL836" s="9">
        <f>AVERAGE(L576:L835)</f>
        <v/>
      </c>
    </row>
    <row r="837">
      <c r="A837" s="7" t="n">
        <v>43469</v>
      </c>
      <c r="B837" s="8" t="n">
        <v>1279.9</v>
      </c>
      <c r="C837" s="8" t="n">
        <v>1.76</v>
      </c>
      <c r="D837" s="8" t="n">
        <v>0.91</v>
      </c>
      <c r="E837" s="8" t="n">
        <v>96.19000200000001</v>
      </c>
      <c r="F837" s="8" t="n">
        <v>47.76</v>
      </c>
      <c r="G837" s="8" t="n">
        <v>21.38</v>
      </c>
      <c r="H837" s="8" t="n">
        <v>65.81999999999999</v>
      </c>
      <c r="I837" s="8" t="n">
        <v>2531.939941</v>
      </c>
      <c r="J837" s="8" t="n">
        <v>86.14065600000001</v>
      </c>
      <c r="L837" s="9">
        <f>LN(B837/B836)</f>
        <v/>
      </c>
      <c r="M837" s="9">
        <f>$M$1*(C837-C836)</f>
        <v/>
      </c>
      <c r="N837" s="9">
        <f>$N$1*(D837-D836)</f>
        <v/>
      </c>
      <c r="O837" s="9">
        <f>$O$1*LN(E837/E836)</f>
        <v/>
      </c>
      <c r="P837" s="9">
        <f>$P$1*LN(F837/F836)</f>
        <v/>
      </c>
      <c r="Q837" s="9">
        <f>$Q$1*(G837-G836)</f>
        <v/>
      </c>
      <c r="R837" s="9">
        <f>$R$1*(H837-H836)</f>
        <v/>
      </c>
      <c r="S837" s="9">
        <f>$S$1*LN(I837/I836)</f>
        <v/>
      </c>
      <c r="T837" s="9">
        <f>$T$1*LN(J837/J836)</f>
        <v/>
      </c>
      <c r="U837" s="9">
        <f>$W$12+$W$4*M837+$W$5*N837+$W$6*O837+$W$7*P837+$W$8*Q837+$W$9*R837+$W$10*S837+$W$11*T837</f>
        <v/>
      </c>
      <c r="AA837" s="10">
        <f>INDEX(LINEST(L578:L837,M578:T837,TRUE,TRUE),1,9)*52</f>
        <v/>
      </c>
      <c r="AB837" s="9">
        <f>INDEX(LINEST(L578:L837,M578:T837,TRUE,TRUE),1,8)</f>
        <v/>
      </c>
      <c r="AC837" s="9">
        <f>INDEX(LINEST(L578:L837,M578:T837,TRUE,TRUE),1,7)</f>
        <v/>
      </c>
      <c r="AD837" s="9">
        <f>INDEX(LINEST(L578:L837,M578:T837,TRUE,TRUE),1,6)</f>
        <v/>
      </c>
      <c r="AE837" s="9">
        <f>INDEX(LINEST(L578:L837,M578:T837,TRUE,TRUE),1,5)</f>
        <v/>
      </c>
      <c r="AF837" s="9">
        <f>INDEX(LINEST(L578:L837,M578:T837,TRUE,TRUE),1,4)</f>
        <v/>
      </c>
      <c r="AG837" s="9">
        <f>INDEX(LINEST(L578:L837,M578:T837,TRUE,TRUE),1,3)</f>
        <v/>
      </c>
      <c r="AH837" s="9">
        <f>INDEX(LINEST(L578:L837,M578:T837,TRUE,TRUE),1,2)</f>
        <v/>
      </c>
      <c r="AI837" s="9">
        <f>INDEX(LINEST(L578:L837,M578:T837,TRUE,TRUE),1,1)</f>
        <v/>
      </c>
      <c r="AJ837" s="10">
        <f>INDEX(LINEST(L578:L837,M578:T837,TRUE,TRUE),3,1)</f>
        <v/>
      </c>
      <c r="AK837" s="9">
        <f>AA836/52+AB836*M837+AC836*N837+AD836*O837+AE836*P837+AF836*Q837+AG836*R837+AH836*S837+AI836*T837</f>
        <v/>
      </c>
      <c r="AL837" s="9">
        <f>AVERAGE(L577:L836)</f>
        <v/>
      </c>
    </row>
    <row r="838">
      <c r="A838" s="7" t="n">
        <v>43476</v>
      </c>
      <c r="B838" s="8" t="n">
        <v>1288.95</v>
      </c>
      <c r="C838" s="8" t="n">
        <v>1.83</v>
      </c>
      <c r="D838" s="8" t="n">
        <v>0.88</v>
      </c>
      <c r="E838" s="8" t="n">
        <v>95.66999800000001</v>
      </c>
      <c r="F838" s="8" t="n">
        <v>51.44</v>
      </c>
      <c r="G838" s="8" t="n">
        <v>18.19</v>
      </c>
      <c r="H838" s="8" t="n">
        <v>55.939999</v>
      </c>
      <c r="I838" s="8" t="n">
        <v>2596.26001</v>
      </c>
      <c r="J838" s="8" t="n">
        <v>86.027641</v>
      </c>
      <c r="L838" s="9">
        <f>LN(B838/B837)</f>
        <v/>
      </c>
      <c r="M838" s="9">
        <f>$M$1*(C838-C837)</f>
        <v/>
      </c>
      <c r="N838" s="9">
        <f>$N$1*(D838-D837)</f>
        <v/>
      </c>
      <c r="O838" s="9">
        <f>$O$1*LN(E838/E837)</f>
        <v/>
      </c>
      <c r="P838" s="9">
        <f>$P$1*LN(F838/F837)</f>
        <v/>
      </c>
      <c r="Q838" s="9">
        <f>$Q$1*(G838-G837)</f>
        <v/>
      </c>
      <c r="R838" s="9">
        <f>$R$1*(H838-H837)</f>
        <v/>
      </c>
      <c r="S838" s="9">
        <f>$S$1*LN(I838/I837)</f>
        <v/>
      </c>
      <c r="T838" s="9">
        <f>$T$1*LN(J838/J837)</f>
        <v/>
      </c>
      <c r="U838" s="9">
        <f>$W$12+$W$4*M838+$W$5*N838+$W$6*O838+$W$7*P838+$W$8*Q838+$W$9*R838+$W$10*S838+$W$11*T838</f>
        <v/>
      </c>
      <c r="AA838" s="10">
        <f>INDEX(LINEST(L579:L838,M579:T838,TRUE,TRUE),1,9)*52</f>
        <v/>
      </c>
      <c r="AB838" s="9">
        <f>INDEX(LINEST(L579:L838,M579:T838,TRUE,TRUE),1,8)</f>
        <v/>
      </c>
      <c r="AC838" s="9">
        <f>INDEX(LINEST(L579:L838,M579:T838,TRUE,TRUE),1,7)</f>
        <v/>
      </c>
      <c r="AD838" s="9">
        <f>INDEX(LINEST(L579:L838,M579:T838,TRUE,TRUE),1,6)</f>
        <v/>
      </c>
      <c r="AE838" s="9">
        <f>INDEX(LINEST(L579:L838,M579:T838,TRUE,TRUE),1,5)</f>
        <v/>
      </c>
      <c r="AF838" s="9">
        <f>INDEX(LINEST(L579:L838,M579:T838,TRUE,TRUE),1,4)</f>
        <v/>
      </c>
      <c r="AG838" s="9">
        <f>INDEX(LINEST(L579:L838,M579:T838,TRUE,TRUE),1,3)</f>
        <v/>
      </c>
      <c r="AH838" s="9">
        <f>INDEX(LINEST(L579:L838,M579:T838,TRUE,TRUE),1,2)</f>
        <v/>
      </c>
      <c r="AI838" s="9">
        <f>INDEX(LINEST(L579:L838,M579:T838,TRUE,TRUE),1,1)</f>
        <v/>
      </c>
      <c r="AJ838" s="10">
        <f>INDEX(LINEST(L579:L838,M579:T838,TRUE,TRUE),3,1)</f>
        <v/>
      </c>
      <c r="AK838" s="9">
        <f>AA837/52+AB837*M838+AC837*N838+AD837*O838+AE837*P838+AF837*Q838+AG837*R838+AH837*S838+AI837*T838</f>
        <v/>
      </c>
      <c r="AL838" s="9">
        <f>AVERAGE(L578:L837)</f>
        <v/>
      </c>
    </row>
    <row r="839">
      <c r="A839" s="7" t="n">
        <v>43483</v>
      </c>
      <c r="B839" s="8" t="n">
        <v>1284.2</v>
      </c>
      <c r="C839" s="8" t="n">
        <v>1.83</v>
      </c>
      <c r="D839" s="8" t="n">
        <v>0.96</v>
      </c>
      <c r="E839" s="8" t="n">
        <v>96.339996</v>
      </c>
      <c r="F839" s="8" t="n">
        <v>53.6</v>
      </c>
      <c r="G839" s="8" t="n">
        <v>17.8</v>
      </c>
      <c r="H839" s="8" t="n">
        <v>53.779999</v>
      </c>
      <c r="I839" s="8" t="n">
        <v>2670.709961</v>
      </c>
      <c r="J839" s="8" t="n">
        <v>85.86615</v>
      </c>
      <c r="L839" s="9">
        <f>LN(B839/B838)</f>
        <v/>
      </c>
      <c r="M839" s="9">
        <f>$M$1*(C839-C838)</f>
        <v/>
      </c>
      <c r="N839" s="9">
        <f>$N$1*(D839-D838)</f>
        <v/>
      </c>
      <c r="O839" s="9">
        <f>$O$1*LN(E839/E838)</f>
        <v/>
      </c>
      <c r="P839" s="9">
        <f>$P$1*LN(F839/F838)</f>
        <v/>
      </c>
      <c r="Q839" s="9">
        <f>$Q$1*(G839-G838)</f>
        <v/>
      </c>
      <c r="R839" s="9">
        <f>$R$1*(H839-H838)</f>
        <v/>
      </c>
      <c r="S839" s="9">
        <f>$S$1*LN(I839/I838)</f>
        <v/>
      </c>
      <c r="T839" s="9">
        <f>$T$1*LN(J839/J838)</f>
        <v/>
      </c>
      <c r="U839" s="9">
        <f>$W$12+$W$4*M839+$W$5*N839+$W$6*O839+$W$7*P839+$W$8*Q839+$W$9*R839+$W$10*S839+$W$11*T839</f>
        <v/>
      </c>
      <c r="AA839" s="10">
        <f>INDEX(LINEST(L580:L839,M580:T839,TRUE,TRUE),1,9)*52</f>
        <v/>
      </c>
      <c r="AB839" s="9">
        <f>INDEX(LINEST(L580:L839,M580:T839,TRUE,TRUE),1,8)</f>
        <v/>
      </c>
      <c r="AC839" s="9">
        <f>INDEX(LINEST(L580:L839,M580:T839,TRUE,TRUE),1,7)</f>
        <v/>
      </c>
      <c r="AD839" s="9">
        <f>INDEX(LINEST(L580:L839,M580:T839,TRUE,TRUE),1,6)</f>
        <v/>
      </c>
      <c r="AE839" s="9">
        <f>INDEX(LINEST(L580:L839,M580:T839,TRUE,TRUE),1,5)</f>
        <v/>
      </c>
      <c r="AF839" s="9">
        <f>INDEX(LINEST(L580:L839,M580:T839,TRUE,TRUE),1,4)</f>
        <v/>
      </c>
      <c r="AG839" s="9">
        <f>INDEX(LINEST(L580:L839,M580:T839,TRUE,TRUE),1,3)</f>
        <v/>
      </c>
      <c r="AH839" s="9">
        <f>INDEX(LINEST(L580:L839,M580:T839,TRUE,TRUE),1,2)</f>
        <v/>
      </c>
      <c r="AI839" s="9">
        <f>INDEX(LINEST(L580:L839,M580:T839,TRUE,TRUE),1,1)</f>
        <v/>
      </c>
      <c r="AJ839" s="10">
        <f>INDEX(LINEST(L580:L839,M580:T839,TRUE,TRUE),3,1)</f>
        <v/>
      </c>
      <c r="AK839" s="9">
        <f>AA838/52+AB838*M839+AC838*N839+AD838*O839+AE838*P839+AF838*Q839+AG838*R839+AH838*S839+AI838*T839</f>
        <v/>
      </c>
      <c r="AL839" s="9">
        <f>AVERAGE(L579:L838)</f>
        <v/>
      </c>
    </row>
    <row r="840">
      <c r="A840" s="7" t="n">
        <v>43490</v>
      </c>
      <c r="B840" s="8" t="n">
        <v>1293.9</v>
      </c>
      <c r="C840" s="8" t="n">
        <v>1.79</v>
      </c>
      <c r="D840" s="8" t="n">
        <v>0.97</v>
      </c>
      <c r="E840" s="8" t="n">
        <v>95.790001</v>
      </c>
      <c r="F840" s="8" t="n">
        <v>53.53</v>
      </c>
      <c r="G840" s="8" t="n">
        <v>17.42</v>
      </c>
      <c r="H840" s="8" t="n">
        <v>52.5</v>
      </c>
      <c r="I840" s="8" t="n">
        <v>2664.76001</v>
      </c>
      <c r="J840" s="8" t="n">
        <v>86.132561</v>
      </c>
      <c r="L840" s="9">
        <f>LN(B840/B839)</f>
        <v/>
      </c>
      <c r="M840" s="9">
        <f>$M$1*(C840-C839)</f>
        <v/>
      </c>
      <c r="N840" s="9">
        <f>$N$1*(D840-D839)</f>
        <v/>
      </c>
      <c r="O840" s="9">
        <f>$O$1*LN(E840/E839)</f>
        <v/>
      </c>
      <c r="P840" s="9">
        <f>$P$1*LN(F840/F839)</f>
        <v/>
      </c>
      <c r="Q840" s="9">
        <f>$Q$1*(G840-G839)</f>
        <v/>
      </c>
      <c r="R840" s="9">
        <f>$R$1*(H840-H839)</f>
        <v/>
      </c>
      <c r="S840" s="9">
        <f>$S$1*LN(I840/I839)</f>
        <v/>
      </c>
      <c r="T840" s="9">
        <f>$T$1*LN(J840/J839)</f>
        <v/>
      </c>
      <c r="U840" s="9">
        <f>$W$12+$W$4*M840+$W$5*N840+$W$6*O840+$W$7*P840+$W$8*Q840+$W$9*R840+$W$10*S840+$W$11*T840</f>
        <v/>
      </c>
      <c r="AA840" s="10">
        <f>INDEX(LINEST(L581:L840,M581:T840,TRUE,TRUE),1,9)*52</f>
        <v/>
      </c>
      <c r="AB840" s="9">
        <f>INDEX(LINEST(L581:L840,M581:T840,TRUE,TRUE),1,8)</f>
        <v/>
      </c>
      <c r="AC840" s="9">
        <f>INDEX(LINEST(L581:L840,M581:T840,TRUE,TRUE),1,7)</f>
        <v/>
      </c>
      <c r="AD840" s="9">
        <f>INDEX(LINEST(L581:L840,M581:T840,TRUE,TRUE),1,6)</f>
        <v/>
      </c>
      <c r="AE840" s="9">
        <f>INDEX(LINEST(L581:L840,M581:T840,TRUE,TRUE),1,5)</f>
        <v/>
      </c>
      <c r="AF840" s="9">
        <f>INDEX(LINEST(L581:L840,M581:T840,TRUE,TRUE),1,4)</f>
        <v/>
      </c>
      <c r="AG840" s="9">
        <f>INDEX(LINEST(L581:L840,M581:T840,TRUE,TRUE),1,3)</f>
        <v/>
      </c>
      <c r="AH840" s="9">
        <f>INDEX(LINEST(L581:L840,M581:T840,TRUE,TRUE),1,2)</f>
        <v/>
      </c>
      <c r="AI840" s="9">
        <f>INDEX(LINEST(L581:L840,M581:T840,TRUE,TRUE),1,1)</f>
        <v/>
      </c>
      <c r="AJ840" s="10">
        <f>INDEX(LINEST(L581:L840,M581:T840,TRUE,TRUE),3,1)</f>
        <v/>
      </c>
      <c r="AK840" s="9">
        <f>AA839/52+AB839*M840+AC839*N840+AD839*O840+AE839*P840+AF839*Q840+AG839*R840+AH839*S840+AI839*T840</f>
        <v/>
      </c>
      <c r="AL840" s="9">
        <f>AVERAGE(L580:L839)</f>
        <v/>
      </c>
    </row>
    <row r="841">
      <c r="A841" s="7" t="n">
        <v>43497</v>
      </c>
      <c r="B841" s="8" t="n">
        <v>1318.7</v>
      </c>
      <c r="C841" s="8" t="n">
        <v>1.88</v>
      </c>
      <c r="D841" s="8" t="n">
        <v>0.82</v>
      </c>
      <c r="E841" s="8" t="n">
        <v>95.58000199999999</v>
      </c>
      <c r="F841" s="8" t="n">
        <v>55.29</v>
      </c>
      <c r="G841" s="8" t="n">
        <v>16.14</v>
      </c>
      <c r="H841" s="8" t="n">
        <v>48.790001</v>
      </c>
      <c r="I841" s="8" t="n">
        <v>2706.530029</v>
      </c>
      <c r="J841" s="8" t="n">
        <v>86.582657</v>
      </c>
      <c r="L841" s="9">
        <f>LN(B841/B840)</f>
        <v/>
      </c>
      <c r="M841" s="9">
        <f>$M$1*(C841-C840)</f>
        <v/>
      </c>
      <c r="N841" s="9">
        <f>$N$1*(D841-D840)</f>
        <v/>
      </c>
      <c r="O841" s="9">
        <f>$O$1*LN(E841/E840)</f>
        <v/>
      </c>
      <c r="P841" s="9">
        <f>$P$1*LN(F841/F840)</f>
        <v/>
      </c>
      <c r="Q841" s="9">
        <f>$Q$1*(G841-G840)</f>
        <v/>
      </c>
      <c r="R841" s="9">
        <f>$R$1*(H841-H840)</f>
        <v/>
      </c>
      <c r="S841" s="9">
        <f>$S$1*LN(I841/I840)</f>
        <v/>
      </c>
      <c r="T841" s="9">
        <f>$T$1*LN(J841/J840)</f>
        <v/>
      </c>
      <c r="U841" s="9">
        <f>$W$12+$W$4*M841+$W$5*N841+$W$6*O841+$W$7*P841+$W$8*Q841+$W$9*R841+$W$10*S841+$W$11*T841</f>
        <v/>
      </c>
      <c r="AA841" s="10">
        <f>INDEX(LINEST(L582:L841,M582:T841,TRUE,TRUE),1,9)*52</f>
        <v/>
      </c>
      <c r="AB841" s="9">
        <f>INDEX(LINEST(L582:L841,M582:T841,TRUE,TRUE),1,8)</f>
        <v/>
      </c>
      <c r="AC841" s="9">
        <f>INDEX(LINEST(L582:L841,M582:T841,TRUE,TRUE),1,7)</f>
        <v/>
      </c>
      <c r="AD841" s="9">
        <f>INDEX(LINEST(L582:L841,M582:T841,TRUE,TRUE),1,6)</f>
        <v/>
      </c>
      <c r="AE841" s="9">
        <f>INDEX(LINEST(L582:L841,M582:T841,TRUE,TRUE),1,5)</f>
        <v/>
      </c>
      <c r="AF841" s="9">
        <f>INDEX(LINEST(L582:L841,M582:T841,TRUE,TRUE),1,4)</f>
        <v/>
      </c>
      <c r="AG841" s="9">
        <f>INDEX(LINEST(L582:L841,M582:T841,TRUE,TRUE),1,3)</f>
        <v/>
      </c>
      <c r="AH841" s="9">
        <f>INDEX(LINEST(L582:L841,M582:T841,TRUE,TRUE),1,2)</f>
        <v/>
      </c>
      <c r="AI841" s="9">
        <f>INDEX(LINEST(L582:L841,M582:T841,TRUE,TRUE),1,1)</f>
        <v/>
      </c>
      <c r="AJ841" s="10">
        <f>INDEX(LINEST(L582:L841,M582:T841,TRUE,TRUE),3,1)</f>
        <v/>
      </c>
      <c r="AK841" s="9">
        <f>AA840/52+AB840*M841+AC840*N841+AD840*O841+AE840*P841+AF840*Q841+AG840*R841+AH840*S841+AI840*T841</f>
        <v/>
      </c>
      <c r="AL841" s="9">
        <f>AVERAGE(L581:L840)</f>
        <v/>
      </c>
    </row>
    <row r="842">
      <c r="A842" s="7" t="n">
        <v>43504</v>
      </c>
      <c r="B842" s="8" t="n">
        <v>1314.85</v>
      </c>
      <c r="C842" s="8" t="n">
        <v>1.82</v>
      </c>
      <c r="D842" s="8" t="n">
        <v>0.8100000000000001</v>
      </c>
      <c r="E842" s="8" t="n">
        <v>96.639999</v>
      </c>
      <c r="F842" s="8" t="n">
        <v>52.75</v>
      </c>
      <c r="G842" s="8" t="n">
        <v>15.72</v>
      </c>
      <c r="H842" s="8" t="n">
        <v>49.630001</v>
      </c>
      <c r="I842" s="8" t="n">
        <v>2707.879883</v>
      </c>
      <c r="J842" s="8" t="n">
        <v>86.88211099999999</v>
      </c>
      <c r="L842" s="9">
        <f>LN(B842/B841)</f>
        <v/>
      </c>
      <c r="M842" s="9">
        <f>$M$1*(C842-C841)</f>
        <v/>
      </c>
      <c r="N842" s="9">
        <f>$N$1*(D842-D841)</f>
        <v/>
      </c>
      <c r="O842" s="9">
        <f>$O$1*LN(E842/E841)</f>
        <v/>
      </c>
      <c r="P842" s="9">
        <f>$P$1*LN(F842/F841)</f>
        <v/>
      </c>
      <c r="Q842" s="9">
        <f>$Q$1*(G842-G841)</f>
        <v/>
      </c>
      <c r="R842" s="9">
        <f>$R$1*(H842-H841)</f>
        <v/>
      </c>
      <c r="S842" s="9">
        <f>$S$1*LN(I842/I841)</f>
        <v/>
      </c>
      <c r="T842" s="9">
        <f>$T$1*LN(J842/J841)</f>
        <v/>
      </c>
      <c r="U842" s="9">
        <f>$W$12+$W$4*M842+$W$5*N842+$W$6*O842+$W$7*P842+$W$8*Q842+$W$9*R842+$W$10*S842+$W$11*T842</f>
        <v/>
      </c>
      <c r="AA842" s="10">
        <f>INDEX(LINEST(L583:L842,M583:T842,TRUE,TRUE),1,9)*52</f>
        <v/>
      </c>
      <c r="AB842" s="9">
        <f>INDEX(LINEST(L583:L842,M583:T842,TRUE,TRUE),1,8)</f>
        <v/>
      </c>
      <c r="AC842" s="9">
        <f>INDEX(LINEST(L583:L842,M583:T842,TRUE,TRUE),1,7)</f>
        <v/>
      </c>
      <c r="AD842" s="9">
        <f>INDEX(LINEST(L583:L842,M583:T842,TRUE,TRUE),1,6)</f>
        <v/>
      </c>
      <c r="AE842" s="9">
        <f>INDEX(LINEST(L583:L842,M583:T842,TRUE,TRUE),1,5)</f>
        <v/>
      </c>
      <c r="AF842" s="9">
        <f>INDEX(LINEST(L583:L842,M583:T842,TRUE,TRUE),1,4)</f>
        <v/>
      </c>
      <c r="AG842" s="9">
        <f>INDEX(LINEST(L583:L842,M583:T842,TRUE,TRUE),1,3)</f>
        <v/>
      </c>
      <c r="AH842" s="9">
        <f>INDEX(LINEST(L583:L842,M583:T842,TRUE,TRUE),1,2)</f>
        <v/>
      </c>
      <c r="AI842" s="9">
        <f>INDEX(LINEST(L583:L842,M583:T842,TRUE,TRUE),1,1)</f>
        <v/>
      </c>
      <c r="AJ842" s="10">
        <f>INDEX(LINEST(L583:L842,M583:T842,TRUE,TRUE),3,1)</f>
        <v/>
      </c>
      <c r="AK842" s="9">
        <f>AA841/52+AB841*M842+AC841*N842+AD841*O842+AE841*P842+AF841*Q842+AG841*R842+AH841*S842+AI841*T842</f>
        <v/>
      </c>
      <c r="AL842" s="9">
        <f>AVERAGE(L582:L841)</f>
        <v/>
      </c>
    </row>
    <row r="843">
      <c r="A843" s="7" t="n">
        <v>43511</v>
      </c>
      <c r="B843" s="8" t="n">
        <v>1316.55</v>
      </c>
      <c r="C843" s="8" t="n">
        <v>1.86</v>
      </c>
      <c r="D843" s="8" t="n">
        <v>0.8</v>
      </c>
      <c r="E843" s="8" t="n">
        <v>96.91999800000001</v>
      </c>
      <c r="F843" s="8" t="n">
        <v>55.58</v>
      </c>
      <c r="G843" s="8" t="n">
        <v>14.91</v>
      </c>
      <c r="H843" s="8" t="n">
        <v>45.73</v>
      </c>
      <c r="I843" s="8" t="n">
        <v>2775.600098</v>
      </c>
      <c r="J843" s="8" t="n">
        <v>86.84979199999999</v>
      </c>
      <c r="L843" s="9">
        <f>LN(B843/B842)</f>
        <v/>
      </c>
      <c r="M843" s="9">
        <f>$M$1*(C843-C842)</f>
        <v/>
      </c>
      <c r="N843" s="9">
        <f>$N$1*(D843-D842)</f>
        <v/>
      </c>
      <c r="O843" s="9">
        <f>$O$1*LN(E843/E842)</f>
        <v/>
      </c>
      <c r="P843" s="9">
        <f>$P$1*LN(F843/F842)</f>
        <v/>
      </c>
      <c r="Q843" s="9">
        <f>$Q$1*(G843-G842)</f>
        <v/>
      </c>
      <c r="R843" s="9">
        <f>$R$1*(H843-H842)</f>
        <v/>
      </c>
      <c r="S843" s="9">
        <f>$S$1*LN(I843/I842)</f>
        <v/>
      </c>
      <c r="T843" s="9">
        <f>$T$1*LN(J843/J842)</f>
        <v/>
      </c>
      <c r="U843" s="9">
        <f>$W$12+$W$4*M843+$W$5*N843+$W$6*O843+$W$7*P843+$W$8*Q843+$W$9*R843+$W$10*S843+$W$11*T843</f>
        <v/>
      </c>
      <c r="AA843" s="10">
        <f>INDEX(LINEST(L584:L843,M584:T843,TRUE,TRUE),1,9)*52</f>
        <v/>
      </c>
      <c r="AB843" s="9">
        <f>INDEX(LINEST(L584:L843,M584:T843,TRUE,TRUE),1,8)</f>
        <v/>
      </c>
      <c r="AC843" s="9">
        <f>INDEX(LINEST(L584:L843,M584:T843,TRUE,TRUE),1,7)</f>
        <v/>
      </c>
      <c r="AD843" s="9">
        <f>INDEX(LINEST(L584:L843,M584:T843,TRUE,TRUE),1,6)</f>
        <v/>
      </c>
      <c r="AE843" s="9">
        <f>INDEX(LINEST(L584:L843,M584:T843,TRUE,TRUE),1,5)</f>
        <v/>
      </c>
      <c r="AF843" s="9">
        <f>INDEX(LINEST(L584:L843,M584:T843,TRUE,TRUE),1,4)</f>
        <v/>
      </c>
      <c r="AG843" s="9">
        <f>INDEX(LINEST(L584:L843,M584:T843,TRUE,TRUE),1,3)</f>
        <v/>
      </c>
      <c r="AH843" s="9">
        <f>INDEX(LINEST(L584:L843,M584:T843,TRUE,TRUE),1,2)</f>
        <v/>
      </c>
      <c r="AI843" s="9">
        <f>INDEX(LINEST(L584:L843,M584:T843,TRUE,TRUE),1,1)</f>
        <v/>
      </c>
      <c r="AJ843" s="10">
        <f>INDEX(LINEST(L584:L843,M584:T843,TRUE,TRUE),3,1)</f>
        <v/>
      </c>
      <c r="AK843" s="9">
        <f>AA842/52+AB842*M843+AC842*N843+AD842*O843+AE842*P843+AF842*Q843+AG842*R843+AH842*S843+AI842*T843</f>
        <v/>
      </c>
      <c r="AL843" s="9">
        <f>AVERAGE(L583:L842)</f>
        <v/>
      </c>
    </row>
    <row r="844">
      <c r="A844" s="7" t="n">
        <v>43518</v>
      </c>
      <c r="B844" s="8" t="n">
        <v>1329.05</v>
      </c>
      <c r="C844" s="8" t="n">
        <v>1.91</v>
      </c>
      <c r="D844" s="8" t="n">
        <v>0.74</v>
      </c>
      <c r="E844" s="8" t="n">
        <v>96.510002</v>
      </c>
      <c r="F844" s="8" t="n">
        <v>57.01</v>
      </c>
      <c r="G844" s="8" t="n">
        <v>13.51</v>
      </c>
      <c r="H844" s="8" t="n">
        <v>47.220001</v>
      </c>
      <c r="I844" s="8" t="n">
        <v>2792.669922</v>
      </c>
      <c r="J844" s="8" t="n">
        <v>86.930733</v>
      </c>
      <c r="L844" s="9">
        <f>LN(B844/B843)</f>
        <v/>
      </c>
      <c r="M844" s="9">
        <f>$M$1*(C844-C843)</f>
        <v/>
      </c>
      <c r="N844" s="9">
        <f>$N$1*(D844-D843)</f>
        <v/>
      </c>
      <c r="O844" s="9">
        <f>$O$1*LN(E844/E843)</f>
        <v/>
      </c>
      <c r="P844" s="9">
        <f>$P$1*LN(F844/F843)</f>
        <v/>
      </c>
      <c r="Q844" s="9">
        <f>$Q$1*(G844-G843)</f>
        <v/>
      </c>
      <c r="R844" s="9">
        <f>$R$1*(H844-H843)</f>
        <v/>
      </c>
      <c r="S844" s="9">
        <f>$S$1*LN(I844/I843)</f>
        <v/>
      </c>
      <c r="T844" s="9">
        <f>$T$1*LN(J844/J843)</f>
        <v/>
      </c>
      <c r="U844" s="9">
        <f>$W$12+$W$4*M844+$W$5*N844+$W$6*O844+$W$7*P844+$W$8*Q844+$W$9*R844+$W$10*S844+$W$11*T844</f>
        <v/>
      </c>
      <c r="AA844" s="10">
        <f>INDEX(LINEST(L585:L844,M585:T844,TRUE,TRUE),1,9)*52</f>
        <v/>
      </c>
      <c r="AB844" s="9">
        <f>INDEX(LINEST(L585:L844,M585:T844,TRUE,TRUE),1,8)</f>
        <v/>
      </c>
      <c r="AC844" s="9">
        <f>INDEX(LINEST(L585:L844,M585:T844,TRUE,TRUE),1,7)</f>
        <v/>
      </c>
      <c r="AD844" s="9">
        <f>INDEX(LINEST(L585:L844,M585:T844,TRUE,TRUE),1,6)</f>
        <v/>
      </c>
      <c r="AE844" s="9">
        <f>INDEX(LINEST(L585:L844,M585:T844,TRUE,TRUE),1,5)</f>
        <v/>
      </c>
      <c r="AF844" s="9">
        <f>INDEX(LINEST(L585:L844,M585:T844,TRUE,TRUE),1,4)</f>
        <v/>
      </c>
      <c r="AG844" s="9">
        <f>INDEX(LINEST(L585:L844,M585:T844,TRUE,TRUE),1,3)</f>
        <v/>
      </c>
      <c r="AH844" s="9">
        <f>INDEX(LINEST(L585:L844,M585:T844,TRUE,TRUE),1,2)</f>
        <v/>
      </c>
      <c r="AI844" s="9">
        <f>INDEX(LINEST(L585:L844,M585:T844,TRUE,TRUE),1,1)</f>
        <v/>
      </c>
      <c r="AJ844" s="10">
        <f>INDEX(LINEST(L585:L844,M585:T844,TRUE,TRUE),3,1)</f>
        <v/>
      </c>
      <c r="AK844" s="9">
        <f>AA843/52+AB843*M844+AC843*N844+AD843*O844+AE843*P844+AF843*Q844+AG843*R844+AH843*S844+AI843*T844</f>
        <v/>
      </c>
      <c r="AL844" s="9">
        <f>AVERAGE(L584:L843)</f>
        <v/>
      </c>
    </row>
    <row r="845">
      <c r="A845" s="7" t="n">
        <v>43525</v>
      </c>
      <c r="B845" s="8" t="n">
        <v>1311.95</v>
      </c>
      <c r="C845" s="8" t="n">
        <v>1.96</v>
      </c>
      <c r="D845" s="8" t="n">
        <v>0.8</v>
      </c>
      <c r="E845" s="8" t="n">
        <v>96.529999</v>
      </c>
      <c r="F845" s="8" t="n">
        <v>55.76</v>
      </c>
      <c r="G845" s="8" t="n">
        <v>13.57</v>
      </c>
      <c r="H845" s="8" t="n">
        <v>47.900002</v>
      </c>
      <c r="I845" s="8" t="n">
        <v>2803.689941</v>
      </c>
      <c r="J845" s="8" t="n">
        <v>86.52325399999999</v>
      </c>
      <c r="L845" s="9">
        <f>LN(B845/B844)</f>
        <v/>
      </c>
      <c r="M845" s="9">
        <f>$M$1*(C845-C844)</f>
        <v/>
      </c>
      <c r="N845" s="9">
        <f>$N$1*(D845-D844)</f>
        <v/>
      </c>
      <c r="O845" s="9">
        <f>$O$1*LN(E845/E844)</f>
        <v/>
      </c>
      <c r="P845" s="9">
        <f>$P$1*LN(F845/F844)</f>
        <v/>
      </c>
      <c r="Q845" s="9">
        <f>$Q$1*(G845-G844)</f>
        <v/>
      </c>
      <c r="R845" s="9">
        <f>$R$1*(H845-H844)</f>
        <v/>
      </c>
      <c r="S845" s="9">
        <f>$S$1*LN(I845/I844)</f>
        <v/>
      </c>
      <c r="T845" s="9">
        <f>$T$1*LN(J845/J844)</f>
        <v/>
      </c>
      <c r="U845" s="9">
        <f>$W$12+$W$4*M845+$W$5*N845+$W$6*O845+$W$7*P845+$W$8*Q845+$W$9*R845+$W$10*S845+$W$11*T845</f>
        <v/>
      </c>
      <c r="AA845" s="10">
        <f>INDEX(LINEST(L586:L845,M586:T845,TRUE,TRUE),1,9)*52</f>
        <v/>
      </c>
      <c r="AB845" s="9">
        <f>INDEX(LINEST(L586:L845,M586:T845,TRUE,TRUE),1,8)</f>
        <v/>
      </c>
      <c r="AC845" s="9">
        <f>INDEX(LINEST(L586:L845,M586:T845,TRUE,TRUE),1,7)</f>
        <v/>
      </c>
      <c r="AD845" s="9">
        <f>INDEX(LINEST(L586:L845,M586:T845,TRUE,TRUE),1,6)</f>
        <v/>
      </c>
      <c r="AE845" s="9">
        <f>INDEX(LINEST(L586:L845,M586:T845,TRUE,TRUE),1,5)</f>
        <v/>
      </c>
      <c r="AF845" s="9">
        <f>INDEX(LINEST(L586:L845,M586:T845,TRUE,TRUE),1,4)</f>
        <v/>
      </c>
      <c r="AG845" s="9">
        <f>INDEX(LINEST(L586:L845,M586:T845,TRUE,TRUE),1,3)</f>
        <v/>
      </c>
      <c r="AH845" s="9">
        <f>INDEX(LINEST(L586:L845,M586:T845,TRUE,TRUE),1,2)</f>
        <v/>
      </c>
      <c r="AI845" s="9">
        <f>INDEX(LINEST(L586:L845,M586:T845,TRUE,TRUE),1,1)</f>
        <v/>
      </c>
      <c r="AJ845" s="10">
        <f>INDEX(LINEST(L586:L845,M586:T845,TRUE,TRUE),3,1)</f>
        <v/>
      </c>
      <c r="AK845" s="9">
        <f>AA844/52+AB844*M845+AC844*N845+AD844*O845+AE844*P845+AF844*Q845+AG844*R845+AH844*S845+AI844*T845</f>
        <v/>
      </c>
      <c r="AL845" s="9">
        <f>AVERAGE(L585:L844)</f>
        <v/>
      </c>
    </row>
    <row r="846">
      <c r="A846" s="7" t="n">
        <v>43532</v>
      </c>
      <c r="B846" s="8" t="n">
        <v>1296.75</v>
      </c>
      <c r="C846" s="8" t="n">
        <v>1.9</v>
      </c>
      <c r="D846" s="8" t="n">
        <v>0.72</v>
      </c>
      <c r="E846" s="8" t="n">
        <v>97.370003</v>
      </c>
      <c r="F846" s="8" t="n">
        <v>55.77</v>
      </c>
      <c r="G846" s="8" t="n">
        <v>16.05</v>
      </c>
      <c r="H846" s="8" t="n">
        <v>45.830002</v>
      </c>
      <c r="I846" s="8" t="n">
        <v>2743.070068</v>
      </c>
      <c r="J846" s="8" t="n">
        <v>87.172394</v>
      </c>
      <c r="L846" s="9">
        <f>LN(B846/B845)</f>
        <v/>
      </c>
      <c r="M846" s="9">
        <f>$M$1*(C846-C845)</f>
        <v/>
      </c>
      <c r="N846" s="9">
        <f>$N$1*(D846-D845)</f>
        <v/>
      </c>
      <c r="O846" s="9">
        <f>$O$1*LN(E846/E845)</f>
        <v/>
      </c>
      <c r="P846" s="9">
        <f>$P$1*LN(F846/F845)</f>
        <v/>
      </c>
      <c r="Q846" s="9">
        <f>$Q$1*(G846-G845)</f>
        <v/>
      </c>
      <c r="R846" s="9">
        <f>$R$1*(H846-H845)</f>
        <v/>
      </c>
      <c r="S846" s="9">
        <f>$S$1*LN(I846/I845)</f>
        <v/>
      </c>
      <c r="T846" s="9">
        <f>$T$1*LN(J846/J845)</f>
        <v/>
      </c>
      <c r="U846" s="9">
        <f>$W$12+$W$4*M846+$W$5*N846+$W$6*O846+$W$7*P846+$W$8*Q846+$W$9*R846+$W$10*S846+$W$11*T846</f>
        <v/>
      </c>
      <c r="AA846" s="10">
        <f>INDEX(LINEST(L587:L846,M587:T846,TRUE,TRUE),1,9)*52</f>
        <v/>
      </c>
      <c r="AB846" s="9">
        <f>INDEX(LINEST(L587:L846,M587:T846,TRUE,TRUE),1,8)</f>
        <v/>
      </c>
      <c r="AC846" s="9">
        <f>INDEX(LINEST(L587:L846,M587:T846,TRUE,TRUE),1,7)</f>
        <v/>
      </c>
      <c r="AD846" s="9">
        <f>INDEX(LINEST(L587:L846,M587:T846,TRUE,TRUE),1,6)</f>
        <v/>
      </c>
      <c r="AE846" s="9">
        <f>INDEX(LINEST(L587:L846,M587:T846,TRUE,TRUE),1,5)</f>
        <v/>
      </c>
      <c r="AF846" s="9">
        <f>INDEX(LINEST(L587:L846,M587:T846,TRUE,TRUE),1,4)</f>
        <v/>
      </c>
      <c r="AG846" s="9">
        <f>INDEX(LINEST(L587:L846,M587:T846,TRUE,TRUE),1,3)</f>
        <v/>
      </c>
      <c r="AH846" s="9">
        <f>INDEX(LINEST(L587:L846,M587:T846,TRUE,TRUE),1,2)</f>
        <v/>
      </c>
      <c r="AI846" s="9">
        <f>INDEX(LINEST(L587:L846,M587:T846,TRUE,TRUE),1,1)</f>
        <v/>
      </c>
      <c r="AJ846" s="10">
        <f>INDEX(LINEST(L587:L846,M587:T846,TRUE,TRUE),3,1)</f>
        <v/>
      </c>
      <c r="AK846" s="9">
        <f>AA845/52+AB845*M846+AC845*N846+AD845*O846+AE845*P846+AF845*Q846+AG845*R846+AH845*S846+AI845*T846</f>
        <v/>
      </c>
      <c r="AL846" s="9">
        <f>AVERAGE(L586:L845)</f>
        <v/>
      </c>
    </row>
    <row r="847">
      <c r="A847" s="7" t="n">
        <v>43539</v>
      </c>
      <c r="B847" s="8" t="n">
        <v>1303.5</v>
      </c>
      <c r="C847" s="8" t="n">
        <v>1.94</v>
      </c>
      <c r="D847" s="8" t="n">
        <v>0.65</v>
      </c>
      <c r="E847" s="8" t="n">
        <v>96.599998</v>
      </c>
      <c r="F847" s="8" t="n">
        <v>58.51</v>
      </c>
      <c r="G847" s="8" t="n">
        <v>12.88</v>
      </c>
      <c r="H847" s="8" t="n">
        <v>46.049999</v>
      </c>
      <c r="I847" s="8" t="n">
        <v>2822.47998</v>
      </c>
      <c r="J847" s="8" t="n">
        <v>87.391434</v>
      </c>
      <c r="L847" s="9">
        <f>LN(B847/B846)</f>
        <v/>
      </c>
      <c r="M847" s="9">
        <f>$M$1*(C847-C846)</f>
        <v/>
      </c>
      <c r="N847" s="9">
        <f>$N$1*(D847-D846)</f>
        <v/>
      </c>
      <c r="O847" s="9">
        <f>$O$1*LN(E847/E846)</f>
        <v/>
      </c>
      <c r="P847" s="9">
        <f>$P$1*LN(F847/F846)</f>
        <v/>
      </c>
      <c r="Q847" s="9">
        <f>$Q$1*(G847-G846)</f>
        <v/>
      </c>
      <c r="R847" s="9">
        <f>$R$1*(H847-H846)</f>
        <v/>
      </c>
      <c r="S847" s="9">
        <f>$S$1*LN(I847/I846)</f>
        <v/>
      </c>
      <c r="T847" s="9">
        <f>$T$1*LN(J847/J846)</f>
        <v/>
      </c>
      <c r="U847" s="9">
        <f>$W$12+$W$4*M847+$W$5*N847+$W$6*O847+$W$7*P847+$W$8*Q847+$W$9*R847+$W$10*S847+$W$11*T847</f>
        <v/>
      </c>
      <c r="AA847" s="10">
        <f>INDEX(LINEST(L588:L847,M588:T847,TRUE,TRUE),1,9)*52</f>
        <v/>
      </c>
      <c r="AB847" s="9">
        <f>INDEX(LINEST(L588:L847,M588:T847,TRUE,TRUE),1,8)</f>
        <v/>
      </c>
      <c r="AC847" s="9">
        <f>INDEX(LINEST(L588:L847,M588:T847,TRUE,TRUE),1,7)</f>
        <v/>
      </c>
      <c r="AD847" s="9">
        <f>INDEX(LINEST(L588:L847,M588:T847,TRUE,TRUE),1,6)</f>
        <v/>
      </c>
      <c r="AE847" s="9">
        <f>INDEX(LINEST(L588:L847,M588:T847,TRUE,TRUE),1,5)</f>
        <v/>
      </c>
      <c r="AF847" s="9">
        <f>INDEX(LINEST(L588:L847,M588:T847,TRUE,TRUE),1,4)</f>
        <v/>
      </c>
      <c r="AG847" s="9">
        <f>INDEX(LINEST(L588:L847,M588:T847,TRUE,TRUE),1,3)</f>
        <v/>
      </c>
      <c r="AH847" s="9">
        <f>INDEX(LINEST(L588:L847,M588:T847,TRUE,TRUE),1,2)</f>
        <v/>
      </c>
      <c r="AI847" s="9">
        <f>INDEX(LINEST(L588:L847,M588:T847,TRUE,TRUE),1,1)</f>
        <v/>
      </c>
      <c r="AJ847" s="10">
        <f>INDEX(LINEST(L588:L847,M588:T847,TRUE,TRUE),3,1)</f>
        <v/>
      </c>
      <c r="AK847" s="9">
        <f>AA846/52+AB846*M847+AC846*N847+AD846*O847+AE846*P847+AF846*Q847+AG846*R847+AH846*S847+AI846*T847</f>
        <v/>
      </c>
      <c r="AL847" s="9">
        <f>AVERAGE(L587:L846)</f>
        <v/>
      </c>
    </row>
    <row r="848">
      <c r="A848" s="7" t="n">
        <v>43546</v>
      </c>
      <c r="B848" s="8" t="n">
        <v>1311.3</v>
      </c>
      <c r="C848" s="8" t="n">
        <v>1.9</v>
      </c>
      <c r="D848" s="8" t="n">
        <v>0.54</v>
      </c>
      <c r="E848" s="8" t="n">
        <v>96.650002</v>
      </c>
      <c r="F848" s="8" t="n">
        <v>58.87</v>
      </c>
      <c r="G848" s="8" t="n">
        <v>16.48</v>
      </c>
      <c r="H848" s="8" t="n">
        <v>52.259998</v>
      </c>
      <c r="I848" s="8" t="n">
        <v>2800.709961</v>
      </c>
      <c r="J848" s="8" t="n">
        <v>88.137985</v>
      </c>
      <c r="L848" s="9">
        <f>LN(B848/B847)</f>
        <v/>
      </c>
      <c r="M848" s="9">
        <f>$M$1*(C848-C847)</f>
        <v/>
      </c>
      <c r="N848" s="9">
        <f>$N$1*(D848-D847)</f>
        <v/>
      </c>
      <c r="O848" s="9">
        <f>$O$1*LN(E848/E847)</f>
        <v/>
      </c>
      <c r="P848" s="9">
        <f>$P$1*LN(F848/F847)</f>
        <v/>
      </c>
      <c r="Q848" s="9">
        <f>$Q$1*(G848-G847)</f>
        <v/>
      </c>
      <c r="R848" s="9">
        <f>$R$1*(H848-H847)</f>
        <v/>
      </c>
      <c r="S848" s="9">
        <f>$S$1*LN(I848/I847)</f>
        <v/>
      </c>
      <c r="T848" s="9">
        <f>$T$1*LN(J848/J847)</f>
        <v/>
      </c>
      <c r="U848" s="9">
        <f>$W$12+$W$4*M848+$W$5*N848+$W$6*O848+$W$7*P848+$W$8*Q848+$W$9*R848+$W$10*S848+$W$11*T848</f>
        <v/>
      </c>
      <c r="AA848" s="10">
        <f>INDEX(LINEST(L589:L848,M589:T848,TRUE,TRUE),1,9)*52</f>
        <v/>
      </c>
      <c r="AB848" s="9">
        <f>INDEX(LINEST(L589:L848,M589:T848,TRUE,TRUE),1,8)</f>
        <v/>
      </c>
      <c r="AC848" s="9">
        <f>INDEX(LINEST(L589:L848,M589:T848,TRUE,TRUE),1,7)</f>
        <v/>
      </c>
      <c r="AD848" s="9">
        <f>INDEX(LINEST(L589:L848,M589:T848,TRUE,TRUE),1,6)</f>
        <v/>
      </c>
      <c r="AE848" s="9">
        <f>INDEX(LINEST(L589:L848,M589:T848,TRUE,TRUE),1,5)</f>
        <v/>
      </c>
      <c r="AF848" s="9">
        <f>INDEX(LINEST(L589:L848,M589:T848,TRUE,TRUE),1,4)</f>
        <v/>
      </c>
      <c r="AG848" s="9">
        <f>INDEX(LINEST(L589:L848,M589:T848,TRUE,TRUE),1,3)</f>
        <v/>
      </c>
      <c r="AH848" s="9">
        <f>INDEX(LINEST(L589:L848,M589:T848,TRUE,TRUE),1,2)</f>
        <v/>
      </c>
      <c r="AI848" s="9">
        <f>INDEX(LINEST(L589:L848,M589:T848,TRUE,TRUE),1,1)</f>
        <v/>
      </c>
      <c r="AJ848" s="10">
        <f>INDEX(LINEST(L589:L848,M589:T848,TRUE,TRUE),3,1)</f>
        <v/>
      </c>
      <c r="AK848" s="9">
        <f>AA847/52+AB847*M848+AC847*N848+AD847*O848+AE847*P848+AF847*Q848+AG847*R848+AH847*S848+AI847*T848</f>
        <v/>
      </c>
      <c r="AL848" s="9">
        <f>AVERAGE(L588:L847)</f>
        <v/>
      </c>
    </row>
    <row r="849">
      <c r="A849" s="7" t="n">
        <v>43553</v>
      </c>
      <c r="B849" s="8" t="n">
        <v>1295.4</v>
      </c>
      <c r="C849" s="8" t="n">
        <v>1.88</v>
      </c>
      <c r="D849" s="8" t="n">
        <v>0.53</v>
      </c>
      <c r="E849" s="8" t="n">
        <v>97.279999</v>
      </c>
      <c r="F849" s="8" t="n">
        <v>60.19</v>
      </c>
      <c r="G849" s="8" t="n">
        <v>13.71</v>
      </c>
      <c r="H849" s="8" t="n">
        <v>58.549999</v>
      </c>
      <c r="I849" s="8" t="n">
        <v>2834.399902</v>
      </c>
      <c r="J849" s="8" t="n">
        <v>88.503128</v>
      </c>
      <c r="L849" s="9">
        <f>LN(B849/B848)</f>
        <v/>
      </c>
      <c r="M849" s="9">
        <f>$M$1*(C849-C848)</f>
        <v/>
      </c>
      <c r="N849" s="9">
        <f>$N$1*(D849-D848)</f>
        <v/>
      </c>
      <c r="O849" s="9">
        <f>$O$1*LN(E849/E848)</f>
        <v/>
      </c>
      <c r="P849" s="9">
        <f>$P$1*LN(F849/F848)</f>
        <v/>
      </c>
      <c r="Q849" s="9">
        <f>$Q$1*(G849-G848)</f>
        <v/>
      </c>
      <c r="R849" s="9">
        <f>$R$1*(H849-H848)</f>
        <v/>
      </c>
      <c r="S849" s="9">
        <f>$S$1*LN(I849/I848)</f>
        <v/>
      </c>
      <c r="T849" s="9">
        <f>$T$1*LN(J849/J848)</f>
        <v/>
      </c>
      <c r="U849" s="9">
        <f>$W$12+$W$4*M849+$W$5*N849+$W$6*O849+$W$7*P849+$W$8*Q849+$W$9*R849+$W$10*S849+$W$11*T849</f>
        <v/>
      </c>
      <c r="AA849" s="10">
        <f>INDEX(LINEST(L590:L849,M590:T849,TRUE,TRUE),1,9)*52</f>
        <v/>
      </c>
      <c r="AB849" s="9">
        <f>INDEX(LINEST(L590:L849,M590:T849,TRUE,TRUE),1,8)</f>
        <v/>
      </c>
      <c r="AC849" s="9">
        <f>INDEX(LINEST(L590:L849,M590:T849,TRUE,TRUE),1,7)</f>
        <v/>
      </c>
      <c r="AD849" s="9">
        <f>INDEX(LINEST(L590:L849,M590:T849,TRUE,TRUE),1,6)</f>
        <v/>
      </c>
      <c r="AE849" s="9">
        <f>INDEX(LINEST(L590:L849,M590:T849,TRUE,TRUE),1,5)</f>
        <v/>
      </c>
      <c r="AF849" s="9">
        <f>INDEX(LINEST(L590:L849,M590:T849,TRUE,TRUE),1,4)</f>
        <v/>
      </c>
      <c r="AG849" s="9">
        <f>INDEX(LINEST(L590:L849,M590:T849,TRUE,TRUE),1,3)</f>
        <v/>
      </c>
      <c r="AH849" s="9">
        <f>INDEX(LINEST(L590:L849,M590:T849,TRUE,TRUE),1,2)</f>
        <v/>
      </c>
      <c r="AI849" s="9">
        <f>INDEX(LINEST(L590:L849,M590:T849,TRUE,TRUE),1,1)</f>
        <v/>
      </c>
      <c r="AJ849" s="10">
        <f>INDEX(LINEST(L590:L849,M590:T849,TRUE,TRUE),3,1)</f>
        <v/>
      </c>
      <c r="AK849" s="9">
        <f>AA848/52+AB848*M849+AC848*N849+AD848*O849+AE848*P849+AF848*Q849+AG848*R849+AH848*S849+AI848*T849</f>
        <v/>
      </c>
      <c r="AL849" s="9">
        <f>AVERAGE(L589:L848)</f>
        <v/>
      </c>
    </row>
    <row r="850">
      <c r="A850" s="7" t="n">
        <v>43560</v>
      </c>
      <c r="B850" s="8" t="n">
        <v>1288.45</v>
      </c>
      <c r="C850" s="8" t="n">
        <v>1.9</v>
      </c>
      <c r="D850" s="8" t="n">
        <v>0.6</v>
      </c>
      <c r="E850" s="8" t="n">
        <v>97.400002</v>
      </c>
      <c r="F850" s="8" t="n">
        <v>63.1</v>
      </c>
      <c r="G850" s="8" t="n">
        <v>12.82</v>
      </c>
      <c r="H850" s="8" t="n">
        <v>49.220001</v>
      </c>
      <c r="I850" s="8" t="n">
        <v>2892.73999</v>
      </c>
      <c r="J850" s="8" t="n">
        <v>88.163155</v>
      </c>
      <c r="L850" s="9">
        <f>LN(B850/B849)</f>
        <v/>
      </c>
      <c r="M850" s="9">
        <f>$M$1*(C850-C849)</f>
        <v/>
      </c>
      <c r="N850" s="9">
        <f>$N$1*(D850-D849)</f>
        <v/>
      </c>
      <c r="O850" s="9">
        <f>$O$1*LN(E850/E849)</f>
        <v/>
      </c>
      <c r="P850" s="9">
        <f>$P$1*LN(F850/F849)</f>
        <v/>
      </c>
      <c r="Q850" s="9">
        <f>$Q$1*(G850-G849)</f>
        <v/>
      </c>
      <c r="R850" s="9">
        <f>$R$1*(H850-H849)</f>
        <v/>
      </c>
      <c r="S850" s="9">
        <f>$S$1*LN(I850/I849)</f>
        <v/>
      </c>
      <c r="T850" s="9">
        <f>$T$1*LN(J850/J849)</f>
        <v/>
      </c>
      <c r="U850" s="9">
        <f>$W$12+$W$4*M850+$W$5*N850+$W$6*O850+$W$7*P850+$W$8*Q850+$W$9*R850+$W$10*S850+$W$11*T850</f>
        <v/>
      </c>
      <c r="AA850" s="10">
        <f>INDEX(LINEST(L591:L850,M591:T850,TRUE,TRUE),1,9)*52</f>
        <v/>
      </c>
      <c r="AB850" s="9">
        <f>INDEX(LINEST(L591:L850,M591:T850,TRUE,TRUE),1,8)</f>
        <v/>
      </c>
      <c r="AC850" s="9">
        <f>INDEX(LINEST(L591:L850,M591:T850,TRUE,TRUE),1,7)</f>
        <v/>
      </c>
      <c r="AD850" s="9">
        <f>INDEX(LINEST(L591:L850,M591:T850,TRUE,TRUE),1,6)</f>
        <v/>
      </c>
      <c r="AE850" s="9">
        <f>INDEX(LINEST(L591:L850,M591:T850,TRUE,TRUE),1,5)</f>
        <v/>
      </c>
      <c r="AF850" s="9">
        <f>INDEX(LINEST(L591:L850,M591:T850,TRUE,TRUE),1,4)</f>
        <v/>
      </c>
      <c r="AG850" s="9">
        <f>INDEX(LINEST(L591:L850,M591:T850,TRUE,TRUE),1,3)</f>
        <v/>
      </c>
      <c r="AH850" s="9">
        <f>INDEX(LINEST(L591:L850,M591:T850,TRUE,TRUE),1,2)</f>
        <v/>
      </c>
      <c r="AI850" s="9">
        <f>INDEX(LINEST(L591:L850,M591:T850,TRUE,TRUE),1,1)</f>
        <v/>
      </c>
      <c r="AJ850" s="10">
        <f>INDEX(LINEST(L591:L850,M591:T850,TRUE,TRUE),3,1)</f>
        <v/>
      </c>
      <c r="AK850" s="9">
        <f>AA849/52+AB849*M850+AC849*N850+AD849*O850+AE849*P850+AF849*Q850+AG849*R850+AH849*S850+AI849*T850</f>
        <v/>
      </c>
      <c r="AL850" s="9">
        <f>AVERAGE(L590:L849)</f>
        <v/>
      </c>
    </row>
    <row r="851">
      <c r="A851" s="7" t="n">
        <v>43567</v>
      </c>
      <c r="B851" s="8" t="n">
        <v>1294.3</v>
      </c>
      <c r="C851" s="8" t="n">
        <v>1.95</v>
      </c>
      <c r="D851" s="8" t="n">
        <v>0.61</v>
      </c>
      <c r="E851" s="8" t="n">
        <v>96.970001</v>
      </c>
      <c r="F851" s="8" t="n">
        <v>63.86</v>
      </c>
      <c r="G851" s="8" t="n">
        <v>12.01</v>
      </c>
      <c r="H851" s="8" t="n">
        <v>48.84</v>
      </c>
      <c r="I851" s="8" t="n">
        <v>2907.409912</v>
      </c>
      <c r="J851" s="8" t="n">
        <v>88.065506</v>
      </c>
      <c r="L851" s="9">
        <f>LN(B851/B850)</f>
        <v/>
      </c>
      <c r="M851" s="9">
        <f>$M$1*(C851-C850)</f>
        <v/>
      </c>
      <c r="N851" s="9">
        <f>$N$1*(D851-D850)</f>
        <v/>
      </c>
      <c r="O851" s="9">
        <f>$O$1*LN(E851/E850)</f>
        <v/>
      </c>
      <c r="P851" s="9">
        <f>$P$1*LN(F851/F850)</f>
        <v/>
      </c>
      <c r="Q851" s="9">
        <f>$Q$1*(G851-G850)</f>
        <v/>
      </c>
      <c r="R851" s="9">
        <f>$R$1*(H851-H850)</f>
        <v/>
      </c>
      <c r="S851" s="9">
        <f>$S$1*LN(I851/I850)</f>
        <v/>
      </c>
      <c r="T851" s="9">
        <f>$T$1*LN(J851/J850)</f>
        <v/>
      </c>
      <c r="U851" s="9">
        <f>$W$12+$W$4*M851+$W$5*N851+$W$6*O851+$W$7*P851+$W$8*Q851+$W$9*R851+$W$10*S851+$W$11*T851</f>
        <v/>
      </c>
      <c r="AA851" s="10">
        <f>INDEX(LINEST(L592:L851,M592:T851,TRUE,TRUE),1,9)*52</f>
        <v/>
      </c>
      <c r="AB851" s="9">
        <f>INDEX(LINEST(L592:L851,M592:T851,TRUE,TRUE),1,8)</f>
        <v/>
      </c>
      <c r="AC851" s="9">
        <f>INDEX(LINEST(L592:L851,M592:T851,TRUE,TRUE),1,7)</f>
        <v/>
      </c>
      <c r="AD851" s="9">
        <f>INDEX(LINEST(L592:L851,M592:T851,TRUE,TRUE),1,6)</f>
        <v/>
      </c>
      <c r="AE851" s="9">
        <f>INDEX(LINEST(L592:L851,M592:T851,TRUE,TRUE),1,5)</f>
        <v/>
      </c>
      <c r="AF851" s="9">
        <f>INDEX(LINEST(L592:L851,M592:T851,TRUE,TRUE),1,4)</f>
        <v/>
      </c>
      <c r="AG851" s="9">
        <f>INDEX(LINEST(L592:L851,M592:T851,TRUE,TRUE),1,3)</f>
        <v/>
      </c>
      <c r="AH851" s="9">
        <f>INDEX(LINEST(L592:L851,M592:T851,TRUE,TRUE),1,2)</f>
        <v/>
      </c>
      <c r="AI851" s="9">
        <f>INDEX(LINEST(L592:L851,M592:T851,TRUE,TRUE),1,1)</f>
        <v/>
      </c>
      <c r="AJ851" s="10">
        <f>INDEX(LINEST(L592:L851,M592:T851,TRUE,TRUE),3,1)</f>
        <v/>
      </c>
      <c r="AK851" s="9">
        <f>AA850/52+AB850*M851+AC850*N851+AD850*O851+AE850*P851+AF850*Q851+AG850*R851+AH850*S851+AI850*T851</f>
        <v/>
      </c>
      <c r="AL851" s="9">
        <f>AVERAGE(L591:L850)</f>
        <v/>
      </c>
    </row>
    <row r="852">
      <c r="A852" s="7" t="n">
        <v>43574</v>
      </c>
      <c r="B852" s="8" t="n">
        <v>1275.7</v>
      </c>
      <c r="C852" s="8" t="n">
        <v>1.95</v>
      </c>
      <c r="D852" s="8" t="n">
        <v>0.62</v>
      </c>
      <c r="E852" s="8" t="n">
        <v>97.470001</v>
      </c>
      <c r="F852" s="8" t="n">
        <v>64.02</v>
      </c>
      <c r="G852" s="8" t="n">
        <v>12.09</v>
      </c>
      <c r="H852" s="8" t="n">
        <v>49.23</v>
      </c>
      <c r="I852" s="8" t="n">
        <v>2905.030029</v>
      </c>
      <c r="J852" s="8" t="n">
        <v>88.000427</v>
      </c>
      <c r="L852" s="9">
        <f>LN(B852/B851)</f>
        <v/>
      </c>
      <c r="M852" s="9">
        <f>$M$1*(C852-C851)</f>
        <v/>
      </c>
      <c r="N852" s="9">
        <f>$N$1*(D852-D851)</f>
        <v/>
      </c>
      <c r="O852" s="9">
        <f>$O$1*LN(E852/E851)</f>
        <v/>
      </c>
      <c r="P852" s="9">
        <f>$P$1*LN(F852/F851)</f>
        <v/>
      </c>
      <c r="Q852" s="9">
        <f>$Q$1*(G852-G851)</f>
        <v/>
      </c>
      <c r="R852" s="9">
        <f>$R$1*(H852-H851)</f>
        <v/>
      </c>
      <c r="S852" s="9">
        <f>$S$1*LN(I852/I851)</f>
        <v/>
      </c>
      <c r="T852" s="9">
        <f>$T$1*LN(J852/J851)</f>
        <v/>
      </c>
      <c r="U852" s="9">
        <f>$W$12+$W$4*M852+$W$5*N852+$W$6*O852+$W$7*P852+$W$8*Q852+$W$9*R852+$W$10*S852+$W$11*T852</f>
        <v/>
      </c>
      <c r="AA852" s="10">
        <f>INDEX(LINEST(L593:L852,M593:T852,TRUE,TRUE),1,9)*52</f>
        <v/>
      </c>
      <c r="AB852" s="9">
        <f>INDEX(LINEST(L593:L852,M593:T852,TRUE,TRUE),1,8)</f>
        <v/>
      </c>
      <c r="AC852" s="9">
        <f>INDEX(LINEST(L593:L852,M593:T852,TRUE,TRUE),1,7)</f>
        <v/>
      </c>
      <c r="AD852" s="9">
        <f>INDEX(LINEST(L593:L852,M593:T852,TRUE,TRUE),1,6)</f>
        <v/>
      </c>
      <c r="AE852" s="9">
        <f>INDEX(LINEST(L593:L852,M593:T852,TRUE,TRUE),1,5)</f>
        <v/>
      </c>
      <c r="AF852" s="9">
        <f>INDEX(LINEST(L593:L852,M593:T852,TRUE,TRUE),1,4)</f>
        <v/>
      </c>
      <c r="AG852" s="9">
        <f>INDEX(LINEST(L593:L852,M593:T852,TRUE,TRUE),1,3)</f>
        <v/>
      </c>
      <c r="AH852" s="9">
        <f>INDEX(LINEST(L593:L852,M593:T852,TRUE,TRUE),1,2)</f>
        <v/>
      </c>
      <c r="AI852" s="9">
        <f>INDEX(LINEST(L593:L852,M593:T852,TRUE,TRUE),1,1)</f>
        <v/>
      </c>
      <c r="AJ852" s="10">
        <f>INDEX(LINEST(L593:L852,M593:T852,TRUE,TRUE),3,1)</f>
        <v/>
      </c>
      <c r="AK852" s="9">
        <f>AA851/52+AB851*M852+AC851*N852+AD851*O852+AE851*P852+AF851*Q852+AG851*R852+AH851*S852+AI851*T852</f>
        <v/>
      </c>
      <c r="AL852" s="9">
        <f>AVERAGE(L592:L851)</f>
        <v/>
      </c>
    </row>
    <row r="853">
      <c r="A853" s="7" t="n">
        <v>43581</v>
      </c>
      <c r="B853" s="8" t="n">
        <v>1284.2</v>
      </c>
      <c r="C853" s="8" t="n">
        <v>1.97</v>
      </c>
      <c r="D853" s="8" t="n">
        <v>0.54</v>
      </c>
      <c r="E853" s="8" t="n">
        <v>98.010002</v>
      </c>
      <c r="F853" s="8" t="n">
        <v>63.29</v>
      </c>
      <c r="G853" s="8" t="n">
        <v>12.73</v>
      </c>
      <c r="H853" s="8" t="n">
        <v>49.43</v>
      </c>
      <c r="I853" s="8" t="n">
        <v>2939.879883</v>
      </c>
      <c r="J853" s="8" t="n">
        <v>88.423416</v>
      </c>
      <c r="L853" s="9">
        <f>LN(B853/B852)</f>
        <v/>
      </c>
      <c r="M853" s="9">
        <f>$M$1*(C853-C852)</f>
        <v/>
      </c>
      <c r="N853" s="9">
        <f>$N$1*(D853-D852)</f>
        <v/>
      </c>
      <c r="O853" s="9">
        <f>$O$1*LN(E853/E852)</f>
        <v/>
      </c>
      <c r="P853" s="9">
        <f>$P$1*LN(F853/F852)</f>
        <v/>
      </c>
      <c r="Q853" s="9">
        <f>$Q$1*(G853-G852)</f>
        <v/>
      </c>
      <c r="R853" s="9">
        <f>$R$1*(H853-H852)</f>
        <v/>
      </c>
      <c r="S853" s="9">
        <f>$S$1*LN(I853/I852)</f>
        <v/>
      </c>
      <c r="T853" s="9">
        <f>$T$1*LN(J853/J852)</f>
        <v/>
      </c>
      <c r="U853" s="9">
        <f>$W$12+$W$4*M853+$W$5*N853+$W$6*O853+$W$7*P853+$W$8*Q853+$W$9*R853+$W$10*S853+$W$11*T853</f>
        <v/>
      </c>
      <c r="AA853" s="10">
        <f>INDEX(LINEST(L594:L853,M594:T853,TRUE,TRUE),1,9)*52</f>
        <v/>
      </c>
      <c r="AB853" s="9">
        <f>INDEX(LINEST(L594:L853,M594:T853,TRUE,TRUE),1,8)</f>
        <v/>
      </c>
      <c r="AC853" s="9">
        <f>INDEX(LINEST(L594:L853,M594:T853,TRUE,TRUE),1,7)</f>
        <v/>
      </c>
      <c r="AD853" s="9">
        <f>INDEX(LINEST(L594:L853,M594:T853,TRUE,TRUE),1,6)</f>
        <v/>
      </c>
      <c r="AE853" s="9">
        <f>INDEX(LINEST(L594:L853,M594:T853,TRUE,TRUE),1,5)</f>
        <v/>
      </c>
      <c r="AF853" s="9">
        <f>INDEX(LINEST(L594:L853,M594:T853,TRUE,TRUE),1,4)</f>
        <v/>
      </c>
      <c r="AG853" s="9">
        <f>INDEX(LINEST(L594:L853,M594:T853,TRUE,TRUE),1,3)</f>
        <v/>
      </c>
      <c r="AH853" s="9">
        <f>INDEX(LINEST(L594:L853,M594:T853,TRUE,TRUE),1,2)</f>
        <v/>
      </c>
      <c r="AI853" s="9">
        <f>INDEX(LINEST(L594:L853,M594:T853,TRUE,TRUE),1,1)</f>
        <v/>
      </c>
      <c r="AJ853" s="10">
        <f>INDEX(LINEST(L594:L853,M594:T853,TRUE,TRUE),3,1)</f>
        <v/>
      </c>
      <c r="AK853" s="9">
        <f>AA852/52+AB852*M853+AC852*N853+AD852*O853+AE852*P853+AF852*Q853+AG852*R853+AH852*S853+AI852*T853</f>
        <v/>
      </c>
      <c r="AL853" s="9">
        <f>AVERAGE(L593:L852)</f>
        <v/>
      </c>
    </row>
    <row r="854">
      <c r="A854" s="7" t="n">
        <v>43588</v>
      </c>
      <c r="B854" s="8" t="n">
        <v>1278.55</v>
      </c>
      <c r="C854" s="8" t="n">
        <v>1.91</v>
      </c>
      <c r="D854" s="8" t="n">
        <v>0.63</v>
      </c>
      <c r="E854" s="8" t="n">
        <v>97.519997</v>
      </c>
      <c r="F854" s="8" t="n">
        <v>61.98</v>
      </c>
      <c r="G854" s="8" t="n">
        <v>12.87</v>
      </c>
      <c r="H854" s="8" t="n">
        <v>45.779999</v>
      </c>
      <c r="I854" s="8" t="n">
        <v>2945.639893</v>
      </c>
      <c r="J854" s="8" t="n">
        <v>88.333969</v>
      </c>
      <c r="L854" s="9">
        <f>LN(B854/B853)</f>
        <v/>
      </c>
      <c r="M854" s="9">
        <f>$M$1*(C854-C853)</f>
        <v/>
      </c>
      <c r="N854" s="9">
        <f>$N$1*(D854-D853)</f>
        <v/>
      </c>
      <c r="O854" s="9">
        <f>$O$1*LN(E854/E853)</f>
        <v/>
      </c>
      <c r="P854" s="9">
        <f>$P$1*LN(F854/F853)</f>
        <v/>
      </c>
      <c r="Q854" s="9">
        <f>$Q$1*(G854-G853)</f>
        <v/>
      </c>
      <c r="R854" s="9">
        <f>$R$1*(H854-H853)</f>
        <v/>
      </c>
      <c r="S854" s="9">
        <f>$S$1*LN(I854/I853)</f>
        <v/>
      </c>
      <c r="T854" s="9">
        <f>$T$1*LN(J854/J853)</f>
        <v/>
      </c>
      <c r="U854" s="9">
        <f>$W$12+$W$4*M854+$W$5*N854+$W$6*O854+$W$7*P854+$W$8*Q854+$W$9*R854+$W$10*S854+$W$11*T854</f>
        <v/>
      </c>
      <c r="AA854" s="10">
        <f>INDEX(LINEST(L595:L854,M595:T854,TRUE,TRUE),1,9)*52</f>
        <v/>
      </c>
      <c r="AB854" s="9">
        <f>INDEX(LINEST(L595:L854,M595:T854,TRUE,TRUE),1,8)</f>
        <v/>
      </c>
      <c r="AC854" s="9">
        <f>INDEX(LINEST(L595:L854,M595:T854,TRUE,TRUE),1,7)</f>
        <v/>
      </c>
      <c r="AD854" s="9">
        <f>INDEX(LINEST(L595:L854,M595:T854,TRUE,TRUE),1,6)</f>
        <v/>
      </c>
      <c r="AE854" s="9">
        <f>INDEX(LINEST(L595:L854,M595:T854,TRUE,TRUE),1,5)</f>
        <v/>
      </c>
      <c r="AF854" s="9">
        <f>INDEX(LINEST(L595:L854,M595:T854,TRUE,TRUE),1,4)</f>
        <v/>
      </c>
      <c r="AG854" s="9">
        <f>INDEX(LINEST(L595:L854,M595:T854,TRUE,TRUE),1,3)</f>
        <v/>
      </c>
      <c r="AH854" s="9">
        <f>INDEX(LINEST(L595:L854,M595:T854,TRUE,TRUE),1,2)</f>
        <v/>
      </c>
      <c r="AI854" s="9">
        <f>INDEX(LINEST(L595:L854,M595:T854,TRUE,TRUE),1,1)</f>
        <v/>
      </c>
      <c r="AJ854" s="10">
        <f>INDEX(LINEST(L595:L854,M595:T854,TRUE,TRUE),3,1)</f>
        <v/>
      </c>
      <c r="AK854" s="9">
        <f>AA853/52+AB853*M854+AC853*N854+AD853*O854+AE853*P854+AF853*Q854+AG853*R854+AH853*S854+AI853*T854</f>
        <v/>
      </c>
      <c r="AL854" s="9">
        <f>AVERAGE(L594:L853)</f>
        <v/>
      </c>
    </row>
    <row r="855">
      <c r="A855" s="7" t="n">
        <v>43595</v>
      </c>
      <c r="B855" s="8" t="n">
        <v>1287.1</v>
      </c>
      <c r="C855" s="8" t="n">
        <v>1.88</v>
      </c>
      <c r="D855" s="8" t="n">
        <v>0.59</v>
      </c>
      <c r="E855" s="8" t="n">
        <v>97.33000199999999</v>
      </c>
      <c r="F855" s="8" t="n">
        <v>61.65</v>
      </c>
      <c r="G855" s="8" t="n">
        <v>16.04</v>
      </c>
      <c r="H855" s="8" t="n">
        <v>53.490002</v>
      </c>
      <c r="I855" s="8" t="n">
        <v>2881.399902</v>
      </c>
      <c r="J855" s="8" t="n">
        <v>88.60302</v>
      </c>
      <c r="L855" s="9">
        <f>LN(B855/B854)</f>
        <v/>
      </c>
      <c r="M855" s="9">
        <f>$M$1*(C855-C854)</f>
        <v/>
      </c>
      <c r="N855" s="9">
        <f>$N$1*(D855-D854)</f>
        <v/>
      </c>
      <c r="O855" s="9">
        <f>$O$1*LN(E855/E854)</f>
        <v/>
      </c>
      <c r="P855" s="9">
        <f>$P$1*LN(F855/F854)</f>
        <v/>
      </c>
      <c r="Q855" s="9">
        <f>$Q$1*(G855-G854)</f>
        <v/>
      </c>
      <c r="R855" s="9">
        <f>$R$1*(H855-H854)</f>
        <v/>
      </c>
      <c r="S855" s="9">
        <f>$S$1*LN(I855/I854)</f>
        <v/>
      </c>
      <c r="T855" s="9">
        <f>$T$1*LN(J855/J854)</f>
        <v/>
      </c>
      <c r="U855" s="9">
        <f>$W$12+$W$4*M855+$W$5*N855+$W$6*O855+$W$7*P855+$W$8*Q855+$W$9*R855+$W$10*S855+$W$11*T855</f>
        <v/>
      </c>
      <c r="AA855" s="10">
        <f>INDEX(LINEST(L596:L855,M596:T855,TRUE,TRUE),1,9)*52</f>
        <v/>
      </c>
      <c r="AB855" s="9">
        <f>INDEX(LINEST(L596:L855,M596:T855,TRUE,TRUE),1,8)</f>
        <v/>
      </c>
      <c r="AC855" s="9">
        <f>INDEX(LINEST(L596:L855,M596:T855,TRUE,TRUE),1,7)</f>
        <v/>
      </c>
      <c r="AD855" s="9">
        <f>INDEX(LINEST(L596:L855,M596:T855,TRUE,TRUE),1,6)</f>
        <v/>
      </c>
      <c r="AE855" s="9">
        <f>INDEX(LINEST(L596:L855,M596:T855,TRUE,TRUE),1,5)</f>
        <v/>
      </c>
      <c r="AF855" s="9">
        <f>INDEX(LINEST(L596:L855,M596:T855,TRUE,TRUE),1,4)</f>
        <v/>
      </c>
      <c r="AG855" s="9">
        <f>INDEX(LINEST(L596:L855,M596:T855,TRUE,TRUE),1,3)</f>
        <v/>
      </c>
      <c r="AH855" s="9">
        <f>INDEX(LINEST(L596:L855,M596:T855,TRUE,TRUE),1,2)</f>
        <v/>
      </c>
      <c r="AI855" s="9">
        <f>INDEX(LINEST(L596:L855,M596:T855,TRUE,TRUE),1,1)</f>
        <v/>
      </c>
      <c r="AJ855" s="10">
        <f>INDEX(LINEST(L596:L855,M596:T855,TRUE,TRUE),3,1)</f>
        <v/>
      </c>
      <c r="AK855" s="9">
        <f>AA854/52+AB854*M855+AC854*N855+AD854*O855+AE854*P855+AF854*Q855+AG854*R855+AH854*S855+AI854*T855</f>
        <v/>
      </c>
      <c r="AL855" s="9">
        <f>AVERAGE(L595:L854)</f>
        <v/>
      </c>
    </row>
    <row r="856">
      <c r="A856" s="7" t="n">
        <v>43602</v>
      </c>
      <c r="B856" s="8" t="n">
        <v>1280.8</v>
      </c>
      <c r="C856" s="8" t="n">
        <v>1.81</v>
      </c>
      <c r="D856" s="8" t="n">
        <v>0.58</v>
      </c>
      <c r="E856" s="8" t="n">
        <v>98</v>
      </c>
      <c r="F856" s="8" t="n">
        <v>62.77</v>
      </c>
      <c r="G856" s="8" t="n">
        <v>15.96</v>
      </c>
      <c r="H856" s="8" t="n">
        <v>56.970001</v>
      </c>
      <c r="I856" s="8" t="n">
        <v>2859.530029</v>
      </c>
      <c r="J856" s="8" t="n">
        <v>88.89651499999999</v>
      </c>
      <c r="L856" s="9">
        <f>LN(B856/B855)</f>
        <v/>
      </c>
      <c r="M856" s="9">
        <f>$M$1*(C856-C855)</f>
        <v/>
      </c>
      <c r="N856" s="9">
        <f>$N$1*(D856-D855)</f>
        <v/>
      </c>
      <c r="O856" s="9">
        <f>$O$1*LN(E856/E855)</f>
        <v/>
      </c>
      <c r="P856" s="9">
        <f>$P$1*LN(F856/F855)</f>
        <v/>
      </c>
      <c r="Q856" s="9">
        <f>$Q$1*(G856-G855)</f>
        <v/>
      </c>
      <c r="R856" s="9">
        <f>$R$1*(H856-H855)</f>
        <v/>
      </c>
      <c r="S856" s="9">
        <f>$S$1*LN(I856/I855)</f>
        <v/>
      </c>
      <c r="T856" s="9">
        <f>$T$1*LN(J856/J855)</f>
        <v/>
      </c>
      <c r="U856" s="9">
        <f>$W$12+$W$4*M856+$W$5*N856+$W$6*O856+$W$7*P856+$W$8*Q856+$W$9*R856+$W$10*S856+$W$11*T856</f>
        <v/>
      </c>
      <c r="AA856" s="10">
        <f>INDEX(LINEST(L597:L856,M597:T856,TRUE,TRUE),1,9)*52</f>
        <v/>
      </c>
      <c r="AB856" s="9">
        <f>INDEX(LINEST(L597:L856,M597:T856,TRUE,TRUE),1,8)</f>
        <v/>
      </c>
      <c r="AC856" s="9">
        <f>INDEX(LINEST(L597:L856,M597:T856,TRUE,TRUE),1,7)</f>
        <v/>
      </c>
      <c r="AD856" s="9">
        <f>INDEX(LINEST(L597:L856,M597:T856,TRUE,TRUE),1,6)</f>
        <v/>
      </c>
      <c r="AE856" s="9">
        <f>INDEX(LINEST(L597:L856,M597:T856,TRUE,TRUE),1,5)</f>
        <v/>
      </c>
      <c r="AF856" s="9">
        <f>INDEX(LINEST(L597:L856,M597:T856,TRUE,TRUE),1,4)</f>
        <v/>
      </c>
      <c r="AG856" s="9">
        <f>INDEX(LINEST(L597:L856,M597:T856,TRUE,TRUE),1,3)</f>
        <v/>
      </c>
      <c r="AH856" s="9">
        <f>INDEX(LINEST(L597:L856,M597:T856,TRUE,TRUE),1,2)</f>
        <v/>
      </c>
      <c r="AI856" s="9">
        <f>INDEX(LINEST(L597:L856,M597:T856,TRUE,TRUE),1,1)</f>
        <v/>
      </c>
      <c r="AJ856" s="10">
        <f>INDEX(LINEST(L597:L856,M597:T856,TRUE,TRUE),3,1)</f>
        <v/>
      </c>
      <c r="AK856" s="9">
        <f>AA855/52+AB855*M856+AC855*N856+AD855*O856+AE855*P856+AF855*Q856+AG855*R856+AH855*S856+AI855*T856</f>
        <v/>
      </c>
      <c r="AL856" s="9">
        <f>AVERAGE(L596:L855)</f>
        <v/>
      </c>
    </row>
    <row r="857">
      <c r="A857" s="7" t="n">
        <v>43609</v>
      </c>
      <c r="B857" s="8" t="n">
        <v>1282.5</v>
      </c>
      <c r="C857" s="8" t="n">
        <v>1.76</v>
      </c>
      <c r="D857" s="8" t="n">
        <v>0.5600000000000001</v>
      </c>
      <c r="E857" s="8" t="n">
        <v>97.610001</v>
      </c>
      <c r="F857" s="8" t="n">
        <v>58.4</v>
      </c>
      <c r="G857" s="8" t="n">
        <v>15.85</v>
      </c>
      <c r="H857" s="8" t="n">
        <v>60.540001</v>
      </c>
      <c r="I857" s="8" t="n">
        <v>2826.060059</v>
      </c>
      <c r="J857" s="8" t="n">
        <v>89.206406</v>
      </c>
      <c r="L857" s="9">
        <f>LN(B857/B856)</f>
        <v/>
      </c>
      <c r="M857" s="9">
        <f>$M$1*(C857-C856)</f>
        <v/>
      </c>
      <c r="N857" s="9">
        <f>$N$1*(D857-D856)</f>
        <v/>
      </c>
      <c r="O857" s="9">
        <f>$O$1*LN(E857/E856)</f>
        <v/>
      </c>
      <c r="P857" s="9">
        <f>$P$1*LN(F857/F856)</f>
        <v/>
      </c>
      <c r="Q857" s="9">
        <f>$Q$1*(G857-G856)</f>
        <v/>
      </c>
      <c r="R857" s="9">
        <f>$R$1*(H857-H856)</f>
        <v/>
      </c>
      <c r="S857" s="9">
        <f>$S$1*LN(I857/I856)</f>
        <v/>
      </c>
      <c r="T857" s="9">
        <f>$T$1*LN(J857/J856)</f>
        <v/>
      </c>
      <c r="U857" s="9">
        <f>$W$12+$W$4*M857+$W$5*N857+$W$6*O857+$W$7*P857+$W$8*Q857+$W$9*R857+$W$10*S857+$W$11*T857</f>
        <v/>
      </c>
      <c r="AA857" s="10">
        <f>INDEX(LINEST(L598:L857,M598:T857,TRUE,TRUE),1,9)*52</f>
        <v/>
      </c>
      <c r="AB857" s="9">
        <f>INDEX(LINEST(L598:L857,M598:T857,TRUE,TRUE),1,8)</f>
        <v/>
      </c>
      <c r="AC857" s="9">
        <f>INDEX(LINEST(L598:L857,M598:T857,TRUE,TRUE),1,7)</f>
        <v/>
      </c>
      <c r="AD857" s="9">
        <f>INDEX(LINEST(L598:L857,M598:T857,TRUE,TRUE),1,6)</f>
        <v/>
      </c>
      <c r="AE857" s="9">
        <f>INDEX(LINEST(L598:L857,M598:T857,TRUE,TRUE),1,5)</f>
        <v/>
      </c>
      <c r="AF857" s="9">
        <f>INDEX(LINEST(L598:L857,M598:T857,TRUE,TRUE),1,4)</f>
        <v/>
      </c>
      <c r="AG857" s="9">
        <f>INDEX(LINEST(L598:L857,M598:T857,TRUE,TRUE),1,3)</f>
        <v/>
      </c>
      <c r="AH857" s="9">
        <f>INDEX(LINEST(L598:L857,M598:T857,TRUE,TRUE),1,2)</f>
        <v/>
      </c>
      <c r="AI857" s="9">
        <f>INDEX(LINEST(L598:L857,M598:T857,TRUE,TRUE),1,1)</f>
        <v/>
      </c>
      <c r="AJ857" s="10">
        <f>INDEX(LINEST(L598:L857,M598:T857,TRUE,TRUE),3,1)</f>
        <v/>
      </c>
      <c r="AK857" s="9">
        <f>AA856/52+AB856*M857+AC856*N857+AD856*O857+AE856*P857+AF856*Q857+AG856*R857+AH856*S857+AI856*T857</f>
        <v/>
      </c>
      <c r="AL857" s="9">
        <f>AVERAGE(L597:L856)</f>
        <v/>
      </c>
    </row>
    <row r="858">
      <c r="A858" s="7" t="n">
        <v>43616</v>
      </c>
      <c r="B858" s="8" t="n">
        <v>1295.55</v>
      </c>
      <c r="C858" s="8" t="n">
        <v>1.74</v>
      </c>
      <c r="D858" s="8" t="n">
        <v>0.4</v>
      </c>
      <c r="E858" s="8" t="n">
        <v>97.75</v>
      </c>
      <c r="F858" s="8" t="n">
        <v>53.49</v>
      </c>
      <c r="G858" s="8" t="n">
        <v>18.71</v>
      </c>
      <c r="H858" s="8" t="n">
        <v>72.68000000000001</v>
      </c>
      <c r="I858" s="8" t="n">
        <v>2752.060059</v>
      </c>
      <c r="J858" s="8" t="n">
        <v>90.01355</v>
      </c>
      <c r="L858" s="9">
        <f>LN(B858/B857)</f>
        <v/>
      </c>
      <c r="M858" s="9">
        <f>$M$1*(C858-C857)</f>
        <v/>
      </c>
      <c r="N858" s="9">
        <f>$N$1*(D858-D857)</f>
        <v/>
      </c>
      <c r="O858" s="9">
        <f>$O$1*LN(E858/E857)</f>
        <v/>
      </c>
      <c r="P858" s="9">
        <f>$P$1*LN(F858/F857)</f>
        <v/>
      </c>
      <c r="Q858" s="9">
        <f>$Q$1*(G858-G857)</f>
        <v/>
      </c>
      <c r="R858" s="9">
        <f>$R$1*(H858-H857)</f>
        <v/>
      </c>
      <c r="S858" s="9">
        <f>$S$1*LN(I858/I857)</f>
        <v/>
      </c>
      <c r="T858" s="9">
        <f>$T$1*LN(J858/J857)</f>
        <v/>
      </c>
      <c r="U858" s="9">
        <f>$W$12+$W$4*M858+$W$5*N858+$W$6*O858+$W$7*P858+$W$8*Q858+$W$9*R858+$W$10*S858+$W$11*T858</f>
        <v/>
      </c>
      <c r="AA858" s="10">
        <f>INDEX(LINEST(L599:L858,M599:T858,TRUE,TRUE),1,9)*52</f>
        <v/>
      </c>
      <c r="AB858" s="9">
        <f>INDEX(LINEST(L599:L858,M599:T858,TRUE,TRUE),1,8)</f>
        <v/>
      </c>
      <c r="AC858" s="9">
        <f>INDEX(LINEST(L599:L858,M599:T858,TRUE,TRUE),1,7)</f>
        <v/>
      </c>
      <c r="AD858" s="9">
        <f>INDEX(LINEST(L599:L858,M599:T858,TRUE,TRUE),1,6)</f>
        <v/>
      </c>
      <c r="AE858" s="9">
        <f>INDEX(LINEST(L599:L858,M599:T858,TRUE,TRUE),1,5)</f>
        <v/>
      </c>
      <c r="AF858" s="9">
        <f>INDEX(LINEST(L599:L858,M599:T858,TRUE,TRUE),1,4)</f>
        <v/>
      </c>
      <c r="AG858" s="9">
        <f>INDEX(LINEST(L599:L858,M599:T858,TRUE,TRUE),1,3)</f>
        <v/>
      </c>
      <c r="AH858" s="9">
        <f>INDEX(LINEST(L599:L858,M599:T858,TRUE,TRUE),1,2)</f>
        <v/>
      </c>
      <c r="AI858" s="9">
        <f>INDEX(LINEST(L599:L858,M599:T858,TRUE,TRUE),1,1)</f>
        <v/>
      </c>
      <c r="AJ858" s="10">
        <f>INDEX(LINEST(L599:L858,M599:T858,TRUE,TRUE),3,1)</f>
        <v/>
      </c>
      <c r="AK858" s="9">
        <f>AA857/52+AB857*M858+AC857*N858+AD857*O858+AE857*P858+AF857*Q858+AG857*R858+AH857*S858+AI857*T858</f>
        <v/>
      </c>
      <c r="AL858" s="9">
        <f>AVERAGE(L598:L857)</f>
        <v/>
      </c>
    </row>
    <row r="859">
      <c r="A859" s="7" t="n">
        <v>43623</v>
      </c>
      <c r="B859" s="8" t="n">
        <v>1340.65</v>
      </c>
      <c r="C859" s="8" t="n">
        <v>1.74</v>
      </c>
      <c r="D859" s="8" t="n">
        <v>0.35</v>
      </c>
      <c r="E859" s="8" t="n">
        <v>96.610001</v>
      </c>
      <c r="F859" s="8" t="n">
        <v>53.95</v>
      </c>
      <c r="G859" s="8" t="n">
        <v>16.3</v>
      </c>
      <c r="H859" s="8" t="n">
        <v>68.69000200000001</v>
      </c>
      <c r="I859" s="8" t="n">
        <v>2873.340088</v>
      </c>
      <c r="J859" s="8" t="n">
        <v>90.33232099999999</v>
      </c>
      <c r="L859" s="9">
        <f>LN(B859/B858)</f>
        <v/>
      </c>
      <c r="M859" s="9">
        <f>$M$1*(C859-C858)</f>
        <v/>
      </c>
      <c r="N859" s="9">
        <f>$N$1*(D859-D858)</f>
        <v/>
      </c>
      <c r="O859" s="9">
        <f>$O$1*LN(E859/E858)</f>
        <v/>
      </c>
      <c r="P859" s="9">
        <f>$P$1*LN(F859/F858)</f>
        <v/>
      </c>
      <c r="Q859" s="9">
        <f>$Q$1*(G859-G858)</f>
        <v/>
      </c>
      <c r="R859" s="9">
        <f>$R$1*(H859-H858)</f>
        <v/>
      </c>
      <c r="S859" s="9">
        <f>$S$1*LN(I859/I858)</f>
        <v/>
      </c>
      <c r="T859" s="9">
        <f>$T$1*LN(J859/J858)</f>
        <v/>
      </c>
      <c r="U859" s="9">
        <f>$W$12+$W$4*M859+$W$5*N859+$W$6*O859+$W$7*P859+$W$8*Q859+$W$9*R859+$W$10*S859+$W$11*T859</f>
        <v/>
      </c>
      <c r="AA859" s="10">
        <f>INDEX(LINEST(L600:L859,M600:T859,TRUE,TRUE),1,9)*52</f>
        <v/>
      </c>
      <c r="AB859" s="9">
        <f>INDEX(LINEST(L600:L859,M600:T859,TRUE,TRUE),1,8)</f>
        <v/>
      </c>
      <c r="AC859" s="9">
        <f>INDEX(LINEST(L600:L859,M600:T859,TRUE,TRUE),1,7)</f>
        <v/>
      </c>
      <c r="AD859" s="9">
        <f>INDEX(LINEST(L600:L859,M600:T859,TRUE,TRUE),1,6)</f>
        <v/>
      </c>
      <c r="AE859" s="9">
        <f>INDEX(LINEST(L600:L859,M600:T859,TRUE,TRUE),1,5)</f>
        <v/>
      </c>
      <c r="AF859" s="9">
        <f>INDEX(LINEST(L600:L859,M600:T859,TRUE,TRUE),1,4)</f>
        <v/>
      </c>
      <c r="AG859" s="9">
        <f>INDEX(LINEST(L600:L859,M600:T859,TRUE,TRUE),1,3)</f>
        <v/>
      </c>
      <c r="AH859" s="9">
        <f>INDEX(LINEST(L600:L859,M600:T859,TRUE,TRUE),1,2)</f>
        <v/>
      </c>
      <c r="AI859" s="9">
        <f>INDEX(LINEST(L600:L859,M600:T859,TRUE,TRUE),1,1)</f>
        <v/>
      </c>
      <c r="AJ859" s="10">
        <f>INDEX(LINEST(L600:L859,M600:T859,TRUE,TRUE),3,1)</f>
        <v/>
      </c>
      <c r="AK859" s="9">
        <f>AA858/52+AB858*M859+AC858*N859+AD858*O859+AE858*P859+AF858*Q859+AG858*R859+AH858*S859+AI858*T859</f>
        <v/>
      </c>
      <c r="AL859" s="9">
        <f>AVERAGE(L599:L858)</f>
        <v/>
      </c>
    </row>
    <row r="860">
      <c r="A860" s="7" t="n">
        <v>43630</v>
      </c>
      <c r="B860" s="8" t="n">
        <v>1351.25</v>
      </c>
      <c r="C860" s="8" t="n">
        <v>1.63</v>
      </c>
      <c r="D860" s="8" t="n">
        <v>0.46</v>
      </c>
      <c r="E860" s="8" t="n">
        <v>97.56999999999999</v>
      </c>
      <c r="F860" s="8" t="n">
        <v>52.47</v>
      </c>
      <c r="G860" s="8" t="n">
        <v>15.28</v>
      </c>
      <c r="H860" s="8" t="n">
        <v>80.81999999999999</v>
      </c>
      <c r="I860" s="8" t="n">
        <v>2886.97998</v>
      </c>
      <c r="J860" s="8" t="n">
        <v>90.364998</v>
      </c>
      <c r="L860" s="9">
        <f>LN(B860/B859)</f>
        <v/>
      </c>
      <c r="M860" s="9">
        <f>$M$1*(C860-C859)</f>
        <v/>
      </c>
      <c r="N860" s="9">
        <f>$N$1*(D860-D859)</f>
        <v/>
      </c>
      <c r="O860" s="9">
        <f>$O$1*LN(E860/E859)</f>
        <v/>
      </c>
      <c r="P860" s="9">
        <f>$P$1*LN(F860/F859)</f>
        <v/>
      </c>
      <c r="Q860" s="9">
        <f>$Q$1*(G860-G859)</f>
        <v/>
      </c>
      <c r="R860" s="9">
        <f>$R$1*(H860-H859)</f>
        <v/>
      </c>
      <c r="S860" s="9">
        <f>$S$1*LN(I860/I859)</f>
        <v/>
      </c>
      <c r="T860" s="9">
        <f>$T$1*LN(J860/J859)</f>
        <v/>
      </c>
      <c r="U860" s="9">
        <f>$W$12+$W$4*M860+$W$5*N860+$W$6*O860+$W$7*P860+$W$8*Q860+$W$9*R860+$W$10*S860+$W$11*T860</f>
        <v/>
      </c>
      <c r="AA860" s="10">
        <f>INDEX(LINEST(L601:L860,M601:T860,TRUE,TRUE),1,9)*52</f>
        <v/>
      </c>
      <c r="AB860" s="9">
        <f>INDEX(LINEST(L601:L860,M601:T860,TRUE,TRUE),1,8)</f>
        <v/>
      </c>
      <c r="AC860" s="9">
        <f>INDEX(LINEST(L601:L860,M601:T860,TRUE,TRUE),1,7)</f>
        <v/>
      </c>
      <c r="AD860" s="9">
        <f>INDEX(LINEST(L601:L860,M601:T860,TRUE,TRUE),1,6)</f>
        <v/>
      </c>
      <c r="AE860" s="9">
        <f>INDEX(LINEST(L601:L860,M601:T860,TRUE,TRUE),1,5)</f>
        <v/>
      </c>
      <c r="AF860" s="9">
        <f>INDEX(LINEST(L601:L860,M601:T860,TRUE,TRUE),1,4)</f>
        <v/>
      </c>
      <c r="AG860" s="9">
        <f>INDEX(LINEST(L601:L860,M601:T860,TRUE,TRUE),1,3)</f>
        <v/>
      </c>
      <c r="AH860" s="9">
        <f>INDEX(LINEST(L601:L860,M601:T860,TRUE,TRUE),1,2)</f>
        <v/>
      </c>
      <c r="AI860" s="9">
        <f>INDEX(LINEST(L601:L860,M601:T860,TRUE,TRUE),1,1)</f>
        <v/>
      </c>
      <c r="AJ860" s="10">
        <f>INDEX(LINEST(L601:L860,M601:T860,TRUE,TRUE),3,1)</f>
        <v/>
      </c>
      <c r="AK860" s="9">
        <f>AA859/52+AB859*M860+AC859*N860+AD859*O860+AE859*P860+AF859*Q860+AG859*R860+AH859*S860+AI859*T860</f>
        <v/>
      </c>
      <c r="AL860" s="9">
        <f>AVERAGE(L600:L859)</f>
        <v/>
      </c>
    </row>
    <row r="861">
      <c r="A861" s="7" t="n">
        <v>43637</v>
      </c>
      <c r="B861" s="8" t="n">
        <v>1397.15</v>
      </c>
      <c r="C861" s="8" t="n">
        <v>1.73</v>
      </c>
      <c r="D861" s="8" t="n">
        <v>0.34</v>
      </c>
      <c r="E861" s="8" t="n">
        <v>96.220001</v>
      </c>
      <c r="F861" s="8" t="n">
        <v>57.35</v>
      </c>
      <c r="G861" s="8" t="n">
        <v>15.4</v>
      </c>
      <c r="H861" s="8" t="n">
        <v>74.629997</v>
      </c>
      <c r="I861" s="8" t="n">
        <v>2950.459961</v>
      </c>
      <c r="J861" s="8" t="n">
        <v>90.814491</v>
      </c>
      <c r="L861" s="9">
        <f>LN(B861/B860)</f>
        <v/>
      </c>
      <c r="M861" s="9">
        <f>$M$1*(C861-C860)</f>
        <v/>
      </c>
      <c r="N861" s="9">
        <f>$N$1*(D861-D860)</f>
        <v/>
      </c>
      <c r="O861" s="9">
        <f>$O$1*LN(E861/E860)</f>
        <v/>
      </c>
      <c r="P861" s="9">
        <f>$P$1*LN(F861/F860)</f>
        <v/>
      </c>
      <c r="Q861" s="9">
        <f>$Q$1*(G861-G860)</f>
        <v/>
      </c>
      <c r="R861" s="9">
        <f>$R$1*(H861-H860)</f>
        <v/>
      </c>
      <c r="S861" s="9">
        <f>$S$1*LN(I861/I860)</f>
        <v/>
      </c>
      <c r="T861" s="9">
        <f>$T$1*LN(J861/J860)</f>
        <v/>
      </c>
      <c r="U861" s="9">
        <f>$W$12+$W$4*M861+$W$5*N861+$W$6*O861+$W$7*P861+$W$8*Q861+$W$9*R861+$W$10*S861+$W$11*T861</f>
        <v/>
      </c>
      <c r="AA861" s="10">
        <f>INDEX(LINEST(L602:L861,M602:T861,TRUE,TRUE),1,9)*52</f>
        <v/>
      </c>
      <c r="AB861" s="9">
        <f>INDEX(LINEST(L602:L861,M602:T861,TRUE,TRUE),1,8)</f>
        <v/>
      </c>
      <c r="AC861" s="9">
        <f>INDEX(LINEST(L602:L861,M602:T861,TRUE,TRUE),1,7)</f>
        <v/>
      </c>
      <c r="AD861" s="9">
        <f>INDEX(LINEST(L602:L861,M602:T861,TRUE,TRUE),1,6)</f>
        <v/>
      </c>
      <c r="AE861" s="9">
        <f>INDEX(LINEST(L602:L861,M602:T861,TRUE,TRUE),1,5)</f>
        <v/>
      </c>
      <c r="AF861" s="9">
        <f>INDEX(LINEST(L602:L861,M602:T861,TRUE,TRUE),1,4)</f>
        <v/>
      </c>
      <c r="AG861" s="9">
        <f>INDEX(LINEST(L602:L861,M602:T861,TRUE,TRUE),1,3)</f>
        <v/>
      </c>
      <c r="AH861" s="9">
        <f>INDEX(LINEST(L602:L861,M602:T861,TRUE,TRUE),1,2)</f>
        <v/>
      </c>
      <c r="AI861" s="9">
        <f>INDEX(LINEST(L602:L861,M602:T861,TRUE,TRUE),1,1)</f>
        <v/>
      </c>
      <c r="AJ861" s="10">
        <f>INDEX(LINEST(L602:L861,M602:T861,TRUE,TRUE),3,1)</f>
        <v/>
      </c>
      <c r="AK861" s="9">
        <f>AA860/52+AB860*M861+AC860*N861+AD860*O861+AE860*P861+AF860*Q861+AG860*R861+AH860*S861+AI860*T861</f>
        <v/>
      </c>
      <c r="AL861" s="9">
        <f>AVERAGE(L601:L860)</f>
        <v/>
      </c>
    </row>
    <row r="862">
      <c r="A862" s="7" t="n">
        <v>43644</v>
      </c>
      <c r="B862" s="8" t="n">
        <v>1409</v>
      </c>
      <c r="C862" s="8" t="n">
        <v>1.69</v>
      </c>
      <c r="D862" s="8" t="n">
        <v>0.31</v>
      </c>
      <c r="E862" s="8" t="n">
        <v>96.129997</v>
      </c>
      <c r="F862" s="8" t="n">
        <v>58.2</v>
      </c>
      <c r="G862" s="8" t="n">
        <v>15.08</v>
      </c>
      <c r="H862" s="8" t="n">
        <v>70.43000000000001</v>
      </c>
      <c r="I862" s="8" t="n">
        <v>2941.76001</v>
      </c>
      <c r="J862" s="8" t="n">
        <v>91.002441</v>
      </c>
      <c r="L862" s="9">
        <f>LN(B862/B861)</f>
        <v/>
      </c>
      <c r="M862" s="9">
        <f>$M$1*(C862-C861)</f>
        <v/>
      </c>
      <c r="N862" s="9">
        <f>$N$1*(D862-D861)</f>
        <v/>
      </c>
      <c r="O862" s="9">
        <f>$O$1*LN(E862/E861)</f>
        <v/>
      </c>
      <c r="P862" s="9">
        <f>$P$1*LN(F862/F861)</f>
        <v/>
      </c>
      <c r="Q862" s="9">
        <f>$Q$1*(G862-G861)</f>
        <v/>
      </c>
      <c r="R862" s="9">
        <f>$R$1*(H862-H861)</f>
        <v/>
      </c>
      <c r="S862" s="9">
        <f>$S$1*LN(I862/I861)</f>
        <v/>
      </c>
      <c r="T862" s="9">
        <f>$T$1*LN(J862/J861)</f>
        <v/>
      </c>
      <c r="U862" s="9">
        <f>$W$12+$W$4*M862+$W$5*N862+$W$6*O862+$W$7*P862+$W$8*Q862+$W$9*R862+$W$10*S862+$W$11*T862</f>
        <v/>
      </c>
      <c r="AA862" s="10">
        <f>INDEX(LINEST(L603:L862,M603:T862,TRUE,TRUE),1,9)*52</f>
        <v/>
      </c>
      <c r="AB862" s="9">
        <f>INDEX(LINEST(L603:L862,M603:T862,TRUE,TRUE),1,8)</f>
        <v/>
      </c>
      <c r="AC862" s="9">
        <f>INDEX(LINEST(L603:L862,M603:T862,TRUE,TRUE),1,7)</f>
        <v/>
      </c>
      <c r="AD862" s="9">
        <f>INDEX(LINEST(L603:L862,M603:T862,TRUE,TRUE),1,6)</f>
        <v/>
      </c>
      <c r="AE862" s="9">
        <f>INDEX(LINEST(L603:L862,M603:T862,TRUE,TRUE),1,5)</f>
        <v/>
      </c>
      <c r="AF862" s="9">
        <f>INDEX(LINEST(L603:L862,M603:T862,TRUE,TRUE),1,4)</f>
        <v/>
      </c>
      <c r="AG862" s="9">
        <f>INDEX(LINEST(L603:L862,M603:T862,TRUE,TRUE),1,3)</f>
        <v/>
      </c>
      <c r="AH862" s="9">
        <f>INDEX(LINEST(L603:L862,M603:T862,TRUE,TRUE),1,2)</f>
        <v/>
      </c>
      <c r="AI862" s="9">
        <f>INDEX(LINEST(L603:L862,M603:T862,TRUE,TRUE),1,1)</f>
        <v/>
      </c>
      <c r="AJ862" s="10">
        <f>INDEX(LINEST(L603:L862,M603:T862,TRUE,TRUE),3,1)</f>
        <v/>
      </c>
      <c r="AK862" s="9">
        <f>AA861/52+AB861*M862+AC861*N862+AD861*O862+AE861*P862+AF861*Q862+AG861*R862+AH861*S862+AI861*T862</f>
        <v/>
      </c>
      <c r="AL862" s="9">
        <f>AVERAGE(L602:L861)</f>
        <v/>
      </c>
    </row>
    <row r="863">
      <c r="A863" s="7" t="n">
        <v>43651</v>
      </c>
      <c r="B863" s="8" t="n">
        <v>1388.65</v>
      </c>
      <c r="C863" s="8" t="n">
        <v>1.69</v>
      </c>
      <c r="D863" s="8" t="n">
        <v>0.35</v>
      </c>
      <c r="E863" s="8" t="n">
        <v>97.25</v>
      </c>
      <c r="F863" s="8" t="n">
        <v>57.06</v>
      </c>
      <c r="G863" s="8" t="n">
        <v>13.28</v>
      </c>
      <c r="H863" s="8" t="n">
        <v>65.279999</v>
      </c>
      <c r="I863" s="8" t="n">
        <v>2990.409912</v>
      </c>
      <c r="J863" s="8" t="n">
        <v>90.99591100000001</v>
      </c>
      <c r="L863" s="9">
        <f>LN(B863/B862)</f>
        <v/>
      </c>
      <c r="M863" s="9">
        <f>$M$1*(C863-C862)</f>
        <v/>
      </c>
      <c r="N863" s="9">
        <f>$N$1*(D863-D862)</f>
        <v/>
      </c>
      <c r="O863" s="9">
        <f>$O$1*LN(E863/E862)</f>
        <v/>
      </c>
      <c r="P863" s="9">
        <f>$P$1*LN(F863/F862)</f>
        <v/>
      </c>
      <c r="Q863" s="9">
        <f>$Q$1*(G863-G862)</f>
        <v/>
      </c>
      <c r="R863" s="9">
        <f>$R$1*(H863-H862)</f>
        <v/>
      </c>
      <c r="S863" s="9">
        <f>$S$1*LN(I863/I862)</f>
        <v/>
      </c>
      <c r="T863" s="9">
        <f>$T$1*LN(J863/J862)</f>
        <v/>
      </c>
      <c r="U863" s="9">
        <f>$W$12+$W$4*M863+$W$5*N863+$W$6*O863+$W$7*P863+$W$8*Q863+$W$9*R863+$W$10*S863+$W$11*T863</f>
        <v/>
      </c>
      <c r="AA863" s="10">
        <f>INDEX(LINEST(L604:L863,M604:T863,TRUE,TRUE),1,9)*52</f>
        <v/>
      </c>
      <c r="AB863" s="9">
        <f>INDEX(LINEST(L604:L863,M604:T863,TRUE,TRUE),1,8)</f>
        <v/>
      </c>
      <c r="AC863" s="9">
        <f>INDEX(LINEST(L604:L863,M604:T863,TRUE,TRUE),1,7)</f>
        <v/>
      </c>
      <c r="AD863" s="9">
        <f>INDEX(LINEST(L604:L863,M604:T863,TRUE,TRUE),1,6)</f>
        <v/>
      </c>
      <c r="AE863" s="9">
        <f>INDEX(LINEST(L604:L863,M604:T863,TRUE,TRUE),1,5)</f>
        <v/>
      </c>
      <c r="AF863" s="9">
        <f>INDEX(LINEST(L604:L863,M604:T863,TRUE,TRUE),1,4)</f>
        <v/>
      </c>
      <c r="AG863" s="9">
        <f>INDEX(LINEST(L604:L863,M604:T863,TRUE,TRUE),1,3)</f>
        <v/>
      </c>
      <c r="AH863" s="9">
        <f>INDEX(LINEST(L604:L863,M604:T863,TRUE,TRUE),1,2)</f>
        <v/>
      </c>
      <c r="AI863" s="9">
        <f>INDEX(LINEST(L604:L863,M604:T863,TRUE,TRUE),1,1)</f>
        <v/>
      </c>
      <c r="AJ863" s="10">
        <f>INDEX(LINEST(L604:L863,M604:T863,TRUE,TRUE),3,1)</f>
        <v/>
      </c>
      <c r="AK863" s="9">
        <f>AA862/52+AB862*M863+AC862*N863+AD862*O863+AE862*P863+AF862*Q863+AG862*R863+AH862*S863+AI862*T863</f>
        <v/>
      </c>
      <c r="AL863" s="9">
        <f>AVERAGE(L603:L862)</f>
        <v/>
      </c>
    </row>
    <row r="864">
      <c r="A864" s="7" t="n">
        <v>43658</v>
      </c>
      <c r="B864" s="8" t="n">
        <v>1407.6</v>
      </c>
      <c r="C864" s="8" t="n">
        <v>1.77</v>
      </c>
      <c r="D864" s="8" t="n">
        <v>0.35</v>
      </c>
      <c r="E864" s="8" t="n">
        <v>96.80999799999999</v>
      </c>
      <c r="F864" s="8" t="n">
        <v>59.99</v>
      </c>
      <c r="G864" s="8" t="n">
        <v>12.39</v>
      </c>
      <c r="H864" s="8" t="n">
        <v>62.779999</v>
      </c>
      <c r="I864" s="8" t="n">
        <v>3013.77002</v>
      </c>
      <c r="J864" s="8" t="n">
        <v>90.750198</v>
      </c>
      <c r="L864" s="9">
        <f>LN(B864/B863)</f>
        <v/>
      </c>
      <c r="M864" s="9">
        <f>$M$1*(C864-C863)</f>
        <v/>
      </c>
      <c r="N864" s="9">
        <f>$N$1*(D864-D863)</f>
        <v/>
      </c>
      <c r="O864" s="9">
        <f>$O$1*LN(E864/E863)</f>
        <v/>
      </c>
      <c r="P864" s="9">
        <f>$P$1*LN(F864/F863)</f>
        <v/>
      </c>
      <c r="Q864" s="9">
        <f>$Q$1*(G864-G863)</f>
        <v/>
      </c>
      <c r="R864" s="9">
        <f>$R$1*(H864-H863)</f>
        <v/>
      </c>
      <c r="S864" s="9">
        <f>$S$1*LN(I864/I863)</f>
        <v/>
      </c>
      <c r="T864" s="9">
        <f>$T$1*LN(J864/J863)</f>
        <v/>
      </c>
      <c r="U864" s="9">
        <f>$W$12+$W$4*M864+$W$5*N864+$W$6*O864+$W$7*P864+$W$8*Q864+$W$9*R864+$W$10*S864+$W$11*T864</f>
        <v/>
      </c>
      <c r="AA864" s="10">
        <f>INDEX(LINEST(L605:L864,M605:T864,TRUE,TRUE),1,9)*52</f>
        <v/>
      </c>
      <c r="AB864" s="9">
        <f>INDEX(LINEST(L605:L864,M605:T864,TRUE,TRUE),1,8)</f>
        <v/>
      </c>
      <c r="AC864" s="9">
        <f>INDEX(LINEST(L605:L864,M605:T864,TRUE,TRUE),1,7)</f>
        <v/>
      </c>
      <c r="AD864" s="9">
        <f>INDEX(LINEST(L605:L864,M605:T864,TRUE,TRUE),1,6)</f>
        <v/>
      </c>
      <c r="AE864" s="9">
        <f>INDEX(LINEST(L605:L864,M605:T864,TRUE,TRUE),1,5)</f>
        <v/>
      </c>
      <c r="AF864" s="9">
        <f>INDEX(LINEST(L605:L864,M605:T864,TRUE,TRUE),1,4)</f>
        <v/>
      </c>
      <c r="AG864" s="9">
        <f>INDEX(LINEST(L605:L864,M605:T864,TRUE,TRUE),1,3)</f>
        <v/>
      </c>
      <c r="AH864" s="9">
        <f>INDEX(LINEST(L605:L864,M605:T864,TRUE,TRUE),1,2)</f>
        <v/>
      </c>
      <c r="AI864" s="9">
        <f>INDEX(LINEST(L605:L864,M605:T864,TRUE,TRUE),1,1)</f>
        <v/>
      </c>
      <c r="AJ864" s="10">
        <f>INDEX(LINEST(L605:L864,M605:T864,TRUE,TRUE),3,1)</f>
        <v/>
      </c>
      <c r="AK864" s="9">
        <f>AA863/52+AB863*M864+AC863*N864+AD863*O864+AE863*P864+AF863*Q864+AG863*R864+AH863*S864+AI863*T864</f>
        <v/>
      </c>
      <c r="AL864" s="9">
        <f>AVERAGE(L604:L863)</f>
        <v/>
      </c>
    </row>
    <row r="865">
      <c r="A865" s="7" t="n">
        <v>43665</v>
      </c>
      <c r="B865" s="8" t="n">
        <v>1439.7</v>
      </c>
      <c r="C865" s="8" t="n">
        <v>1.8</v>
      </c>
      <c r="D865" s="8" t="n">
        <v>0.25</v>
      </c>
      <c r="E865" s="8" t="n">
        <v>97.150002</v>
      </c>
      <c r="F865" s="8" t="n">
        <v>55.42</v>
      </c>
      <c r="G865" s="8" t="n">
        <v>14.45</v>
      </c>
      <c r="H865" s="8" t="n">
        <v>63.860001</v>
      </c>
      <c r="I865" s="8" t="n">
        <v>2976.610107</v>
      </c>
      <c r="J865" s="8" t="n">
        <v>91.06144</v>
      </c>
      <c r="L865" s="9">
        <f>LN(B865/B864)</f>
        <v/>
      </c>
      <c r="M865" s="9">
        <f>$M$1*(C865-C864)</f>
        <v/>
      </c>
      <c r="N865" s="9">
        <f>$N$1*(D865-D864)</f>
        <v/>
      </c>
      <c r="O865" s="9">
        <f>$O$1*LN(E865/E864)</f>
        <v/>
      </c>
      <c r="P865" s="9">
        <f>$P$1*LN(F865/F864)</f>
        <v/>
      </c>
      <c r="Q865" s="9">
        <f>$Q$1*(G865-G864)</f>
        <v/>
      </c>
      <c r="R865" s="9">
        <f>$R$1*(H865-H864)</f>
        <v/>
      </c>
      <c r="S865" s="9">
        <f>$S$1*LN(I865/I864)</f>
        <v/>
      </c>
      <c r="T865" s="9">
        <f>$T$1*LN(J865/J864)</f>
        <v/>
      </c>
      <c r="U865" s="9">
        <f>$W$12+$W$4*M865+$W$5*N865+$W$6*O865+$W$7*P865+$W$8*Q865+$W$9*R865+$W$10*S865+$W$11*T865</f>
        <v/>
      </c>
      <c r="AA865" s="10">
        <f>INDEX(LINEST(L606:L865,M606:T865,TRUE,TRUE),1,9)*52</f>
        <v/>
      </c>
      <c r="AB865" s="9">
        <f>INDEX(LINEST(L606:L865,M606:T865,TRUE,TRUE),1,8)</f>
        <v/>
      </c>
      <c r="AC865" s="9">
        <f>INDEX(LINEST(L606:L865,M606:T865,TRUE,TRUE),1,7)</f>
        <v/>
      </c>
      <c r="AD865" s="9">
        <f>INDEX(LINEST(L606:L865,M606:T865,TRUE,TRUE),1,6)</f>
        <v/>
      </c>
      <c r="AE865" s="9">
        <f>INDEX(LINEST(L606:L865,M606:T865,TRUE,TRUE),1,5)</f>
        <v/>
      </c>
      <c r="AF865" s="9">
        <f>INDEX(LINEST(L606:L865,M606:T865,TRUE,TRUE),1,4)</f>
        <v/>
      </c>
      <c r="AG865" s="9">
        <f>INDEX(LINEST(L606:L865,M606:T865,TRUE,TRUE),1,3)</f>
        <v/>
      </c>
      <c r="AH865" s="9">
        <f>INDEX(LINEST(L606:L865,M606:T865,TRUE,TRUE),1,2)</f>
        <v/>
      </c>
      <c r="AI865" s="9">
        <f>INDEX(LINEST(L606:L865,M606:T865,TRUE,TRUE),1,1)</f>
        <v/>
      </c>
      <c r="AJ865" s="10">
        <f>INDEX(LINEST(L606:L865,M606:T865,TRUE,TRUE),3,1)</f>
        <v/>
      </c>
      <c r="AK865" s="9">
        <f>AA864/52+AB864*M865+AC864*N865+AD864*O865+AE864*P865+AF864*Q865+AG864*R865+AH864*S865+AI864*T865</f>
        <v/>
      </c>
      <c r="AL865" s="9">
        <f>AVERAGE(L605:L864)</f>
        <v/>
      </c>
    </row>
    <row r="866">
      <c r="A866" s="7" t="n">
        <v>43672</v>
      </c>
      <c r="B866" s="8" t="n">
        <v>1420.4</v>
      </c>
      <c r="C866" s="8" t="n">
        <v>1.78</v>
      </c>
      <c r="D866" s="8" t="n">
        <v>0.3</v>
      </c>
      <c r="E866" s="8" t="n">
        <v>98.010002</v>
      </c>
      <c r="F866" s="8" t="n">
        <v>56.04</v>
      </c>
      <c r="G866" s="8" t="n">
        <v>12.16</v>
      </c>
      <c r="H866" s="8" t="n">
        <v>58.900002</v>
      </c>
      <c r="I866" s="8" t="n">
        <v>3025.860107</v>
      </c>
      <c r="J866" s="8" t="n">
        <v>91.094223</v>
      </c>
      <c r="L866" s="9">
        <f>LN(B866/B865)</f>
        <v/>
      </c>
      <c r="M866" s="9">
        <f>$M$1*(C866-C865)</f>
        <v/>
      </c>
      <c r="N866" s="9">
        <f>$N$1*(D866-D865)</f>
        <v/>
      </c>
      <c r="O866" s="9">
        <f>$O$1*LN(E866/E865)</f>
        <v/>
      </c>
      <c r="P866" s="9">
        <f>$P$1*LN(F866/F865)</f>
        <v/>
      </c>
      <c r="Q866" s="9">
        <f>$Q$1*(G866-G865)</f>
        <v/>
      </c>
      <c r="R866" s="9">
        <f>$R$1*(H866-H865)</f>
        <v/>
      </c>
      <c r="S866" s="9">
        <f>$S$1*LN(I866/I865)</f>
        <v/>
      </c>
      <c r="T866" s="9">
        <f>$T$1*LN(J866/J865)</f>
        <v/>
      </c>
      <c r="U866" s="9">
        <f>$W$12+$W$4*M866+$W$5*N866+$W$6*O866+$W$7*P866+$W$8*Q866+$W$9*R866+$W$10*S866+$W$11*T866</f>
        <v/>
      </c>
      <c r="AA866" s="10">
        <f>INDEX(LINEST(L607:L866,M607:T866,TRUE,TRUE),1,9)*52</f>
        <v/>
      </c>
      <c r="AB866" s="9">
        <f>INDEX(LINEST(L607:L866,M607:T866,TRUE,TRUE),1,8)</f>
        <v/>
      </c>
      <c r="AC866" s="9">
        <f>INDEX(LINEST(L607:L866,M607:T866,TRUE,TRUE),1,7)</f>
        <v/>
      </c>
      <c r="AD866" s="9">
        <f>INDEX(LINEST(L607:L866,M607:T866,TRUE,TRUE),1,6)</f>
        <v/>
      </c>
      <c r="AE866" s="9">
        <f>INDEX(LINEST(L607:L866,M607:T866,TRUE,TRUE),1,5)</f>
        <v/>
      </c>
      <c r="AF866" s="9">
        <f>INDEX(LINEST(L607:L866,M607:T866,TRUE,TRUE),1,4)</f>
        <v/>
      </c>
      <c r="AG866" s="9">
        <f>INDEX(LINEST(L607:L866,M607:T866,TRUE,TRUE),1,3)</f>
        <v/>
      </c>
      <c r="AH866" s="9">
        <f>INDEX(LINEST(L607:L866,M607:T866,TRUE,TRUE),1,2)</f>
        <v/>
      </c>
      <c r="AI866" s="9">
        <f>INDEX(LINEST(L607:L866,M607:T866,TRUE,TRUE),1,1)</f>
        <v/>
      </c>
      <c r="AJ866" s="10">
        <f>INDEX(LINEST(L607:L866,M607:T866,TRUE,TRUE),3,1)</f>
        <v/>
      </c>
      <c r="AK866" s="9">
        <f>AA865/52+AB865*M866+AC865*N866+AD865*O866+AE865*P866+AF865*Q866+AG865*R866+AH865*S866+AI865*T866</f>
        <v/>
      </c>
      <c r="AL866" s="9">
        <f>AVERAGE(L606:L865)</f>
        <v/>
      </c>
    </row>
    <row r="867">
      <c r="A867" s="7" t="n">
        <v>43679</v>
      </c>
      <c r="B867" s="8" t="n">
        <v>1441.75</v>
      </c>
      <c r="C867" s="8" t="n">
        <v>1.66</v>
      </c>
      <c r="D867" s="8" t="n">
        <v>0.2</v>
      </c>
      <c r="E867" s="8" t="n">
        <v>98.099998</v>
      </c>
      <c r="F867" s="8" t="n">
        <v>55.67</v>
      </c>
      <c r="G867" s="8" t="n">
        <v>17.61</v>
      </c>
      <c r="H867" s="8" t="n">
        <v>66.110001</v>
      </c>
      <c r="I867" s="8" t="n">
        <v>2932.050049</v>
      </c>
      <c r="J867" s="8" t="n">
        <v>91.91506200000001</v>
      </c>
      <c r="L867" s="9">
        <f>LN(B867/B866)</f>
        <v/>
      </c>
      <c r="M867" s="9">
        <f>$M$1*(C867-C866)</f>
        <v/>
      </c>
      <c r="N867" s="9">
        <f>$N$1*(D867-D866)</f>
        <v/>
      </c>
      <c r="O867" s="9">
        <f>$O$1*LN(E867/E866)</f>
        <v/>
      </c>
      <c r="P867" s="9">
        <f>$P$1*LN(F867/F866)</f>
        <v/>
      </c>
      <c r="Q867" s="9">
        <f>$Q$1*(G867-G866)</f>
        <v/>
      </c>
      <c r="R867" s="9">
        <f>$R$1*(H867-H866)</f>
        <v/>
      </c>
      <c r="S867" s="9">
        <f>$S$1*LN(I867/I866)</f>
        <v/>
      </c>
      <c r="T867" s="9">
        <f>$T$1*LN(J867/J866)</f>
        <v/>
      </c>
      <c r="U867" s="9">
        <f>$W$12+$W$4*M867+$W$5*N867+$W$6*O867+$W$7*P867+$W$8*Q867+$W$9*R867+$W$10*S867+$W$11*T867</f>
        <v/>
      </c>
      <c r="AA867" s="10">
        <f>INDEX(LINEST(L608:L867,M608:T867,TRUE,TRUE),1,9)*52</f>
        <v/>
      </c>
      <c r="AB867" s="9">
        <f>INDEX(LINEST(L608:L867,M608:T867,TRUE,TRUE),1,8)</f>
        <v/>
      </c>
      <c r="AC867" s="9">
        <f>INDEX(LINEST(L608:L867,M608:T867,TRUE,TRUE),1,7)</f>
        <v/>
      </c>
      <c r="AD867" s="9">
        <f>INDEX(LINEST(L608:L867,M608:T867,TRUE,TRUE),1,6)</f>
        <v/>
      </c>
      <c r="AE867" s="9">
        <f>INDEX(LINEST(L608:L867,M608:T867,TRUE,TRUE),1,5)</f>
        <v/>
      </c>
      <c r="AF867" s="9">
        <f>INDEX(LINEST(L608:L867,M608:T867,TRUE,TRUE),1,4)</f>
        <v/>
      </c>
      <c r="AG867" s="9">
        <f>INDEX(LINEST(L608:L867,M608:T867,TRUE,TRUE),1,3)</f>
        <v/>
      </c>
      <c r="AH867" s="9">
        <f>INDEX(LINEST(L608:L867,M608:T867,TRUE,TRUE),1,2)</f>
        <v/>
      </c>
      <c r="AI867" s="9">
        <f>INDEX(LINEST(L608:L867,M608:T867,TRUE,TRUE),1,1)</f>
        <v/>
      </c>
      <c r="AJ867" s="10">
        <f>INDEX(LINEST(L608:L867,M608:T867,TRUE,TRUE),3,1)</f>
        <v/>
      </c>
      <c r="AK867" s="9">
        <f>AA866/52+AB866*M867+AC866*N867+AD866*O867+AE866*P867+AF866*Q867+AG866*R867+AH866*S867+AI866*T867</f>
        <v/>
      </c>
      <c r="AL867" s="9">
        <f>AVERAGE(L607:L866)</f>
        <v/>
      </c>
    </row>
    <row r="868">
      <c r="A868" s="7" t="n">
        <v>43686</v>
      </c>
      <c r="B868" s="8" t="n">
        <v>1497.7</v>
      </c>
      <c r="C868" s="8" t="n">
        <v>1.66</v>
      </c>
      <c r="D868" s="8" t="n">
        <v>0.08</v>
      </c>
      <c r="E868" s="8" t="n">
        <v>97.489998</v>
      </c>
      <c r="F868" s="8" t="n">
        <v>54.41</v>
      </c>
      <c r="G868" s="8" t="n">
        <v>17.97</v>
      </c>
      <c r="H868" s="8" t="n">
        <v>78.970001</v>
      </c>
      <c r="I868" s="8" t="n">
        <v>2918.649902</v>
      </c>
      <c r="J868" s="8" t="n">
        <v>92.481567</v>
      </c>
      <c r="L868" s="9">
        <f>LN(B868/B867)</f>
        <v/>
      </c>
      <c r="M868" s="9">
        <f>$M$1*(C868-C867)</f>
        <v/>
      </c>
      <c r="N868" s="9">
        <f>$N$1*(D868-D867)</f>
        <v/>
      </c>
      <c r="O868" s="9">
        <f>$O$1*LN(E868/E867)</f>
        <v/>
      </c>
      <c r="P868" s="9">
        <f>$P$1*LN(F868/F867)</f>
        <v/>
      </c>
      <c r="Q868" s="9">
        <f>$Q$1*(G868-G867)</f>
        <v/>
      </c>
      <c r="R868" s="9">
        <f>$R$1*(H868-H867)</f>
        <v/>
      </c>
      <c r="S868" s="9">
        <f>$S$1*LN(I868/I867)</f>
        <v/>
      </c>
      <c r="T868" s="9">
        <f>$T$1*LN(J868/J867)</f>
        <v/>
      </c>
      <c r="U868" s="9">
        <f>$W$12+$W$4*M868+$W$5*N868+$W$6*O868+$W$7*P868+$W$8*Q868+$W$9*R868+$W$10*S868+$W$11*T868</f>
        <v/>
      </c>
      <c r="AA868" s="10">
        <f>INDEX(LINEST(L609:L868,M609:T868,TRUE,TRUE),1,9)*52</f>
        <v/>
      </c>
      <c r="AB868" s="9">
        <f>INDEX(LINEST(L609:L868,M609:T868,TRUE,TRUE),1,8)</f>
        <v/>
      </c>
      <c r="AC868" s="9">
        <f>INDEX(LINEST(L609:L868,M609:T868,TRUE,TRUE),1,7)</f>
        <v/>
      </c>
      <c r="AD868" s="9">
        <f>INDEX(LINEST(L609:L868,M609:T868,TRUE,TRUE),1,6)</f>
        <v/>
      </c>
      <c r="AE868" s="9">
        <f>INDEX(LINEST(L609:L868,M609:T868,TRUE,TRUE),1,5)</f>
        <v/>
      </c>
      <c r="AF868" s="9">
        <f>INDEX(LINEST(L609:L868,M609:T868,TRUE,TRUE),1,4)</f>
        <v/>
      </c>
      <c r="AG868" s="9">
        <f>INDEX(LINEST(L609:L868,M609:T868,TRUE,TRUE),1,3)</f>
        <v/>
      </c>
      <c r="AH868" s="9">
        <f>INDEX(LINEST(L609:L868,M609:T868,TRUE,TRUE),1,2)</f>
        <v/>
      </c>
      <c r="AI868" s="9">
        <f>INDEX(LINEST(L609:L868,M609:T868,TRUE,TRUE),1,1)</f>
        <v/>
      </c>
      <c r="AJ868" s="10">
        <f>INDEX(LINEST(L609:L868,M609:T868,TRUE,TRUE),3,1)</f>
        <v/>
      </c>
      <c r="AK868" s="9">
        <f>AA867/52+AB867*M868+AC867*N868+AD867*O868+AE867*P868+AF867*Q868+AG867*R868+AH867*S868+AI867*T868</f>
        <v/>
      </c>
      <c r="AL868" s="9">
        <f>AVERAGE(L608:L867)</f>
        <v/>
      </c>
    </row>
    <row r="869">
      <c r="A869" s="7" t="n">
        <v>43693</v>
      </c>
      <c r="B869" s="8" t="n">
        <v>1515.25</v>
      </c>
      <c r="C869" s="8" t="n">
        <v>1.54</v>
      </c>
      <c r="D869" s="8" t="n">
        <v>0.01</v>
      </c>
      <c r="E869" s="8" t="n">
        <v>98.139999</v>
      </c>
      <c r="F869" s="8" t="n">
        <v>54.83</v>
      </c>
      <c r="G869" s="8" t="n">
        <v>18.47</v>
      </c>
      <c r="H869" s="8" t="n">
        <v>89.519997</v>
      </c>
      <c r="I869" s="8" t="n">
        <v>2888.679932</v>
      </c>
      <c r="J869" s="8" t="n">
        <v>93.327217</v>
      </c>
      <c r="L869" s="9">
        <f>LN(B869/B868)</f>
        <v/>
      </c>
      <c r="M869" s="9">
        <f>$M$1*(C869-C868)</f>
        <v/>
      </c>
      <c r="N869" s="9">
        <f>$N$1*(D869-D868)</f>
        <v/>
      </c>
      <c r="O869" s="9">
        <f>$O$1*LN(E869/E868)</f>
        <v/>
      </c>
      <c r="P869" s="9">
        <f>$P$1*LN(F869/F868)</f>
        <v/>
      </c>
      <c r="Q869" s="9">
        <f>$Q$1*(G869-G868)</f>
        <v/>
      </c>
      <c r="R869" s="9">
        <f>$R$1*(H869-H868)</f>
        <v/>
      </c>
      <c r="S869" s="9">
        <f>$S$1*LN(I869/I868)</f>
        <v/>
      </c>
      <c r="T869" s="9">
        <f>$T$1*LN(J869/J868)</f>
        <v/>
      </c>
      <c r="U869" s="9">
        <f>$W$12+$W$4*M869+$W$5*N869+$W$6*O869+$W$7*P869+$W$8*Q869+$W$9*R869+$W$10*S869+$W$11*T869</f>
        <v/>
      </c>
      <c r="AA869" s="10">
        <f>INDEX(LINEST(L610:L869,M610:T869,TRUE,TRUE),1,9)*52</f>
        <v/>
      </c>
      <c r="AB869" s="9">
        <f>INDEX(LINEST(L610:L869,M610:T869,TRUE,TRUE),1,8)</f>
        <v/>
      </c>
      <c r="AC869" s="9">
        <f>INDEX(LINEST(L610:L869,M610:T869,TRUE,TRUE),1,7)</f>
        <v/>
      </c>
      <c r="AD869" s="9">
        <f>INDEX(LINEST(L610:L869,M610:T869,TRUE,TRUE),1,6)</f>
        <v/>
      </c>
      <c r="AE869" s="9">
        <f>INDEX(LINEST(L610:L869,M610:T869,TRUE,TRUE),1,5)</f>
        <v/>
      </c>
      <c r="AF869" s="9">
        <f>INDEX(LINEST(L610:L869,M610:T869,TRUE,TRUE),1,4)</f>
        <v/>
      </c>
      <c r="AG869" s="9">
        <f>INDEX(LINEST(L610:L869,M610:T869,TRUE,TRUE),1,3)</f>
        <v/>
      </c>
      <c r="AH869" s="9">
        <f>INDEX(LINEST(L610:L869,M610:T869,TRUE,TRUE),1,2)</f>
        <v/>
      </c>
      <c r="AI869" s="9">
        <f>INDEX(LINEST(L610:L869,M610:T869,TRUE,TRUE),1,1)</f>
        <v/>
      </c>
      <c r="AJ869" s="10">
        <f>INDEX(LINEST(L610:L869,M610:T869,TRUE,TRUE),3,1)</f>
        <v/>
      </c>
      <c r="AK869" s="9">
        <f>AA868/52+AB868*M869+AC868*N869+AD868*O869+AE868*P869+AF868*Q869+AG868*R869+AH868*S869+AI868*T869</f>
        <v/>
      </c>
      <c r="AL869" s="9">
        <f>AVERAGE(L609:L868)</f>
        <v/>
      </c>
    </row>
    <row r="870">
      <c r="A870" s="7" t="n">
        <v>43700</v>
      </c>
      <c r="B870" s="8" t="n">
        <v>1503.8</v>
      </c>
      <c r="C870" s="8" t="n">
        <v>1.54</v>
      </c>
      <c r="D870" s="8" t="n">
        <v>-0.02</v>
      </c>
      <c r="E870" s="8" t="n">
        <v>97.639999</v>
      </c>
      <c r="F870" s="8" t="n">
        <v>54.08</v>
      </c>
      <c r="G870" s="8" t="n">
        <v>19.87</v>
      </c>
      <c r="H870" s="8" t="n">
        <v>91.81999999999999</v>
      </c>
      <c r="I870" s="8" t="n">
        <v>2847.110107</v>
      </c>
      <c r="J870" s="8" t="n">
        <v>93.417557</v>
      </c>
      <c r="L870" s="9">
        <f>LN(B870/B869)</f>
        <v/>
      </c>
      <c r="M870" s="9">
        <f>$M$1*(C870-C869)</f>
        <v/>
      </c>
      <c r="N870" s="9">
        <f>$N$1*(D870-D869)</f>
        <v/>
      </c>
      <c r="O870" s="9">
        <f>$O$1*LN(E870/E869)</f>
        <v/>
      </c>
      <c r="P870" s="9">
        <f>$P$1*LN(F870/F869)</f>
        <v/>
      </c>
      <c r="Q870" s="9">
        <f>$Q$1*(G870-G869)</f>
        <v/>
      </c>
      <c r="R870" s="9">
        <f>$R$1*(H870-H869)</f>
        <v/>
      </c>
      <c r="S870" s="9">
        <f>$S$1*LN(I870/I869)</f>
        <v/>
      </c>
      <c r="T870" s="9">
        <f>$T$1*LN(J870/J869)</f>
        <v/>
      </c>
      <c r="U870" s="9">
        <f>$W$12+$W$4*M870+$W$5*N870+$W$6*O870+$W$7*P870+$W$8*Q870+$W$9*R870+$W$10*S870+$W$11*T870</f>
        <v/>
      </c>
      <c r="AA870" s="10">
        <f>INDEX(LINEST(L611:L870,M611:T870,TRUE,TRUE),1,9)*52</f>
        <v/>
      </c>
      <c r="AB870" s="9">
        <f>INDEX(LINEST(L611:L870,M611:T870,TRUE,TRUE),1,8)</f>
        <v/>
      </c>
      <c r="AC870" s="9">
        <f>INDEX(LINEST(L611:L870,M611:T870,TRUE,TRUE),1,7)</f>
        <v/>
      </c>
      <c r="AD870" s="9">
        <f>INDEX(LINEST(L611:L870,M611:T870,TRUE,TRUE),1,6)</f>
        <v/>
      </c>
      <c r="AE870" s="9">
        <f>INDEX(LINEST(L611:L870,M611:T870,TRUE,TRUE),1,5)</f>
        <v/>
      </c>
      <c r="AF870" s="9">
        <f>INDEX(LINEST(L611:L870,M611:T870,TRUE,TRUE),1,4)</f>
        <v/>
      </c>
      <c r="AG870" s="9">
        <f>INDEX(LINEST(L611:L870,M611:T870,TRUE,TRUE),1,3)</f>
        <v/>
      </c>
      <c r="AH870" s="9">
        <f>INDEX(LINEST(L611:L870,M611:T870,TRUE,TRUE),1,2)</f>
        <v/>
      </c>
      <c r="AI870" s="9">
        <f>INDEX(LINEST(L611:L870,M611:T870,TRUE,TRUE),1,1)</f>
        <v/>
      </c>
      <c r="AJ870" s="10">
        <f>INDEX(LINEST(L611:L870,M611:T870,TRUE,TRUE),3,1)</f>
        <v/>
      </c>
      <c r="AK870" s="9">
        <f>AA869/52+AB869*M870+AC869*N870+AD869*O870+AE869*P870+AF869*Q870+AG869*R870+AH869*S870+AI869*T870</f>
        <v/>
      </c>
      <c r="AL870" s="9">
        <f>AVERAGE(L610:L869)</f>
        <v/>
      </c>
    </row>
    <row r="871">
      <c r="A871" s="7" t="n">
        <v>43707</v>
      </c>
      <c r="B871" s="8" t="n">
        <v>1528.4</v>
      </c>
      <c r="C871" s="8" t="n">
        <v>1.55</v>
      </c>
      <c r="D871" s="8" t="n">
        <v>-0.05</v>
      </c>
      <c r="E871" s="8" t="n">
        <v>98.91999800000001</v>
      </c>
      <c r="F871" s="8" t="n">
        <v>55.07</v>
      </c>
      <c r="G871" s="8" t="n">
        <v>18.98</v>
      </c>
      <c r="H871" s="8" t="n">
        <v>86.889999</v>
      </c>
      <c r="I871" s="8" t="n">
        <v>2926.459961</v>
      </c>
      <c r="J871" s="8" t="n">
        <v>93.704926</v>
      </c>
      <c r="L871" s="9">
        <f>LN(B871/B870)</f>
        <v/>
      </c>
      <c r="M871" s="9">
        <f>$M$1*(C871-C870)</f>
        <v/>
      </c>
      <c r="N871" s="9">
        <f>$N$1*(D871-D870)</f>
        <v/>
      </c>
      <c r="O871" s="9">
        <f>$O$1*LN(E871/E870)</f>
        <v/>
      </c>
      <c r="P871" s="9">
        <f>$P$1*LN(F871/F870)</f>
        <v/>
      </c>
      <c r="Q871" s="9">
        <f>$Q$1*(G871-G870)</f>
        <v/>
      </c>
      <c r="R871" s="9">
        <f>$R$1*(H871-H870)</f>
        <v/>
      </c>
      <c r="S871" s="9">
        <f>$S$1*LN(I871/I870)</f>
        <v/>
      </c>
      <c r="T871" s="9">
        <f>$T$1*LN(J871/J870)</f>
        <v/>
      </c>
      <c r="U871" s="9">
        <f>$W$12+$W$4*M871+$W$5*N871+$W$6*O871+$W$7*P871+$W$8*Q871+$W$9*R871+$W$10*S871+$W$11*T871</f>
        <v/>
      </c>
      <c r="AA871" s="10">
        <f>INDEX(LINEST(L612:L871,M612:T871,TRUE,TRUE),1,9)*52</f>
        <v/>
      </c>
      <c r="AB871" s="9">
        <f>INDEX(LINEST(L612:L871,M612:T871,TRUE,TRUE),1,8)</f>
        <v/>
      </c>
      <c r="AC871" s="9">
        <f>INDEX(LINEST(L612:L871,M612:T871,TRUE,TRUE),1,7)</f>
        <v/>
      </c>
      <c r="AD871" s="9">
        <f>INDEX(LINEST(L612:L871,M612:T871,TRUE,TRUE),1,6)</f>
        <v/>
      </c>
      <c r="AE871" s="9">
        <f>INDEX(LINEST(L612:L871,M612:T871,TRUE,TRUE),1,5)</f>
        <v/>
      </c>
      <c r="AF871" s="9">
        <f>INDEX(LINEST(L612:L871,M612:T871,TRUE,TRUE),1,4)</f>
        <v/>
      </c>
      <c r="AG871" s="9">
        <f>INDEX(LINEST(L612:L871,M612:T871,TRUE,TRUE),1,3)</f>
        <v/>
      </c>
      <c r="AH871" s="9">
        <f>INDEX(LINEST(L612:L871,M612:T871,TRUE,TRUE),1,2)</f>
        <v/>
      </c>
      <c r="AI871" s="9">
        <f>INDEX(LINEST(L612:L871,M612:T871,TRUE,TRUE),1,1)</f>
        <v/>
      </c>
      <c r="AJ871" s="10">
        <f>INDEX(LINEST(L612:L871,M612:T871,TRUE,TRUE),3,1)</f>
        <v/>
      </c>
      <c r="AK871" s="9">
        <f>AA870/52+AB870*M871+AC870*N871+AD870*O871+AE870*P871+AF870*Q871+AG870*R871+AH870*S871+AI870*T871</f>
        <v/>
      </c>
      <c r="AL871" s="9">
        <f>AVERAGE(L611:L870)</f>
        <v/>
      </c>
    </row>
    <row r="872">
      <c r="A872" s="7" t="n">
        <v>43714</v>
      </c>
      <c r="B872" s="8" t="n">
        <v>1523.7</v>
      </c>
      <c r="C872" s="8" t="n">
        <v>1.54</v>
      </c>
      <c r="D872" s="8" t="n">
        <v>0.01</v>
      </c>
      <c r="E872" s="8" t="n">
        <v>98.389999</v>
      </c>
      <c r="F872" s="8" t="n">
        <v>56.45</v>
      </c>
      <c r="G872" s="8" t="n">
        <v>15</v>
      </c>
      <c r="H872" s="8" t="n">
        <v>78.81999999999999</v>
      </c>
      <c r="I872" s="8" t="n">
        <v>2978.709961</v>
      </c>
      <c r="J872" s="8" t="n">
        <v>93.542778</v>
      </c>
      <c r="L872" s="9">
        <f>LN(B872/B871)</f>
        <v/>
      </c>
      <c r="M872" s="9">
        <f>$M$1*(C872-C871)</f>
        <v/>
      </c>
      <c r="N872" s="9">
        <f>$N$1*(D872-D871)</f>
        <v/>
      </c>
      <c r="O872" s="9">
        <f>$O$1*LN(E872/E871)</f>
        <v/>
      </c>
      <c r="P872" s="9">
        <f>$P$1*LN(F872/F871)</f>
        <v/>
      </c>
      <c r="Q872" s="9">
        <f>$Q$1*(G872-G871)</f>
        <v/>
      </c>
      <c r="R872" s="9">
        <f>$R$1*(H872-H871)</f>
        <v/>
      </c>
      <c r="S872" s="9">
        <f>$S$1*LN(I872/I871)</f>
        <v/>
      </c>
      <c r="T872" s="9">
        <f>$T$1*LN(J872/J871)</f>
        <v/>
      </c>
      <c r="U872" s="9">
        <f>$W$12+$W$4*M872+$W$5*N872+$W$6*O872+$W$7*P872+$W$8*Q872+$W$9*R872+$W$10*S872+$W$11*T872</f>
        <v/>
      </c>
      <c r="AA872" s="10">
        <f>INDEX(LINEST(L613:L872,M613:T872,TRUE,TRUE),1,9)*52</f>
        <v/>
      </c>
      <c r="AB872" s="9">
        <f>INDEX(LINEST(L613:L872,M613:T872,TRUE,TRUE),1,8)</f>
        <v/>
      </c>
      <c r="AC872" s="9">
        <f>INDEX(LINEST(L613:L872,M613:T872,TRUE,TRUE),1,7)</f>
        <v/>
      </c>
      <c r="AD872" s="9">
        <f>INDEX(LINEST(L613:L872,M613:T872,TRUE,TRUE),1,6)</f>
        <v/>
      </c>
      <c r="AE872" s="9">
        <f>INDEX(LINEST(L613:L872,M613:T872,TRUE,TRUE),1,5)</f>
        <v/>
      </c>
      <c r="AF872" s="9">
        <f>INDEX(LINEST(L613:L872,M613:T872,TRUE,TRUE),1,4)</f>
        <v/>
      </c>
      <c r="AG872" s="9">
        <f>INDEX(LINEST(L613:L872,M613:T872,TRUE,TRUE),1,3)</f>
        <v/>
      </c>
      <c r="AH872" s="9">
        <f>INDEX(LINEST(L613:L872,M613:T872,TRUE,TRUE),1,2)</f>
        <v/>
      </c>
      <c r="AI872" s="9">
        <f>INDEX(LINEST(L613:L872,M613:T872,TRUE,TRUE),1,1)</f>
        <v/>
      </c>
      <c r="AJ872" s="10">
        <f>INDEX(LINEST(L613:L872,M613:T872,TRUE,TRUE),3,1)</f>
        <v/>
      </c>
      <c r="AK872" s="9">
        <f>AA871/52+AB871*M872+AC871*N872+AD871*O872+AE871*P872+AF871*Q872+AG871*R872+AH871*S872+AI871*T872</f>
        <v/>
      </c>
      <c r="AL872" s="9">
        <f>AVERAGE(L612:L871)</f>
        <v/>
      </c>
    </row>
    <row r="873">
      <c r="A873" s="7" t="n">
        <v>43721</v>
      </c>
      <c r="B873" s="8" t="n">
        <v>1503.1</v>
      </c>
      <c r="C873" s="8" t="n">
        <v>1.67</v>
      </c>
      <c r="D873" s="8" t="n">
        <v>0.23</v>
      </c>
      <c r="E873" s="8" t="n">
        <v>98.260002</v>
      </c>
      <c r="F873" s="8" t="n">
        <v>54.76</v>
      </c>
      <c r="G873" s="8" t="n">
        <v>13.74</v>
      </c>
      <c r="H873" s="8" t="n">
        <v>85.529999</v>
      </c>
      <c r="I873" s="8" t="n">
        <v>3007.389893</v>
      </c>
      <c r="J873" s="8" t="n">
        <v>91.962791</v>
      </c>
      <c r="L873" s="9">
        <f>LN(B873/B872)</f>
        <v/>
      </c>
      <c r="M873" s="9">
        <f>$M$1*(C873-C872)</f>
        <v/>
      </c>
      <c r="N873" s="9">
        <f>$N$1*(D873-D872)</f>
        <v/>
      </c>
      <c r="O873" s="9">
        <f>$O$1*LN(E873/E872)</f>
        <v/>
      </c>
      <c r="P873" s="9">
        <f>$P$1*LN(F873/F872)</f>
        <v/>
      </c>
      <c r="Q873" s="9">
        <f>$Q$1*(G873-G872)</f>
        <v/>
      </c>
      <c r="R873" s="9">
        <f>$R$1*(H873-H872)</f>
        <v/>
      </c>
      <c r="S873" s="9">
        <f>$S$1*LN(I873/I872)</f>
        <v/>
      </c>
      <c r="T873" s="9">
        <f>$T$1*LN(J873/J872)</f>
        <v/>
      </c>
      <c r="U873" s="9">
        <f>$W$12+$W$4*M873+$W$5*N873+$W$6*O873+$W$7*P873+$W$8*Q873+$W$9*R873+$W$10*S873+$W$11*T873</f>
        <v/>
      </c>
      <c r="AA873" s="10">
        <f>INDEX(LINEST(L614:L873,M614:T873,TRUE,TRUE),1,9)*52</f>
        <v/>
      </c>
      <c r="AB873" s="9">
        <f>INDEX(LINEST(L614:L873,M614:T873,TRUE,TRUE),1,8)</f>
        <v/>
      </c>
      <c r="AC873" s="9">
        <f>INDEX(LINEST(L614:L873,M614:T873,TRUE,TRUE),1,7)</f>
        <v/>
      </c>
      <c r="AD873" s="9">
        <f>INDEX(LINEST(L614:L873,M614:T873,TRUE,TRUE),1,6)</f>
        <v/>
      </c>
      <c r="AE873" s="9">
        <f>INDEX(LINEST(L614:L873,M614:T873,TRUE,TRUE),1,5)</f>
        <v/>
      </c>
      <c r="AF873" s="9">
        <f>INDEX(LINEST(L614:L873,M614:T873,TRUE,TRUE),1,4)</f>
        <v/>
      </c>
      <c r="AG873" s="9">
        <f>INDEX(LINEST(L614:L873,M614:T873,TRUE,TRUE),1,3)</f>
        <v/>
      </c>
      <c r="AH873" s="9">
        <f>INDEX(LINEST(L614:L873,M614:T873,TRUE,TRUE),1,2)</f>
        <v/>
      </c>
      <c r="AI873" s="9">
        <f>INDEX(LINEST(L614:L873,M614:T873,TRUE,TRUE),1,1)</f>
        <v/>
      </c>
      <c r="AJ873" s="10">
        <f>INDEX(LINEST(L614:L873,M614:T873,TRUE,TRUE),3,1)</f>
        <v/>
      </c>
      <c r="AK873" s="9">
        <f>AA872/52+AB872*M873+AC872*N873+AD872*O873+AE872*P873+AF872*Q873+AG872*R873+AH872*S873+AI872*T873</f>
        <v/>
      </c>
      <c r="AL873" s="9">
        <f>AVERAGE(L613:L872)</f>
        <v/>
      </c>
    </row>
    <row r="874">
      <c r="A874" s="7" t="n">
        <v>43728</v>
      </c>
      <c r="B874" s="8" t="n">
        <v>1501.9</v>
      </c>
      <c r="C874" s="8" t="n">
        <v>1.61</v>
      </c>
      <c r="D874" s="8" t="n">
        <v>0.13</v>
      </c>
      <c r="E874" s="8" t="n">
        <v>98.510002</v>
      </c>
      <c r="F874" s="8" t="n">
        <v>57.92</v>
      </c>
      <c r="G874" s="8" t="n">
        <v>15.32</v>
      </c>
      <c r="H874" s="8" t="n">
        <v>80.06999999999999</v>
      </c>
      <c r="I874" s="8" t="n">
        <v>2992.070068</v>
      </c>
      <c r="J874" s="8" t="n">
        <v>92.925591</v>
      </c>
      <c r="L874" s="9">
        <f>LN(B874/B873)</f>
        <v/>
      </c>
      <c r="M874" s="9">
        <f>$M$1*(C874-C873)</f>
        <v/>
      </c>
      <c r="N874" s="9">
        <f>$N$1*(D874-D873)</f>
        <v/>
      </c>
      <c r="O874" s="9">
        <f>$O$1*LN(E874/E873)</f>
        <v/>
      </c>
      <c r="P874" s="9">
        <f>$P$1*LN(F874/F873)</f>
        <v/>
      </c>
      <c r="Q874" s="9">
        <f>$Q$1*(G874-G873)</f>
        <v/>
      </c>
      <c r="R874" s="9">
        <f>$R$1*(H874-H873)</f>
        <v/>
      </c>
      <c r="S874" s="9">
        <f>$S$1*LN(I874/I873)</f>
        <v/>
      </c>
      <c r="T874" s="9">
        <f>$T$1*LN(J874/J873)</f>
        <v/>
      </c>
      <c r="U874" s="9">
        <f>$W$12+$W$4*M874+$W$5*N874+$W$6*O874+$W$7*P874+$W$8*Q874+$W$9*R874+$W$10*S874+$W$11*T874</f>
        <v/>
      </c>
      <c r="AA874" s="10">
        <f>INDEX(LINEST(L615:L874,M615:T874,TRUE,TRUE),1,9)*52</f>
        <v/>
      </c>
      <c r="AB874" s="9">
        <f>INDEX(LINEST(L615:L874,M615:T874,TRUE,TRUE),1,8)</f>
        <v/>
      </c>
      <c r="AC874" s="9">
        <f>INDEX(LINEST(L615:L874,M615:T874,TRUE,TRUE),1,7)</f>
        <v/>
      </c>
      <c r="AD874" s="9">
        <f>INDEX(LINEST(L615:L874,M615:T874,TRUE,TRUE),1,6)</f>
        <v/>
      </c>
      <c r="AE874" s="9">
        <f>INDEX(LINEST(L615:L874,M615:T874,TRUE,TRUE),1,5)</f>
        <v/>
      </c>
      <c r="AF874" s="9">
        <f>INDEX(LINEST(L615:L874,M615:T874,TRUE,TRUE),1,4)</f>
        <v/>
      </c>
      <c r="AG874" s="9">
        <f>INDEX(LINEST(L615:L874,M615:T874,TRUE,TRUE),1,3)</f>
        <v/>
      </c>
      <c r="AH874" s="9">
        <f>INDEX(LINEST(L615:L874,M615:T874,TRUE,TRUE),1,2)</f>
        <v/>
      </c>
      <c r="AI874" s="9">
        <f>INDEX(LINEST(L615:L874,M615:T874,TRUE,TRUE),1,1)</f>
        <v/>
      </c>
      <c r="AJ874" s="10">
        <f>INDEX(LINEST(L615:L874,M615:T874,TRUE,TRUE),3,1)</f>
        <v/>
      </c>
      <c r="AK874" s="9">
        <f>AA873/52+AB873*M874+AC873*N874+AD873*O874+AE873*P874+AF873*Q874+AG873*R874+AH873*S874+AI873*T874</f>
        <v/>
      </c>
      <c r="AL874" s="9">
        <f>AVERAGE(L614:L873)</f>
        <v/>
      </c>
    </row>
    <row r="875">
      <c r="A875" s="7" t="n">
        <v>43735</v>
      </c>
      <c r="B875" s="8" t="n">
        <v>1489.9</v>
      </c>
      <c r="C875" s="8" t="n">
        <v>1.53</v>
      </c>
      <c r="D875" s="8" t="n">
        <v>0.16</v>
      </c>
      <c r="E875" s="8" t="n">
        <v>99.110001</v>
      </c>
      <c r="F875" s="8" t="n">
        <v>55.95</v>
      </c>
      <c r="G875" s="8" t="n">
        <v>17.22</v>
      </c>
      <c r="H875" s="8" t="n">
        <v>79.970001</v>
      </c>
      <c r="I875" s="8" t="n">
        <v>2961.790039</v>
      </c>
      <c r="J875" s="8" t="n">
        <v>93.10663599999999</v>
      </c>
      <c r="L875" s="9">
        <f>LN(B875/B874)</f>
        <v/>
      </c>
      <c r="M875" s="9">
        <f>$M$1*(C875-C874)</f>
        <v/>
      </c>
      <c r="N875" s="9">
        <f>$N$1*(D875-D874)</f>
        <v/>
      </c>
      <c r="O875" s="9">
        <f>$O$1*LN(E875/E874)</f>
        <v/>
      </c>
      <c r="P875" s="9">
        <f>$P$1*LN(F875/F874)</f>
        <v/>
      </c>
      <c r="Q875" s="9">
        <f>$Q$1*(G875-G874)</f>
        <v/>
      </c>
      <c r="R875" s="9">
        <f>$R$1*(H875-H874)</f>
        <v/>
      </c>
      <c r="S875" s="9">
        <f>$S$1*LN(I875/I874)</f>
        <v/>
      </c>
      <c r="T875" s="9">
        <f>$T$1*LN(J875/J874)</f>
        <v/>
      </c>
      <c r="U875" s="9">
        <f>$W$12+$W$4*M875+$W$5*N875+$W$6*O875+$W$7*P875+$W$8*Q875+$W$9*R875+$W$10*S875+$W$11*T875</f>
        <v/>
      </c>
      <c r="AA875" s="10">
        <f>INDEX(LINEST(L616:L875,M616:T875,TRUE,TRUE),1,9)*52</f>
        <v/>
      </c>
      <c r="AB875" s="9">
        <f>INDEX(LINEST(L616:L875,M616:T875,TRUE,TRUE),1,8)</f>
        <v/>
      </c>
      <c r="AC875" s="9">
        <f>INDEX(LINEST(L616:L875,M616:T875,TRUE,TRUE),1,7)</f>
        <v/>
      </c>
      <c r="AD875" s="9">
        <f>INDEX(LINEST(L616:L875,M616:T875,TRUE,TRUE),1,6)</f>
        <v/>
      </c>
      <c r="AE875" s="9">
        <f>INDEX(LINEST(L616:L875,M616:T875,TRUE,TRUE),1,5)</f>
        <v/>
      </c>
      <c r="AF875" s="9">
        <f>INDEX(LINEST(L616:L875,M616:T875,TRUE,TRUE),1,4)</f>
        <v/>
      </c>
      <c r="AG875" s="9">
        <f>INDEX(LINEST(L616:L875,M616:T875,TRUE,TRUE),1,3)</f>
        <v/>
      </c>
      <c r="AH875" s="9">
        <f>INDEX(LINEST(L616:L875,M616:T875,TRUE,TRUE),1,2)</f>
        <v/>
      </c>
      <c r="AI875" s="9">
        <f>INDEX(LINEST(L616:L875,M616:T875,TRUE,TRUE),1,1)</f>
        <v/>
      </c>
      <c r="AJ875" s="10">
        <f>INDEX(LINEST(L616:L875,M616:T875,TRUE,TRUE),3,1)</f>
        <v/>
      </c>
      <c r="AK875" s="9">
        <f>AA874/52+AB874*M875+AC874*N875+AD874*O875+AE874*P875+AF874*Q875+AG874*R875+AH874*S875+AI874*T875</f>
        <v/>
      </c>
      <c r="AL875" s="9">
        <f>AVERAGE(L615:L874)</f>
        <v/>
      </c>
    </row>
    <row r="876">
      <c r="A876" s="7" t="n">
        <v>43742</v>
      </c>
      <c r="B876" s="8" t="n">
        <v>1499.15</v>
      </c>
      <c r="C876" s="8" t="n">
        <v>1.5</v>
      </c>
      <c r="D876" s="8" t="n">
        <v>0.02</v>
      </c>
      <c r="E876" s="8" t="n">
        <v>98.80999799999999</v>
      </c>
      <c r="F876" s="8" t="n">
        <v>52.84</v>
      </c>
      <c r="G876" s="8" t="n">
        <v>17.04</v>
      </c>
      <c r="H876" s="8" t="n">
        <v>83.150002</v>
      </c>
      <c r="I876" s="8" t="n">
        <v>2952.01001</v>
      </c>
      <c r="J876" s="8" t="n">
        <v>93.877747</v>
      </c>
      <c r="L876" s="9">
        <f>LN(B876/B875)</f>
        <v/>
      </c>
      <c r="M876" s="9">
        <f>$M$1*(C876-C875)</f>
        <v/>
      </c>
      <c r="N876" s="9">
        <f>$N$1*(D876-D875)</f>
        <v/>
      </c>
      <c r="O876" s="9">
        <f>$O$1*LN(E876/E875)</f>
        <v/>
      </c>
      <c r="P876" s="9">
        <f>$P$1*LN(F876/F875)</f>
        <v/>
      </c>
      <c r="Q876" s="9">
        <f>$Q$1*(G876-G875)</f>
        <v/>
      </c>
      <c r="R876" s="9">
        <f>$R$1*(H876-H875)</f>
        <v/>
      </c>
      <c r="S876" s="9">
        <f>$S$1*LN(I876/I875)</f>
        <v/>
      </c>
      <c r="T876" s="9">
        <f>$T$1*LN(J876/J875)</f>
        <v/>
      </c>
      <c r="U876" s="9">
        <f>$W$12+$W$4*M876+$W$5*N876+$W$6*O876+$W$7*P876+$W$8*Q876+$W$9*R876+$W$10*S876+$W$11*T876</f>
        <v/>
      </c>
      <c r="AA876" s="10">
        <f>INDEX(LINEST(L617:L876,M617:T876,TRUE,TRUE),1,9)*52</f>
        <v/>
      </c>
      <c r="AB876" s="9">
        <f>INDEX(LINEST(L617:L876,M617:T876,TRUE,TRUE),1,8)</f>
        <v/>
      </c>
      <c r="AC876" s="9">
        <f>INDEX(LINEST(L617:L876,M617:T876,TRUE,TRUE),1,7)</f>
        <v/>
      </c>
      <c r="AD876" s="9">
        <f>INDEX(LINEST(L617:L876,M617:T876,TRUE,TRUE),1,6)</f>
        <v/>
      </c>
      <c r="AE876" s="9">
        <f>INDEX(LINEST(L617:L876,M617:T876,TRUE,TRUE),1,5)</f>
        <v/>
      </c>
      <c r="AF876" s="9">
        <f>INDEX(LINEST(L617:L876,M617:T876,TRUE,TRUE),1,4)</f>
        <v/>
      </c>
      <c r="AG876" s="9">
        <f>INDEX(LINEST(L617:L876,M617:T876,TRUE,TRUE),1,3)</f>
        <v/>
      </c>
      <c r="AH876" s="9">
        <f>INDEX(LINEST(L617:L876,M617:T876,TRUE,TRUE),1,2)</f>
        <v/>
      </c>
      <c r="AI876" s="9">
        <f>INDEX(LINEST(L617:L876,M617:T876,TRUE,TRUE),1,1)</f>
        <v/>
      </c>
      <c r="AJ876" s="10">
        <f>INDEX(LINEST(L617:L876,M617:T876,TRUE,TRUE),3,1)</f>
        <v/>
      </c>
      <c r="AK876" s="9">
        <f>AA875/52+AB875*M876+AC875*N876+AD875*O876+AE875*P876+AF875*Q876+AG875*R876+AH875*S876+AI875*T876</f>
        <v/>
      </c>
      <c r="AL876" s="9">
        <f>AVERAGE(L616:L875)</f>
        <v/>
      </c>
    </row>
    <row r="877">
      <c r="A877" s="7" t="n">
        <v>43749</v>
      </c>
      <c r="B877" s="8" t="n">
        <v>1479.15</v>
      </c>
      <c r="C877" s="8" t="n">
        <v>1.56</v>
      </c>
      <c r="D877" s="8" t="n">
        <v>0.2</v>
      </c>
      <c r="E877" s="8" t="n">
        <v>98.300003</v>
      </c>
      <c r="F877" s="8" t="n">
        <v>54.76</v>
      </c>
      <c r="G877" s="8" t="n">
        <v>15.58</v>
      </c>
      <c r="H877" s="8" t="n">
        <v>79.860001</v>
      </c>
      <c r="I877" s="8" t="n">
        <v>2970.27002</v>
      </c>
      <c r="J877" s="8" t="n">
        <v>92.978745</v>
      </c>
      <c r="L877" s="9">
        <f>LN(B877/B876)</f>
        <v/>
      </c>
      <c r="M877" s="9">
        <f>$M$1*(C877-C876)</f>
        <v/>
      </c>
      <c r="N877" s="9">
        <f>$N$1*(D877-D876)</f>
        <v/>
      </c>
      <c r="O877" s="9">
        <f>$O$1*LN(E877/E876)</f>
        <v/>
      </c>
      <c r="P877" s="9">
        <f>$P$1*LN(F877/F876)</f>
        <v/>
      </c>
      <c r="Q877" s="9">
        <f>$Q$1*(G877-G876)</f>
        <v/>
      </c>
      <c r="R877" s="9">
        <f>$R$1*(H877-H876)</f>
        <v/>
      </c>
      <c r="S877" s="9">
        <f>$S$1*LN(I877/I876)</f>
        <v/>
      </c>
      <c r="T877" s="9">
        <f>$T$1*LN(J877/J876)</f>
        <v/>
      </c>
      <c r="U877" s="9">
        <f>$W$12+$W$4*M877+$W$5*N877+$W$6*O877+$W$7*P877+$W$8*Q877+$W$9*R877+$W$10*S877+$W$11*T877</f>
        <v/>
      </c>
      <c r="AA877" s="10">
        <f>INDEX(LINEST(L618:L877,M618:T877,TRUE,TRUE),1,9)*52</f>
        <v/>
      </c>
      <c r="AB877" s="9">
        <f>INDEX(LINEST(L618:L877,M618:T877,TRUE,TRUE),1,8)</f>
        <v/>
      </c>
      <c r="AC877" s="9">
        <f>INDEX(LINEST(L618:L877,M618:T877,TRUE,TRUE),1,7)</f>
        <v/>
      </c>
      <c r="AD877" s="9">
        <f>INDEX(LINEST(L618:L877,M618:T877,TRUE,TRUE),1,6)</f>
        <v/>
      </c>
      <c r="AE877" s="9">
        <f>INDEX(LINEST(L618:L877,M618:T877,TRUE,TRUE),1,5)</f>
        <v/>
      </c>
      <c r="AF877" s="9">
        <f>INDEX(LINEST(L618:L877,M618:T877,TRUE,TRUE),1,4)</f>
        <v/>
      </c>
      <c r="AG877" s="9">
        <f>INDEX(LINEST(L618:L877,M618:T877,TRUE,TRUE),1,3)</f>
        <v/>
      </c>
      <c r="AH877" s="9">
        <f>INDEX(LINEST(L618:L877,M618:T877,TRUE,TRUE),1,2)</f>
        <v/>
      </c>
      <c r="AI877" s="9">
        <f>INDEX(LINEST(L618:L877,M618:T877,TRUE,TRUE),1,1)</f>
        <v/>
      </c>
      <c r="AJ877" s="10">
        <f>INDEX(LINEST(L618:L877,M618:T877,TRUE,TRUE),3,1)</f>
        <v/>
      </c>
      <c r="AK877" s="9">
        <f>AA876/52+AB876*M877+AC876*N877+AD876*O877+AE876*P877+AF876*Q877+AG876*R877+AH876*S877+AI876*T877</f>
        <v/>
      </c>
      <c r="AL877" s="9">
        <f>AVERAGE(L617:L876)</f>
        <v/>
      </c>
    </row>
    <row r="878">
      <c r="A878" s="7" t="n">
        <v>43756</v>
      </c>
      <c r="B878" s="8" t="n">
        <v>1490</v>
      </c>
      <c r="C878" s="8" t="n">
        <v>1.6</v>
      </c>
      <c r="D878" s="8" t="n">
        <v>0.16</v>
      </c>
      <c r="E878" s="8" t="n">
        <v>97.279999</v>
      </c>
      <c r="F878" s="8" t="n">
        <v>53.75</v>
      </c>
      <c r="G878" s="8" t="n">
        <v>14.25</v>
      </c>
      <c r="H878" s="8" t="n">
        <v>78.349998</v>
      </c>
      <c r="I878" s="8" t="n">
        <v>2986.199951</v>
      </c>
      <c r="J878" s="8" t="n">
        <v>93.036469</v>
      </c>
      <c r="L878" s="9">
        <f>LN(B878/B877)</f>
        <v/>
      </c>
      <c r="M878" s="9">
        <f>$M$1*(C878-C877)</f>
        <v/>
      </c>
      <c r="N878" s="9">
        <f>$N$1*(D878-D877)</f>
        <v/>
      </c>
      <c r="O878" s="9">
        <f>$O$1*LN(E878/E877)</f>
        <v/>
      </c>
      <c r="P878" s="9">
        <f>$P$1*LN(F878/F877)</f>
        <v/>
      </c>
      <c r="Q878" s="9">
        <f>$Q$1*(G878-G877)</f>
        <v/>
      </c>
      <c r="R878" s="9">
        <f>$R$1*(H878-H877)</f>
        <v/>
      </c>
      <c r="S878" s="9">
        <f>$S$1*LN(I878/I877)</f>
        <v/>
      </c>
      <c r="T878" s="9">
        <f>$T$1*LN(J878/J877)</f>
        <v/>
      </c>
      <c r="U878" s="9">
        <f>$W$12+$W$4*M878+$W$5*N878+$W$6*O878+$W$7*P878+$W$8*Q878+$W$9*R878+$W$10*S878+$W$11*T878</f>
        <v/>
      </c>
      <c r="AA878" s="10">
        <f>INDEX(LINEST(L619:L878,M619:T878,TRUE,TRUE),1,9)*52</f>
        <v/>
      </c>
      <c r="AB878" s="9">
        <f>INDEX(LINEST(L619:L878,M619:T878,TRUE,TRUE),1,8)</f>
        <v/>
      </c>
      <c r="AC878" s="9">
        <f>INDEX(LINEST(L619:L878,M619:T878,TRUE,TRUE),1,7)</f>
        <v/>
      </c>
      <c r="AD878" s="9">
        <f>INDEX(LINEST(L619:L878,M619:T878,TRUE,TRUE),1,6)</f>
        <v/>
      </c>
      <c r="AE878" s="9">
        <f>INDEX(LINEST(L619:L878,M619:T878,TRUE,TRUE),1,5)</f>
        <v/>
      </c>
      <c r="AF878" s="9">
        <f>INDEX(LINEST(L619:L878,M619:T878,TRUE,TRUE),1,4)</f>
        <v/>
      </c>
      <c r="AG878" s="9">
        <f>INDEX(LINEST(L619:L878,M619:T878,TRUE,TRUE),1,3)</f>
        <v/>
      </c>
      <c r="AH878" s="9">
        <f>INDEX(LINEST(L619:L878,M619:T878,TRUE,TRUE),1,2)</f>
        <v/>
      </c>
      <c r="AI878" s="9">
        <f>INDEX(LINEST(L619:L878,M619:T878,TRUE,TRUE),1,1)</f>
        <v/>
      </c>
      <c r="AJ878" s="10">
        <f>INDEX(LINEST(L619:L878,M619:T878,TRUE,TRUE),3,1)</f>
        <v/>
      </c>
      <c r="AK878" s="9">
        <f>AA877/52+AB877*M878+AC877*N878+AD877*O878+AE877*P878+AF877*Q878+AG877*R878+AH877*S878+AI877*T878</f>
        <v/>
      </c>
      <c r="AL878" s="9">
        <f>AVERAGE(L618:L877)</f>
        <v/>
      </c>
    </row>
    <row r="879">
      <c r="A879" s="7" t="n">
        <v>43763</v>
      </c>
      <c r="B879" s="8" t="n">
        <v>1513.45</v>
      </c>
      <c r="C879" s="8" t="n">
        <v>1.65</v>
      </c>
      <c r="D879" s="8" t="n">
        <v>0.15</v>
      </c>
      <c r="E879" s="8" t="n">
        <v>97.83000199999999</v>
      </c>
      <c r="F879" s="8" t="n">
        <v>56.52</v>
      </c>
      <c r="G879" s="8" t="n">
        <v>12.65</v>
      </c>
      <c r="H879" s="8" t="n">
        <v>67.06999999999999</v>
      </c>
      <c r="I879" s="8" t="n">
        <v>3022.550049</v>
      </c>
      <c r="J879" s="8" t="n">
        <v>92.88803900000001</v>
      </c>
      <c r="L879" s="9">
        <f>LN(B879/B878)</f>
        <v/>
      </c>
      <c r="M879" s="9">
        <f>$M$1*(C879-C878)</f>
        <v/>
      </c>
      <c r="N879" s="9">
        <f>$N$1*(D879-D878)</f>
        <v/>
      </c>
      <c r="O879" s="9">
        <f>$O$1*LN(E879/E878)</f>
        <v/>
      </c>
      <c r="P879" s="9">
        <f>$P$1*LN(F879/F878)</f>
        <v/>
      </c>
      <c r="Q879" s="9">
        <f>$Q$1*(G879-G878)</f>
        <v/>
      </c>
      <c r="R879" s="9">
        <f>$R$1*(H879-H878)</f>
        <v/>
      </c>
      <c r="S879" s="9">
        <f>$S$1*LN(I879/I878)</f>
        <v/>
      </c>
      <c r="T879" s="9">
        <f>$T$1*LN(J879/J878)</f>
        <v/>
      </c>
      <c r="U879" s="9">
        <f>$W$12+$W$4*M879+$W$5*N879+$W$6*O879+$W$7*P879+$W$8*Q879+$W$9*R879+$W$10*S879+$W$11*T879</f>
        <v/>
      </c>
      <c r="AA879" s="10">
        <f>INDEX(LINEST(L620:L879,M620:T879,TRUE,TRUE),1,9)*52</f>
        <v/>
      </c>
      <c r="AB879" s="9">
        <f>INDEX(LINEST(L620:L879,M620:T879,TRUE,TRUE),1,8)</f>
        <v/>
      </c>
      <c r="AC879" s="9">
        <f>INDEX(LINEST(L620:L879,M620:T879,TRUE,TRUE),1,7)</f>
        <v/>
      </c>
      <c r="AD879" s="9">
        <f>INDEX(LINEST(L620:L879,M620:T879,TRUE,TRUE),1,6)</f>
        <v/>
      </c>
      <c r="AE879" s="9">
        <f>INDEX(LINEST(L620:L879,M620:T879,TRUE,TRUE),1,5)</f>
        <v/>
      </c>
      <c r="AF879" s="9">
        <f>INDEX(LINEST(L620:L879,M620:T879,TRUE,TRUE),1,4)</f>
        <v/>
      </c>
      <c r="AG879" s="9">
        <f>INDEX(LINEST(L620:L879,M620:T879,TRUE,TRUE),1,3)</f>
        <v/>
      </c>
      <c r="AH879" s="9">
        <f>INDEX(LINEST(L620:L879,M620:T879,TRUE,TRUE),1,2)</f>
        <v/>
      </c>
      <c r="AI879" s="9">
        <f>INDEX(LINEST(L620:L879,M620:T879,TRUE,TRUE),1,1)</f>
        <v/>
      </c>
      <c r="AJ879" s="10">
        <f>INDEX(LINEST(L620:L879,M620:T879,TRUE,TRUE),3,1)</f>
        <v/>
      </c>
      <c r="AK879" s="9">
        <f>AA878/52+AB878*M879+AC878*N879+AD878*O879+AE878*P879+AF878*Q879+AG878*R879+AH878*S879+AI878*T879</f>
        <v/>
      </c>
      <c r="AL879" s="9">
        <f>AVERAGE(L619:L878)</f>
        <v/>
      </c>
    </row>
    <row r="880">
      <c r="A880" s="7" t="n">
        <v>43770</v>
      </c>
      <c r="B880" s="8" t="n">
        <v>1508.8</v>
      </c>
      <c r="C880" s="8" t="n">
        <v>1.59</v>
      </c>
      <c r="D880" s="8" t="n">
        <v>0.14</v>
      </c>
      <c r="E880" s="8" t="n">
        <v>97.239998</v>
      </c>
      <c r="F880" s="8" t="n">
        <v>56.04</v>
      </c>
      <c r="G880" s="8" t="n">
        <v>12.3</v>
      </c>
      <c r="H880" s="8" t="n">
        <v>57.279999</v>
      </c>
      <c r="I880" s="8" t="n">
        <v>3066.909912</v>
      </c>
      <c r="J880" s="8" t="n">
        <v>93.35077699999999</v>
      </c>
      <c r="L880" s="9">
        <f>LN(B880/B879)</f>
        <v/>
      </c>
      <c r="M880" s="9">
        <f>$M$1*(C880-C879)</f>
        <v/>
      </c>
      <c r="N880" s="9">
        <f>$N$1*(D880-D879)</f>
        <v/>
      </c>
      <c r="O880" s="9">
        <f>$O$1*LN(E880/E879)</f>
        <v/>
      </c>
      <c r="P880" s="9">
        <f>$P$1*LN(F880/F879)</f>
        <v/>
      </c>
      <c r="Q880" s="9">
        <f>$Q$1*(G880-G879)</f>
        <v/>
      </c>
      <c r="R880" s="9">
        <f>$R$1*(H880-H879)</f>
        <v/>
      </c>
      <c r="S880" s="9">
        <f>$S$1*LN(I880/I879)</f>
        <v/>
      </c>
      <c r="T880" s="9">
        <f>$T$1*LN(J880/J879)</f>
        <v/>
      </c>
      <c r="U880" s="9">
        <f>$W$12+$W$4*M880+$W$5*N880+$W$6*O880+$W$7*P880+$W$8*Q880+$W$9*R880+$W$10*S880+$W$11*T880</f>
        <v/>
      </c>
      <c r="AA880" s="10">
        <f>INDEX(LINEST(L621:L880,M621:T880,TRUE,TRUE),1,9)*52</f>
        <v/>
      </c>
      <c r="AB880" s="9">
        <f>INDEX(LINEST(L621:L880,M621:T880,TRUE,TRUE),1,8)</f>
        <v/>
      </c>
      <c r="AC880" s="9">
        <f>INDEX(LINEST(L621:L880,M621:T880,TRUE,TRUE),1,7)</f>
        <v/>
      </c>
      <c r="AD880" s="9">
        <f>INDEX(LINEST(L621:L880,M621:T880,TRUE,TRUE),1,6)</f>
        <v/>
      </c>
      <c r="AE880" s="9">
        <f>INDEX(LINEST(L621:L880,M621:T880,TRUE,TRUE),1,5)</f>
        <v/>
      </c>
      <c r="AF880" s="9">
        <f>INDEX(LINEST(L621:L880,M621:T880,TRUE,TRUE),1,4)</f>
        <v/>
      </c>
      <c r="AG880" s="9">
        <f>INDEX(LINEST(L621:L880,M621:T880,TRUE,TRUE),1,3)</f>
        <v/>
      </c>
      <c r="AH880" s="9">
        <f>INDEX(LINEST(L621:L880,M621:T880,TRUE,TRUE),1,2)</f>
        <v/>
      </c>
      <c r="AI880" s="9">
        <f>INDEX(LINEST(L621:L880,M621:T880,TRUE,TRUE),1,1)</f>
        <v/>
      </c>
      <c r="AJ880" s="10">
        <f>INDEX(LINEST(L621:L880,M621:T880,TRUE,TRUE),3,1)</f>
        <v/>
      </c>
      <c r="AK880" s="9">
        <f>AA879/52+AB879*M880+AC879*N880+AD879*O880+AE879*P880+AF879*Q880+AG879*R880+AH879*S880+AI879*T880</f>
        <v/>
      </c>
      <c r="AL880" s="9">
        <f>AVERAGE(L620:L879)</f>
        <v/>
      </c>
    </row>
    <row r="881">
      <c r="A881" s="7" t="n">
        <v>43777</v>
      </c>
      <c r="B881" s="8" t="n">
        <v>1464.15</v>
      </c>
      <c r="C881" s="8" t="n">
        <v>1.71</v>
      </c>
      <c r="D881" s="8" t="n">
        <v>0.23</v>
      </c>
      <c r="E881" s="8" t="n">
        <v>98.349998</v>
      </c>
      <c r="F881" s="8" t="n">
        <v>57.02</v>
      </c>
      <c r="G881" s="8" t="n">
        <v>12.07</v>
      </c>
      <c r="H881" s="8" t="n">
        <v>64.44000200000001</v>
      </c>
      <c r="I881" s="8" t="n">
        <v>3093.080078</v>
      </c>
      <c r="J881" s="8" t="n">
        <v>92.42493399999999</v>
      </c>
      <c r="L881" s="9">
        <f>LN(B881/B880)</f>
        <v/>
      </c>
      <c r="M881" s="9">
        <f>$M$1*(C881-C880)</f>
        <v/>
      </c>
      <c r="N881" s="9">
        <f>$N$1*(D881-D880)</f>
        <v/>
      </c>
      <c r="O881" s="9">
        <f>$O$1*LN(E881/E880)</f>
        <v/>
      </c>
      <c r="P881" s="9">
        <f>$P$1*LN(F881/F880)</f>
        <v/>
      </c>
      <c r="Q881" s="9">
        <f>$Q$1*(G881-G880)</f>
        <v/>
      </c>
      <c r="R881" s="9">
        <f>$R$1*(H881-H880)</f>
        <v/>
      </c>
      <c r="S881" s="9">
        <f>$S$1*LN(I881/I880)</f>
        <v/>
      </c>
      <c r="T881" s="9">
        <f>$T$1*LN(J881/J880)</f>
        <v/>
      </c>
      <c r="U881" s="9">
        <f>$W$12+$W$4*M881+$W$5*N881+$W$6*O881+$W$7*P881+$W$8*Q881+$W$9*R881+$W$10*S881+$W$11*T881</f>
        <v/>
      </c>
      <c r="AA881" s="10">
        <f>INDEX(LINEST(L622:L881,M622:T881,TRUE,TRUE),1,9)*52</f>
        <v/>
      </c>
      <c r="AB881" s="9">
        <f>INDEX(LINEST(L622:L881,M622:T881,TRUE,TRUE),1,8)</f>
        <v/>
      </c>
      <c r="AC881" s="9">
        <f>INDEX(LINEST(L622:L881,M622:T881,TRUE,TRUE),1,7)</f>
        <v/>
      </c>
      <c r="AD881" s="9">
        <f>INDEX(LINEST(L622:L881,M622:T881,TRUE,TRUE),1,6)</f>
        <v/>
      </c>
      <c r="AE881" s="9">
        <f>INDEX(LINEST(L622:L881,M622:T881,TRUE,TRUE),1,5)</f>
        <v/>
      </c>
      <c r="AF881" s="9">
        <f>INDEX(LINEST(L622:L881,M622:T881,TRUE,TRUE),1,4)</f>
        <v/>
      </c>
      <c r="AG881" s="9">
        <f>INDEX(LINEST(L622:L881,M622:T881,TRUE,TRUE),1,3)</f>
        <v/>
      </c>
      <c r="AH881" s="9">
        <f>INDEX(LINEST(L622:L881,M622:T881,TRUE,TRUE),1,2)</f>
        <v/>
      </c>
      <c r="AI881" s="9">
        <f>INDEX(LINEST(L622:L881,M622:T881,TRUE,TRUE),1,1)</f>
        <v/>
      </c>
      <c r="AJ881" s="10">
        <f>INDEX(LINEST(L622:L881,M622:T881,TRUE,TRUE),3,1)</f>
        <v/>
      </c>
      <c r="AK881" s="9">
        <f>AA880/52+AB880*M881+AC880*N881+AD880*O881+AE880*P881+AF880*Q881+AG880*R881+AH880*S881+AI880*T881</f>
        <v/>
      </c>
      <c r="AL881" s="9">
        <f>AVERAGE(L621:L880)</f>
        <v/>
      </c>
    </row>
    <row r="882">
      <c r="A882" s="7" t="n">
        <v>43784</v>
      </c>
      <c r="B882" s="8" t="n">
        <v>1466.9</v>
      </c>
      <c r="C882" s="8" t="n">
        <v>1.63</v>
      </c>
      <c r="D882" s="8" t="n">
        <v>0.21</v>
      </c>
      <c r="E882" s="8" t="n">
        <v>98</v>
      </c>
      <c r="F882" s="8" t="n">
        <v>57.54</v>
      </c>
      <c r="G882" s="8" t="n">
        <v>12.05</v>
      </c>
      <c r="H882" s="8" t="n">
        <v>61.700001</v>
      </c>
      <c r="I882" s="8" t="n">
        <v>3120.459961</v>
      </c>
      <c r="J882" s="8" t="n">
        <v>92.920929</v>
      </c>
      <c r="L882" s="9">
        <f>LN(B882/B881)</f>
        <v/>
      </c>
      <c r="M882" s="9">
        <f>$M$1*(C882-C881)</f>
        <v/>
      </c>
      <c r="N882" s="9">
        <f>$N$1*(D882-D881)</f>
        <v/>
      </c>
      <c r="O882" s="9">
        <f>$O$1*LN(E882/E881)</f>
        <v/>
      </c>
      <c r="P882" s="9">
        <f>$P$1*LN(F882/F881)</f>
        <v/>
      </c>
      <c r="Q882" s="9">
        <f>$Q$1*(G882-G881)</f>
        <v/>
      </c>
      <c r="R882" s="9">
        <f>$R$1*(H882-H881)</f>
        <v/>
      </c>
      <c r="S882" s="9">
        <f>$S$1*LN(I882/I881)</f>
        <v/>
      </c>
      <c r="T882" s="9">
        <f>$T$1*LN(J882/J881)</f>
        <v/>
      </c>
      <c r="U882" s="9">
        <f>$W$12+$W$4*M882+$W$5*N882+$W$6*O882+$W$7*P882+$W$8*Q882+$W$9*R882+$W$10*S882+$W$11*T882</f>
        <v/>
      </c>
      <c r="AA882" s="10">
        <f>INDEX(LINEST(L623:L882,M623:T882,TRUE,TRUE),1,9)*52</f>
        <v/>
      </c>
      <c r="AB882" s="9">
        <f>INDEX(LINEST(L623:L882,M623:T882,TRUE,TRUE),1,8)</f>
        <v/>
      </c>
      <c r="AC882" s="9">
        <f>INDEX(LINEST(L623:L882,M623:T882,TRUE,TRUE),1,7)</f>
        <v/>
      </c>
      <c r="AD882" s="9">
        <f>INDEX(LINEST(L623:L882,M623:T882,TRUE,TRUE),1,6)</f>
        <v/>
      </c>
      <c r="AE882" s="9">
        <f>INDEX(LINEST(L623:L882,M623:T882,TRUE,TRUE),1,5)</f>
        <v/>
      </c>
      <c r="AF882" s="9">
        <f>INDEX(LINEST(L623:L882,M623:T882,TRUE,TRUE),1,4)</f>
        <v/>
      </c>
      <c r="AG882" s="9">
        <f>INDEX(LINEST(L623:L882,M623:T882,TRUE,TRUE),1,3)</f>
        <v/>
      </c>
      <c r="AH882" s="9">
        <f>INDEX(LINEST(L623:L882,M623:T882,TRUE,TRUE),1,2)</f>
        <v/>
      </c>
      <c r="AI882" s="9">
        <f>INDEX(LINEST(L623:L882,M623:T882,TRUE,TRUE),1,1)</f>
        <v/>
      </c>
      <c r="AJ882" s="10">
        <f>INDEX(LINEST(L623:L882,M623:T882,TRUE,TRUE),3,1)</f>
        <v/>
      </c>
      <c r="AK882" s="9">
        <f>AA881/52+AB881*M882+AC881*N882+AD881*O882+AE881*P882+AF881*Q882+AG881*R882+AH881*S882+AI881*T882</f>
        <v/>
      </c>
      <c r="AL882" s="9">
        <f>AVERAGE(L622:L881)</f>
        <v/>
      </c>
    </row>
    <row r="883">
      <c r="A883" s="7" t="n">
        <v>43791</v>
      </c>
      <c r="B883" s="8" t="n">
        <v>1464.45</v>
      </c>
      <c r="C883" s="8" t="n">
        <v>1.62</v>
      </c>
      <c r="D883" s="8" t="n">
        <v>0.15</v>
      </c>
      <c r="E883" s="8" t="n">
        <v>98.269997</v>
      </c>
      <c r="F883" s="8" t="n">
        <v>57.68</v>
      </c>
      <c r="G883" s="8" t="n">
        <v>12.34</v>
      </c>
      <c r="H883" s="8" t="n">
        <v>62.169998</v>
      </c>
      <c r="I883" s="8" t="n">
        <v>3110.290039</v>
      </c>
      <c r="J883" s="8" t="n">
        <v>93.30117799999999</v>
      </c>
      <c r="L883" s="9">
        <f>LN(B883/B882)</f>
        <v/>
      </c>
      <c r="M883" s="9">
        <f>$M$1*(C883-C882)</f>
        <v/>
      </c>
      <c r="N883" s="9">
        <f>$N$1*(D883-D882)</f>
        <v/>
      </c>
      <c r="O883" s="9">
        <f>$O$1*LN(E883/E882)</f>
        <v/>
      </c>
      <c r="P883" s="9">
        <f>$P$1*LN(F883/F882)</f>
        <v/>
      </c>
      <c r="Q883" s="9">
        <f>$Q$1*(G883-G882)</f>
        <v/>
      </c>
      <c r="R883" s="9">
        <f>$R$1*(H883-H882)</f>
        <v/>
      </c>
      <c r="S883" s="9">
        <f>$S$1*LN(I883/I882)</f>
        <v/>
      </c>
      <c r="T883" s="9">
        <f>$T$1*LN(J883/J882)</f>
        <v/>
      </c>
      <c r="U883" s="9">
        <f>$W$12+$W$4*M883+$W$5*N883+$W$6*O883+$W$7*P883+$W$8*Q883+$W$9*R883+$W$10*S883+$W$11*T883</f>
        <v/>
      </c>
      <c r="AA883" s="10">
        <f>INDEX(LINEST(L624:L883,M624:T883,TRUE,TRUE),1,9)*52</f>
        <v/>
      </c>
      <c r="AB883" s="9">
        <f>INDEX(LINEST(L624:L883,M624:T883,TRUE,TRUE),1,8)</f>
        <v/>
      </c>
      <c r="AC883" s="9">
        <f>INDEX(LINEST(L624:L883,M624:T883,TRUE,TRUE),1,7)</f>
        <v/>
      </c>
      <c r="AD883" s="9">
        <f>INDEX(LINEST(L624:L883,M624:T883,TRUE,TRUE),1,6)</f>
        <v/>
      </c>
      <c r="AE883" s="9">
        <f>INDEX(LINEST(L624:L883,M624:T883,TRUE,TRUE),1,5)</f>
        <v/>
      </c>
      <c r="AF883" s="9">
        <f>INDEX(LINEST(L624:L883,M624:T883,TRUE,TRUE),1,4)</f>
        <v/>
      </c>
      <c r="AG883" s="9">
        <f>INDEX(LINEST(L624:L883,M624:T883,TRUE,TRUE),1,3)</f>
        <v/>
      </c>
      <c r="AH883" s="9">
        <f>INDEX(LINEST(L624:L883,M624:T883,TRUE,TRUE),1,2)</f>
        <v/>
      </c>
      <c r="AI883" s="9">
        <f>INDEX(LINEST(L624:L883,M624:T883,TRUE,TRUE),1,1)</f>
        <v/>
      </c>
      <c r="AJ883" s="10">
        <f>INDEX(LINEST(L624:L883,M624:T883,TRUE,TRUE),3,1)</f>
        <v/>
      </c>
      <c r="AK883" s="9">
        <f>AA882/52+AB882*M883+AC882*N883+AD882*O883+AE882*P883+AF882*Q883+AG882*R883+AH882*S883+AI882*T883</f>
        <v/>
      </c>
      <c r="AL883" s="9">
        <f>AVERAGE(L623:L882)</f>
        <v/>
      </c>
    </row>
    <row r="884">
      <c r="A884" s="7" t="n">
        <v>43798</v>
      </c>
      <c r="B884" s="8" t="n">
        <v>1460.15</v>
      </c>
      <c r="C884" s="8" t="n">
        <v>1.61</v>
      </c>
      <c r="D884" s="8" t="n">
        <v>0.17</v>
      </c>
      <c r="E884" s="8" t="n">
        <v>98.269997</v>
      </c>
      <c r="F884" s="8" t="n">
        <v>58.12</v>
      </c>
      <c r="G884" s="8" t="n">
        <v>12.62</v>
      </c>
      <c r="H884" s="8" t="n">
        <v>56.57</v>
      </c>
      <c r="I884" s="8" t="n">
        <v>3140.97998</v>
      </c>
      <c r="J884" s="8" t="n">
        <v>93.29291499999999</v>
      </c>
      <c r="L884" s="9">
        <f>LN(B884/B883)</f>
        <v/>
      </c>
      <c r="M884" s="9">
        <f>$M$1*(C884-C883)</f>
        <v/>
      </c>
      <c r="N884" s="9">
        <f>$N$1*(D884-D883)</f>
        <v/>
      </c>
      <c r="O884" s="9">
        <f>$O$1*LN(E884/E883)</f>
        <v/>
      </c>
      <c r="P884" s="9">
        <f>$P$1*LN(F884/F883)</f>
        <v/>
      </c>
      <c r="Q884" s="9">
        <f>$Q$1*(G884-G883)</f>
        <v/>
      </c>
      <c r="R884" s="9">
        <f>$R$1*(H884-H883)</f>
        <v/>
      </c>
      <c r="S884" s="9">
        <f>$S$1*LN(I884/I883)</f>
        <v/>
      </c>
      <c r="T884" s="9">
        <f>$T$1*LN(J884/J883)</f>
        <v/>
      </c>
      <c r="U884" s="9">
        <f>$W$12+$W$4*M884+$W$5*N884+$W$6*O884+$W$7*P884+$W$8*Q884+$W$9*R884+$W$10*S884+$W$11*T884</f>
        <v/>
      </c>
      <c r="AA884" s="10">
        <f>INDEX(LINEST(L625:L884,M625:T884,TRUE,TRUE),1,9)*52</f>
        <v/>
      </c>
      <c r="AB884" s="9">
        <f>INDEX(LINEST(L625:L884,M625:T884,TRUE,TRUE),1,8)</f>
        <v/>
      </c>
      <c r="AC884" s="9">
        <f>INDEX(LINEST(L625:L884,M625:T884,TRUE,TRUE),1,7)</f>
        <v/>
      </c>
      <c r="AD884" s="9">
        <f>INDEX(LINEST(L625:L884,M625:T884,TRUE,TRUE),1,6)</f>
        <v/>
      </c>
      <c r="AE884" s="9">
        <f>INDEX(LINEST(L625:L884,M625:T884,TRUE,TRUE),1,5)</f>
        <v/>
      </c>
      <c r="AF884" s="9">
        <f>INDEX(LINEST(L625:L884,M625:T884,TRUE,TRUE),1,4)</f>
        <v/>
      </c>
      <c r="AG884" s="9">
        <f>INDEX(LINEST(L625:L884,M625:T884,TRUE,TRUE),1,3)</f>
        <v/>
      </c>
      <c r="AH884" s="9">
        <f>INDEX(LINEST(L625:L884,M625:T884,TRUE,TRUE),1,2)</f>
        <v/>
      </c>
      <c r="AI884" s="9">
        <f>INDEX(LINEST(L625:L884,M625:T884,TRUE,TRUE),1,1)</f>
        <v/>
      </c>
      <c r="AJ884" s="10">
        <f>INDEX(LINEST(L625:L884,M625:T884,TRUE,TRUE),3,1)</f>
        <v/>
      </c>
      <c r="AK884" s="9">
        <f>AA883/52+AB883*M884+AC883*N884+AD883*O884+AE883*P884+AF883*Q884+AG883*R884+AH883*S884+AI883*T884</f>
        <v/>
      </c>
      <c r="AL884" s="9">
        <f>AVERAGE(L624:L883)</f>
        <v/>
      </c>
    </row>
    <row r="885">
      <c r="A885" s="7" t="n">
        <v>43805</v>
      </c>
      <c r="B885" s="8" t="n">
        <v>1459.65</v>
      </c>
      <c r="C885" s="8" t="n">
        <v>1.69</v>
      </c>
      <c r="D885" s="8" t="n">
        <v>0.15</v>
      </c>
      <c r="E885" s="8" t="n">
        <v>97.699997</v>
      </c>
      <c r="F885" s="8" t="n">
        <v>59.2</v>
      </c>
      <c r="G885" s="8" t="n">
        <v>13.62</v>
      </c>
      <c r="H885" s="8" t="n">
        <v>64.06999999999999</v>
      </c>
      <c r="I885" s="8" t="n">
        <v>3145.909912</v>
      </c>
      <c r="J885" s="8" t="n">
        <v>93.215042</v>
      </c>
      <c r="L885" s="9">
        <f>LN(B885/B884)</f>
        <v/>
      </c>
      <c r="M885" s="9">
        <f>$M$1*(C885-C884)</f>
        <v/>
      </c>
      <c r="N885" s="9">
        <f>$N$1*(D885-D884)</f>
        <v/>
      </c>
      <c r="O885" s="9">
        <f>$O$1*LN(E885/E884)</f>
        <v/>
      </c>
      <c r="P885" s="9">
        <f>$P$1*LN(F885/F884)</f>
        <v/>
      </c>
      <c r="Q885" s="9">
        <f>$Q$1*(G885-G884)</f>
        <v/>
      </c>
      <c r="R885" s="9">
        <f>$R$1*(H885-H884)</f>
        <v/>
      </c>
      <c r="S885" s="9">
        <f>$S$1*LN(I885/I884)</f>
        <v/>
      </c>
      <c r="T885" s="9">
        <f>$T$1*LN(J885/J884)</f>
        <v/>
      </c>
      <c r="U885" s="9">
        <f>$W$12+$W$4*M885+$W$5*N885+$W$6*O885+$W$7*P885+$W$8*Q885+$W$9*R885+$W$10*S885+$W$11*T885</f>
        <v/>
      </c>
      <c r="AA885" s="10">
        <f>INDEX(LINEST(L626:L885,M626:T885,TRUE,TRUE),1,9)*52</f>
        <v/>
      </c>
      <c r="AB885" s="9">
        <f>INDEX(LINEST(L626:L885,M626:T885,TRUE,TRUE),1,8)</f>
        <v/>
      </c>
      <c r="AC885" s="9">
        <f>INDEX(LINEST(L626:L885,M626:T885,TRUE,TRUE),1,7)</f>
        <v/>
      </c>
      <c r="AD885" s="9">
        <f>INDEX(LINEST(L626:L885,M626:T885,TRUE,TRUE),1,6)</f>
        <v/>
      </c>
      <c r="AE885" s="9">
        <f>INDEX(LINEST(L626:L885,M626:T885,TRUE,TRUE),1,5)</f>
        <v/>
      </c>
      <c r="AF885" s="9">
        <f>INDEX(LINEST(L626:L885,M626:T885,TRUE,TRUE),1,4)</f>
        <v/>
      </c>
      <c r="AG885" s="9">
        <f>INDEX(LINEST(L626:L885,M626:T885,TRUE,TRUE),1,3)</f>
        <v/>
      </c>
      <c r="AH885" s="9">
        <f>INDEX(LINEST(L626:L885,M626:T885,TRUE,TRUE),1,2)</f>
        <v/>
      </c>
      <c r="AI885" s="9">
        <f>INDEX(LINEST(L626:L885,M626:T885,TRUE,TRUE),1,1)</f>
        <v/>
      </c>
      <c r="AJ885" s="10">
        <f>INDEX(LINEST(L626:L885,M626:T885,TRUE,TRUE),3,1)</f>
        <v/>
      </c>
      <c r="AK885" s="9">
        <f>AA884/52+AB884*M885+AC884*N885+AD884*O885+AE884*P885+AF884*Q885+AG884*R885+AH884*S885+AI884*T885</f>
        <v/>
      </c>
      <c r="AL885" s="9">
        <f>AVERAGE(L625:L884)</f>
        <v/>
      </c>
    </row>
    <row r="886">
      <c r="A886" s="7" t="n">
        <v>43812</v>
      </c>
      <c r="B886" s="8" t="n">
        <v>1466.6</v>
      </c>
      <c r="C886" s="8" t="n">
        <v>1.7</v>
      </c>
      <c r="D886" s="8" t="n">
        <v>0.12</v>
      </c>
      <c r="E886" s="8" t="n">
        <v>97.16999800000001</v>
      </c>
      <c r="F886" s="8" t="n">
        <v>60.11</v>
      </c>
      <c r="G886" s="8" t="n">
        <v>12.63</v>
      </c>
      <c r="H886" s="8" t="n">
        <v>56.439999</v>
      </c>
      <c r="I886" s="8" t="n">
        <v>3168.800049</v>
      </c>
      <c r="J886" s="8" t="n">
        <v>93.455292</v>
      </c>
      <c r="L886" s="9">
        <f>LN(B886/B885)</f>
        <v/>
      </c>
      <c r="M886" s="9">
        <f>$M$1*(C886-C885)</f>
        <v/>
      </c>
      <c r="N886" s="9">
        <f>$N$1*(D886-D885)</f>
        <v/>
      </c>
      <c r="O886" s="9">
        <f>$O$1*LN(E886/E885)</f>
        <v/>
      </c>
      <c r="P886" s="9">
        <f>$P$1*LN(F886/F885)</f>
        <v/>
      </c>
      <c r="Q886" s="9">
        <f>$Q$1*(G886-G885)</f>
        <v/>
      </c>
      <c r="R886" s="9">
        <f>$R$1*(H886-H885)</f>
        <v/>
      </c>
      <c r="S886" s="9">
        <f>$S$1*LN(I886/I885)</f>
        <v/>
      </c>
      <c r="T886" s="9">
        <f>$T$1*LN(J886/J885)</f>
        <v/>
      </c>
      <c r="U886" s="9">
        <f>$W$12+$W$4*M886+$W$5*N886+$W$6*O886+$W$7*P886+$W$8*Q886+$W$9*R886+$W$10*S886+$W$11*T886</f>
        <v/>
      </c>
      <c r="AA886" s="10">
        <f>INDEX(LINEST(L627:L886,M627:T886,TRUE,TRUE),1,9)*52</f>
        <v/>
      </c>
      <c r="AB886" s="9">
        <f>INDEX(LINEST(L627:L886,M627:T886,TRUE,TRUE),1,8)</f>
        <v/>
      </c>
      <c r="AC886" s="9">
        <f>INDEX(LINEST(L627:L886,M627:T886,TRUE,TRUE),1,7)</f>
        <v/>
      </c>
      <c r="AD886" s="9">
        <f>INDEX(LINEST(L627:L886,M627:T886,TRUE,TRUE),1,6)</f>
        <v/>
      </c>
      <c r="AE886" s="9">
        <f>INDEX(LINEST(L627:L886,M627:T886,TRUE,TRUE),1,5)</f>
        <v/>
      </c>
      <c r="AF886" s="9">
        <f>INDEX(LINEST(L627:L886,M627:T886,TRUE,TRUE),1,4)</f>
        <v/>
      </c>
      <c r="AG886" s="9">
        <f>INDEX(LINEST(L627:L886,M627:T886,TRUE,TRUE),1,3)</f>
        <v/>
      </c>
      <c r="AH886" s="9">
        <f>INDEX(LINEST(L627:L886,M627:T886,TRUE,TRUE),1,2)</f>
        <v/>
      </c>
      <c r="AI886" s="9">
        <f>INDEX(LINEST(L627:L886,M627:T886,TRUE,TRUE),1,1)</f>
        <v/>
      </c>
      <c r="AJ886" s="10">
        <f>INDEX(LINEST(L627:L886,M627:T886,TRUE,TRUE),3,1)</f>
        <v/>
      </c>
      <c r="AK886" s="9">
        <f>AA885/52+AB885*M886+AC885*N886+AD885*O886+AE885*P886+AF885*Q886+AG885*R886+AH885*S886+AI885*T886</f>
        <v/>
      </c>
      <c r="AL886" s="9">
        <f>AVERAGE(L626:L885)</f>
        <v/>
      </c>
    </row>
    <row r="887">
      <c r="A887" s="7" t="n">
        <v>43819</v>
      </c>
      <c r="B887" s="8" t="n">
        <v>1479</v>
      </c>
      <c r="C887" s="8" t="n">
        <v>1.77</v>
      </c>
      <c r="D887" s="8" t="n">
        <v>0.15</v>
      </c>
      <c r="E887" s="8" t="n">
        <v>97.709999</v>
      </c>
      <c r="F887" s="8" t="n">
        <v>60.43</v>
      </c>
      <c r="G887" s="8" t="n">
        <v>12.51</v>
      </c>
      <c r="H887" s="8" t="n">
        <v>54.189999</v>
      </c>
      <c r="I887" s="8" t="n">
        <v>3221.219971</v>
      </c>
      <c r="J887" s="8" t="n">
        <v>93.20777099999999</v>
      </c>
      <c r="L887" s="9">
        <f>LN(B887/B886)</f>
        <v/>
      </c>
      <c r="M887" s="9">
        <f>$M$1*(C887-C886)</f>
        <v/>
      </c>
      <c r="N887" s="9">
        <f>$N$1*(D887-D886)</f>
        <v/>
      </c>
      <c r="O887" s="9">
        <f>$O$1*LN(E887/E886)</f>
        <v/>
      </c>
      <c r="P887" s="9">
        <f>$P$1*LN(F887/F886)</f>
        <v/>
      </c>
      <c r="Q887" s="9">
        <f>$Q$1*(G887-G886)</f>
        <v/>
      </c>
      <c r="R887" s="9">
        <f>$R$1*(H887-H886)</f>
        <v/>
      </c>
      <c r="S887" s="9">
        <f>$S$1*LN(I887/I886)</f>
        <v/>
      </c>
      <c r="T887" s="9">
        <f>$T$1*LN(J887/J886)</f>
        <v/>
      </c>
      <c r="U887" s="9">
        <f>$W$12+$W$4*M887+$W$5*N887+$W$6*O887+$W$7*P887+$W$8*Q887+$W$9*R887+$W$10*S887+$W$11*T887</f>
        <v/>
      </c>
      <c r="AA887" s="10">
        <f>INDEX(LINEST(L628:L887,M628:T887,TRUE,TRUE),1,9)*52</f>
        <v/>
      </c>
      <c r="AB887" s="9">
        <f>INDEX(LINEST(L628:L887,M628:T887,TRUE,TRUE),1,8)</f>
        <v/>
      </c>
      <c r="AC887" s="9">
        <f>INDEX(LINEST(L628:L887,M628:T887,TRUE,TRUE),1,7)</f>
        <v/>
      </c>
      <c r="AD887" s="9">
        <f>INDEX(LINEST(L628:L887,M628:T887,TRUE,TRUE),1,6)</f>
        <v/>
      </c>
      <c r="AE887" s="9">
        <f>INDEX(LINEST(L628:L887,M628:T887,TRUE,TRUE),1,5)</f>
        <v/>
      </c>
      <c r="AF887" s="9">
        <f>INDEX(LINEST(L628:L887,M628:T887,TRUE,TRUE),1,4)</f>
        <v/>
      </c>
      <c r="AG887" s="9">
        <f>INDEX(LINEST(L628:L887,M628:T887,TRUE,TRUE),1,3)</f>
        <v/>
      </c>
      <c r="AH887" s="9">
        <f>INDEX(LINEST(L628:L887,M628:T887,TRUE,TRUE),1,2)</f>
        <v/>
      </c>
      <c r="AI887" s="9">
        <f>INDEX(LINEST(L628:L887,M628:T887,TRUE,TRUE),1,1)</f>
        <v/>
      </c>
      <c r="AJ887" s="10">
        <f>INDEX(LINEST(L628:L887,M628:T887,TRUE,TRUE),3,1)</f>
        <v/>
      </c>
      <c r="AK887" s="9">
        <f>AA886/52+AB886*M887+AC886*N887+AD886*O887+AE886*P887+AF886*Q887+AG886*R887+AH886*S887+AI886*T887</f>
        <v/>
      </c>
      <c r="AL887" s="9">
        <f>AVERAGE(L627:L886)</f>
        <v/>
      </c>
    </row>
    <row r="888">
      <c r="A888" s="7" t="n">
        <v>43826</v>
      </c>
      <c r="B888" s="8" t="n">
        <v>1511.5</v>
      </c>
      <c r="C888" s="8" t="n">
        <v>1.73</v>
      </c>
      <c r="D888" s="8" t="n">
        <v>0.15</v>
      </c>
      <c r="E888" s="8" t="n">
        <v>96.91999800000001</v>
      </c>
      <c r="F888" s="8" t="n">
        <v>61.76</v>
      </c>
      <c r="G888" s="8" t="n">
        <v>13.43</v>
      </c>
      <c r="H888" s="8" t="n">
        <v>55.299999</v>
      </c>
      <c r="I888" s="8" t="n">
        <v>3240.02002</v>
      </c>
      <c r="J888" s="8" t="n">
        <v>93.465012</v>
      </c>
      <c r="L888" s="9">
        <f>LN(B888/B887)</f>
        <v/>
      </c>
      <c r="M888" s="9">
        <f>$M$1*(C888-C887)</f>
        <v/>
      </c>
      <c r="N888" s="9">
        <f>$N$1*(D888-D887)</f>
        <v/>
      </c>
      <c r="O888" s="9">
        <f>$O$1*LN(E888/E887)</f>
        <v/>
      </c>
      <c r="P888" s="9">
        <f>$P$1*LN(F888/F887)</f>
        <v/>
      </c>
      <c r="Q888" s="9">
        <f>$Q$1*(G888-G887)</f>
        <v/>
      </c>
      <c r="R888" s="9">
        <f>$R$1*(H888-H887)</f>
        <v/>
      </c>
      <c r="S888" s="9">
        <f>$S$1*LN(I888/I887)</f>
        <v/>
      </c>
      <c r="T888" s="9">
        <f>$T$1*LN(J888/J887)</f>
        <v/>
      </c>
      <c r="U888" s="9">
        <f>$W$12+$W$4*M888+$W$5*N888+$W$6*O888+$W$7*P888+$W$8*Q888+$W$9*R888+$W$10*S888+$W$11*T888</f>
        <v/>
      </c>
      <c r="AA888" s="10">
        <f>INDEX(LINEST(L629:L888,M629:T888,TRUE,TRUE),1,9)*52</f>
        <v/>
      </c>
      <c r="AB888" s="9">
        <f>INDEX(LINEST(L629:L888,M629:T888,TRUE,TRUE),1,8)</f>
        <v/>
      </c>
      <c r="AC888" s="9">
        <f>INDEX(LINEST(L629:L888,M629:T888,TRUE,TRUE),1,7)</f>
        <v/>
      </c>
      <c r="AD888" s="9">
        <f>INDEX(LINEST(L629:L888,M629:T888,TRUE,TRUE),1,6)</f>
        <v/>
      </c>
      <c r="AE888" s="9">
        <f>INDEX(LINEST(L629:L888,M629:T888,TRUE,TRUE),1,5)</f>
        <v/>
      </c>
      <c r="AF888" s="9">
        <f>INDEX(LINEST(L629:L888,M629:T888,TRUE,TRUE),1,4)</f>
        <v/>
      </c>
      <c r="AG888" s="9">
        <f>INDEX(LINEST(L629:L888,M629:T888,TRUE,TRUE),1,3)</f>
        <v/>
      </c>
      <c r="AH888" s="9">
        <f>INDEX(LINEST(L629:L888,M629:T888,TRUE,TRUE),1,2)</f>
        <v/>
      </c>
      <c r="AI888" s="9">
        <f>INDEX(LINEST(L629:L888,M629:T888,TRUE,TRUE),1,1)</f>
        <v/>
      </c>
      <c r="AJ888" s="10">
        <f>INDEX(LINEST(L629:L888,M629:T888,TRUE,TRUE),3,1)</f>
        <v/>
      </c>
      <c r="AK888" s="9">
        <f>AA887/52+AB887*M888+AC887*N888+AD887*O888+AE887*P888+AF887*Q888+AG887*R888+AH887*S888+AI887*T888</f>
        <v/>
      </c>
      <c r="AL888" s="9">
        <f>AVERAGE(L628:L887)</f>
        <v/>
      </c>
    </row>
    <row r="889">
      <c r="A889" s="7" t="n">
        <v>43833</v>
      </c>
      <c r="B889" s="8" t="n">
        <v>1548.75</v>
      </c>
      <c r="C889" s="8" t="n">
        <v>1.77</v>
      </c>
      <c r="D889" s="8" t="n">
        <v>0.03</v>
      </c>
      <c r="E889" s="8" t="n">
        <v>96.839996</v>
      </c>
      <c r="F889" s="8" t="n">
        <v>63</v>
      </c>
      <c r="G889" s="8" t="n">
        <v>14.02</v>
      </c>
      <c r="H889" s="8" t="n">
        <v>60.119999</v>
      </c>
      <c r="I889" s="8" t="n">
        <v>3234.850098</v>
      </c>
      <c r="J889" s="8" t="n">
        <v>93.78042600000001</v>
      </c>
      <c r="L889" s="9">
        <f>LN(B889/B888)</f>
        <v/>
      </c>
      <c r="M889" s="9">
        <f>$M$1*(C889-C888)</f>
        <v/>
      </c>
      <c r="N889" s="9">
        <f>$N$1*(D889-D888)</f>
        <v/>
      </c>
      <c r="O889" s="9">
        <f>$O$1*LN(E889/E888)</f>
        <v/>
      </c>
      <c r="P889" s="9">
        <f>$P$1*LN(F889/F888)</f>
        <v/>
      </c>
      <c r="Q889" s="9">
        <f>$Q$1*(G889-G888)</f>
        <v/>
      </c>
      <c r="R889" s="9">
        <f>$R$1*(H889-H888)</f>
        <v/>
      </c>
      <c r="S889" s="9">
        <f>$S$1*LN(I889/I888)</f>
        <v/>
      </c>
      <c r="T889" s="9">
        <f>$T$1*LN(J889/J888)</f>
        <v/>
      </c>
      <c r="U889" s="9">
        <f>$W$12+$W$4*M889+$W$5*N889+$W$6*O889+$W$7*P889+$W$8*Q889+$W$9*R889+$W$10*S889+$W$11*T889</f>
        <v/>
      </c>
      <c r="AA889" s="10">
        <f>INDEX(LINEST(L630:L889,M630:T889,TRUE,TRUE),1,9)*52</f>
        <v/>
      </c>
      <c r="AB889" s="9">
        <f>INDEX(LINEST(L630:L889,M630:T889,TRUE,TRUE),1,8)</f>
        <v/>
      </c>
      <c r="AC889" s="9">
        <f>INDEX(LINEST(L630:L889,M630:T889,TRUE,TRUE),1,7)</f>
        <v/>
      </c>
      <c r="AD889" s="9">
        <f>INDEX(LINEST(L630:L889,M630:T889,TRUE,TRUE),1,6)</f>
        <v/>
      </c>
      <c r="AE889" s="9">
        <f>INDEX(LINEST(L630:L889,M630:T889,TRUE,TRUE),1,5)</f>
        <v/>
      </c>
      <c r="AF889" s="9">
        <f>INDEX(LINEST(L630:L889,M630:T889,TRUE,TRUE),1,4)</f>
        <v/>
      </c>
      <c r="AG889" s="9">
        <f>INDEX(LINEST(L630:L889,M630:T889,TRUE,TRUE),1,3)</f>
        <v/>
      </c>
      <c r="AH889" s="9">
        <f>INDEX(LINEST(L630:L889,M630:T889,TRUE,TRUE),1,2)</f>
        <v/>
      </c>
      <c r="AI889" s="9">
        <f>INDEX(LINEST(L630:L889,M630:T889,TRUE,TRUE),1,1)</f>
        <v/>
      </c>
      <c r="AJ889" s="10">
        <f>INDEX(LINEST(L630:L889,M630:T889,TRUE,TRUE),3,1)</f>
        <v/>
      </c>
      <c r="AK889" s="9">
        <f>AA888/52+AB888*M889+AC888*N889+AD888*O889+AE888*P889+AF888*Q889+AG888*R889+AH888*S889+AI888*T889</f>
        <v/>
      </c>
      <c r="AL889" s="9">
        <f>AVERAGE(L629:L888)</f>
        <v/>
      </c>
    </row>
    <row r="890">
      <c r="A890" s="7" t="n">
        <v>43840</v>
      </c>
      <c r="B890" s="8" t="n">
        <v>1553.6</v>
      </c>
      <c r="C890" s="8" t="n">
        <v>1.76</v>
      </c>
      <c r="D890" s="8" t="n">
        <v>0.07000000000000001</v>
      </c>
      <c r="E890" s="8" t="n">
        <v>97.360001</v>
      </c>
      <c r="F890" s="8" t="n">
        <v>59.02</v>
      </c>
      <c r="G890" s="8" t="n">
        <v>12.56</v>
      </c>
      <c r="H890" s="8" t="n">
        <v>53.32</v>
      </c>
      <c r="I890" s="8" t="n">
        <v>3265.350098</v>
      </c>
      <c r="J890" s="8" t="n">
        <v>93.755501</v>
      </c>
      <c r="L890" s="9">
        <f>LN(B890/B889)</f>
        <v/>
      </c>
      <c r="M890" s="9">
        <f>$M$1*(C890-C889)</f>
        <v/>
      </c>
      <c r="N890" s="9">
        <f>$N$1*(D890-D889)</f>
        <v/>
      </c>
      <c r="O890" s="9">
        <f>$O$1*LN(E890/E889)</f>
        <v/>
      </c>
      <c r="P890" s="9">
        <f>$P$1*LN(F890/F889)</f>
        <v/>
      </c>
      <c r="Q890" s="9">
        <f>$Q$1*(G890-G889)</f>
        <v/>
      </c>
      <c r="R890" s="9">
        <f>$R$1*(H890-H889)</f>
        <v/>
      </c>
      <c r="S890" s="9">
        <f>$S$1*LN(I890/I889)</f>
        <v/>
      </c>
      <c r="T890" s="9">
        <f>$T$1*LN(J890/J889)</f>
        <v/>
      </c>
      <c r="U890" s="9">
        <f>$W$12+$W$4*M890+$W$5*N890+$W$6*O890+$W$7*P890+$W$8*Q890+$W$9*R890+$W$10*S890+$W$11*T890</f>
        <v/>
      </c>
      <c r="AA890" s="10">
        <f>INDEX(LINEST(L631:L890,M631:T890,TRUE,TRUE),1,9)*52</f>
        <v/>
      </c>
      <c r="AB890" s="9">
        <f>INDEX(LINEST(L631:L890,M631:T890,TRUE,TRUE),1,8)</f>
        <v/>
      </c>
      <c r="AC890" s="9">
        <f>INDEX(LINEST(L631:L890,M631:T890,TRUE,TRUE),1,7)</f>
        <v/>
      </c>
      <c r="AD890" s="9">
        <f>INDEX(LINEST(L631:L890,M631:T890,TRUE,TRUE),1,6)</f>
        <v/>
      </c>
      <c r="AE890" s="9">
        <f>INDEX(LINEST(L631:L890,M631:T890,TRUE,TRUE),1,5)</f>
        <v/>
      </c>
      <c r="AF890" s="9">
        <f>INDEX(LINEST(L631:L890,M631:T890,TRUE,TRUE),1,4)</f>
        <v/>
      </c>
      <c r="AG890" s="9">
        <f>INDEX(LINEST(L631:L890,M631:T890,TRUE,TRUE),1,3)</f>
        <v/>
      </c>
      <c r="AH890" s="9">
        <f>INDEX(LINEST(L631:L890,M631:T890,TRUE,TRUE),1,2)</f>
        <v/>
      </c>
      <c r="AI890" s="9">
        <f>INDEX(LINEST(L631:L890,M631:T890,TRUE,TRUE),1,1)</f>
        <v/>
      </c>
      <c r="AJ890" s="10">
        <f>INDEX(LINEST(L631:L890,M631:T890,TRUE,TRUE),3,1)</f>
        <v/>
      </c>
      <c r="AK890" s="9">
        <f>AA889/52+AB889*M890+AC889*N890+AD889*O890+AE889*P890+AF889*Q890+AG889*R890+AH889*S890+AI889*T890</f>
        <v/>
      </c>
      <c r="AL890" s="9">
        <f>AVERAGE(L630:L889)</f>
        <v/>
      </c>
    </row>
    <row r="891">
      <c r="A891" s="7" t="n">
        <v>43847</v>
      </c>
      <c r="B891" s="8" t="n">
        <v>1557.6</v>
      </c>
      <c r="C891" s="8" t="n">
        <v>1.75</v>
      </c>
      <c r="D891" s="8" t="n">
        <v>0.09</v>
      </c>
      <c r="E891" s="8" t="n">
        <v>97.610001</v>
      </c>
      <c r="F891" s="8" t="n">
        <v>58.55</v>
      </c>
      <c r="G891" s="8" t="n">
        <v>12.1</v>
      </c>
      <c r="H891" s="8" t="n">
        <v>49.669998</v>
      </c>
      <c r="I891" s="8" t="n">
        <v>3329.620117</v>
      </c>
      <c r="J891" s="8" t="n">
        <v>93.813576</v>
      </c>
      <c r="L891" s="9">
        <f>LN(B891/B890)</f>
        <v/>
      </c>
      <c r="M891" s="9">
        <f>$M$1*(C891-C890)</f>
        <v/>
      </c>
      <c r="N891" s="9">
        <f>$N$1*(D891-D890)</f>
        <v/>
      </c>
      <c r="O891" s="9">
        <f>$O$1*LN(E891/E890)</f>
        <v/>
      </c>
      <c r="P891" s="9">
        <f>$P$1*LN(F891/F890)</f>
        <v/>
      </c>
      <c r="Q891" s="9">
        <f>$Q$1*(G891-G890)</f>
        <v/>
      </c>
      <c r="R891" s="9">
        <f>$R$1*(H891-H890)</f>
        <v/>
      </c>
      <c r="S891" s="9">
        <f>$S$1*LN(I891/I890)</f>
        <v/>
      </c>
      <c r="T891" s="9">
        <f>$T$1*LN(J891/J890)</f>
        <v/>
      </c>
      <c r="U891" s="9">
        <f>$W$12+$W$4*M891+$W$5*N891+$W$6*O891+$W$7*P891+$W$8*Q891+$W$9*R891+$W$10*S891+$W$11*T891</f>
        <v/>
      </c>
      <c r="AA891" s="10">
        <f>INDEX(LINEST(L632:L891,M632:T891,TRUE,TRUE),1,9)*52</f>
        <v/>
      </c>
      <c r="AB891" s="9">
        <f>INDEX(LINEST(L632:L891,M632:T891,TRUE,TRUE),1,8)</f>
        <v/>
      </c>
      <c r="AC891" s="9">
        <f>INDEX(LINEST(L632:L891,M632:T891,TRUE,TRUE),1,7)</f>
        <v/>
      </c>
      <c r="AD891" s="9">
        <f>INDEX(LINEST(L632:L891,M632:T891,TRUE,TRUE),1,6)</f>
        <v/>
      </c>
      <c r="AE891" s="9">
        <f>INDEX(LINEST(L632:L891,M632:T891,TRUE,TRUE),1,5)</f>
        <v/>
      </c>
      <c r="AF891" s="9">
        <f>INDEX(LINEST(L632:L891,M632:T891,TRUE,TRUE),1,4)</f>
        <v/>
      </c>
      <c r="AG891" s="9">
        <f>INDEX(LINEST(L632:L891,M632:T891,TRUE,TRUE),1,3)</f>
        <v/>
      </c>
      <c r="AH891" s="9">
        <f>INDEX(LINEST(L632:L891,M632:T891,TRUE,TRUE),1,2)</f>
        <v/>
      </c>
      <c r="AI891" s="9">
        <f>INDEX(LINEST(L632:L891,M632:T891,TRUE,TRUE),1,1)</f>
        <v/>
      </c>
      <c r="AJ891" s="10">
        <f>INDEX(LINEST(L632:L891,M632:T891,TRUE,TRUE),3,1)</f>
        <v/>
      </c>
      <c r="AK891" s="9">
        <f>AA890/52+AB890*M891+AC890*N891+AD890*O891+AE890*P891+AF890*Q891+AG890*R891+AH890*S891+AI890*T891</f>
        <v/>
      </c>
      <c r="AL891" s="9">
        <f>AVERAGE(L631:L890)</f>
        <v/>
      </c>
    </row>
    <row r="892">
      <c r="A892" s="7" t="n">
        <v>43854</v>
      </c>
      <c r="B892" s="8" t="n">
        <v>1564.3</v>
      </c>
      <c r="C892" s="8" t="n">
        <v>1.68</v>
      </c>
      <c r="D892" s="8" t="n">
        <v>0.02</v>
      </c>
      <c r="E892" s="8" t="n">
        <v>97.849998</v>
      </c>
      <c r="F892" s="8" t="n">
        <v>54.09</v>
      </c>
      <c r="G892" s="8" t="n">
        <v>14.56</v>
      </c>
      <c r="H892" s="8" t="n">
        <v>59.939999</v>
      </c>
      <c r="I892" s="8" t="n">
        <v>3295.469971</v>
      </c>
      <c r="J892" s="8" t="n">
        <v>94.427643</v>
      </c>
      <c r="L892" s="9">
        <f>LN(B892/B891)</f>
        <v/>
      </c>
      <c r="M892" s="9">
        <f>$M$1*(C892-C891)</f>
        <v/>
      </c>
      <c r="N892" s="9">
        <f>$N$1*(D892-D891)</f>
        <v/>
      </c>
      <c r="O892" s="9">
        <f>$O$1*LN(E892/E891)</f>
        <v/>
      </c>
      <c r="P892" s="9">
        <f>$P$1*LN(F892/F891)</f>
        <v/>
      </c>
      <c r="Q892" s="9">
        <f>$Q$1*(G892-G891)</f>
        <v/>
      </c>
      <c r="R892" s="9">
        <f>$R$1*(H892-H891)</f>
        <v/>
      </c>
      <c r="S892" s="9">
        <f>$S$1*LN(I892/I891)</f>
        <v/>
      </c>
      <c r="T892" s="9">
        <f>$T$1*LN(J892/J891)</f>
        <v/>
      </c>
      <c r="U892" s="9">
        <f>$W$12+$W$4*M892+$W$5*N892+$W$6*O892+$W$7*P892+$W$8*Q892+$W$9*R892+$W$10*S892+$W$11*T892</f>
        <v/>
      </c>
      <c r="AA892" s="10">
        <f>INDEX(LINEST(L633:L892,M633:T892,TRUE,TRUE),1,9)*52</f>
        <v/>
      </c>
      <c r="AB892" s="9">
        <f>INDEX(LINEST(L633:L892,M633:T892,TRUE,TRUE),1,8)</f>
        <v/>
      </c>
      <c r="AC892" s="9">
        <f>INDEX(LINEST(L633:L892,M633:T892,TRUE,TRUE),1,7)</f>
        <v/>
      </c>
      <c r="AD892" s="9">
        <f>INDEX(LINEST(L633:L892,M633:T892,TRUE,TRUE),1,6)</f>
        <v/>
      </c>
      <c r="AE892" s="9">
        <f>INDEX(LINEST(L633:L892,M633:T892,TRUE,TRUE),1,5)</f>
        <v/>
      </c>
      <c r="AF892" s="9">
        <f>INDEX(LINEST(L633:L892,M633:T892,TRUE,TRUE),1,4)</f>
        <v/>
      </c>
      <c r="AG892" s="9">
        <f>INDEX(LINEST(L633:L892,M633:T892,TRUE,TRUE),1,3)</f>
        <v/>
      </c>
      <c r="AH892" s="9">
        <f>INDEX(LINEST(L633:L892,M633:T892,TRUE,TRUE),1,2)</f>
        <v/>
      </c>
      <c r="AI892" s="9">
        <f>INDEX(LINEST(L633:L892,M633:T892,TRUE,TRUE),1,1)</f>
        <v/>
      </c>
      <c r="AJ892" s="10">
        <f>INDEX(LINEST(L633:L892,M633:T892,TRUE,TRUE),3,1)</f>
        <v/>
      </c>
      <c r="AK892" s="9">
        <f>AA891/52+AB891*M892+AC891*N892+AD891*O892+AE891*P892+AF891*Q892+AG891*R892+AH891*S892+AI891*T892</f>
        <v/>
      </c>
      <c r="AL892" s="9">
        <f>AVERAGE(L632:L891)</f>
        <v/>
      </c>
    </row>
    <row r="893">
      <c r="A893" s="7" t="n">
        <v>43861</v>
      </c>
      <c r="B893" s="8" t="n">
        <v>1584.2</v>
      </c>
      <c r="C893" s="8" t="n">
        <v>1.65</v>
      </c>
      <c r="D893" s="8" t="n">
        <v>-0.14</v>
      </c>
      <c r="E893" s="8" t="n">
        <v>97.389999</v>
      </c>
      <c r="F893" s="8" t="n">
        <v>51.58</v>
      </c>
      <c r="G893" s="8" t="n">
        <v>18.84</v>
      </c>
      <c r="H893" s="8" t="n">
        <v>72.980003</v>
      </c>
      <c r="I893" s="8" t="n">
        <v>3225.52002</v>
      </c>
      <c r="J893" s="8" t="n">
        <v>95.141327</v>
      </c>
      <c r="L893" s="9">
        <f>LN(B893/B892)</f>
        <v/>
      </c>
      <c r="M893" s="9">
        <f>$M$1*(C893-C892)</f>
        <v/>
      </c>
      <c r="N893" s="9">
        <f>$N$1*(D893-D892)</f>
        <v/>
      </c>
      <c r="O893" s="9">
        <f>$O$1*LN(E893/E892)</f>
        <v/>
      </c>
      <c r="P893" s="9">
        <f>$P$1*LN(F893/F892)</f>
        <v/>
      </c>
      <c r="Q893" s="9">
        <f>$Q$1*(G893-G892)</f>
        <v/>
      </c>
      <c r="R893" s="9">
        <f>$R$1*(H893-H892)</f>
        <v/>
      </c>
      <c r="S893" s="9">
        <f>$S$1*LN(I893/I892)</f>
        <v/>
      </c>
      <c r="T893" s="9">
        <f>$T$1*LN(J893/J892)</f>
        <v/>
      </c>
      <c r="U893" s="9">
        <f>$W$12+$W$4*M893+$W$5*N893+$W$6*O893+$W$7*P893+$W$8*Q893+$W$9*R893+$W$10*S893+$W$11*T893</f>
        <v/>
      </c>
      <c r="AA893" s="10">
        <f>INDEX(LINEST(L634:L893,M634:T893,TRUE,TRUE),1,9)*52</f>
        <v/>
      </c>
      <c r="AB893" s="9">
        <f>INDEX(LINEST(L634:L893,M634:T893,TRUE,TRUE),1,8)</f>
        <v/>
      </c>
      <c r="AC893" s="9">
        <f>INDEX(LINEST(L634:L893,M634:T893,TRUE,TRUE),1,7)</f>
        <v/>
      </c>
      <c r="AD893" s="9">
        <f>INDEX(LINEST(L634:L893,M634:T893,TRUE,TRUE),1,6)</f>
        <v/>
      </c>
      <c r="AE893" s="9">
        <f>INDEX(LINEST(L634:L893,M634:T893,TRUE,TRUE),1,5)</f>
        <v/>
      </c>
      <c r="AF893" s="9">
        <f>INDEX(LINEST(L634:L893,M634:T893,TRUE,TRUE),1,4)</f>
        <v/>
      </c>
      <c r="AG893" s="9">
        <f>INDEX(LINEST(L634:L893,M634:T893,TRUE,TRUE),1,3)</f>
        <v/>
      </c>
      <c r="AH893" s="9">
        <f>INDEX(LINEST(L634:L893,M634:T893,TRUE,TRUE),1,2)</f>
        <v/>
      </c>
      <c r="AI893" s="9">
        <f>INDEX(LINEST(L634:L893,M634:T893,TRUE,TRUE),1,1)</f>
        <v/>
      </c>
      <c r="AJ893" s="10">
        <f>INDEX(LINEST(L634:L893,M634:T893,TRUE,TRUE),3,1)</f>
        <v/>
      </c>
      <c r="AK893" s="9">
        <f>AA892/52+AB892*M893+AC892*N893+AD892*O893+AE892*P893+AF892*Q893+AG892*R893+AH892*S893+AI892*T893</f>
        <v/>
      </c>
      <c r="AL893" s="9">
        <f>AVERAGE(L633:L892)</f>
        <v/>
      </c>
    </row>
    <row r="894">
      <c r="A894" s="7" t="n">
        <v>43868</v>
      </c>
      <c r="B894" s="8" t="n">
        <v>1572.65</v>
      </c>
      <c r="C894" s="8" t="n">
        <v>1.66</v>
      </c>
      <c r="D894" s="8" t="n">
        <v>-0.07000000000000001</v>
      </c>
      <c r="E894" s="8" t="n">
        <v>98.68000000000001</v>
      </c>
      <c r="F894" s="8" t="n">
        <v>50.34</v>
      </c>
      <c r="G894" s="8" t="n">
        <v>15.47</v>
      </c>
      <c r="H894" s="8" t="n">
        <v>65.589996</v>
      </c>
      <c r="I894" s="8" t="n">
        <v>3327.709961</v>
      </c>
      <c r="J894" s="8" t="n">
        <v>94.985817</v>
      </c>
      <c r="L894" s="9">
        <f>LN(B894/B893)</f>
        <v/>
      </c>
      <c r="M894" s="9">
        <f>$M$1*(C894-C893)</f>
        <v/>
      </c>
      <c r="N894" s="9">
        <f>$N$1*(D894-D893)</f>
        <v/>
      </c>
      <c r="O894" s="9">
        <f>$O$1*LN(E894/E893)</f>
        <v/>
      </c>
      <c r="P894" s="9">
        <f>$P$1*LN(F894/F893)</f>
        <v/>
      </c>
      <c r="Q894" s="9">
        <f>$Q$1*(G894-G893)</f>
        <v/>
      </c>
      <c r="R894" s="9">
        <f>$R$1*(H894-H893)</f>
        <v/>
      </c>
      <c r="S894" s="9">
        <f>$S$1*LN(I894/I893)</f>
        <v/>
      </c>
      <c r="T894" s="9">
        <f>$T$1*LN(J894/J893)</f>
        <v/>
      </c>
      <c r="U894" s="9">
        <f>$W$12+$W$4*M894+$W$5*N894+$W$6*O894+$W$7*P894+$W$8*Q894+$W$9*R894+$W$10*S894+$W$11*T894</f>
        <v/>
      </c>
      <c r="AA894" s="10">
        <f>INDEX(LINEST(L635:L894,M635:T894,TRUE,TRUE),1,9)*52</f>
        <v/>
      </c>
      <c r="AB894" s="9">
        <f>INDEX(LINEST(L635:L894,M635:T894,TRUE,TRUE),1,8)</f>
        <v/>
      </c>
      <c r="AC894" s="9">
        <f>INDEX(LINEST(L635:L894,M635:T894,TRUE,TRUE),1,7)</f>
        <v/>
      </c>
      <c r="AD894" s="9">
        <f>INDEX(LINEST(L635:L894,M635:T894,TRUE,TRUE),1,6)</f>
        <v/>
      </c>
      <c r="AE894" s="9">
        <f>INDEX(LINEST(L635:L894,M635:T894,TRUE,TRUE),1,5)</f>
        <v/>
      </c>
      <c r="AF894" s="9">
        <f>INDEX(LINEST(L635:L894,M635:T894,TRUE,TRUE),1,4)</f>
        <v/>
      </c>
      <c r="AG894" s="9">
        <f>INDEX(LINEST(L635:L894,M635:T894,TRUE,TRUE),1,3)</f>
        <v/>
      </c>
      <c r="AH894" s="9">
        <f>INDEX(LINEST(L635:L894,M635:T894,TRUE,TRUE),1,2)</f>
        <v/>
      </c>
      <c r="AI894" s="9">
        <f>INDEX(LINEST(L635:L894,M635:T894,TRUE,TRUE),1,1)</f>
        <v/>
      </c>
      <c r="AJ894" s="10">
        <f>INDEX(LINEST(L635:L894,M635:T894,TRUE,TRUE),3,1)</f>
        <v/>
      </c>
      <c r="AK894" s="9">
        <f>AA893/52+AB893*M894+AC893*N894+AD893*O894+AE893*P894+AF893*Q894+AG893*R894+AH893*S894+AI893*T894</f>
        <v/>
      </c>
      <c r="AL894" s="9">
        <f>AVERAGE(L634:L893)</f>
        <v/>
      </c>
    </row>
    <row r="895">
      <c r="A895" s="7" t="n">
        <v>43875</v>
      </c>
      <c r="B895" s="8" t="n">
        <v>1581.4</v>
      </c>
      <c r="C895" s="8" t="n">
        <v>1.66</v>
      </c>
      <c r="D895" s="8" t="n">
        <v>-0.07000000000000001</v>
      </c>
      <c r="E895" s="8" t="n">
        <v>99.120003</v>
      </c>
      <c r="F895" s="8" t="n">
        <v>52.03</v>
      </c>
      <c r="G895" s="8" t="n">
        <v>13.68</v>
      </c>
      <c r="H895" s="8" t="n">
        <v>62.380001</v>
      </c>
      <c r="I895" s="8" t="n">
        <v>3380.159912</v>
      </c>
      <c r="J895" s="8" t="n">
        <v>95.04406</v>
      </c>
      <c r="L895" s="9">
        <f>LN(B895/B894)</f>
        <v/>
      </c>
      <c r="M895" s="9">
        <f>$M$1*(C895-C894)</f>
        <v/>
      </c>
      <c r="N895" s="9">
        <f>$N$1*(D895-D894)</f>
        <v/>
      </c>
      <c r="O895" s="9">
        <f>$O$1*LN(E895/E894)</f>
        <v/>
      </c>
      <c r="P895" s="9">
        <f>$P$1*LN(F895/F894)</f>
        <v/>
      </c>
      <c r="Q895" s="9">
        <f>$Q$1*(G895-G894)</f>
        <v/>
      </c>
      <c r="R895" s="9">
        <f>$R$1*(H895-H894)</f>
        <v/>
      </c>
      <c r="S895" s="9">
        <f>$S$1*LN(I895/I894)</f>
        <v/>
      </c>
      <c r="T895" s="9">
        <f>$T$1*LN(J895/J894)</f>
        <v/>
      </c>
      <c r="U895" s="9">
        <f>$W$12+$W$4*M895+$W$5*N895+$W$6*O895+$W$7*P895+$W$8*Q895+$W$9*R895+$W$10*S895+$W$11*T895</f>
        <v/>
      </c>
      <c r="AA895" s="10">
        <f>INDEX(LINEST(L636:L895,M636:T895,TRUE,TRUE),1,9)*52</f>
        <v/>
      </c>
      <c r="AB895" s="9">
        <f>INDEX(LINEST(L636:L895,M636:T895,TRUE,TRUE),1,8)</f>
        <v/>
      </c>
      <c r="AC895" s="9">
        <f>INDEX(LINEST(L636:L895,M636:T895,TRUE,TRUE),1,7)</f>
        <v/>
      </c>
      <c r="AD895" s="9">
        <f>INDEX(LINEST(L636:L895,M636:T895,TRUE,TRUE),1,6)</f>
        <v/>
      </c>
      <c r="AE895" s="9">
        <f>INDEX(LINEST(L636:L895,M636:T895,TRUE,TRUE),1,5)</f>
        <v/>
      </c>
      <c r="AF895" s="9">
        <f>INDEX(LINEST(L636:L895,M636:T895,TRUE,TRUE),1,4)</f>
        <v/>
      </c>
      <c r="AG895" s="9">
        <f>INDEX(LINEST(L636:L895,M636:T895,TRUE,TRUE),1,3)</f>
        <v/>
      </c>
      <c r="AH895" s="9">
        <f>INDEX(LINEST(L636:L895,M636:T895,TRUE,TRUE),1,2)</f>
        <v/>
      </c>
      <c r="AI895" s="9">
        <f>INDEX(LINEST(L636:L895,M636:T895,TRUE,TRUE),1,1)</f>
        <v/>
      </c>
      <c r="AJ895" s="10">
        <f>INDEX(LINEST(L636:L895,M636:T895,TRUE,TRUE),3,1)</f>
        <v/>
      </c>
      <c r="AK895" s="9">
        <f>AA894/52+AB894*M895+AC894*N895+AD894*O895+AE894*P895+AF894*Q895+AG894*R895+AH894*S895+AI894*T895</f>
        <v/>
      </c>
      <c r="AL895" s="9">
        <f>AVERAGE(L635:L894)</f>
        <v/>
      </c>
    </row>
    <row r="896">
      <c r="A896" s="7" t="n">
        <v>43882</v>
      </c>
      <c r="B896" s="8" t="n">
        <v>1643.3</v>
      </c>
      <c r="C896" s="8" t="n">
        <v>1.61</v>
      </c>
      <c r="D896" s="8" t="n">
        <v>-0.15</v>
      </c>
      <c r="E896" s="8" t="n">
        <v>99.260002</v>
      </c>
      <c r="F896" s="8" t="n">
        <v>53.36</v>
      </c>
      <c r="G896" s="8" t="n">
        <v>17.08</v>
      </c>
      <c r="H896" s="8" t="n">
        <v>74.540001</v>
      </c>
      <c r="I896" s="8" t="n">
        <v>3337.75</v>
      </c>
      <c r="J896" s="8" t="n">
        <v>95.5513</v>
      </c>
      <c r="L896" s="9">
        <f>LN(B896/B895)</f>
        <v/>
      </c>
      <c r="M896" s="9">
        <f>$M$1*(C896-C895)</f>
        <v/>
      </c>
      <c r="N896" s="9">
        <f>$N$1*(D896-D895)</f>
        <v/>
      </c>
      <c r="O896" s="9">
        <f>$O$1*LN(E896/E895)</f>
        <v/>
      </c>
      <c r="P896" s="9">
        <f>$P$1*LN(F896/F895)</f>
        <v/>
      </c>
      <c r="Q896" s="9">
        <f>$Q$1*(G896-G895)</f>
        <v/>
      </c>
      <c r="R896" s="9">
        <f>$R$1*(H896-H895)</f>
        <v/>
      </c>
      <c r="S896" s="9">
        <f>$S$1*LN(I896/I895)</f>
        <v/>
      </c>
      <c r="T896" s="9">
        <f>$T$1*LN(J896/J895)</f>
        <v/>
      </c>
      <c r="U896" s="9">
        <f>$W$12+$W$4*M896+$W$5*N896+$W$6*O896+$W$7*P896+$W$8*Q896+$W$9*R896+$W$10*S896+$W$11*T896</f>
        <v/>
      </c>
      <c r="AA896" s="10">
        <f>INDEX(LINEST(L637:L896,M637:T896,TRUE,TRUE),1,9)*52</f>
        <v/>
      </c>
      <c r="AB896" s="9">
        <f>INDEX(LINEST(L637:L896,M637:T896,TRUE,TRUE),1,8)</f>
        <v/>
      </c>
      <c r="AC896" s="9">
        <f>INDEX(LINEST(L637:L896,M637:T896,TRUE,TRUE),1,7)</f>
        <v/>
      </c>
      <c r="AD896" s="9">
        <f>INDEX(LINEST(L637:L896,M637:T896,TRUE,TRUE),1,6)</f>
        <v/>
      </c>
      <c r="AE896" s="9">
        <f>INDEX(LINEST(L637:L896,M637:T896,TRUE,TRUE),1,5)</f>
        <v/>
      </c>
      <c r="AF896" s="9">
        <f>INDEX(LINEST(L637:L896,M637:T896,TRUE,TRUE),1,4)</f>
        <v/>
      </c>
      <c r="AG896" s="9">
        <f>INDEX(LINEST(L637:L896,M637:T896,TRUE,TRUE),1,3)</f>
        <v/>
      </c>
      <c r="AH896" s="9">
        <f>INDEX(LINEST(L637:L896,M637:T896,TRUE,TRUE),1,2)</f>
        <v/>
      </c>
      <c r="AI896" s="9">
        <f>INDEX(LINEST(L637:L896,M637:T896,TRUE,TRUE),1,1)</f>
        <v/>
      </c>
      <c r="AJ896" s="10">
        <f>INDEX(LINEST(L637:L896,M637:T896,TRUE,TRUE),3,1)</f>
        <v/>
      </c>
      <c r="AK896" s="9">
        <f>AA895/52+AB895*M896+AC895*N896+AD895*O896+AE895*P896+AF895*Q896+AG895*R896+AH895*S896+AI895*T896</f>
        <v/>
      </c>
      <c r="AL896" s="9">
        <f>AVERAGE(L636:L895)</f>
        <v/>
      </c>
    </row>
    <row r="897">
      <c r="A897" s="7" t="n">
        <v>43889</v>
      </c>
      <c r="B897" s="8" t="n">
        <v>1609.85</v>
      </c>
      <c r="C897" s="8" t="n">
        <v>1.41</v>
      </c>
      <c r="D897" s="8" t="n">
        <v>-0.28</v>
      </c>
      <c r="E897" s="8" t="n">
        <v>98.129997</v>
      </c>
      <c r="F897" s="8" t="n">
        <v>44.83</v>
      </c>
      <c r="G897" s="8" t="n">
        <v>40.11</v>
      </c>
      <c r="H897" s="8" t="n">
        <v>109.669998</v>
      </c>
      <c r="I897" s="8" t="n">
        <v>2954.219971</v>
      </c>
      <c r="J897" s="8" t="n">
        <v>96.649017</v>
      </c>
      <c r="L897" s="9">
        <f>LN(B897/B896)</f>
        <v/>
      </c>
      <c r="M897" s="9">
        <f>$M$1*(C897-C896)</f>
        <v/>
      </c>
      <c r="N897" s="9">
        <f>$N$1*(D897-D896)</f>
        <v/>
      </c>
      <c r="O897" s="9">
        <f>$O$1*LN(E897/E896)</f>
        <v/>
      </c>
      <c r="P897" s="9">
        <f>$P$1*LN(F897/F896)</f>
        <v/>
      </c>
      <c r="Q897" s="9">
        <f>$Q$1*(G897-G896)</f>
        <v/>
      </c>
      <c r="R897" s="9">
        <f>$R$1*(H897-H896)</f>
        <v/>
      </c>
      <c r="S897" s="9">
        <f>$S$1*LN(I897/I896)</f>
        <v/>
      </c>
      <c r="T897" s="9">
        <f>$T$1*LN(J897/J896)</f>
        <v/>
      </c>
      <c r="U897" s="9">
        <f>$W$12+$W$4*M897+$W$5*N897+$W$6*O897+$W$7*P897+$W$8*Q897+$W$9*R897+$W$10*S897+$W$11*T897</f>
        <v/>
      </c>
      <c r="AA897" s="10">
        <f>INDEX(LINEST(L638:L897,M638:T897,TRUE,TRUE),1,9)*52</f>
        <v/>
      </c>
      <c r="AB897" s="9">
        <f>INDEX(LINEST(L638:L897,M638:T897,TRUE,TRUE),1,8)</f>
        <v/>
      </c>
      <c r="AC897" s="9">
        <f>INDEX(LINEST(L638:L897,M638:T897,TRUE,TRUE),1,7)</f>
        <v/>
      </c>
      <c r="AD897" s="9">
        <f>INDEX(LINEST(L638:L897,M638:T897,TRUE,TRUE),1,6)</f>
        <v/>
      </c>
      <c r="AE897" s="9">
        <f>INDEX(LINEST(L638:L897,M638:T897,TRUE,TRUE),1,5)</f>
        <v/>
      </c>
      <c r="AF897" s="9">
        <f>INDEX(LINEST(L638:L897,M638:T897,TRUE,TRUE),1,4)</f>
        <v/>
      </c>
      <c r="AG897" s="9">
        <f>INDEX(LINEST(L638:L897,M638:T897,TRUE,TRUE),1,3)</f>
        <v/>
      </c>
      <c r="AH897" s="9">
        <f>INDEX(LINEST(L638:L897,M638:T897,TRUE,TRUE),1,2)</f>
        <v/>
      </c>
      <c r="AI897" s="9">
        <f>INDEX(LINEST(L638:L897,M638:T897,TRUE,TRUE),1,1)</f>
        <v/>
      </c>
      <c r="AJ897" s="10">
        <f>INDEX(LINEST(L638:L897,M638:T897,TRUE,TRUE),3,1)</f>
        <v/>
      </c>
      <c r="AK897" s="9">
        <f>AA896/52+AB896*M897+AC896*N897+AD896*O897+AE896*P897+AF896*Q897+AG896*R897+AH896*S897+AI896*T897</f>
        <v/>
      </c>
      <c r="AL897" s="9">
        <f>AVERAGE(L637:L896)</f>
        <v/>
      </c>
    </row>
    <row r="898">
      <c r="A898" s="7" t="n">
        <v>43896</v>
      </c>
      <c r="B898" s="8" t="n">
        <v>1683.65</v>
      </c>
      <c r="C898" s="8" t="n">
        <v>1.31</v>
      </c>
      <c r="D898" s="8" t="n">
        <v>-0.57</v>
      </c>
      <c r="E898" s="8" t="n">
        <v>95.949997</v>
      </c>
      <c r="F898" s="8" t="n">
        <v>41.14</v>
      </c>
      <c r="G898" s="8" t="n">
        <v>41.94</v>
      </c>
      <c r="H898" s="8" t="n">
        <v>125.209999</v>
      </c>
      <c r="I898" s="8" t="n">
        <v>2972.370117</v>
      </c>
      <c r="J898" s="8" t="n">
        <v>98.214806</v>
      </c>
      <c r="L898" s="9">
        <f>LN(B898/B897)</f>
        <v/>
      </c>
      <c r="M898" s="9">
        <f>$M$1*(C898-C897)</f>
        <v/>
      </c>
      <c r="N898" s="9">
        <f>$N$1*(D898-D897)</f>
        <v/>
      </c>
      <c r="O898" s="9">
        <f>$O$1*LN(E898/E897)</f>
        <v/>
      </c>
      <c r="P898" s="9">
        <f>$P$1*LN(F898/F897)</f>
        <v/>
      </c>
      <c r="Q898" s="9">
        <f>$Q$1*(G898-G897)</f>
        <v/>
      </c>
      <c r="R898" s="9">
        <f>$R$1*(H898-H897)</f>
        <v/>
      </c>
      <c r="S898" s="9">
        <f>$S$1*LN(I898/I897)</f>
        <v/>
      </c>
      <c r="T898" s="9">
        <f>$T$1*LN(J898/J897)</f>
        <v/>
      </c>
      <c r="U898" s="9">
        <f>$W$12+$W$4*M898+$W$5*N898+$W$6*O898+$W$7*P898+$W$8*Q898+$W$9*R898+$W$10*S898+$W$11*T898</f>
        <v/>
      </c>
      <c r="AA898" s="10">
        <f>INDEX(LINEST(L639:L898,M639:T898,TRUE,TRUE),1,9)*52</f>
        <v/>
      </c>
      <c r="AB898" s="9">
        <f>INDEX(LINEST(L639:L898,M639:T898,TRUE,TRUE),1,8)</f>
        <v/>
      </c>
      <c r="AC898" s="9">
        <f>INDEX(LINEST(L639:L898,M639:T898,TRUE,TRUE),1,7)</f>
        <v/>
      </c>
      <c r="AD898" s="9">
        <f>INDEX(LINEST(L639:L898,M639:T898,TRUE,TRUE),1,6)</f>
        <v/>
      </c>
      <c r="AE898" s="9">
        <f>INDEX(LINEST(L639:L898,M639:T898,TRUE,TRUE),1,5)</f>
        <v/>
      </c>
      <c r="AF898" s="9">
        <f>INDEX(LINEST(L639:L898,M639:T898,TRUE,TRUE),1,4)</f>
        <v/>
      </c>
      <c r="AG898" s="9">
        <f>INDEX(LINEST(L639:L898,M639:T898,TRUE,TRUE),1,3)</f>
        <v/>
      </c>
      <c r="AH898" s="9">
        <f>INDEX(LINEST(L639:L898,M639:T898,TRUE,TRUE),1,2)</f>
        <v/>
      </c>
      <c r="AI898" s="9">
        <f>INDEX(LINEST(L639:L898,M639:T898,TRUE,TRUE),1,1)</f>
        <v/>
      </c>
      <c r="AJ898" s="10">
        <f>INDEX(LINEST(L639:L898,M639:T898,TRUE,TRUE),3,1)</f>
        <v/>
      </c>
      <c r="AK898" s="9">
        <f>AA897/52+AB897*M898+AC897*N898+AD897*O898+AE897*P898+AF897*Q898+AG897*R898+AH897*S898+AI897*T898</f>
        <v/>
      </c>
      <c r="AL898" s="9">
        <f>AVERAGE(L638:L897)</f>
        <v/>
      </c>
    </row>
    <row r="899">
      <c r="A899" s="7" t="n">
        <v>43903</v>
      </c>
      <c r="B899" s="8" t="n">
        <v>1562.8</v>
      </c>
      <c r="C899" s="8" t="n">
        <v>0.9</v>
      </c>
      <c r="D899" s="8" t="n">
        <v>0.04</v>
      </c>
      <c r="E899" s="8" t="n">
        <v>98.75</v>
      </c>
      <c r="F899" s="8" t="n">
        <v>31.72</v>
      </c>
      <c r="G899" s="8" t="n">
        <v>57.83</v>
      </c>
      <c r="H899" s="8" t="n">
        <v>138.399994</v>
      </c>
      <c r="I899" s="8" t="n">
        <v>2711.02002</v>
      </c>
      <c r="J899" s="8" t="n">
        <v>93.21487399999999</v>
      </c>
      <c r="L899" s="9">
        <f>LN(B899/B898)</f>
        <v/>
      </c>
      <c r="M899" s="9">
        <f>$M$1*(C899-C898)</f>
        <v/>
      </c>
      <c r="N899" s="9">
        <f>$N$1*(D899-D898)</f>
        <v/>
      </c>
      <c r="O899" s="9">
        <f>$O$1*LN(E899/E898)</f>
        <v/>
      </c>
      <c r="P899" s="9">
        <f>$P$1*LN(F899/F898)</f>
        <v/>
      </c>
      <c r="Q899" s="9">
        <f>$Q$1*(G899-G898)</f>
        <v/>
      </c>
      <c r="R899" s="9">
        <f>$R$1*(H899-H898)</f>
        <v/>
      </c>
      <c r="S899" s="9">
        <f>$S$1*LN(I899/I898)</f>
        <v/>
      </c>
      <c r="T899" s="9">
        <f>$T$1*LN(J899/J898)</f>
        <v/>
      </c>
      <c r="U899" s="9">
        <f>$W$12+$W$4*M899+$W$5*N899+$W$6*O899+$W$7*P899+$W$8*Q899+$W$9*R899+$W$10*S899+$W$11*T899</f>
        <v/>
      </c>
      <c r="AA899" s="10">
        <f>INDEX(LINEST(L640:L899,M640:T899,TRUE,TRUE),1,9)*52</f>
        <v/>
      </c>
      <c r="AB899" s="9">
        <f>INDEX(LINEST(L640:L899,M640:T899,TRUE,TRUE),1,8)</f>
        <v/>
      </c>
      <c r="AC899" s="9">
        <f>INDEX(LINEST(L640:L899,M640:T899,TRUE,TRUE),1,7)</f>
        <v/>
      </c>
      <c r="AD899" s="9">
        <f>INDEX(LINEST(L640:L899,M640:T899,TRUE,TRUE),1,6)</f>
        <v/>
      </c>
      <c r="AE899" s="9">
        <f>INDEX(LINEST(L640:L899,M640:T899,TRUE,TRUE),1,5)</f>
        <v/>
      </c>
      <c r="AF899" s="9">
        <f>INDEX(LINEST(L640:L899,M640:T899,TRUE,TRUE),1,4)</f>
        <v/>
      </c>
      <c r="AG899" s="9">
        <f>INDEX(LINEST(L640:L899,M640:T899,TRUE,TRUE),1,3)</f>
        <v/>
      </c>
      <c r="AH899" s="9">
        <f>INDEX(LINEST(L640:L899,M640:T899,TRUE,TRUE),1,2)</f>
        <v/>
      </c>
      <c r="AI899" s="9">
        <f>INDEX(LINEST(L640:L899,M640:T899,TRUE,TRUE),1,1)</f>
        <v/>
      </c>
      <c r="AJ899" s="10">
        <f>INDEX(LINEST(L640:L899,M640:T899,TRUE,TRUE),3,1)</f>
        <v/>
      </c>
      <c r="AK899" s="9">
        <f>AA898/52+AB898*M899+AC898*N899+AD898*O899+AE898*P899+AF898*Q899+AG898*R899+AH898*S899+AI898*T899</f>
        <v/>
      </c>
      <c r="AL899" s="9">
        <f>AVERAGE(L639:L898)</f>
        <v/>
      </c>
    </row>
    <row r="900">
      <c r="A900" s="7" t="n">
        <v>43910</v>
      </c>
      <c r="B900" s="8" t="n">
        <v>1494.4</v>
      </c>
      <c r="C900" s="8" t="n">
        <v>0.75</v>
      </c>
      <c r="D900" s="8" t="n">
        <v>0.17</v>
      </c>
      <c r="E900" s="8" t="n">
        <v>102.82</v>
      </c>
      <c r="F900" s="8" t="n">
        <v>19.48</v>
      </c>
      <c r="G900" s="8" t="n">
        <v>66.04000000000001</v>
      </c>
      <c r="H900" s="8" t="n">
        <v>133.369995</v>
      </c>
      <c r="I900" s="8" t="n">
        <v>2304.919922</v>
      </c>
      <c r="J900" s="8" t="n">
        <v>91.68993399999999</v>
      </c>
      <c r="L900" s="9">
        <f>LN(B900/B899)</f>
        <v/>
      </c>
      <c r="M900" s="9">
        <f>$M$1*(C900-C899)</f>
        <v/>
      </c>
      <c r="N900" s="9">
        <f>$N$1*(D900-D899)</f>
        <v/>
      </c>
      <c r="O900" s="9">
        <f>$O$1*LN(E900/E899)</f>
        <v/>
      </c>
      <c r="P900" s="9">
        <f>$P$1*LN(F900/F899)</f>
        <v/>
      </c>
      <c r="Q900" s="9">
        <f>$Q$1*(G900-G899)</f>
        <v/>
      </c>
      <c r="R900" s="9">
        <f>$R$1*(H900-H899)</f>
        <v/>
      </c>
      <c r="S900" s="9">
        <f>$S$1*LN(I900/I899)</f>
        <v/>
      </c>
      <c r="T900" s="9">
        <f>$T$1*LN(J900/J899)</f>
        <v/>
      </c>
      <c r="U900" s="9">
        <f>$W$12+$W$4*M900+$W$5*N900+$W$6*O900+$W$7*P900+$W$8*Q900+$W$9*R900+$W$10*S900+$W$11*T900</f>
        <v/>
      </c>
      <c r="AA900" s="10">
        <f>INDEX(LINEST(L641:L900,M641:T900,TRUE,TRUE),1,9)*52</f>
        <v/>
      </c>
      <c r="AB900" s="9">
        <f>INDEX(LINEST(L641:L900,M641:T900,TRUE,TRUE),1,8)</f>
        <v/>
      </c>
      <c r="AC900" s="9">
        <f>INDEX(LINEST(L641:L900,M641:T900,TRUE,TRUE),1,7)</f>
        <v/>
      </c>
      <c r="AD900" s="9">
        <f>INDEX(LINEST(L641:L900,M641:T900,TRUE,TRUE),1,6)</f>
        <v/>
      </c>
      <c r="AE900" s="9">
        <f>INDEX(LINEST(L641:L900,M641:T900,TRUE,TRUE),1,5)</f>
        <v/>
      </c>
      <c r="AF900" s="9">
        <f>INDEX(LINEST(L641:L900,M641:T900,TRUE,TRUE),1,4)</f>
        <v/>
      </c>
      <c r="AG900" s="9">
        <f>INDEX(LINEST(L641:L900,M641:T900,TRUE,TRUE),1,3)</f>
        <v/>
      </c>
      <c r="AH900" s="9">
        <f>INDEX(LINEST(L641:L900,M641:T900,TRUE,TRUE),1,2)</f>
        <v/>
      </c>
      <c r="AI900" s="9">
        <f>INDEX(LINEST(L641:L900,M641:T900,TRUE,TRUE),1,1)</f>
        <v/>
      </c>
      <c r="AJ900" s="10">
        <f>INDEX(LINEST(L641:L900,M641:T900,TRUE,TRUE),3,1)</f>
        <v/>
      </c>
      <c r="AK900" s="9">
        <f>AA899/52+AB899*M900+AC899*N900+AD899*O900+AE899*P900+AF899*Q900+AG899*R900+AH899*S900+AI899*T900</f>
        <v/>
      </c>
      <c r="AL900" s="9">
        <f>AVERAGE(L640:L899)</f>
        <v/>
      </c>
    </row>
    <row r="901">
      <c r="A901" s="7" t="n">
        <v>43917</v>
      </c>
      <c r="B901" s="8" t="n">
        <v>1617.3</v>
      </c>
      <c r="C901" s="8" t="n">
        <v>0.9399999999999999</v>
      </c>
      <c r="D901" s="8" t="n">
        <v>-0.22</v>
      </c>
      <c r="E901" s="8" t="n">
        <v>98.370003</v>
      </c>
      <c r="F901" s="8" t="n">
        <v>15.48</v>
      </c>
      <c r="G901" s="8" t="n">
        <v>65.54000000000001</v>
      </c>
      <c r="H901" s="8" t="n">
        <v>88.33000199999999</v>
      </c>
      <c r="I901" s="8" t="n">
        <v>2541.469971</v>
      </c>
      <c r="J901" s="8" t="n">
        <v>96.306496</v>
      </c>
      <c r="L901" s="9">
        <f>LN(B901/B900)</f>
        <v/>
      </c>
      <c r="M901" s="9">
        <f>$M$1*(C901-C900)</f>
        <v/>
      </c>
      <c r="N901" s="9">
        <f>$N$1*(D901-D900)</f>
        <v/>
      </c>
      <c r="O901" s="9">
        <f>$O$1*LN(E901/E900)</f>
        <v/>
      </c>
      <c r="P901" s="9">
        <f>$P$1*LN(F901/F900)</f>
        <v/>
      </c>
      <c r="Q901" s="9">
        <f>$Q$1*(G901-G900)</f>
        <v/>
      </c>
      <c r="R901" s="9">
        <f>$R$1*(H901-H900)</f>
        <v/>
      </c>
      <c r="S901" s="9">
        <f>$S$1*LN(I901/I900)</f>
        <v/>
      </c>
      <c r="T901" s="9">
        <f>$T$1*LN(J901/J900)</f>
        <v/>
      </c>
      <c r="U901" s="9">
        <f>$W$12+$W$4*M901+$W$5*N901+$W$6*O901+$W$7*P901+$W$8*Q901+$W$9*R901+$W$10*S901+$W$11*T901</f>
        <v/>
      </c>
      <c r="AA901" s="10">
        <f>INDEX(LINEST(L642:L901,M642:T901,TRUE,TRUE),1,9)*52</f>
        <v/>
      </c>
      <c r="AB901" s="9">
        <f>INDEX(LINEST(L642:L901,M642:T901,TRUE,TRUE),1,8)</f>
        <v/>
      </c>
      <c r="AC901" s="9">
        <f>INDEX(LINEST(L642:L901,M642:T901,TRUE,TRUE),1,7)</f>
        <v/>
      </c>
      <c r="AD901" s="9">
        <f>INDEX(LINEST(L642:L901,M642:T901,TRUE,TRUE),1,6)</f>
        <v/>
      </c>
      <c r="AE901" s="9">
        <f>INDEX(LINEST(L642:L901,M642:T901,TRUE,TRUE),1,5)</f>
        <v/>
      </c>
      <c r="AF901" s="9">
        <f>INDEX(LINEST(L642:L901,M642:T901,TRUE,TRUE),1,4)</f>
        <v/>
      </c>
      <c r="AG901" s="9">
        <f>INDEX(LINEST(L642:L901,M642:T901,TRUE,TRUE),1,3)</f>
        <v/>
      </c>
      <c r="AH901" s="9">
        <f>INDEX(LINEST(L642:L901,M642:T901,TRUE,TRUE),1,2)</f>
        <v/>
      </c>
      <c r="AI901" s="9">
        <f>INDEX(LINEST(L642:L901,M642:T901,TRUE,TRUE),1,1)</f>
        <v/>
      </c>
      <c r="AJ901" s="10">
        <f>INDEX(LINEST(L642:L901,M642:T901,TRUE,TRUE),3,1)</f>
        <v/>
      </c>
      <c r="AK901" s="9">
        <f>AA900/52+AB900*M901+AC900*N901+AD900*O901+AE900*P901+AF900*Q901+AG900*R901+AH900*S901+AI900*T901</f>
        <v/>
      </c>
      <c r="AL901" s="9">
        <f>AVERAGE(L641:L900)</f>
        <v/>
      </c>
    </row>
    <row r="902">
      <c r="A902" s="7" t="n">
        <v>43924</v>
      </c>
      <c r="B902" s="8" t="n">
        <v>1613.1</v>
      </c>
      <c r="C902" s="8" t="n">
        <v>1.08</v>
      </c>
      <c r="D902" s="8" t="n">
        <v>-0.46</v>
      </c>
      <c r="E902" s="8" t="n">
        <v>100.580002</v>
      </c>
      <c r="F902" s="8" t="n">
        <v>28.36</v>
      </c>
      <c r="G902" s="8" t="n">
        <v>46.8</v>
      </c>
      <c r="H902" s="8" t="n">
        <v>65.010002</v>
      </c>
      <c r="I902" s="8" t="n">
        <v>2488.649902</v>
      </c>
      <c r="J902" s="8" t="n">
        <v>96.022102</v>
      </c>
      <c r="L902" s="9">
        <f>LN(B902/B901)</f>
        <v/>
      </c>
      <c r="M902" s="9">
        <f>$M$1*(C902-C901)</f>
        <v/>
      </c>
      <c r="N902" s="9">
        <f>$N$1*(D902-D901)</f>
        <v/>
      </c>
      <c r="O902" s="9">
        <f>$O$1*LN(E902/E901)</f>
        <v/>
      </c>
      <c r="P902" s="9">
        <f>$P$1*LN(F902/F901)</f>
        <v/>
      </c>
      <c r="Q902" s="9">
        <f>$Q$1*(G902-G901)</f>
        <v/>
      </c>
      <c r="R902" s="9">
        <f>$R$1*(H902-H901)</f>
        <v/>
      </c>
      <c r="S902" s="9">
        <f>$S$1*LN(I902/I901)</f>
        <v/>
      </c>
      <c r="T902" s="9">
        <f>$T$1*LN(J902/J901)</f>
        <v/>
      </c>
      <c r="U902" s="9">
        <f>$W$12+$W$4*M902+$W$5*N902+$W$6*O902+$W$7*P902+$W$8*Q902+$W$9*R902+$W$10*S902+$W$11*T902</f>
        <v/>
      </c>
      <c r="AA902" s="10">
        <f>INDEX(LINEST(L643:L902,M643:T902,TRUE,TRUE),1,9)*52</f>
        <v/>
      </c>
      <c r="AB902" s="9">
        <f>INDEX(LINEST(L643:L902,M643:T902,TRUE,TRUE),1,8)</f>
        <v/>
      </c>
      <c r="AC902" s="9">
        <f>INDEX(LINEST(L643:L902,M643:T902,TRUE,TRUE),1,7)</f>
        <v/>
      </c>
      <c r="AD902" s="9">
        <f>INDEX(LINEST(L643:L902,M643:T902,TRUE,TRUE),1,6)</f>
        <v/>
      </c>
      <c r="AE902" s="9">
        <f>INDEX(LINEST(L643:L902,M643:T902,TRUE,TRUE),1,5)</f>
        <v/>
      </c>
      <c r="AF902" s="9">
        <f>INDEX(LINEST(L643:L902,M643:T902,TRUE,TRUE),1,4)</f>
        <v/>
      </c>
      <c r="AG902" s="9">
        <f>INDEX(LINEST(L643:L902,M643:T902,TRUE,TRUE),1,3)</f>
        <v/>
      </c>
      <c r="AH902" s="9">
        <f>INDEX(LINEST(L643:L902,M643:T902,TRUE,TRUE),1,2)</f>
        <v/>
      </c>
      <c r="AI902" s="9">
        <f>INDEX(LINEST(L643:L902,M643:T902,TRUE,TRUE),1,1)</f>
        <v/>
      </c>
      <c r="AJ902" s="10">
        <f>INDEX(LINEST(L643:L902,M643:T902,TRUE,TRUE),3,1)</f>
        <v/>
      </c>
      <c r="AK902" s="9">
        <f>AA901/52+AB901*M902+AC901*N902+AD901*O902+AE901*P902+AF901*Q902+AG901*R902+AH901*S902+AI901*T902</f>
        <v/>
      </c>
      <c r="AL902" s="9">
        <f>AVERAGE(L642:L901)</f>
        <v/>
      </c>
    </row>
    <row r="903">
      <c r="A903" s="7" t="n">
        <v>43931</v>
      </c>
      <c r="B903" s="8" t="n">
        <v>1680.65</v>
      </c>
      <c r="C903" s="8" t="n">
        <v>1.23</v>
      </c>
      <c r="D903" s="8" t="n">
        <v>-0.5</v>
      </c>
      <c r="E903" s="8" t="n">
        <v>99.519997</v>
      </c>
      <c r="F903" s="8" t="n">
        <v>22.9</v>
      </c>
      <c r="G903" s="8" t="n">
        <v>41.67</v>
      </c>
      <c r="H903" s="8" t="n">
        <v>74.389999</v>
      </c>
      <c r="I903" s="8" t="n">
        <v>2789.820068</v>
      </c>
      <c r="J903" s="8" t="n">
        <v>97.91785400000001</v>
      </c>
      <c r="L903" s="9">
        <f>LN(B903/B902)</f>
        <v/>
      </c>
      <c r="M903" s="9">
        <f>$M$1*(C903-C902)</f>
        <v/>
      </c>
      <c r="N903" s="9">
        <f>$N$1*(D903-D902)</f>
        <v/>
      </c>
      <c r="O903" s="9">
        <f>$O$1*LN(E903/E902)</f>
        <v/>
      </c>
      <c r="P903" s="9">
        <f>$P$1*LN(F903/F902)</f>
        <v/>
      </c>
      <c r="Q903" s="9">
        <f>$Q$1*(G903-G902)</f>
        <v/>
      </c>
      <c r="R903" s="9">
        <f>$R$1*(H903-H902)</f>
        <v/>
      </c>
      <c r="S903" s="9">
        <f>$S$1*LN(I903/I902)</f>
        <v/>
      </c>
      <c r="T903" s="9">
        <f>$T$1*LN(J903/J902)</f>
        <v/>
      </c>
      <c r="U903" s="9">
        <f>$W$12+$W$4*M903+$W$5*N903+$W$6*O903+$W$7*P903+$W$8*Q903+$W$9*R903+$W$10*S903+$W$11*T903</f>
        <v/>
      </c>
      <c r="AA903" s="10">
        <f>INDEX(LINEST(L644:L903,M644:T903,TRUE,TRUE),1,9)*52</f>
        <v/>
      </c>
      <c r="AB903" s="9">
        <f>INDEX(LINEST(L644:L903,M644:T903,TRUE,TRUE),1,8)</f>
        <v/>
      </c>
      <c r="AC903" s="9">
        <f>INDEX(LINEST(L644:L903,M644:T903,TRUE,TRUE),1,7)</f>
        <v/>
      </c>
      <c r="AD903" s="9">
        <f>INDEX(LINEST(L644:L903,M644:T903,TRUE,TRUE),1,6)</f>
        <v/>
      </c>
      <c r="AE903" s="9">
        <f>INDEX(LINEST(L644:L903,M644:T903,TRUE,TRUE),1,5)</f>
        <v/>
      </c>
      <c r="AF903" s="9">
        <f>INDEX(LINEST(L644:L903,M644:T903,TRUE,TRUE),1,4)</f>
        <v/>
      </c>
      <c r="AG903" s="9">
        <f>INDEX(LINEST(L644:L903,M644:T903,TRUE,TRUE),1,3)</f>
        <v/>
      </c>
      <c r="AH903" s="9">
        <f>INDEX(LINEST(L644:L903,M644:T903,TRUE,TRUE),1,2)</f>
        <v/>
      </c>
      <c r="AI903" s="9">
        <f>INDEX(LINEST(L644:L903,M644:T903,TRUE,TRUE),1,1)</f>
        <v/>
      </c>
      <c r="AJ903" s="10">
        <f>INDEX(LINEST(L644:L903,M644:T903,TRUE,TRUE),3,1)</f>
        <v/>
      </c>
      <c r="AK903" s="9">
        <f>AA902/52+AB902*M903+AC902*N903+AD902*O903+AE902*P903+AF902*Q903+AG902*R903+AH902*S903+AI902*T903</f>
        <v/>
      </c>
      <c r="AL903" s="9">
        <f>AVERAGE(L643:L902)</f>
        <v/>
      </c>
    </row>
    <row r="904">
      <c r="A904" s="7" t="n">
        <v>43938</v>
      </c>
      <c r="B904" s="8" t="n">
        <v>1692.55</v>
      </c>
      <c r="C904" s="8" t="n">
        <v>1.01</v>
      </c>
      <c r="D904" s="8" t="n">
        <v>-0.36</v>
      </c>
      <c r="E904" s="8" t="n">
        <v>99.779999</v>
      </c>
      <c r="F904" s="8" t="n">
        <v>18.31</v>
      </c>
      <c r="G904" s="8" t="n">
        <v>38.15</v>
      </c>
      <c r="H904" s="8" t="n">
        <v>69.839996</v>
      </c>
      <c r="I904" s="8" t="n">
        <v>2874.560059</v>
      </c>
      <c r="J904" s="8" t="n">
        <v>97.91785400000001</v>
      </c>
      <c r="L904" s="9">
        <f>LN(B904/B903)</f>
        <v/>
      </c>
      <c r="M904" s="9">
        <f>$M$1*(C904-C903)</f>
        <v/>
      </c>
      <c r="N904" s="9">
        <f>$N$1*(D904-D903)</f>
        <v/>
      </c>
      <c r="O904" s="9">
        <f>$O$1*LN(E904/E903)</f>
        <v/>
      </c>
      <c r="P904" s="9">
        <f>$P$1*LN(F904/F903)</f>
        <v/>
      </c>
      <c r="Q904" s="9">
        <f>$Q$1*(G904-G903)</f>
        <v/>
      </c>
      <c r="R904" s="9">
        <f>$R$1*(H904-H903)</f>
        <v/>
      </c>
      <c r="S904" s="9">
        <f>$S$1*LN(I904/I903)</f>
        <v/>
      </c>
      <c r="T904" s="9">
        <f>$T$1*LN(J904/J903)</f>
        <v/>
      </c>
      <c r="U904" s="9">
        <f>$W$12+$W$4*M904+$W$5*N904+$W$6*O904+$W$7*P904+$W$8*Q904+$W$9*R904+$W$10*S904+$W$11*T904</f>
        <v/>
      </c>
      <c r="AA904" s="10">
        <f>INDEX(LINEST(L645:L904,M645:T904,TRUE,TRUE),1,9)*52</f>
        <v/>
      </c>
      <c r="AB904" s="9">
        <f>INDEX(LINEST(L645:L904,M645:T904,TRUE,TRUE),1,8)</f>
        <v/>
      </c>
      <c r="AC904" s="9">
        <f>INDEX(LINEST(L645:L904,M645:T904,TRUE,TRUE),1,7)</f>
        <v/>
      </c>
      <c r="AD904" s="9">
        <f>INDEX(LINEST(L645:L904,M645:T904,TRUE,TRUE),1,6)</f>
        <v/>
      </c>
      <c r="AE904" s="9">
        <f>INDEX(LINEST(L645:L904,M645:T904,TRUE,TRUE),1,5)</f>
        <v/>
      </c>
      <c r="AF904" s="9">
        <f>INDEX(LINEST(L645:L904,M645:T904,TRUE,TRUE),1,4)</f>
        <v/>
      </c>
      <c r="AG904" s="9">
        <f>INDEX(LINEST(L645:L904,M645:T904,TRUE,TRUE),1,3)</f>
        <v/>
      </c>
      <c r="AH904" s="9">
        <f>INDEX(LINEST(L645:L904,M645:T904,TRUE,TRUE),1,2)</f>
        <v/>
      </c>
      <c r="AI904" s="9">
        <f>INDEX(LINEST(L645:L904,M645:T904,TRUE,TRUE),1,1)</f>
        <v/>
      </c>
      <c r="AJ904" s="10">
        <f>INDEX(LINEST(L645:L904,M645:T904,TRUE,TRUE),3,1)</f>
        <v/>
      </c>
      <c r="AK904" s="9">
        <f>AA903/52+AB903*M904+AC903*N904+AD903*O904+AE903*P904+AF903*Q904+AG903*R904+AH903*S904+AI903*T904</f>
        <v/>
      </c>
      <c r="AL904" s="9">
        <f>AVERAGE(L644:L903)</f>
        <v/>
      </c>
    </row>
    <row r="905">
      <c r="A905" s="7" t="n">
        <v>43945</v>
      </c>
      <c r="B905" s="8" t="n">
        <v>1715.9</v>
      </c>
      <c r="C905" s="8" t="n">
        <v>1.11</v>
      </c>
      <c r="D905" s="8" t="n">
        <v>-0.51</v>
      </c>
      <c r="E905" s="8" t="n">
        <v>100.379997</v>
      </c>
      <c r="F905" s="8" t="n">
        <v>15.99</v>
      </c>
      <c r="G905" s="8" t="n">
        <v>35.93</v>
      </c>
      <c r="H905" s="8" t="n">
        <v>66.089996</v>
      </c>
      <c r="I905" s="8" t="n">
        <v>2836.73999</v>
      </c>
      <c r="J905" s="8" t="n">
        <v>98.00968899999999</v>
      </c>
      <c r="L905" s="9">
        <f>LN(B905/B904)</f>
        <v/>
      </c>
      <c r="M905" s="9">
        <f>$M$1*(C905-C904)</f>
        <v/>
      </c>
      <c r="N905" s="9">
        <f>$N$1*(D905-D904)</f>
        <v/>
      </c>
      <c r="O905" s="9">
        <f>$O$1*LN(E905/E904)</f>
        <v/>
      </c>
      <c r="P905" s="9">
        <f>$P$1*LN(F905/F904)</f>
        <v/>
      </c>
      <c r="Q905" s="9">
        <f>$Q$1*(G905-G904)</f>
        <v/>
      </c>
      <c r="R905" s="9">
        <f>$R$1*(H905-H904)</f>
        <v/>
      </c>
      <c r="S905" s="9">
        <f>$S$1*LN(I905/I904)</f>
        <v/>
      </c>
      <c r="T905" s="9">
        <f>$T$1*LN(J905/J904)</f>
        <v/>
      </c>
      <c r="U905" s="9">
        <f>$W$12+$W$4*M905+$W$5*N905+$W$6*O905+$W$7*P905+$W$8*Q905+$W$9*R905+$W$10*S905+$W$11*T905</f>
        <v/>
      </c>
      <c r="AA905" s="10">
        <f>INDEX(LINEST(L646:L905,M646:T905,TRUE,TRUE),1,9)*52</f>
        <v/>
      </c>
      <c r="AB905" s="9">
        <f>INDEX(LINEST(L646:L905,M646:T905,TRUE,TRUE),1,8)</f>
        <v/>
      </c>
      <c r="AC905" s="9">
        <f>INDEX(LINEST(L646:L905,M646:T905,TRUE,TRUE),1,7)</f>
        <v/>
      </c>
      <c r="AD905" s="9">
        <f>INDEX(LINEST(L646:L905,M646:T905,TRUE,TRUE),1,6)</f>
        <v/>
      </c>
      <c r="AE905" s="9">
        <f>INDEX(LINEST(L646:L905,M646:T905,TRUE,TRUE),1,5)</f>
        <v/>
      </c>
      <c r="AF905" s="9">
        <f>INDEX(LINEST(L646:L905,M646:T905,TRUE,TRUE),1,4)</f>
        <v/>
      </c>
      <c r="AG905" s="9">
        <f>INDEX(LINEST(L646:L905,M646:T905,TRUE,TRUE),1,3)</f>
        <v/>
      </c>
      <c r="AH905" s="9">
        <f>INDEX(LINEST(L646:L905,M646:T905,TRUE,TRUE),1,2)</f>
        <v/>
      </c>
      <c r="AI905" s="9">
        <f>INDEX(LINEST(L646:L905,M646:T905,TRUE,TRUE),1,1)</f>
        <v/>
      </c>
      <c r="AJ905" s="10">
        <f>INDEX(LINEST(L646:L905,M646:T905,TRUE,TRUE),3,1)</f>
        <v/>
      </c>
      <c r="AK905" s="9">
        <f>AA904/52+AB904*M905+AC904*N905+AD904*O905+AE904*P905+AF904*Q905+AG904*R905+AH904*S905+AI904*T905</f>
        <v/>
      </c>
      <c r="AL905" s="9">
        <f>AVERAGE(L645:L904)</f>
        <v/>
      </c>
    </row>
    <row r="906">
      <c r="A906" s="7" t="n">
        <v>43952</v>
      </c>
      <c r="B906" s="8" t="n">
        <v>1686.25</v>
      </c>
      <c r="C906" s="8" t="n">
        <v>1.06</v>
      </c>
      <c r="D906" s="8" t="n">
        <v>-0.42</v>
      </c>
      <c r="E906" s="8" t="n">
        <v>98.800003</v>
      </c>
      <c r="F906" s="8" t="n">
        <v>19.72</v>
      </c>
      <c r="G906" s="8" t="n">
        <v>37.19</v>
      </c>
      <c r="H906" s="8" t="n">
        <v>48.110001</v>
      </c>
      <c r="I906" s="8" t="n">
        <v>2830.709961</v>
      </c>
      <c r="J906" s="8" t="n">
        <v>97.79759199999999</v>
      </c>
      <c r="L906" s="9">
        <f>LN(B906/B905)</f>
        <v/>
      </c>
      <c r="M906" s="9">
        <f>$M$1*(C906-C905)</f>
        <v/>
      </c>
      <c r="N906" s="9">
        <f>$N$1*(D906-D905)</f>
        <v/>
      </c>
      <c r="O906" s="9">
        <f>$O$1*LN(E906/E905)</f>
        <v/>
      </c>
      <c r="P906" s="9">
        <f>$P$1*LN(F906/F905)</f>
        <v/>
      </c>
      <c r="Q906" s="9">
        <f>$Q$1*(G906-G905)</f>
        <v/>
      </c>
      <c r="R906" s="9">
        <f>$R$1*(H906-H905)</f>
        <v/>
      </c>
      <c r="S906" s="9">
        <f>$S$1*LN(I906/I905)</f>
        <v/>
      </c>
      <c r="T906" s="9">
        <f>$T$1*LN(J906/J905)</f>
        <v/>
      </c>
      <c r="U906" s="9">
        <f>$W$12+$W$4*M906+$W$5*N906+$W$6*O906+$W$7*P906+$W$8*Q906+$W$9*R906+$W$10*S906+$W$11*T906</f>
        <v/>
      </c>
      <c r="AA906" s="10">
        <f>INDEX(LINEST(L647:L906,M647:T906,TRUE,TRUE),1,9)*52</f>
        <v/>
      </c>
      <c r="AB906" s="9">
        <f>INDEX(LINEST(L647:L906,M647:T906,TRUE,TRUE),1,8)</f>
        <v/>
      </c>
      <c r="AC906" s="9">
        <f>INDEX(LINEST(L647:L906,M647:T906,TRUE,TRUE),1,7)</f>
        <v/>
      </c>
      <c r="AD906" s="9">
        <f>INDEX(LINEST(L647:L906,M647:T906,TRUE,TRUE),1,6)</f>
        <v/>
      </c>
      <c r="AE906" s="9">
        <f>INDEX(LINEST(L647:L906,M647:T906,TRUE,TRUE),1,5)</f>
        <v/>
      </c>
      <c r="AF906" s="9">
        <f>INDEX(LINEST(L647:L906,M647:T906,TRUE,TRUE),1,4)</f>
        <v/>
      </c>
      <c r="AG906" s="9">
        <f>INDEX(LINEST(L647:L906,M647:T906,TRUE,TRUE),1,3)</f>
        <v/>
      </c>
      <c r="AH906" s="9">
        <f>INDEX(LINEST(L647:L906,M647:T906,TRUE,TRUE),1,2)</f>
        <v/>
      </c>
      <c r="AI906" s="9">
        <f>INDEX(LINEST(L647:L906,M647:T906,TRUE,TRUE),1,1)</f>
        <v/>
      </c>
      <c r="AJ906" s="10">
        <f>INDEX(LINEST(L647:L906,M647:T906,TRUE,TRUE),3,1)</f>
        <v/>
      </c>
      <c r="AK906" s="9">
        <f>AA905/52+AB905*M906+AC905*N906+AD905*O906+AE905*P906+AF905*Q906+AG905*R906+AH905*S906+AI905*T906</f>
        <v/>
      </c>
      <c r="AL906" s="9">
        <f>AVERAGE(L646:L905)</f>
        <v/>
      </c>
    </row>
    <row r="907">
      <c r="A907" s="7" t="n">
        <v>43959</v>
      </c>
      <c r="B907" s="8" t="n">
        <v>1704.05</v>
      </c>
      <c r="C907" s="8" t="n">
        <v>1.12</v>
      </c>
      <c r="D907" s="8" t="n">
        <v>-0.43</v>
      </c>
      <c r="E907" s="8" t="n">
        <v>99.730003</v>
      </c>
      <c r="F907" s="8" t="n">
        <v>24.73</v>
      </c>
      <c r="G907" s="8" t="n">
        <v>27.98</v>
      </c>
      <c r="H907" s="8" t="n">
        <v>57.400002</v>
      </c>
      <c r="I907" s="8" t="n">
        <v>2929.800049</v>
      </c>
      <c r="J907" s="8" t="n">
        <v>97.45446800000001</v>
      </c>
      <c r="L907" s="9">
        <f>LN(B907/B906)</f>
        <v/>
      </c>
      <c r="M907" s="9">
        <f>$M$1*(C907-C906)</f>
        <v/>
      </c>
      <c r="N907" s="9">
        <f>$N$1*(D907-D906)</f>
        <v/>
      </c>
      <c r="O907" s="9">
        <f>$O$1*LN(E907/E906)</f>
        <v/>
      </c>
      <c r="P907" s="9">
        <f>$P$1*LN(F907/F906)</f>
        <v/>
      </c>
      <c r="Q907" s="9">
        <f>$Q$1*(G907-G906)</f>
        <v/>
      </c>
      <c r="R907" s="9">
        <f>$R$1*(H907-H906)</f>
        <v/>
      </c>
      <c r="S907" s="9">
        <f>$S$1*LN(I907/I906)</f>
        <v/>
      </c>
      <c r="T907" s="9">
        <f>$T$1*LN(J907/J906)</f>
        <v/>
      </c>
      <c r="U907" s="9">
        <f>$W$12+$W$4*M907+$W$5*N907+$W$6*O907+$W$7*P907+$W$8*Q907+$W$9*R907+$W$10*S907+$W$11*T907</f>
        <v/>
      </c>
      <c r="AA907" s="10">
        <f>INDEX(LINEST(L648:L907,M648:T907,TRUE,TRUE),1,9)*52</f>
        <v/>
      </c>
      <c r="AB907" s="9">
        <f>INDEX(LINEST(L648:L907,M648:T907,TRUE,TRUE),1,8)</f>
        <v/>
      </c>
      <c r="AC907" s="9">
        <f>INDEX(LINEST(L648:L907,M648:T907,TRUE,TRUE),1,7)</f>
        <v/>
      </c>
      <c r="AD907" s="9">
        <f>INDEX(LINEST(L648:L907,M648:T907,TRUE,TRUE),1,6)</f>
        <v/>
      </c>
      <c r="AE907" s="9">
        <f>INDEX(LINEST(L648:L907,M648:T907,TRUE,TRUE),1,5)</f>
        <v/>
      </c>
      <c r="AF907" s="9">
        <f>INDEX(LINEST(L648:L907,M648:T907,TRUE,TRUE),1,4)</f>
        <v/>
      </c>
      <c r="AG907" s="9">
        <f>INDEX(LINEST(L648:L907,M648:T907,TRUE,TRUE),1,3)</f>
        <v/>
      </c>
      <c r="AH907" s="9">
        <f>INDEX(LINEST(L648:L907,M648:T907,TRUE,TRUE),1,2)</f>
        <v/>
      </c>
      <c r="AI907" s="9">
        <f>INDEX(LINEST(L648:L907,M648:T907,TRUE,TRUE),1,1)</f>
        <v/>
      </c>
      <c r="AJ907" s="10">
        <f>INDEX(LINEST(L648:L907,M648:T907,TRUE,TRUE),3,1)</f>
        <v/>
      </c>
      <c r="AK907" s="9">
        <f>AA906/52+AB906*M907+AC906*N907+AD906*O907+AE906*P907+AF906*Q907+AG906*R907+AH906*S907+AI906*T907</f>
        <v/>
      </c>
      <c r="AL907" s="9">
        <f>AVERAGE(L647:L906)</f>
        <v/>
      </c>
    </row>
    <row r="908">
      <c r="A908" s="7" t="n">
        <v>43966</v>
      </c>
      <c r="B908" s="8" t="n">
        <v>1735.35</v>
      </c>
      <c r="C908" s="8" t="n">
        <v>1.09</v>
      </c>
      <c r="D908" s="8" t="n">
        <v>-0.45</v>
      </c>
      <c r="E908" s="8" t="n">
        <v>100.400002</v>
      </c>
      <c r="F908" s="8" t="n">
        <v>29.44</v>
      </c>
      <c r="G908" s="8" t="n">
        <v>31.89</v>
      </c>
      <c r="H908" s="8" t="n">
        <v>56.529999</v>
      </c>
      <c r="I908" s="8" t="n">
        <v>2863.699951</v>
      </c>
      <c r="J908" s="8" t="n">
        <v>97.93145800000001</v>
      </c>
      <c r="L908" s="9">
        <f>LN(B908/B907)</f>
        <v/>
      </c>
      <c r="M908" s="9">
        <f>$M$1*(C908-C907)</f>
        <v/>
      </c>
      <c r="N908" s="9">
        <f>$N$1*(D908-D907)</f>
        <v/>
      </c>
      <c r="O908" s="9">
        <f>$O$1*LN(E908/E907)</f>
        <v/>
      </c>
      <c r="P908" s="9">
        <f>$P$1*LN(F908/F907)</f>
        <v/>
      </c>
      <c r="Q908" s="9">
        <f>$Q$1*(G908-G907)</f>
        <v/>
      </c>
      <c r="R908" s="9">
        <f>$R$1*(H908-H907)</f>
        <v/>
      </c>
      <c r="S908" s="9">
        <f>$S$1*LN(I908/I907)</f>
        <v/>
      </c>
      <c r="T908" s="9">
        <f>$T$1*LN(J908/J907)</f>
        <v/>
      </c>
      <c r="U908" s="9">
        <f>$W$12+$W$4*M908+$W$5*N908+$W$6*O908+$W$7*P908+$W$8*Q908+$W$9*R908+$W$10*S908+$W$11*T908</f>
        <v/>
      </c>
      <c r="AA908" s="10">
        <f>INDEX(LINEST(L649:L908,M649:T908,TRUE,TRUE),1,9)*52</f>
        <v/>
      </c>
      <c r="AB908" s="9">
        <f>INDEX(LINEST(L649:L908,M649:T908,TRUE,TRUE),1,8)</f>
        <v/>
      </c>
      <c r="AC908" s="9">
        <f>INDEX(LINEST(L649:L908,M649:T908,TRUE,TRUE),1,7)</f>
        <v/>
      </c>
      <c r="AD908" s="9">
        <f>INDEX(LINEST(L649:L908,M649:T908,TRUE,TRUE),1,6)</f>
        <v/>
      </c>
      <c r="AE908" s="9">
        <f>INDEX(LINEST(L649:L908,M649:T908,TRUE,TRUE),1,5)</f>
        <v/>
      </c>
      <c r="AF908" s="9">
        <f>INDEX(LINEST(L649:L908,M649:T908,TRUE,TRUE),1,4)</f>
        <v/>
      </c>
      <c r="AG908" s="9">
        <f>INDEX(LINEST(L649:L908,M649:T908,TRUE,TRUE),1,3)</f>
        <v/>
      </c>
      <c r="AH908" s="9">
        <f>INDEX(LINEST(L649:L908,M649:T908,TRUE,TRUE),1,2)</f>
        <v/>
      </c>
      <c r="AI908" s="9">
        <f>INDEX(LINEST(L649:L908,M649:T908,TRUE,TRUE),1,1)</f>
        <v/>
      </c>
      <c r="AJ908" s="10">
        <f>INDEX(LINEST(L649:L908,M649:T908,TRUE,TRUE),3,1)</f>
        <v/>
      </c>
      <c r="AK908" s="9">
        <f>AA907/52+AB907*M908+AC907*N908+AD907*O908+AE907*P908+AF907*Q908+AG907*R908+AH907*S908+AI907*T908</f>
        <v/>
      </c>
      <c r="AL908" s="9">
        <f>AVERAGE(L648:L907)</f>
        <v/>
      </c>
    </row>
    <row r="909">
      <c r="A909" s="7" t="n">
        <v>43973</v>
      </c>
      <c r="B909" s="8" t="n">
        <v>1733.55</v>
      </c>
      <c r="C909" s="8" t="n">
        <v>1.12</v>
      </c>
      <c r="D909" s="8" t="n">
        <v>-0.46</v>
      </c>
      <c r="E909" s="8" t="n">
        <v>99.860001</v>
      </c>
      <c r="F909" s="8" t="n">
        <v>33.49</v>
      </c>
      <c r="G909" s="8" t="n">
        <v>28.16</v>
      </c>
      <c r="H909" s="8" t="n">
        <v>51.669998</v>
      </c>
      <c r="I909" s="8" t="n">
        <v>2955.449951</v>
      </c>
      <c r="J909" s="8" t="n">
        <v>98.274567</v>
      </c>
      <c r="L909" s="9">
        <f>LN(B909/B908)</f>
        <v/>
      </c>
      <c r="M909" s="9">
        <f>$M$1*(C909-C908)</f>
        <v/>
      </c>
      <c r="N909" s="9">
        <f>$N$1*(D909-D908)</f>
        <v/>
      </c>
      <c r="O909" s="9">
        <f>$O$1*LN(E909/E908)</f>
        <v/>
      </c>
      <c r="P909" s="9">
        <f>$P$1*LN(F909/F908)</f>
        <v/>
      </c>
      <c r="Q909" s="9">
        <f>$Q$1*(G909-G908)</f>
        <v/>
      </c>
      <c r="R909" s="9">
        <f>$R$1*(H909-H908)</f>
        <v/>
      </c>
      <c r="S909" s="9">
        <f>$S$1*LN(I909/I908)</f>
        <v/>
      </c>
      <c r="T909" s="9">
        <f>$T$1*LN(J909/J908)</f>
        <v/>
      </c>
      <c r="U909" s="9">
        <f>$W$12+$W$4*M909+$W$5*N909+$W$6*O909+$W$7*P909+$W$8*Q909+$W$9*R909+$W$10*S909+$W$11*T909</f>
        <v/>
      </c>
      <c r="AA909" s="10">
        <f>INDEX(LINEST(L650:L909,M650:T909,TRUE,TRUE),1,9)*52</f>
        <v/>
      </c>
      <c r="AB909" s="9">
        <f>INDEX(LINEST(L650:L909,M650:T909,TRUE,TRUE),1,8)</f>
        <v/>
      </c>
      <c r="AC909" s="9">
        <f>INDEX(LINEST(L650:L909,M650:T909,TRUE,TRUE),1,7)</f>
        <v/>
      </c>
      <c r="AD909" s="9">
        <f>INDEX(LINEST(L650:L909,M650:T909,TRUE,TRUE),1,6)</f>
        <v/>
      </c>
      <c r="AE909" s="9">
        <f>INDEX(LINEST(L650:L909,M650:T909,TRUE,TRUE),1,5)</f>
        <v/>
      </c>
      <c r="AF909" s="9">
        <f>INDEX(LINEST(L650:L909,M650:T909,TRUE,TRUE),1,4)</f>
        <v/>
      </c>
      <c r="AG909" s="9">
        <f>INDEX(LINEST(L650:L909,M650:T909,TRUE,TRUE),1,3)</f>
        <v/>
      </c>
      <c r="AH909" s="9">
        <f>INDEX(LINEST(L650:L909,M650:T909,TRUE,TRUE),1,2)</f>
        <v/>
      </c>
      <c r="AI909" s="9">
        <f>INDEX(LINEST(L650:L909,M650:T909,TRUE,TRUE),1,1)</f>
        <v/>
      </c>
      <c r="AJ909" s="10">
        <f>INDEX(LINEST(L650:L909,M650:T909,TRUE,TRUE),3,1)</f>
        <v/>
      </c>
      <c r="AK909" s="9">
        <f>AA908/52+AB908*M909+AC908*N909+AD908*O909+AE908*P909+AF908*Q909+AG908*R909+AH908*S909+AI908*T909</f>
        <v/>
      </c>
      <c r="AL909" s="9">
        <f>AVERAGE(L649:L908)</f>
        <v/>
      </c>
    </row>
    <row r="910">
      <c r="A910" s="7" t="n">
        <v>43980</v>
      </c>
      <c r="B910" s="8" t="n">
        <v>1728.7</v>
      </c>
      <c r="C910" s="8" t="n">
        <v>1.15</v>
      </c>
      <c r="D910" s="8" t="n">
        <v>-0.5</v>
      </c>
      <c r="E910" s="8" t="n">
        <v>98.339996</v>
      </c>
      <c r="F910" s="8" t="n">
        <v>35.57</v>
      </c>
      <c r="G910" s="8" t="n">
        <v>27.51</v>
      </c>
      <c r="H910" s="8" t="n">
        <v>51.549999</v>
      </c>
      <c r="I910" s="8" t="n">
        <v>3044.310059</v>
      </c>
      <c r="J910" s="8" t="n">
        <v>98.450294</v>
      </c>
      <c r="L910" s="9">
        <f>LN(B910/B909)</f>
        <v/>
      </c>
      <c r="M910" s="9">
        <f>$M$1*(C910-C909)</f>
        <v/>
      </c>
      <c r="N910" s="9">
        <f>$N$1*(D910-D909)</f>
        <v/>
      </c>
      <c r="O910" s="9">
        <f>$O$1*LN(E910/E909)</f>
        <v/>
      </c>
      <c r="P910" s="9">
        <f>$P$1*LN(F910/F909)</f>
        <v/>
      </c>
      <c r="Q910" s="9">
        <f>$Q$1*(G910-G909)</f>
        <v/>
      </c>
      <c r="R910" s="9">
        <f>$R$1*(H910-H909)</f>
        <v/>
      </c>
      <c r="S910" s="9">
        <f>$S$1*LN(I910/I909)</f>
        <v/>
      </c>
      <c r="T910" s="9">
        <f>$T$1*LN(J910/J909)</f>
        <v/>
      </c>
      <c r="U910" s="9">
        <f>$W$12+$W$4*M910+$W$5*N910+$W$6*O910+$W$7*P910+$W$8*Q910+$W$9*R910+$W$10*S910+$W$11*T910</f>
        <v/>
      </c>
      <c r="AA910" s="10">
        <f>INDEX(LINEST(L651:L910,M651:T910,TRUE,TRUE),1,9)*52</f>
        <v/>
      </c>
      <c r="AB910" s="9">
        <f>INDEX(LINEST(L651:L910,M651:T910,TRUE,TRUE),1,8)</f>
        <v/>
      </c>
      <c r="AC910" s="9">
        <f>INDEX(LINEST(L651:L910,M651:T910,TRUE,TRUE),1,7)</f>
        <v/>
      </c>
      <c r="AD910" s="9">
        <f>INDEX(LINEST(L651:L910,M651:T910,TRUE,TRUE),1,6)</f>
        <v/>
      </c>
      <c r="AE910" s="9">
        <f>INDEX(LINEST(L651:L910,M651:T910,TRUE,TRUE),1,5)</f>
        <v/>
      </c>
      <c r="AF910" s="9">
        <f>INDEX(LINEST(L651:L910,M651:T910,TRUE,TRUE),1,4)</f>
        <v/>
      </c>
      <c r="AG910" s="9">
        <f>INDEX(LINEST(L651:L910,M651:T910,TRUE,TRUE),1,3)</f>
        <v/>
      </c>
      <c r="AH910" s="9">
        <f>INDEX(LINEST(L651:L910,M651:T910,TRUE,TRUE),1,2)</f>
        <v/>
      </c>
      <c r="AI910" s="9">
        <f>INDEX(LINEST(L651:L910,M651:T910,TRUE,TRUE),1,1)</f>
        <v/>
      </c>
      <c r="AJ910" s="10">
        <f>INDEX(LINEST(L651:L910,M651:T910,TRUE,TRUE),3,1)</f>
        <v/>
      </c>
      <c r="AK910" s="9">
        <f>AA909/52+AB909*M910+AC909*N910+AD909*O910+AE909*P910+AF909*Q910+AG909*R910+AH909*S910+AI909*T910</f>
        <v/>
      </c>
      <c r="AL910" s="9">
        <f>AVERAGE(L650:L909)</f>
        <v/>
      </c>
    </row>
    <row r="911">
      <c r="A911" s="7" t="n">
        <v>43987</v>
      </c>
      <c r="B911" s="8" t="n">
        <v>1683.45</v>
      </c>
      <c r="C911" s="8" t="n">
        <v>1.27</v>
      </c>
      <c r="D911" s="8" t="n">
        <v>-0.36</v>
      </c>
      <c r="E911" s="8" t="n">
        <v>96.94000200000001</v>
      </c>
      <c r="F911" s="8" t="n">
        <v>39.49</v>
      </c>
      <c r="G911" s="8" t="n">
        <v>24.52</v>
      </c>
      <c r="H911" s="8" t="n">
        <v>61.970001</v>
      </c>
      <c r="I911" s="8" t="n">
        <v>3193.929932</v>
      </c>
      <c r="J911" s="8" t="n">
        <v>98.000938</v>
      </c>
      <c r="L911" s="9">
        <f>LN(B911/B910)</f>
        <v/>
      </c>
      <c r="M911" s="9">
        <f>$M$1*(C911-C910)</f>
        <v/>
      </c>
      <c r="N911" s="9">
        <f>$N$1*(D911-D910)</f>
        <v/>
      </c>
      <c r="O911" s="9">
        <f>$O$1*LN(E911/E910)</f>
        <v/>
      </c>
      <c r="P911" s="9">
        <f>$P$1*LN(F911/F910)</f>
        <v/>
      </c>
      <c r="Q911" s="9">
        <f>$Q$1*(G911-G910)</f>
        <v/>
      </c>
      <c r="R911" s="9">
        <f>$R$1*(H911-H910)</f>
        <v/>
      </c>
      <c r="S911" s="9">
        <f>$S$1*LN(I911/I910)</f>
        <v/>
      </c>
      <c r="T911" s="9">
        <f>$T$1*LN(J911/J910)</f>
        <v/>
      </c>
      <c r="U911" s="9">
        <f>$W$12+$W$4*M911+$W$5*N911+$W$6*O911+$W$7*P911+$W$8*Q911+$W$9*R911+$W$10*S911+$W$11*T911</f>
        <v/>
      </c>
      <c r="AA911" s="10">
        <f>INDEX(LINEST(L652:L911,M652:T911,TRUE,TRUE),1,9)*52</f>
        <v/>
      </c>
      <c r="AB911" s="9">
        <f>INDEX(LINEST(L652:L911,M652:T911,TRUE,TRUE),1,8)</f>
        <v/>
      </c>
      <c r="AC911" s="9">
        <f>INDEX(LINEST(L652:L911,M652:T911,TRUE,TRUE),1,7)</f>
        <v/>
      </c>
      <c r="AD911" s="9">
        <f>INDEX(LINEST(L652:L911,M652:T911,TRUE,TRUE),1,6)</f>
        <v/>
      </c>
      <c r="AE911" s="9">
        <f>INDEX(LINEST(L652:L911,M652:T911,TRUE,TRUE),1,5)</f>
        <v/>
      </c>
      <c r="AF911" s="9">
        <f>INDEX(LINEST(L652:L911,M652:T911,TRUE,TRUE),1,4)</f>
        <v/>
      </c>
      <c r="AG911" s="9">
        <f>INDEX(LINEST(L652:L911,M652:T911,TRUE,TRUE),1,3)</f>
        <v/>
      </c>
      <c r="AH911" s="9">
        <f>INDEX(LINEST(L652:L911,M652:T911,TRUE,TRUE),1,2)</f>
        <v/>
      </c>
      <c r="AI911" s="9">
        <f>INDEX(LINEST(L652:L911,M652:T911,TRUE,TRUE),1,1)</f>
        <v/>
      </c>
      <c r="AJ911" s="10">
        <f>INDEX(LINEST(L652:L911,M652:T911,TRUE,TRUE),3,1)</f>
        <v/>
      </c>
      <c r="AK911" s="9">
        <f>AA910/52+AB910*M911+AC910*N911+AD910*O911+AE910*P911+AF910*Q911+AG910*R911+AH910*S911+AI910*T911</f>
        <v/>
      </c>
      <c r="AL911" s="9">
        <f>AVERAGE(L651:L910)</f>
        <v/>
      </c>
    </row>
    <row r="912">
      <c r="A912" s="7" t="n">
        <v>43994</v>
      </c>
      <c r="B912" s="8" t="n">
        <v>1733.5</v>
      </c>
      <c r="C912" s="8" t="n">
        <v>1.21</v>
      </c>
      <c r="D912" s="8" t="n">
        <v>-0.5</v>
      </c>
      <c r="E912" s="8" t="n">
        <v>97.31999999999999</v>
      </c>
      <c r="F912" s="8" t="n">
        <v>36.24</v>
      </c>
      <c r="G912" s="8" t="n">
        <v>36.09</v>
      </c>
      <c r="H912" s="8" t="n">
        <v>55.810001</v>
      </c>
      <c r="I912" s="8" t="n">
        <v>3041.310059</v>
      </c>
      <c r="J912" s="8" t="n">
        <v>98.570999</v>
      </c>
      <c r="L912" s="9">
        <f>LN(B912/B911)</f>
        <v/>
      </c>
      <c r="M912" s="9">
        <f>$M$1*(C912-C911)</f>
        <v/>
      </c>
      <c r="N912" s="9">
        <f>$N$1*(D912-D911)</f>
        <v/>
      </c>
      <c r="O912" s="9">
        <f>$O$1*LN(E912/E911)</f>
        <v/>
      </c>
      <c r="P912" s="9">
        <f>$P$1*LN(F912/F911)</f>
        <v/>
      </c>
      <c r="Q912" s="9">
        <f>$Q$1*(G912-G911)</f>
        <v/>
      </c>
      <c r="R912" s="9">
        <f>$R$1*(H912-H911)</f>
        <v/>
      </c>
      <c r="S912" s="9">
        <f>$S$1*LN(I912/I911)</f>
        <v/>
      </c>
      <c r="T912" s="9">
        <f>$T$1*LN(J912/J911)</f>
        <v/>
      </c>
      <c r="U912" s="9">
        <f>$W$12+$W$4*M912+$W$5*N912+$W$6*O912+$W$7*P912+$W$8*Q912+$W$9*R912+$W$10*S912+$W$11*T912</f>
        <v/>
      </c>
      <c r="AA912" s="10">
        <f>INDEX(LINEST(L653:L912,M653:T912,TRUE,TRUE),1,9)*52</f>
        <v/>
      </c>
      <c r="AB912" s="9">
        <f>INDEX(LINEST(L653:L912,M653:T912,TRUE,TRUE),1,8)</f>
        <v/>
      </c>
      <c r="AC912" s="9">
        <f>INDEX(LINEST(L653:L912,M653:T912,TRUE,TRUE),1,7)</f>
        <v/>
      </c>
      <c r="AD912" s="9">
        <f>INDEX(LINEST(L653:L912,M653:T912,TRUE,TRUE),1,6)</f>
        <v/>
      </c>
      <c r="AE912" s="9">
        <f>INDEX(LINEST(L653:L912,M653:T912,TRUE,TRUE),1,5)</f>
        <v/>
      </c>
      <c r="AF912" s="9">
        <f>INDEX(LINEST(L653:L912,M653:T912,TRUE,TRUE),1,4)</f>
        <v/>
      </c>
      <c r="AG912" s="9">
        <f>INDEX(LINEST(L653:L912,M653:T912,TRUE,TRUE),1,3)</f>
        <v/>
      </c>
      <c r="AH912" s="9">
        <f>INDEX(LINEST(L653:L912,M653:T912,TRUE,TRUE),1,2)</f>
        <v/>
      </c>
      <c r="AI912" s="9">
        <f>INDEX(LINEST(L653:L912,M653:T912,TRUE,TRUE),1,1)</f>
        <v/>
      </c>
      <c r="AJ912" s="10">
        <f>INDEX(LINEST(L653:L912,M653:T912,TRUE,TRUE),3,1)</f>
        <v/>
      </c>
      <c r="AK912" s="9">
        <f>AA911/52+AB911*M912+AC911*N912+AD911*O912+AE911*P912+AF911*Q912+AG911*R912+AH911*S912+AI911*T912</f>
        <v/>
      </c>
      <c r="AL912" s="9">
        <f>AVERAGE(L652:L911)</f>
        <v/>
      </c>
    </row>
    <row r="913">
      <c r="A913" s="7" t="n">
        <v>44001</v>
      </c>
      <c r="B913" s="8" t="n">
        <v>1734.75</v>
      </c>
      <c r="C913" s="8" t="n">
        <v>1.3</v>
      </c>
      <c r="D913" s="8" t="n">
        <v>-0.6</v>
      </c>
      <c r="E913" s="8" t="n">
        <v>97.620003</v>
      </c>
      <c r="F913" s="8" t="n">
        <v>39.72</v>
      </c>
      <c r="G913" s="8" t="n">
        <v>35.12</v>
      </c>
      <c r="H913" s="8" t="n">
        <v>53.450001</v>
      </c>
      <c r="I913" s="8" t="n">
        <v>3097.73999</v>
      </c>
      <c r="J913" s="8" t="n">
        <v>98.755424</v>
      </c>
      <c r="L913" s="9">
        <f>LN(B913/B912)</f>
        <v/>
      </c>
      <c r="M913" s="9">
        <f>$M$1*(C913-C912)</f>
        <v/>
      </c>
      <c r="N913" s="9">
        <f>$N$1*(D913-D912)</f>
        <v/>
      </c>
      <c r="O913" s="9">
        <f>$O$1*LN(E913/E912)</f>
        <v/>
      </c>
      <c r="P913" s="9">
        <f>$P$1*LN(F913/F912)</f>
        <v/>
      </c>
      <c r="Q913" s="9">
        <f>$Q$1*(G913-G912)</f>
        <v/>
      </c>
      <c r="R913" s="9">
        <f>$R$1*(H913-H912)</f>
        <v/>
      </c>
      <c r="S913" s="9">
        <f>$S$1*LN(I913/I912)</f>
        <v/>
      </c>
      <c r="T913" s="9">
        <f>$T$1*LN(J913/J912)</f>
        <v/>
      </c>
      <c r="U913" s="9">
        <f>$W$12+$W$4*M913+$W$5*N913+$W$6*O913+$W$7*P913+$W$8*Q913+$W$9*R913+$W$10*S913+$W$11*T913</f>
        <v/>
      </c>
      <c r="AA913" s="10">
        <f>INDEX(LINEST(L654:L913,M654:T913,TRUE,TRUE),1,9)*52</f>
        <v/>
      </c>
      <c r="AB913" s="9">
        <f>INDEX(LINEST(L654:L913,M654:T913,TRUE,TRUE),1,8)</f>
        <v/>
      </c>
      <c r="AC913" s="9">
        <f>INDEX(LINEST(L654:L913,M654:T913,TRUE,TRUE),1,7)</f>
        <v/>
      </c>
      <c r="AD913" s="9">
        <f>INDEX(LINEST(L654:L913,M654:T913,TRUE,TRUE),1,6)</f>
        <v/>
      </c>
      <c r="AE913" s="9">
        <f>INDEX(LINEST(L654:L913,M654:T913,TRUE,TRUE),1,5)</f>
        <v/>
      </c>
      <c r="AF913" s="9">
        <f>INDEX(LINEST(L654:L913,M654:T913,TRUE,TRUE),1,4)</f>
        <v/>
      </c>
      <c r="AG913" s="9">
        <f>INDEX(LINEST(L654:L913,M654:T913,TRUE,TRUE),1,3)</f>
        <v/>
      </c>
      <c r="AH913" s="9">
        <f>INDEX(LINEST(L654:L913,M654:T913,TRUE,TRUE),1,2)</f>
        <v/>
      </c>
      <c r="AI913" s="9">
        <f>INDEX(LINEST(L654:L913,M654:T913,TRUE,TRUE),1,1)</f>
        <v/>
      </c>
      <c r="AJ913" s="10">
        <f>INDEX(LINEST(L654:L913,M654:T913,TRUE,TRUE),3,1)</f>
        <v/>
      </c>
      <c r="AK913" s="9">
        <f>AA912/52+AB912*M913+AC912*N913+AD912*O913+AE912*P913+AF912*Q913+AG912*R913+AH912*S913+AI912*T913</f>
        <v/>
      </c>
      <c r="AL913" s="9">
        <f>AVERAGE(L653:L912)</f>
        <v/>
      </c>
    </row>
    <row r="914">
      <c r="A914" s="7" t="n">
        <v>44008</v>
      </c>
      <c r="B914" s="8" t="n">
        <v>1747.6</v>
      </c>
      <c r="C914" s="8" t="n">
        <v>1.32</v>
      </c>
      <c r="D914" s="8" t="n">
        <v>-0.68</v>
      </c>
      <c r="E914" s="8" t="n">
        <v>97.5</v>
      </c>
      <c r="F914" s="8" t="n">
        <v>38.53</v>
      </c>
      <c r="G914" s="8" t="n">
        <v>34.73</v>
      </c>
      <c r="H914" s="8" t="n">
        <v>51.209999</v>
      </c>
      <c r="I914" s="8" t="n">
        <v>3009.050049</v>
      </c>
      <c r="J914" s="8" t="n">
        <v>98.931511</v>
      </c>
      <c r="L914" s="9">
        <f>LN(B914/B913)</f>
        <v/>
      </c>
      <c r="M914" s="9">
        <f>$M$1*(C914-C913)</f>
        <v/>
      </c>
      <c r="N914" s="9">
        <f>$N$1*(D914-D913)</f>
        <v/>
      </c>
      <c r="O914" s="9">
        <f>$O$1*LN(E914/E913)</f>
        <v/>
      </c>
      <c r="P914" s="9">
        <f>$P$1*LN(F914/F913)</f>
        <v/>
      </c>
      <c r="Q914" s="9">
        <f>$Q$1*(G914-G913)</f>
        <v/>
      </c>
      <c r="R914" s="9">
        <f>$R$1*(H914-H913)</f>
        <v/>
      </c>
      <c r="S914" s="9">
        <f>$S$1*LN(I914/I913)</f>
        <v/>
      </c>
      <c r="T914" s="9">
        <f>$T$1*LN(J914/J913)</f>
        <v/>
      </c>
      <c r="U914" s="9">
        <f>$W$12+$W$4*M914+$W$5*N914+$W$6*O914+$W$7*P914+$W$8*Q914+$W$9*R914+$W$10*S914+$W$11*T914</f>
        <v/>
      </c>
      <c r="AA914" s="10">
        <f>INDEX(LINEST(L655:L914,M655:T914,TRUE,TRUE),1,9)*52</f>
        <v/>
      </c>
      <c r="AB914" s="9">
        <f>INDEX(LINEST(L655:L914,M655:T914,TRUE,TRUE),1,8)</f>
        <v/>
      </c>
      <c r="AC914" s="9">
        <f>INDEX(LINEST(L655:L914,M655:T914,TRUE,TRUE),1,7)</f>
        <v/>
      </c>
      <c r="AD914" s="9">
        <f>INDEX(LINEST(L655:L914,M655:T914,TRUE,TRUE),1,6)</f>
        <v/>
      </c>
      <c r="AE914" s="9">
        <f>INDEX(LINEST(L655:L914,M655:T914,TRUE,TRUE),1,5)</f>
        <v/>
      </c>
      <c r="AF914" s="9">
        <f>INDEX(LINEST(L655:L914,M655:T914,TRUE,TRUE),1,4)</f>
        <v/>
      </c>
      <c r="AG914" s="9">
        <f>INDEX(LINEST(L655:L914,M655:T914,TRUE,TRUE),1,3)</f>
        <v/>
      </c>
      <c r="AH914" s="9">
        <f>INDEX(LINEST(L655:L914,M655:T914,TRUE,TRUE),1,2)</f>
        <v/>
      </c>
      <c r="AI914" s="9">
        <f>INDEX(LINEST(L655:L914,M655:T914,TRUE,TRUE),1,1)</f>
        <v/>
      </c>
      <c r="AJ914" s="10">
        <f>INDEX(LINEST(L655:L914,M655:T914,TRUE,TRUE),3,1)</f>
        <v/>
      </c>
      <c r="AK914" s="9">
        <f>AA913/52+AB913*M914+AC913*N914+AD913*O914+AE913*P914+AF913*Q914+AG913*R914+AH913*S914+AI913*T914</f>
        <v/>
      </c>
      <c r="AL914" s="9">
        <f>AVERAGE(L654:L913)</f>
        <v/>
      </c>
    </row>
    <row r="915">
      <c r="A915" s="7" t="n">
        <v>44015</v>
      </c>
      <c r="B915" s="8" t="n">
        <v>1772.9</v>
      </c>
      <c r="C915" s="8" t="n">
        <v>1.41</v>
      </c>
      <c r="D915" s="8" t="n">
        <v>-0.73</v>
      </c>
      <c r="E915" s="8" t="n">
        <v>97.31999999999999</v>
      </c>
      <c r="F915" s="8" t="n">
        <v>40.57</v>
      </c>
      <c r="G915" s="8" t="n">
        <v>27.68</v>
      </c>
      <c r="H915" s="8" t="n">
        <v>50.959999</v>
      </c>
      <c r="I915" s="8" t="n">
        <v>3130.01001</v>
      </c>
      <c r="J915" s="8" t="n">
        <v>99.26966899999999</v>
      </c>
      <c r="L915" s="9">
        <f>LN(B915/B914)</f>
        <v/>
      </c>
      <c r="M915" s="9">
        <f>$M$1*(C915-C914)</f>
        <v/>
      </c>
      <c r="N915" s="9">
        <f>$N$1*(D915-D914)</f>
        <v/>
      </c>
      <c r="O915" s="9">
        <f>$O$1*LN(E915/E914)</f>
        <v/>
      </c>
      <c r="P915" s="9">
        <f>$P$1*LN(F915/F914)</f>
        <v/>
      </c>
      <c r="Q915" s="9">
        <f>$Q$1*(G915-G914)</f>
        <v/>
      </c>
      <c r="R915" s="9">
        <f>$R$1*(H915-H914)</f>
        <v/>
      </c>
      <c r="S915" s="9">
        <f>$S$1*LN(I915/I914)</f>
        <v/>
      </c>
      <c r="T915" s="9">
        <f>$T$1*LN(J915/J914)</f>
        <v/>
      </c>
      <c r="U915" s="9">
        <f>$W$12+$W$4*M915+$W$5*N915+$W$6*O915+$W$7*P915+$W$8*Q915+$W$9*R915+$W$10*S915+$W$11*T915</f>
        <v/>
      </c>
      <c r="AA915" s="10">
        <f>INDEX(LINEST(L656:L915,M656:T915,TRUE,TRUE),1,9)*52</f>
        <v/>
      </c>
      <c r="AB915" s="9">
        <f>INDEX(LINEST(L656:L915,M656:T915,TRUE,TRUE),1,8)</f>
        <v/>
      </c>
      <c r="AC915" s="9">
        <f>INDEX(LINEST(L656:L915,M656:T915,TRUE,TRUE),1,7)</f>
        <v/>
      </c>
      <c r="AD915" s="9">
        <f>INDEX(LINEST(L656:L915,M656:T915,TRUE,TRUE),1,6)</f>
        <v/>
      </c>
      <c r="AE915" s="9">
        <f>INDEX(LINEST(L656:L915,M656:T915,TRUE,TRUE),1,5)</f>
        <v/>
      </c>
      <c r="AF915" s="9">
        <f>INDEX(LINEST(L656:L915,M656:T915,TRUE,TRUE),1,4)</f>
        <v/>
      </c>
      <c r="AG915" s="9">
        <f>INDEX(LINEST(L656:L915,M656:T915,TRUE,TRUE),1,3)</f>
        <v/>
      </c>
      <c r="AH915" s="9">
        <f>INDEX(LINEST(L656:L915,M656:T915,TRUE,TRUE),1,2)</f>
        <v/>
      </c>
      <c r="AI915" s="9">
        <f>INDEX(LINEST(L656:L915,M656:T915,TRUE,TRUE),1,1)</f>
        <v/>
      </c>
      <c r="AJ915" s="10">
        <f>INDEX(LINEST(L656:L915,M656:T915,TRUE,TRUE),3,1)</f>
        <v/>
      </c>
      <c r="AK915" s="9">
        <f>AA914/52+AB914*M915+AC914*N915+AD914*O915+AE914*P915+AF914*Q915+AG914*R915+AH914*S915+AI914*T915</f>
        <v/>
      </c>
      <c r="AL915" s="9">
        <f>AVERAGE(L655:L914)</f>
        <v/>
      </c>
    </row>
    <row r="916">
      <c r="A916" s="7" t="n">
        <v>44022</v>
      </c>
      <c r="B916" s="8" t="n">
        <v>1803.1</v>
      </c>
      <c r="C916" s="8" t="n">
        <v>1.41</v>
      </c>
      <c r="D916" s="8" t="n">
        <v>-0.76</v>
      </c>
      <c r="E916" s="8" t="n">
        <v>96.650002</v>
      </c>
      <c r="F916" s="8" t="n">
        <v>40.56</v>
      </c>
      <c r="G916" s="8" t="n">
        <v>27.29</v>
      </c>
      <c r="H916" s="8" t="n">
        <v>49.189999</v>
      </c>
      <c r="I916" s="8" t="n">
        <v>3185.040039</v>
      </c>
      <c r="J916" s="8" t="n">
        <v>99.521637</v>
      </c>
      <c r="L916" s="9">
        <f>LN(B916/B915)</f>
        <v/>
      </c>
      <c r="M916" s="9">
        <f>$M$1*(C916-C915)</f>
        <v/>
      </c>
      <c r="N916" s="9">
        <f>$N$1*(D916-D915)</f>
        <v/>
      </c>
      <c r="O916" s="9">
        <f>$O$1*LN(E916/E915)</f>
        <v/>
      </c>
      <c r="P916" s="9">
        <f>$P$1*LN(F916/F915)</f>
        <v/>
      </c>
      <c r="Q916" s="9">
        <f>$Q$1*(G916-G915)</f>
        <v/>
      </c>
      <c r="R916" s="9">
        <f>$R$1*(H916-H915)</f>
        <v/>
      </c>
      <c r="S916" s="9">
        <f>$S$1*LN(I916/I915)</f>
        <v/>
      </c>
      <c r="T916" s="9">
        <f>$T$1*LN(J916/J915)</f>
        <v/>
      </c>
      <c r="U916" s="9">
        <f>$W$12+$W$4*M916+$W$5*N916+$W$6*O916+$W$7*P916+$W$8*Q916+$W$9*R916+$W$10*S916+$W$11*T916</f>
        <v/>
      </c>
      <c r="AA916" s="10">
        <f>INDEX(LINEST(L657:L916,M657:T916,TRUE,TRUE),1,9)*52</f>
        <v/>
      </c>
      <c r="AB916" s="9">
        <f>INDEX(LINEST(L657:L916,M657:T916,TRUE,TRUE),1,8)</f>
        <v/>
      </c>
      <c r="AC916" s="9">
        <f>INDEX(LINEST(L657:L916,M657:T916,TRUE,TRUE),1,7)</f>
        <v/>
      </c>
      <c r="AD916" s="9">
        <f>INDEX(LINEST(L657:L916,M657:T916,TRUE,TRUE),1,6)</f>
        <v/>
      </c>
      <c r="AE916" s="9">
        <f>INDEX(LINEST(L657:L916,M657:T916,TRUE,TRUE),1,5)</f>
        <v/>
      </c>
      <c r="AF916" s="9">
        <f>INDEX(LINEST(L657:L916,M657:T916,TRUE,TRUE),1,4)</f>
        <v/>
      </c>
      <c r="AG916" s="9">
        <f>INDEX(LINEST(L657:L916,M657:T916,TRUE,TRUE),1,3)</f>
        <v/>
      </c>
      <c r="AH916" s="9">
        <f>INDEX(LINEST(L657:L916,M657:T916,TRUE,TRUE),1,2)</f>
        <v/>
      </c>
      <c r="AI916" s="9">
        <f>INDEX(LINEST(L657:L916,M657:T916,TRUE,TRUE),1,1)</f>
        <v/>
      </c>
      <c r="AJ916" s="10">
        <f>INDEX(LINEST(L657:L916,M657:T916,TRUE,TRUE),3,1)</f>
        <v/>
      </c>
      <c r="AK916" s="9">
        <f>AA915/52+AB915*M916+AC915*N916+AD915*O916+AE915*P916+AF915*Q916+AG915*R916+AH915*S916+AI915*T916</f>
        <v/>
      </c>
      <c r="AL916" s="9">
        <f>AVERAGE(L656:L915)</f>
        <v/>
      </c>
    </row>
    <row r="917">
      <c r="A917" s="7" t="n">
        <v>44029</v>
      </c>
      <c r="B917" s="8" t="n">
        <v>1807.35</v>
      </c>
      <c r="C917" s="8" t="n">
        <v>1.46</v>
      </c>
      <c r="D917" s="8" t="n">
        <v>-0.82</v>
      </c>
      <c r="E917" s="8" t="n">
        <v>95.94000200000001</v>
      </c>
      <c r="F917" s="8" t="n">
        <v>40.55</v>
      </c>
      <c r="G917" s="8" t="n">
        <v>25.68</v>
      </c>
      <c r="H917" s="8" t="n">
        <v>45.68</v>
      </c>
      <c r="I917" s="8" t="n">
        <v>3224.72998</v>
      </c>
      <c r="J917" s="8" t="n">
        <v>99.84922</v>
      </c>
      <c r="L917" s="9">
        <f>LN(B917/B916)</f>
        <v/>
      </c>
      <c r="M917" s="9">
        <f>$M$1*(C917-C916)</f>
        <v/>
      </c>
      <c r="N917" s="9">
        <f>$N$1*(D917-D916)</f>
        <v/>
      </c>
      <c r="O917" s="9">
        <f>$O$1*LN(E917/E916)</f>
        <v/>
      </c>
      <c r="P917" s="9">
        <f>$P$1*LN(F917/F916)</f>
        <v/>
      </c>
      <c r="Q917" s="9">
        <f>$Q$1*(G917-G916)</f>
        <v/>
      </c>
      <c r="R917" s="9">
        <f>$R$1*(H917-H916)</f>
        <v/>
      </c>
      <c r="S917" s="9">
        <f>$S$1*LN(I917/I916)</f>
        <v/>
      </c>
      <c r="T917" s="9">
        <f>$T$1*LN(J917/J916)</f>
        <v/>
      </c>
      <c r="U917" s="9">
        <f>$W$12+$W$4*M917+$W$5*N917+$W$6*O917+$W$7*P917+$W$8*Q917+$W$9*R917+$W$10*S917+$W$11*T917</f>
        <v/>
      </c>
      <c r="AA917" s="10">
        <f>INDEX(LINEST(L658:L917,M658:T917,TRUE,TRUE),1,9)*52</f>
        <v/>
      </c>
      <c r="AB917" s="9">
        <f>INDEX(LINEST(L658:L917,M658:T917,TRUE,TRUE),1,8)</f>
        <v/>
      </c>
      <c r="AC917" s="9">
        <f>INDEX(LINEST(L658:L917,M658:T917,TRUE,TRUE),1,7)</f>
        <v/>
      </c>
      <c r="AD917" s="9">
        <f>INDEX(LINEST(L658:L917,M658:T917,TRUE,TRUE),1,6)</f>
        <v/>
      </c>
      <c r="AE917" s="9">
        <f>INDEX(LINEST(L658:L917,M658:T917,TRUE,TRUE),1,5)</f>
        <v/>
      </c>
      <c r="AF917" s="9">
        <f>INDEX(LINEST(L658:L917,M658:T917,TRUE,TRUE),1,4)</f>
        <v/>
      </c>
      <c r="AG917" s="9">
        <f>INDEX(LINEST(L658:L917,M658:T917,TRUE,TRUE),1,3)</f>
        <v/>
      </c>
      <c r="AH917" s="9">
        <f>INDEX(LINEST(L658:L917,M658:T917,TRUE,TRUE),1,2)</f>
        <v/>
      </c>
      <c r="AI917" s="9">
        <f>INDEX(LINEST(L658:L917,M658:T917,TRUE,TRUE),1,1)</f>
        <v/>
      </c>
      <c r="AJ917" s="10">
        <f>INDEX(LINEST(L658:L917,M658:T917,TRUE,TRUE),3,1)</f>
        <v/>
      </c>
      <c r="AK917" s="9">
        <f>AA916/52+AB916*M917+AC916*N917+AD916*O917+AE916*P917+AF916*Q917+AG916*R917+AH916*S917+AI916*T917</f>
        <v/>
      </c>
      <c r="AL917" s="9">
        <f>AVERAGE(L657:L916)</f>
        <v/>
      </c>
    </row>
    <row r="918">
      <c r="A918" s="7" t="n">
        <v>44036</v>
      </c>
      <c r="B918" s="8" t="n">
        <v>1902.1</v>
      </c>
      <c r="C918" s="8" t="n">
        <v>1.51</v>
      </c>
      <c r="D918" s="8" t="n">
        <v>-0.92</v>
      </c>
      <c r="E918" s="8" t="n">
        <v>94.44000200000001</v>
      </c>
      <c r="F918" s="8" t="n">
        <v>41.23</v>
      </c>
      <c r="G918" s="8" t="n">
        <v>25.84</v>
      </c>
      <c r="H918" s="8" t="n">
        <v>42.48</v>
      </c>
      <c r="I918" s="8" t="n">
        <v>3215.629883</v>
      </c>
      <c r="J918" s="8" t="n">
        <v>100.18515</v>
      </c>
      <c r="L918" s="9">
        <f>LN(B918/B917)</f>
        <v/>
      </c>
      <c r="M918" s="9">
        <f>$M$1*(C918-C917)</f>
        <v/>
      </c>
      <c r="N918" s="9">
        <f>$N$1*(D918-D917)</f>
        <v/>
      </c>
      <c r="O918" s="9">
        <f>$O$1*LN(E918/E917)</f>
        <v/>
      </c>
      <c r="P918" s="9">
        <f>$P$1*LN(F918/F917)</f>
        <v/>
      </c>
      <c r="Q918" s="9">
        <f>$Q$1*(G918-G917)</f>
        <v/>
      </c>
      <c r="R918" s="9">
        <f>$R$1*(H918-H917)</f>
        <v/>
      </c>
      <c r="S918" s="9">
        <f>$S$1*LN(I918/I917)</f>
        <v/>
      </c>
      <c r="T918" s="9">
        <f>$T$1*LN(J918/J917)</f>
        <v/>
      </c>
      <c r="U918" s="9">
        <f>$W$12+$W$4*M918+$W$5*N918+$W$6*O918+$W$7*P918+$W$8*Q918+$W$9*R918+$W$10*S918+$W$11*T918</f>
        <v/>
      </c>
      <c r="AA918" s="10">
        <f>INDEX(LINEST(L659:L918,M659:T918,TRUE,TRUE),1,9)*52</f>
        <v/>
      </c>
      <c r="AB918" s="9">
        <f>INDEX(LINEST(L659:L918,M659:T918,TRUE,TRUE),1,8)</f>
        <v/>
      </c>
      <c r="AC918" s="9">
        <f>INDEX(LINEST(L659:L918,M659:T918,TRUE,TRUE),1,7)</f>
        <v/>
      </c>
      <c r="AD918" s="9">
        <f>INDEX(LINEST(L659:L918,M659:T918,TRUE,TRUE),1,6)</f>
        <v/>
      </c>
      <c r="AE918" s="9">
        <f>INDEX(LINEST(L659:L918,M659:T918,TRUE,TRUE),1,5)</f>
        <v/>
      </c>
      <c r="AF918" s="9">
        <f>INDEX(LINEST(L659:L918,M659:T918,TRUE,TRUE),1,4)</f>
        <v/>
      </c>
      <c r="AG918" s="9">
        <f>INDEX(LINEST(L659:L918,M659:T918,TRUE,TRUE),1,3)</f>
        <v/>
      </c>
      <c r="AH918" s="9">
        <f>INDEX(LINEST(L659:L918,M659:T918,TRUE,TRUE),1,2)</f>
        <v/>
      </c>
      <c r="AI918" s="9">
        <f>INDEX(LINEST(L659:L918,M659:T918,TRUE,TRUE),1,1)</f>
        <v/>
      </c>
      <c r="AJ918" s="10">
        <f>INDEX(LINEST(L659:L918,M659:T918,TRUE,TRUE),3,1)</f>
        <v/>
      </c>
      <c r="AK918" s="9">
        <f>AA917/52+AB917*M918+AC917*N918+AD917*O918+AE917*P918+AF917*Q918+AG917*R918+AH917*S918+AI917*T918</f>
        <v/>
      </c>
      <c r="AL918" s="9">
        <f>AVERAGE(L658:L917)</f>
        <v/>
      </c>
    </row>
    <row r="919">
      <c r="A919" s="7" t="n">
        <v>44043</v>
      </c>
      <c r="B919" s="8" t="n">
        <v>1964.9</v>
      </c>
      <c r="C919" s="8" t="n">
        <v>1.55</v>
      </c>
      <c r="D919" s="8" t="n">
        <v>-1</v>
      </c>
      <c r="E919" s="8" t="n">
        <v>93.489998</v>
      </c>
      <c r="F919" s="8" t="n">
        <v>40.1</v>
      </c>
      <c r="G919" s="8" t="n">
        <v>24.46</v>
      </c>
      <c r="H919" s="8" t="n">
        <v>41.98</v>
      </c>
      <c r="I919" s="8" t="n">
        <v>3271.120117</v>
      </c>
      <c r="J919" s="8" t="n">
        <v>100.420334</v>
      </c>
      <c r="L919" s="9">
        <f>LN(B919/B918)</f>
        <v/>
      </c>
      <c r="M919" s="9">
        <f>$M$1*(C919-C918)</f>
        <v/>
      </c>
      <c r="N919" s="9">
        <f>$N$1*(D919-D918)</f>
        <v/>
      </c>
      <c r="O919" s="9">
        <f>$O$1*LN(E919/E918)</f>
        <v/>
      </c>
      <c r="P919" s="9">
        <f>$P$1*LN(F919/F918)</f>
        <v/>
      </c>
      <c r="Q919" s="9">
        <f>$Q$1*(G919-G918)</f>
        <v/>
      </c>
      <c r="R919" s="9">
        <f>$R$1*(H919-H918)</f>
        <v/>
      </c>
      <c r="S919" s="9">
        <f>$S$1*LN(I919/I918)</f>
        <v/>
      </c>
      <c r="T919" s="9">
        <f>$T$1*LN(J919/J918)</f>
        <v/>
      </c>
      <c r="U919" s="9">
        <f>$W$12+$W$4*M919+$W$5*N919+$W$6*O919+$W$7*P919+$W$8*Q919+$W$9*R919+$W$10*S919+$W$11*T919</f>
        <v/>
      </c>
      <c r="AA919" s="10">
        <f>INDEX(LINEST(L660:L919,M660:T919,TRUE,TRUE),1,9)*52</f>
        <v/>
      </c>
      <c r="AB919" s="9">
        <f>INDEX(LINEST(L660:L919,M660:T919,TRUE,TRUE),1,8)</f>
        <v/>
      </c>
      <c r="AC919" s="9">
        <f>INDEX(LINEST(L660:L919,M660:T919,TRUE,TRUE),1,7)</f>
        <v/>
      </c>
      <c r="AD919" s="9">
        <f>INDEX(LINEST(L660:L919,M660:T919,TRUE,TRUE),1,6)</f>
        <v/>
      </c>
      <c r="AE919" s="9">
        <f>INDEX(LINEST(L660:L919,M660:T919,TRUE,TRUE),1,5)</f>
        <v/>
      </c>
      <c r="AF919" s="9">
        <f>INDEX(LINEST(L660:L919,M660:T919,TRUE,TRUE),1,4)</f>
        <v/>
      </c>
      <c r="AG919" s="9">
        <f>INDEX(LINEST(L660:L919,M660:T919,TRUE,TRUE),1,3)</f>
        <v/>
      </c>
      <c r="AH919" s="9">
        <f>INDEX(LINEST(L660:L919,M660:T919,TRUE,TRUE),1,2)</f>
        <v/>
      </c>
      <c r="AI919" s="9">
        <f>INDEX(LINEST(L660:L919,M660:T919,TRUE,TRUE),1,1)</f>
        <v/>
      </c>
      <c r="AJ919" s="10">
        <f>INDEX(LINEST(L660:L919,M660:T919,TRUE,TRUE),3,1)</f>
        <v/>
      </c>
      <c r="AK919" s="9">
        <f>AA918/52+AB918*M919+AC918*N919+AD918*O919+AE918*P919+AF918*Q919+AG918*R919+AH918*S919+AI918*T919</f>
        <v/>
      </c>
      <c r="AL919" s="9">
        <f>AVERAGE(L659:L918)</f>
        <v/>
      </c>
    </row>
    <row r="920">
      <c r="A920" s="7" t="n">
        <v>44050</v>
      </c>
      <c r="B920" s="8" t="n">
        <v>2031.15</v>
      </c>
      <c r="C920" s="8" t="n">
        <v>1.61</v>
      </c>
      <c r="D920" s="8" t="n">
        <v>-1.04</v>
      </c>
      <c r="E920" s="8" t="n">
        <v>93.44000200000001</v>
      </c>
      <c r="F920" s="8" t="n">
        <v>41.16</v>
      </c>
      <c r="G920" s="8" t="n">
        <v>22.21</v>
      </c>
      <c r="H920" s="8" t="n">
        <v>41.459999</v>
      </c>
      <c r="I920" s="8" t="n">
        <v>3351.280029</v>
      </c>
      <c r="J920" s="8" t="n">
        <v>100.485123</v>
      </c>
      <c r="L920" s="9">
        <f>LN(B920/B919)</f>
        <v/>
      </c>
      <c r="M920" s="9">
        <f>$M$1*(C920-C919)</f>
        <v/>
      </c>
      <c r="N920" s="9">
        <f>$N$1*(D920-D919)</f>
        <v/>
      </c>
      <c r="O920" s="9">
        <f>$O$1*LN(E920/E919)</f>
        <v/>
      </c>
      <c r="P920" s="9">
        <f>$P$1*LN(F920/F919)</f>
        <v/>
      </c>
      <c r="Q920" s="9">
        <f>$Q$1*(G920-G919)</f>
        <v/>
      </c>
      <c r="R920" s="9">
        <f>$R$1*(H920-H919)</f>
        <v/>
      </c>
      <c r="S920" s="9">
        <f>$S$1*LN(I920/I919)</f>
        <v/>
      </c>
      <c r="T920" s="9">
        <f>$T$1*LN(J920/J919)</f>
        <v/>
      </c>
      <c r="U920" s="9">
        <f>$W$12+$W$4*M920+$W$5*N920+$W$6*O920+$W$7*P920+$W$8*Q920+$W$9*R920+$W$10*S920+$W$11*T920</f>
        <v/>
      </c>
      <c r="AA920" s="10">
        <f>INDEX(LINEST(L661:L920,M661:T920,TRUE,TRUE),1,9)*52</f>
        <v/>
      </c>
      <c r="AB920" s="9">
        <f>INDEX(LINEST(L661:L920,M661:T920,TRUE,TRUE),1,8)</f>
        <v/>
      </c>
      <c r="AC920" s="9">
        <f>INDEX(LINEST(L661:L920,M661:T920,TRUE,TRUE),1,7)</f>
        <v/>
      </c>
      <c r="AD920" s="9">
        <f>INDEX(LINEST(L661:L920,M661:T920,TRUE,TRUE),1,6)</f>
        <v/>
      </c>
      <c r="AE920" s="9">
        <f>INDEX(LINEST(L661:L920,M661:T920,TRUE,TRUE),1,5)</f>
        <v/>
      </c>
      <c r="AF920" s="9">
        <f>INDEX(LINEST(L661:L920,M661:T920,TRUE,TRUE),1,4)</f>
        <v/>
      </c>
      <c r="AG920" s="9">
        <f>INDEX(LINEST(L661:L920,M661:T920,TRUE,TRUE),1,3)</f>
        <v/>
      </c>
      <c r="AH920" s="9">
        <f>INDEX(LINEST(L661:L920,M661:T920,TRUE,TRUE),1,2)</f>
        <v/>
      </c>
      <c r="AI920" s="9">
        <f>INDEX(LINEST(L661:L920,M661:T920,TRUE,TRUE),1,1)</f>
        <v/>
      </c>
      <c r="AJ920" s="10">
        <f>INDEX(LINEST(L661:L920,M661:T920,TRUE,TRUE),3,1)</f>
        <v/>
      </c>
      <c r="AK920" s="9">
        <f>AA919/52+AB919*M920+AC919*N920+AD919*O920+AE919*P920+AF919*Q920+AG919*R920+AH919*S920+AI919*T920</f>
        <v/>
      </c>
      <c r="AL920" s="9">
        <f>AVERAGE(L660:L919)</f>
        <v/>
      </c>
    </row>
    <row r="921">
      <c r="A921" s="7" t="n">
        <v>44057</v>
      </c>
      <c r="B921" s="8" t="n">
        <v>1944.75</v>
      </c>
      <c r="C921" s="8" t="n">
        <v>1.65</v>
      </c>
      <c r="D921" s="8" t="n">
        <v>-0.9399999999999999</v>
      </c>
      <c r="E921" s="8" t="n">
        <v>93.099998</v>
      </c>
      <c r="F921" s="8" t="n">
        <v>42.05</v>
      </c>
      <c r="G921" s="8" t="n">
        <v>22.05</v>
      </c>
      <c r="H921" s="8" t="n">
        <v>43.09</v>
      </c>
      <c r="I921" s="8" t="n">
        <v>3372.850098</v>
      </c>
      <c r="J921" s="8" t="n">
        <v>99.45019499999999</v>
      </c>
      <c r="L921" s="9">
        <f>LN(B921/B920)</f>
        <v/>
      </c>
      <c r="M921" s="9">
        <f>$M$1*(C921-C920)</f>
        <v/>
      </c>
      <c r="N921" s="9">
        <f>$N$1*(D921-D920)</f>
        <v/>
      </c>
      <c r="O921" s="9">
        <f>$O$1*LN(E921/E920)</f>
        <v/>
      </c>
      <c r="P921" s="9">
        <f>$P$1*LN(F921/F920)</f>
        <v/>
      </c>
      <c r="Q921" s="9">
        <f>$Q$1*(G921-G920)</f>
        <v/>
      </c>
      <c r="R921" s="9">
        <f>$R$1*(H921-H920)</f>
        <v/>
      </c>
      <c r="S921" s="9">
        <f>$S$1*LN(I921/I920)</f>
        <v/>
      </c>
      <c r="T921" s="9">
        <f>$T$1*LN(J921/J920)</f>
        <v/>
      </c>
      <c r="U921" s="9">
        <f>$W$12+$W$4*M921+$W$5*N921+$W$6*O921+$W$7*P921+$W$8*Q921+$W$9*R921+$W$10*S921+$W$11*T921</f>
        <v/>
      </c>
      <c r="AA921" s="10">
        <f>INDEX(LINEST(L662:L921,M662:T921,TRUE,TRUE),1,9)*52</f>
        <v/>
      </c>
      <c r="AB921" s="9">
        <f>INDEX(LINEST(L662:L921,M662:T921,TRUE,TRUE),1,8)</f>
        <v/>
      </c>
      <c r="AC921" s="9">
        <f>INDEX(LINEST(L662:L921,M662:T921,TRUE,TRUE),1,7)</f>
        <v/>
      </c>
      <c r="AD921" s="9">
        <f>INDEX(LINEST(L662:L921,M662:T921,TRUE,TRUE),1,6)</f>
        <v/>
      </c>
      <c r="AE921" s="9">
        <f>INDEX(LINEST(L662:L921,M662:T921,TRUE,TRUE),1,5)</f>
        <v/>
      </c>
      <c r="AF921" s="9">
        <f>INDEX(LINEST(L662:L921,M662:T921,TRUE,TRUE),1,4)</f>
        <v/>
      </c>
      <c r="AG921" s="9">
        <f>INDEX(LINEST(L662:L921,M662:T921,TRUE,TRUE),1,3)</f>
        <v/>
      </c>
      <c r="AH921" s="9">
        <f>INDEX(LINEST(L662:L921,M662:T921,TRUE,TRUE),1,2)</f>
        <v/>
      </c>
      <c r="AI921" s="9">
        <f>INDEX(LINEST(L662:L921,M662:T921,TRUE,TRUE),1,1)</f>
        <v/>
      </c>
      <c r="AJ921" s="10">
        <f>INDEX(LINEST(L662:L921,M662:T921,TRUE,TRUE),3,1)</f>
        <v/>
      </c>
      <c r="AK921" s="9">
        <f>AA920/52+AB920*M921+AC920*N921+AD920*O921+AE920*P921+AF920*Q921+AG920*R921+AH920*S921+AI920*T921</f>
        <v/>
      </c>
      <c r="AL921" s="9">
        <f>AVERAGE(L661:L920)</f>
        <v/>
      </c>
    </row>
    <row r="922">
      <c r="A922" s="7" t="n">
        <v>44064</v>
      </c>
      <c r="B922" s="8" t="n">
        <v>1924.35</v>
      </c>
      <c r="C922" s="8" t="n">
        <v>1.64</v>
      </c>
      <c r="D922" s="8" t="n">
        <v>-1</v>
      </c>
      <c r="E922" s="8" t="n">
        <v>93.25</v>
      </c>
      <c r="F922" s="8" t="n">
        <v>42.32</v>
      </c>
      <c r="G922" s="8" t="n">
        <v>22.54</v>
      </c>
      <c r="H922" s="8" t="n">
        <v>45.139999</v>
      </c>
      <c r="I922" s="8" t="n">
        <v>3397.159912</v>
      </c>
      <c r="J922" s="8" t="n">
        <v>99.854111</v>
      </c>
      <c r="L922" s="9">
        <f>LN(B922/B921)</f>
        <v/>
      </c>
      <c r="M922" s="9">
        <f>$M$1*(C922-C921)</f>
        <v/>
      </c>
      <c r="N922" s="9">
        <f>$N$1*(D922-D921)</f>
        <v/>
      </c>
      <c r="O922" s="9">
        <f>$O$1*LN(E922/E921)</f>
        <v/>
      </c>
      <c r="P922" s="9">
        <f>$P$1*LN(F922/F921)</f>
        <v/>
      </c>
      <c r="Q922" s="9">
        <f>$Q$1*(G922-G921)</f>
        <v/>
      </c>
      <c r="R922" s="9">
        <f>$R$1*(H922-H921)</f>
        <v/>
      </c>
      <c r="S922" s="9">
        <f>$S$1*LN(I922/I921)</f>
        <v/>
      </c>
      <c r="T922" s="9">
        <f>$T$1*LN(J922/J921)</f>
        <v/>
      </c>
      <c r="U922" s="9">
        <f>$W$12+$W$4*M922+$W$5*N922+$W$6*O922+$W$7*P922+$W$8*Q922+$W$9*R922+$W$10*S922+$W$11*T922</f>
        <v/>
      </c>
      <c r="AA922" s="10">
        <f>INDEX(LINEST(L663:L922,M663:T922,TRUE,TRUE),1,9)*52</f>
        <v/>
      </c>
      <c r="AB922" s="9">
        <f>INDEX(LINEST(L663:L922,M663:T922,TRUE,TRUE),1,8)</f>
        <v/>
      </c>
      <c r="AC922" s="9">
        <f>INDEX(LINEST(L663:L922,M663:T922,TRUE,TRUE),1,7)</f>
        <v/>
      </c>
      <c r="AD922" s="9">
        <f>INDEX(LINEST(L663:L922,M663:T922,TRUE,TRUE),1,6)</f>
        <v/>
      </c>
      <c r="AE922" s="9">
        <f>INDEX(LINEST(L663:L922,M663:T922,TRUE,TRUE),1,5)</f>
        <v/>
      </c>
      <c r="AF922" s="9">
        <f>INDEX(LINEST(L663:L922,M663:T922,TRUE,TRUE),1,4)</f>
        <v/>
      </c>
      <c r="AG922" s="9">
        <f>INDEX(LINEST(L663:L922,M663:T922,TRUE,TRUE),1,3)</f>
        <v/>
      </c>
      <c r="AH922" s="9">
        <f>INDEX(LINEST(L663:L922,M663:T922,TRUE,TRUE),1,2)</f>
        <v/>
      </c>
      <c r="AI922" s="9">
        <f>INDEX(LINEST(L663:L922,M663:T922,TRUE,TRUE),1,1)</f>
        <v/>
      </c>
      <c r="AJ922" s="10">
        <f>INDEX(LINEST(L663:L922,M663:T922,TRUE,TRUE),3,1)</f>
        <v/>
      </c>
      <c r="AK922" s="9">
        <f>AA921/52+AB921*M922+AC921*N922+AD921*O922+AE921*P922+AF921*Q922+AG921*R922+AH921*S922+AI921*T922</f>
        <v/>
      </c>
      <c r="AL922" s="9">
        <f>AVERAGE(L662:L921)</f>
        <v/>
      </c>
    </row>
    <row r="923">
      <c r="A923" s="7" t="n">
        <v>44071</v>
      </c>
      <c r="B923" s="8" t="n">
        <v>1957.35</v>
      </c>
      <c r="C923" s="8" t="n">
        <v>1.77</v>
      </c>
      <c r="D923" s="8" t="n">
        <v>-1.03</v>
      </c>
      <c r="E923" s="8" t="n">
        <v>92.370003</v>
      </c>
      <c r="F923" s="8" t="n">
        <v>42.96</v>
      </c>
      <c r="G923" s="8" t="n">
        <v>22.96</v>
      </c>
      <c r="H923" s="8" t="n">
        <v>48.189999</v>
      </c>
      <c r="I923" s="8" t="n">
        <v>3508.01001</v>
      </c>
      <c r="J923" s="8" t="n">
        <v>99.374504</v>
      </c>
      <c r="L923" s="9">
        <f>LN(B923/B922)</f>
        <v/>
      </c>
      <c r="M923" s="9">
        <f>$M$1*(C923-C922)</f>
        <v/>
      </c>
      <c r="N923" s="9">
        <f>$N$1*(D923-D922)</f>
        <v/>
      </c>
      <c r="O923" s="9">
        <f>$O$1*LN(E923/E922)</f>
        <v/>
      </c>
      <c r="P923" s="9">
        <f>$P$1*LN(F923/F922)</f>
        <v/>
      </c>
      <c r="Q923" s="9">
        <f>$Q$1*(G923-G922)</f>
        <v/>
      </c>
      <c r="R923" s="9">
        <f>$R$1*(H923-H922)</f>
        <v/>
      </c>
      <c r="S923" s="9">
        <f>$S$1*LN(I923/I922)</f>
        <v/>
      </c>
      <c r="T923" s="9">
        <f>$T$1*LN(J923/J922)</f>
        <v/>
      </c>
      <c r="U923" s="9">
        <f>$W$12+$W$4*M923+$W$5*N923+$W$6*O923+$W$7*P923+$W$8*Q923+$W$9*R923+$W$10*S923+$W$11*T923</f>
        <v/>
      </c>
      <c r="AA923" s="10">
        <f>INDEX(LINEST(L664:L923,M664:T923,TRUE,TRUE),1,9)*52</f>
        <v/>
      </c>
      <c r="AB923" s="9">
        <f>INDEX(LINEST(L664:L923,M664:T923,TRUE,TRUE),1,8)</f>
        <v/>
      </c>
      <c r="AC923" s="9">
        <f>INDEX(LINEST(L664:L923,M664:T923,TRUE,TRUE),1,7)</f>
        <v/>
      </c>
      <c r="AD923" s="9">
        <f>INDEX(LINEST(L664:L923,M664:T923,TRUE,TRUE),1,6)</f>
        <v/>
      </c>
      <c r="AE923" s="9">
        <f>INDEX(LINEST(L664:L923,M664:T923,TRUE,TRUE),1,5)</f>
        <v/>
      </c>
      <c r="AF923" s="9">
        <f>INDEX(LINEST(L664:L923,M664:T923,TRUE,TRUE),1,4)</f>
        <v/>
      </c>
      <c r="AG923" s="9">
        <f>INDEX(LINEST(L664:L923,M664:T923,TRUE,TRUE),1,3)</f>
        <v/>
      </c>
      <c r="AH923" s="9">
        <f>INDEX(LINEST(L664:L923,M664:T923,TRUE,TRUE),1,2)</f>
        <v/>
      </c>
      <c r="AI923" s="9">
        <f>INDEX(LINEST(L664:L923,M664:T923,TRUE,TRUE),1,1)</f>
        <v/>
      </c>
      <c r="AJ923" s="10">
        <f>INDEX(LINEST(L664:L923,M664:T923,TRUE,TRUE),3,1)</f>
        <v/>
      </c>
      <c r="AK923" s="9">
        <f>AA922/52+AB922*M923+AC922*N923+AD922*O923+AE922*P923+AF922*Q923+AG922*R923+AH922*S923+AI922*T923</f>
        <v/>
      </c>
      <c r="AL923" s="9">
        <f>AVERAGE(L663:L922)</f>
        <v/>
      </c>
    </row>
    <row r="924">
      <c r="A924" s="7" t="n">
        <v>44078</v>
      </c>
      <c r="B924" s="8" t="n">
        <v>1926.3</v>
      </c>
      <c r="C924" s="8" t="n">
        <v>1.7</v>
      </c>
      <c r="D924" s="8" t="n">
        <v>-0.98</v>
      </c>
      <c r="E924" s="8" t="n">
        <v>92.720001</v>
      </c>
      <c r="F924" s="8" t="n">
        <v>39.69</v>
      </c>
      <c r="G924" s="8" t="n">
        <v>30.75</v>
      </c>
      <c r="H924" s="8" t="n">
        <v>47.040001</v>
      </c>
      <c r="I924" s="8" t="n">
        <v>3426.959961</v>
      </c>
      <c r="J924" s="8" t="n">
        <v>99.530052</v>
      </c>
      <c r="L924" s="9">
        <f>LN(B924/B923)</f>
        <v/>
      </c>
      <c r="M924" s="9">
        <f>$M$1*(C924-C923)</f>
        <v/>
      </c>
      <c r="N924" s="9">
        <f>$N$1*(D924-D923)</f>
        <v/>
      </c>
      <c r="O924" s="9">
        <f>$O$1*LN(E924/E923)</f>
        <v/>
      </c>
      <c r="P924" s="9">
        <f>$P$1*LN(F924/F923)</f>
        <v/>
      </c>
      <c r="Q924" s="9">
        <f>$Q$1*(G924-G923)</f>
        <v/>
      </c>
      <c r="R924" s="9">
        <f>$R$1*(H924-H923)</f>
        <v/>
      </c>
      <c r="S924" s="9">
        <f>$S$1*LN(I924/I923)</f>
        <v/>
      </c>
      <c r="T924" s="9">
        <f>$T$1*LN(J924/J923)</f>
        <v/>
      </c>
      <c r="U924" s="9">
        <f>$W$12+$W$4*M924+$W$5*N924+$W$6*O924+$W$7*P924+$W$8*Q924+$W$9*R924+$W$10*S924+$W$11*T924</f>
        <v/>
      </c>
      <c r="AA924" s="10">
        <f>INDEX(LINEST(L665:L924,M665:T924,TRUE,TRUE),1,9)*52</f>
        <v/>
      </c>
      <c r="AB924" s="9">
        <f>INDEX(LINEST(L665:L924,M665:T924,TRUE,TRUE),1,8)</f>
        <v/>
      </c>
      <c r="AC924" s="9">
        <f>INDEX(LINEST(L665:L924,M665:T924,TRUE,TRUE),1,7)</f>
        <v/>
      </c>
      <c r="AD924" s="9">
        <f>INDEX(LINEST(L665:L924,M665:T924,TRUE,TRUE),1,6)</f>
        <v/>
      </c>
      <c r="AE924" s="9">
        <f>INDEX(LINEST(L665:L924,M665:T924,TRUE,TRUE),1,5)</f>
        <v/>
      </c>
      <c r="AF924" s="9">
        <f>INDEX(LINEST(L665:L924,M665:T924,TRUE,TRUE),1,4)</f>
        <v/>
      </c>
      <c r="AG924" s="9">
        <f>INDEX(LINEST(L665:L924,M665:T924,TRUE,TRUE),1,3)</f>
        <v/>
      </c>
      <c r="AH924" s="9">
        <f>INDEX(LINEST(L665:L924,M665:T924,TRUE,TRUE),1,2)</f>
        <v/>
      </c>
      <c r="AI924" s="9">
        <f>INDEX(LINEST(L665:L924,M665:T924,TRUE,TRUE),1,1)</f>
        <v/>
      </c>
      <c r="AJ924" s="10">
        <f>INDEX(LINEST(L665:L924,M665:T924,TRUE,TRUE),3,1)</f>
        <v/>
      </c>
      <c r="AK924" s="9">
        <f>AA923/52+AB923*M924+AC923*N924+AD923*O924+AE923*P924+AF923*Q924+AG923*R924+AH923*S924+AI923*T924</f>
        <v/>
      </c>
      <c r="AL924" s="9">
        <f>AVERAGE(L664:L923)</f>
        <v/>
      </c>
    </row>
    <row r="925">
      <c r="A925" s="7" t="n">
        <v>44085</v>
      </c>
      <c r="B925" s="8" t="n">
        <v>1947.4</v>
      </c>
      <c r="C925" s="8" t="n">
        <v>1.65</v>
      </c>
      <c r="D925" s="8" t="n">
        <v>-0.98</v>
      </c>
      <c r="E925" s="8" t="n">
        <v>93.33000199999999</v>
      </c>
      <c r="F925" s="8" t="n">
        <v>37.33</v>
      </c>
      <c r="G925" s="8" t="n">
        <v>26.87</v>
      </c>
      <c r="H925" s="8" t="n">
        <v>43.119999</v>
      </c>
      <c r="I925" s="8" t="n">
        <v>3340.969971</v>
      </c>
      <c r="J925" s="8" t="n">
        <v>99.757599</v>
      </c>
      <c r="L925" s="9">
        <f>LN(B925/B924)</f>
        <v/>
      </c>
      <c r="M925" s="9">
        <f>$M$1*(C925-C924)</f>
        <v/>
      </c>
      <c r="N925" s="9">
        <f>$N$1*(D925-D924)</f>
        <v/>
      </c>
      <c r="O925" s="9">
        <f>$O$1*LN(E925/E924)</f>
        <v/>
      </c>
      <c r="P925" s="9">
        <f>$P$1*LN(F925/F924)</f>
        <v/>
      </c>
      <c r="Q925" s="9">
        <f>$Q$1*(G925-G924)</f>
        <v/>
      </c>
      <c r="R925" s="9">
        <f>$R$1*(H925-H924)</f>
        <v/>
      </c>
      <c r="S925" s="9">
        <f>$S$1*LN(I925/I924)</f>
        <v/>
      </c>
      <c r="T925" s="9">
        <f>$T$1*LN(J925/J924)</f>
        <v/>
      </c>
      <c r="U925" s="9">
        <f>$W$12+$W$4*M925+$W$5*N925+$W$6*O925+$W$7*P925+$W$8*Q925+$W$9*R925+$W$10*S925+$W$11*T925</f>
        <v/>
      </c>
      <c r="AA925" s="10">
        <f>INDEX(LINEST(L666:L925,M666:T925,TRUE,TRUE),1,9)*52</f>
        <v/>
      </c>
      <c r="AB925" s="9">
        <f>INDEX(LINEST(L666:L925,M666:T925,TRUE,TRUE),1,8)</f>
        <v/>
      </c>
      <c r="AC925" s="9">
        <f>INDEX(LINEST(L666:L925,M666:T925,TRUE,TRUE),1,7)</f>
        <v/>
      </c>
      <c r="AD925" s="9">
        <f>INDEX(LINEST(L666:L925,M666:T925,TRUE,TRUE),1,6)</f>
        <v/>
      </c>
      <c r="AE925" s="9">
        <f>INDEX(LINEST(L666:L925,M666:T925,TRUE,TRUE),1,5)</f>
        <v/>
      </c>
      <c r="AF925" s="9">
        <f>INDEX(LINEST(L666:L925,M666:T925,TRUE,TRUE),1,4)</f>
        <v/>
      </c>
      <c r="AG925" s="9">
        <f>INDEX(LINEST(L666:L925,M666:T925,TRUE,TRUE),1,3)</f>
        <v/>
      </c>
      <c r="AH925" s="9">
        <f>INDEX(LINEST(L666:L925,M666:T925,TRUE,TRUE),1,2)</f>
        <v/>
      </c>
      <c r="AI925" s="9">
        <f>INDEX(LINEST(L666:L925,M666:T925,TRUE,TRUE),1,1)</f>
        <v/>
      </c>
      <c r="AJ925" s="10">
        <f>INDEX(LINEST(L666:L925,M666:T925,TRUE,TRUE),3,1)</f>
        <v/>
      </c>
      <c r="AK925" s="9">
        <f>AA924/52+AB924*M925+AC924*N925+AD924*O925+AE924*P925+AF924*Q925+AG924*R925+AH924*S925+AI924*T925</f>
        <v/>
      </c>
      <c r="AL925" s="9">
        <f>AVERAGE(L665:L924)</f>
        <v/>
      </c>
    </row>
    <row r="926">
      <c r="A926" s="7" t="n">
        <v>44092</v>
      </c>
      <c r="B926" s="8" t="n">
        <v>1950.85</v>
      </c>
      <c r="C926" s="8" t="n">
        <v>1.67</v>
      </c>
      <c r="D926" s="8" t="n">
        <v>-0.97</v>
      </c>
      <c r="E926" s="8" t="n">
        <v>92.93000000000001</v>
      </c>
      <c r="F926" s="8" t="n">
        <v>41.09</v>
      </c>
      <c r="G926" s="8" t="n">
        <v>25.83</v>
      </c>
      <c r="H926" s="8" t="n">
        <v>37.240002</v>
      </c>
      <c r="I926" s="8" t="n">
        <v>3319.469971</v>
      </c>
      <c r="J926" s="8" t="n">
        <v>99.63118</v>
      </c>
      <c r="L926" s="9">
        <f>LN(B926/B925)</f>
        <v/>
      </c>
      <c r="M926" s="9">
        <f>$M$1*(C926-C925)</f>
        <v/>
      </c>
      <c r="N926" s="9">
        <f>$N$1*(D926-D925)</f>
        <v/>
      </c>
      <c r="O926" s="9">
        <f>$O$1*LN(E926/E925)</f>
        <v/>
      </c>
      <c r="P926" s="9">
        <f>$P$1*LN(F926/F925)</f>
        <v/>
      </c>
      <c r="Q926" s="9">
        <f>$Q$1*(G926-G925)</f>
        <v/>
      </c>
      <c r="R926" s="9">
        <f>$R$1*(H926-H925)</f>
        <v/>
      </c>
      <c r="S926" s="9">
        <f>$S$1*LN(I926/I925)</f>
        <v/>
      </c>
      <c r="T926" s="9">
        <f>$T$1*LN(J926/J925)</f>
        <v/>
      </c>
      <c r="U926" s="9">
        <f>$W$12+$W$4*M926+$W$5*N926+$W$6*O926+$W$7*P926+$W$8*Q926+$W$9*R926+$W$10*S926+$W$11*T926</f>
        <v/>
      </c>
      <c r="AA926" s="10">
        <f>INDEX(LINEST(L667:L926,M667:T926,TRUE,TRUE),1,9)*52</f>
        <v/>
      </c>
      <c r="AB926" s="9">
        <f>INDEX(LINEST(L667:L926,M667:T926,TRUE,TRUE),1,8)</f>
        <v/>
      </c>
      <c r="AC926" s="9">
        <f>INDEX(LINEST(L667:L926,M667:T926,TRUE,TRUE),1,7)</f>
        <v/>
      </c>
      <c r="AD926" s="9">
        <f>INDEX(LINEST(L667:L926,M667:T926,TRUE,TRUE),1,6)</f>
        <v/>
      </c>
      <c r="AE926" s="9">
        <f>INDEX(LINEST(L667:L926,M667:T926,TRUE,TRUE),1,5)</f>
        <v/>
      </c>
      <c r="AF926" s="9">
        <f>INDEX(LINEST(L667:L926,M667:T926,TRUE,TRUE),1,4)</f>
        <v/>
      </c>
      <c r="AG926" s="9">
        <f>INDEX(LINEST(L667:L926,M667:T926,TRUE,TRUE),1,3)</f>
        <v/>
      </c>
      <c r="AH926" s="9">
        <f>INDEX(LINEST(L667:L926,M667:T926,TRUE,TRUE),1,2)</f>
        <v/>
      </c>
      <c r="AI926" s="9">
        <f>INDEX(LINEST(L667:L926,M667:T926,TRUE,TRUE),1,1)</f>
        <v/>
      </c>
      <c r="AJ926" s="10">
        <f>INDEX(LINEST(L667:L926,M667:T926,TRUE,TRUE),3,1)</f>
        <v/>
      </c>
      <c r="AK926" s="9">
        <f>AA925/52+AB925*M926+AC925*N926+AD925*O926+AE925*P926+AF925*Q926+AG925*R926+AH925*S926+AI925*T926</f>
        <v/>
      </c>
      <c r="AL926" s="9">
        <f>AVERAGE(L666:L925)</f>
        <v/>
      </c>
    </row>
    <row r="927">
      <c r="A927" s="7" t="n">
        <v>44099</v>
      </c>
      <c r="B927" s="8" t="n">
        <v>1859.7</v>
      </c>
      <c r="C927" s="8" t="n">
        <v>1.58</v>
      </c>
      <c r="D927" s="8" t="n">
        <v>-0.92</v>
      </c>
      <c r="E927" s="8" t="n">
        <v>94.58000199999999</v>
      </c>
      <c r="F927" s="8" t="n">
        <v>40.06</v>
      </c>
      <c r="G927" s="8" t="n">
        <v>26.38</v>
      </c>
      <c r="H927" s="8" t="n">
        <v>36.970001</v>
      </c>
      <c r="I927" s="8" t="n">
        <v>3298.459961</v>
      </c>
      <c r="J927" s="8" t="n">
        <v>99.555367</v>
      </c>
      <c r="L927" s="9">
        <f>LN(B927/B926)</f>
        <v/>
      </c>
      <c r="M927" s="9">
        <f>$M$1*(C927-C926)</f>
        <v/>
      </c>
      <c r="N927" s="9">
        <f>$N$1*(D927-D926)</f>
        <v/>
      </c>
      <c r="O927" s="9">
        <f>$O$1*LN(E927/E926)</f>
        <v/>
      </c>
      <c r="P927" s="9">
        <f>$P$1*LN(F927/F926)</f>
        <v/>
      </c>
      <c r="Q927" s="9">
        <f>$Q$1*(G927-G926)</f>
        <v/>
      </c>
      <c r="R927" s="9">
        <f>$R$1*(H927-H926)</f>
        <v/>
      </c>
      <c r="S927" s="9">
        <f>$S$1*LN(I927/I926)</f>
        <v/>
      </c>
      <c r="T927" s="9">
        <f>$T$1*LN(J927/J926)</f>
        <v/>
      </c>
      <c r="U927" s="9">
        <f>$W$12+$W$4*M927+$W$5*N927+$W$6*O927+$W$7*P927+$W$8*Q927+$W$9*R927+$W$10*S927+$W$11*T927</f>
        <v/>
      </c>
      <c r="AA927" s="10">
        <f>INDEX(LINEST(L668:L927,M668:T927,TRUE,TRUE),1,9)*52</f>
        <v/>
      </c>
      <c r="AB927" s="9">
        <f>INDEX(LINEST(L668:L927,M668:T927,TRUE,TRUE),1,8)</f>
        <v/>
      </c>
      <c r="AC927" s="9">
        <f>INDEX(LINEST(L668:L927,M668:T927,TRUE,TRUE),1,7)</f>
        <v/>
      </c>
      <c r="AD927" s="9">
        <f>INDEX(LINEST(L668:L927,M668:T927,TRUE,TRUE),1,6)</f>
        <v/>
      </c>
      <c r="AE927" s="9">
        <f>INDEX(LINEST(L668:L927,M668:T927,TRUE,TRUE),1,5)</f>
        <v/>
      </c>
      <c r="AF927" s="9">
        <f>INDEX(LINEST(L668:L927,M668:T927,TRUE,TRUE),1,4)</f>
        <v/>
      </c>
      <c r="AG927" s="9">
        <f>INDEX(LINEST(L668:L927,M668:T927,TRUE,TRUE),1,3)</f>
        <v/>
      </c>
      <c r="AH927" s="9">
        <f>INDEX(LINEST(L668:L927,M668:T927,TRUE,TRUE),1,2)</f>
        <v/>
      </c>
      <c r="AI927" s="9">
        <f>INDEX(LINEST(L668:L927,M668:T927,TRUE,TRUE),1,1)</f>
        <v/>
      </c>
      <c r="AJ927" s="10">
        <f>INDEX(LINEST(L668:L927,M668:T927,TRUE,TRUE),3,1)</f>
        <v/>
      </c>
      <c r="AK927" s="9">
        <f>AA926/52+AB926*M927+AC926*N927+AD926*O927+AE926*P927+AF926*Q927+AG926*R927+AH926*S927+AI926*T927</f>
        <v/>
      </c>
      <c r="AL927" s="9">
        <f>AVERAGE(L667:L926)</f>
        <v/>
      </c>
    </row>
    <row r="928">
      <c r="A928" s="7" t="n">
        <v>44106</v>
      </c>
      <c r="B928" s="8" t="n">
        <v>1903.05</v>
      </c>
      <c r="C928" s="8" t="n">
        <v>1.64</v>
      </c>
      <c r="D928" s="8" t="n">
        <v>-0.9399999999999999</v>
      </c>
      <c r="E928" s="8" t="n">
        <v>93.839996</v>
      </c>
      <c r="F928" s="8" t="n">
        <v>36.9</v>
      </c>
      <c r="G928" s="8" t="n">
        <v>27.63</v>
      </c>
      <c r="H928" s="8" t="n">
        <v>39.970001</v>
      </c>
      <c r="I928" s="8" t="n">
        <v>3348.419922</v>
      </c>
      <c r="J928" s="8" t="n">
        <v>99.53182200000001</v>
      </c>
      <c r="L928" s="9">
        <f>LN(B928/B927)</f>
        <v/>
      </c>
      <c r="M928" s="9">
        <f>$M$1*(C928-C927)</f>
        <v/>
      </c>
      <c r="N928" s="9">
        <f>$N$1*(D928-D927)</f>
        <v/>
      </c>
      <c r="O928" s="9">
        <f>$O$1*LN(E928/E927)</f>
        <v/>
      </c>
      <c r="P928" s="9">
        <f>$P$1*LN(F928/F927)</f>
        <v/>
      </c>
      <c r="Q928" s="9">
        <f>$Q$1*(G928-G927)</f>
        <v/>
      </c>
      <c r="R928" s="9">
        <f>$R$1*(H928-H927)</f>
        <v/>
      </c>
      <c r="S928" s="9">
        <f>$S$1*LN(I928/I927)</f>
        <v/>
      </c>
      <c r="T928" s="9">
        <f>$T$1*LN(J928/J927)</f>
        <v/>
      </c>
      <c r="U928" s="9">
        <f>$W$12+$W$4*M928+$W$5*N928+$W$6*O928+$W$7*P928+$W$8*Q928+$W$9*R928+$W$10*S928+$W$11*T928</f>
        <v/>
      </c>
      <c r="AA928" s="10">
        <f>INDEX(LINEST(L669:L928,M669:T928,TRUE,TRUE),1,9)*52</f>
        <v/>
      </c>
      <c r="AB928" s="9">
        <f>INDEX(LINEST(L669:L928,M669:T928,TRUE,TRUE),1,8)</f>
        <v/>
      </c>
      <c r="AC928" s="9">
        <f>INDEX(LINEST(L669:L928,M669:T928,TRUE,TRUE),1,7)</f>
        <v/>
      </c>
      <c r="AD928" s="9">
        <f>INDEX(LINEST(L669:L928,M669:T928,TRUE,TRUE),1,6)</f>
        <v/>
      </c>
      <c r="AE928" s="9">
        <f>INDEX(LINEST(L669:L928,M669:T928,TRUE,TRUE),1,5)</f>
        <v/>
      </c>
      <c r="AF928" s="9">
        <f>INDEX(LINEST(L669:L928,M669:T928,TRUE,TRUE),1,4)</f>
        <v/>
      </c>
      <c r="AG928" s="9">
        <f>INDEX(LINEST(L669:L928,M669:T928,TRUE,TRUE),1,3)</f>
        <v/>
      </c>
      <c r="AH928" s="9">
        <f>INDEX(LINEST(L669:L928,M669:T928,TRUE,TRUE),1,2)</f>
        <v/>
      </c>
      <c r="AI928" s="9">
        <f>INDEX(LINEST(L669:L928,M669:T928,TRUE,TRUE),1,1)</f>
        <v/>
      </c>
      <c r="AJ928" s="10">
        <f>INDEX(LINEST(L669:L928,M669:T928,TRUE,TRUE),3,1)</f>
        <v/>
      </c>
      <c r="AK928" s="9">
        <f>AA927/52+AB927*M928+AC927*N928+AD927*O928+AE927*P928+AF927*Q928+AG927*R928+AH927*S928+AI927*T928</f>
        <v/>
      </c>
      <c r="AL928" s="9">
        <f>AVERAGE(L668:L927)</f>
        <v/>
      </c>
    </row>
    <row r="929">
      <c r="A929" s="7" t="n">
        <v>44113</v>
      </c>
      <c r="B929" s="8" t="n">
        <v>1923.25</v>
      </c>
      <c r="C929" s="8" t="n">
        <v>1.73</v>
      </c>
      <c r="D929" s="8" t="n">
        <v>-0.9399999999999999</v>
      </c>
      <c r="E929" s="8" t="n">
        <v>93.05999799999999</v>
      </c>
      <c r="F929" s="8" t="n">
        <v>40.44</v>
      </c>
      <c r="G929" s="8" t="n">
        <v>25</v>
      </c>
      <c r="H929" s="8" t="n">
        <v>57.52</v>
      </c>
      <c r="I929" s="8" t="n">
        <v>3477.139893</v>
      </c>
      <c r="J929" s="8" t="n">
        <v>99.379845</v>
      </c>
      <c r="L929" s="9">
        <f>LN(B929/B928)</f>
        <v/>
      </c>
      <c r="M929" s="9">
        <f>$M$1*(C929-C928)</f>
        <v/>
      </c>
      <c r="N929" s="9">
        <f>$N$1*(D929-D928)</f>
        <v/>
      </c>
      <c r="O929" s="9">
        <f>$O$1*LN(E929/E928)</f>
        <v/>
      </c>
      <c r="P929" s="9">
        <f>$P$1*LN(F929/F928)</f>
        <v/>
      </c>
      <c r="Q929" s="9">
        <f>$Q$1*(G929-G928)</f>
        <v/>
      </c>
      <c r="R929" s="9">
        <f>$R$1*(H929-H928)</f>
        <v/>
      </c>
      <c r="S929" s="9">
        <f>$S$1*LN(I929/I928)</f>
        <v/>
      </c>
      <c r="T929" s="9">
        <f>$T$1*LN(J929/J928)</f>
        <v/>
      </c>
      <c r="U929" s="9">
        <f>$W$12+$W$4*M929+$W$5*N929+$W$6*O929+$W$7*P929+$W$8*Q929+$W$9*R929+$W$10*S929+$W$11*T929</f>
        <v/>
      </c>
      <c r="AA929" s="10">
        <f>INDEX(LINEST(L670:L929,M670:T929,TRUE,TRUE),1,9)*52</f>
        <v/>
      </c>
      <c r="AB929" s="9">
        <f>INDEX(LINEST(L670:L929,M670:T929,TRUE,TRUE),1,8)</f>
        <v/>
      </c>
      <c r="AC929" s="9">
        <f>INDEX(LINEST(L670:L929,M670:T929,TRUE,TRUE),1,7)</f>
        <v/>
      </c>
      <c r="AD929" s="9">
        <f>INDEX(LINEST(L670:L929,M670:T929,TRUE,TRUE),1,6)</f>
        <v/>
      </c>
      <c r="AE929" s="9">
        <f>INDEX(LINEST(L670:L929,M670:T929,TRUE,TRUE),1,5)</f>
        <v/>
      </c>
      <c r="AF929" s="9">
        <f>INDEX(LINEST(L670:L929,M670:T929,TRUE,TRUE),1,4)</f>
        <v/>
      </c>
      <c r="AG929" s="9">
        <f>INDEX(LINEST(L670:L929,M670:T929,TRUE,TRUE),1,3)</f>
        <v/>
      </c>
      <c r="AH929" s="9">
        <f>INDEX(LINEST(L670:L929,M670:T929,TRUE,TRUE),1,2)</f>
        <v/>
      </c>
      <c r="AI929" s="9">
        <f>INDEX(LINEST(L670:L929,M670:T929,TRUE,TRUE),1,1)</f>
        <v/>
      </c>
      <c r="AJ929" s="10">
        <f>INDEX(LINEST(L670:L929,M670:T929,TRUE,TRUE),3,1)</f>
        <v/>
      </c>
      <c r="AK929" s="9">
        <f>AA928/52+AB928*M929+AC928*N929+AD928*O929+AE928*P929+AF928*Q929+AG928*R929+AH928*S929+AI928*T929</f>
        <v/>
      </c>
      <c r="AL929" s="9">
        <f>AVERAGE(L669:L928)</f>
        <v/>
      </c>
    </row>
    <row r="930">
      <c r="A930" s="7" t="n">
        <v>44120</v>
      </c>
      <c r="B930" s="8" t="n">
        <v>1905.05</v>
      </c>
      <c r="C930" s="8" t="n">
        <v>1.71</v>
      </c>
      <c r="D930" s="8" t="n">
        <v>-0.95</v>
      </c>
      <c r="E930" s="8" t="n">
        <v>93.68000000000001</v>
      </c>
      <c r="F930" s="8" t="n">
        <v>40.7</v>
      </c>
      <c r="G930" s="8" t="n">
        <v>27.41</v>
      </c>
      <c r="H930" s="8" t="n">
        <v>57.25</v>
      </c>
      <c r="I930" s="8" t="n">
        <v>3483.810059</v>
      </c>
      <c r="J930" s="8" t="n">
        <v>99.523392</v>
      </c>
      <c r="L930" s="9">
        <f>LN(B930/B929)</f>
        <v/>
      </c>
      <c r="M930" s="9">
        <f>$M$1*(C930-C929)</f>
        <v/>
      </c>
      <c r="N930" s="9">
        <f>$N$1*(D930-D929)</f>
        <v/>
      </c>
      <c r="O930" s="9">
        <f>$O$1*LN(E930/E929)</f>
        <v/>
      </c>
      <c r="P930" s="9">
        <f>$P$1*LN(F930/F929)</f>
        <v/>
      </c>
      <c r="Q930" s="9">
        <f>$Q$1*(G930-G929)</f>
        <v/>
      </c>
      <c r="R930" s="9">
        <f>$R$1*(H930-H929)</f>
        <v/>
      </c>
      <c r="S930" s="9">
        <f>$S$1*LN(I930/I929)</f>
        <v/>
      </c>
      <c r="T930" s="9">
        <f>$T$1*LN(J930/J929)</f>
        <v/>
      </c>
      <c r="U930" s="9">
        <f>$W$12+$W$4*M930+$W$5*N930+$W$6*O930+$W$7*P930+$W$8*Q930+$W$9*R930+$W$10*S930+$W$11*T930</f>
        <v/>
      </c>
      <c r="AA930" s="10">
        <f>INDEX(LINEST(L671:L930,M671:T930,TRUE,TRUE),1,9)*52</f>
        <v/>
      </c>
      <c r="AB930" s="9">
        <f>INDEX(LINEST(L671:L930,M671:T930,TRUE,TRUE),1,8)</f>
        <v/>
      </c>
      <c r="AC930" s="9">
        <f>INDEX(LINEST(L671:L930,M671:T930,TRUE,TRUE),1,7)</f>
        <v/>
      </c>
      <c r="AD930" s="9">
        <f>INDEX(LINEST(L671:L930,M671:T930,TRUE,TRUE),1,6)</f>
        <v/>
      </c>
      <c r="AE930" s="9">
        <f>INDEX(LINEST(L671:L930,M671:T930,TRUE,TRUE),1,5)</f>
        <v/>
      </c>
      <c r="AF930" s="9">
        <f>INDEX(LINEST(L671:L930,M671:T930,TRUE,TRUE),1,4)</f>
        <v/>
      </c>
      <c r="AG930" s="9">
        <f>INDEX(LINEST(L671:L930,M671:T930,TRUE,TRUE),1,3)</f>
        <v/>
      </c>
      <c r="AH930" s="9">
        <f>INDEX(LINEST(L671:L930,M671:T930,TRUE,TRUE),1,2)</f>
        <v/>
      </c>
      <c r="AI930" s="9">
        <f>INDEX(LINEST(L671:L930,M671:T930,TRUE,TRUE),1,1)</f>
        <v/>
      </c>
      <c r="AJ930" s="10">
        <f>INDEX(LINEST(L671:L930,M671:T930,TRUE,TRUE),3,1)</f>
        <v/>
      </c>
      <c r="AK930" s="9">
        <f>AA929/52+AB929*M930+AC929*N930+AD929*O930+AE929*P930+AF929*Q930+AG929*R930+AH929*S930+AI929*T930</f>
        <v/>
      </c>
      <c r="AL930" s="9">
        <f>AVERAGE(L670:L929)</f>
        <v/>
      </c>
    </row>
    <row r="931">
      <c r="A931" s="7" t="n">
        <v>44127</v>
      </c>
      <c r="B931" s="8" t="n">
        <v>1903.65</v>
      </c>
      <c r="C931" s="8" t="n">
        <v>1.75</v>
      </c>
      <c r="D931" s="8" t="n">
        <v>-0.9</v>
      </c>
      <c r="E931" s="8" t="n">
        <v>92.769997</v>
      </c>
      <c r="F931" s="8" t="n">
        <v>39.73</v>
      </c>
      <c r="G931" s="8" t="n">
        <v>27.55</v>
      </c>
      <c r="H931" s="8" t="n">
        <v>58.459999</v>
      </c>
      <c r="I931" s="8" t="n">
        <v>3465.389893</v>
      </c>
      <c r="J931" s="8" t="n">
        <v>99.168823</v>
      </c>
      <c r="L931" s="9">
        <f>LN(B931/B930)</f>
        <v/>
      </c>
      <c r="M931" s="9">
        <f>$M$1*(C931-C930)</f>
        <v/>
      </c>
      <c r="N931" s="9">
        <f>$N$1*(D931-D930)</f>
        <v/>
      </c>
      <c r="O931" s="9">
        <f>$O$1*LN(E931/E930)</f>
        <v/>
      </c>
      <c r="P931" s="9">
        <f>$P$1*LN(F931/F930)</f>
        <v/>
      </c>
      <c r="Q931" s="9">
        <f>$Q$1*(G931-G930)</f>
        <v/>
      </c>
      <c r="R931" s="9">
        <f>$R$1*(H931-H930)</f>
        <v/>
      </c>
      <c r="S931" s="9">
        <f>$S$1*LN(I931/I930)</f>
        <v/>
      </c>
      <c r="T931" s="9">
        <f>$T$1*LN(J931/J930)</f>
        <v/>
      </c>
      <c r="U931" s="9">
        <f>$W$12+$W$4*M931+$W$5*N931+$W$6*O931+$W$7*P931+$W$8*Q931+$W$9*R931+$W$10*S931+$W$11*T931</f>
        <v/>
      </c>
      <c r="AA931" s="10">
        <f>INDEX(LINEST(L672:L931,M672:T931,TRUE,TRUE),1,9)*52</f>
        <v/>
      </c>
      <c r="AB931" s="9">
        <f>INDEX(LINEST(L672:L931,M672:T931,TRUE,TRUE),1,8)</f>
        <v/>
      </c>
      <c r="AC931" s="9">
        <f>INDEX(LINEST(L672:L931,M672:T931,TRUE,TRUE),1,7)</f>
        <v/>
      </c>
      <c r="AD931" s="9">
        <f>INDEX(LINEST(L672:L931,M672:T931,TRUE,TRUE),1,6)</f>
        <v/>
      </c>
      <c r="AE931" s="9">
        <f>INDEX(LINEST(L672:L931,M672:T931,TRUE,TRUE),1,5)</f>
        <v/>
      </c>
      <c r="AF931" s="9">
        <f>INDEX(LINEST(L672:L931,M672:T931,TRUE,TRUE),1,4)</f>
        <v/>
      </c>
      <c r="AG931" s="9">
        <f>INDEX(LINEST(L672:L931,M672:T931,TRUE,TRUE),1,3)</f>
        <v/>
      </c>
      <c r="AH931" s="9">
        <f>INDEX(LINEST(L672:L931,M672:T931,TRUE,TRUE),1,2)</f>
        <v/>
      </c>
      <c r="AI931" s="9">
        <f>INDEX(LINEST(L672:L931,M672:T931,TRUE,TRUE),1,1)</f>
        <v/>
      </c>
      <c r="AJ931" s="10">
        <f>INDEX(LINEST(L672:L931,M672:T931,TRUE,TRUE),3,1)</f>
        <v/>
      </c>
      <c r="AK931" s="9">
        <f>AA930/52+AB930*M931+AC930*N931+AD930*O931+AE930*P931+AF930*Q931+AG930*R931+AH930*S931+AI930*T931</f>
        <v/>
      </c>
      <c r="AL931" s="9">
        <f>AVERAGE(L671:L930)</f>
        <v/>
      </c>
    </row>
    <row r="932">
      <c r="A932" s="7" t="n">
        <v>44134</v>
      </c>
      <c r="B932" s="8" t="n">
        <v>1881.85</v>
      </c>
      <c r="C932" s="8" t="n">
        <v>1.7</v>
      </c>
      <c r="D932" s="8" t="n">
        <v>-0.82</v>
      </c>
      <c r="E932" s="8" t="n">
        <v>94.040001</v>
      </c>
      <c r="F932" s="8" t="n">
        <v>35.64</v>
      </c>
      <c r="G932" s="8" t="n">
        <v>38.02</v>
      </c>
      <c r="H932" s="8" t="n">
        <v>61.91</v>
      </c>
      <c r="I932" s="8" t="n">
        <v>3269.959961</v>
      </c>
      <c r="J932" s="8" t="n">
        <v>98.94088000000001</v>
      </c>
      <c r="L932" s="9">
        <f>LN(B932/B931)</f>
        <v/>
      </c>
      <c r="M932" s="9">
        <f>$M$1*(C932-C931)</f>
        <v/>
      </c>
      <c r="N932" s="9">
        <f>$N$1*(D932-D931)</f>
        <v/>
      </c>
      <c r="O932" s="9">
        <f>$O$1*LN(E932/E931)</f>
        <v/>
      </c>
      <c r="P932" s="9">
        <f>$P$1*LN(F932/F931)</f>
        <v/>
      </c>
      <c r="Q932" s="9">
        <f>$Q$1*(G932-G931)</f>
        <v/>
      </c>
      <c r="R932" s="9">
        <f>$R$1*(H932-H931)</f>
        <v/>
      </c>
      <c r="S932" s="9">
        <f>$S$1*LN(I932/I931)</f>
        <v/>
      </c>
      <c r="T932" s="9">
        <f>$T$1*LN(J932/J931)</f>
        <v/>
      </c>
      <c r="U932" s="9">
        <f>$W$12+$W$4*M932+$W$5*N932+$W$6*O932+$W$7*P932+$W$8*Q932+$W$9*R932+$W$10*S932+$W$11*T932</f>
        <v/>
      </c>
      <c r="AA932" s="10">
        <f>INDEX(LINEST(L673:L932,M673:T932,TRUE,TRUE),1,9)*52</f>
        <v/>
      </c>
      <c r="AB932" s="9">
        <f>INDEX(LINEST(L673:L932,M673:T932,TRUE,TRUE),1,8)</f>
        <v/>
      </c>
      <c r="AC932" s="9">
        <f>INDEX(LINEST(L673:L932,M673:T932,TRUE,TRUE),1,7)</f>
        <v/>
      </c>
      <c r="AD932" s="9">
        <f>INDEX(LINEST(L673:L932,M673:T932,TRUE,TRUE),1,6)</f>
        <v/>
      </c>
      <c r="AE932" s="9">
        <f>INDEX(LINEST(L673:L932,M673:T932,TRUE,TRUE),1,5)</f>
        <v/>
      </c>
      <c r="AF932" s="9">
        <f>INDEX(LINEST(L673:L932,M673:T932,TRUE,TRUE),1,4)</f>
        <v/>
      </c>
      <c r="AG932" s="9">
        <f>INDEX(LINEST(L673:L932,M673:T932,TRUE,TRUE),1,3)</f>
        <v/>
      </c>
      <c r="AH932" s="9">
        <f>INDEX(LINEST(L673:L932,M673:T932,TRUE,TRUE),1,2)</f>
        <v/>
      </c>
      <c r="AI932" s="9">
        <f>INDEX(LINEST(L673:L932,M673:T932,TRUE,TRUE),1,1)</f>
        <v/>
      </c>
      <c r="AJ932" s="10">
        <f>INDEX(LINEST(L673:L932,M673:T932,TRUE,TRUE),3,1)</f>
        <v/>
      </c>
      <c r="AK932" s="9">
        <f>AA931/52+AB931*M932+AC931*N932+AD931*O932+AE931*P932+AF931*Q932+AG931*R932+AH931*S932+AI931*T932</f>
        <v/>
      </c>
      <c r="AL932" s="9">
        <f>AVERAGE(L672:L931)</f>
        <v/>
      </c>
    </row>
    <row r="933">
      <c r="A933" s="7" t="n">
        <v>44141</v>
      </c>
      <c r="B933" s="8" t="n">
        <v>1940.8</v>
      </c>
      <c r="C933" s="8" t="n">
        <v>1.65</v>
      </c>
      <c r="D933" s="8" t="n">
        <v>-0.82</v>
      </c>
      <c r="E933" s="8" t="n">
        <v>92.230003</v>
      </c>
      <c r="F933" s="8" t="n">
        <v>36.97</v>
      </c>
      <c r="G933" s="8" t="n">
        <v>24.86</v>
      </c>
      <c r="H933" s="8" t="n">
        <v>39.880001</v>
      </c>
      <c r="I933" s="8" t="n">
        <v>3509.439941</v>
      </c>
      <c r="J933" s="8" t="n">
        <v>99.61058</v>
      </c>
      <c r="L933" s="9">
        <f>LN(B933/B932)</f>
        <v/>
      </c>
      <c r="M933" s="9">
        <f>$M$1*(C933-C932)</f>
        <v/>
      </c>
      <c r="N933" s="9">
        <f>$N$1*(D933-D932)</f>
        <v/>
      </c>
      <c r="O933" s="9">
        <f>$O$1*LN(E933/E932)</f>
        <v/>
      </c>
      <c r="P933" s="9">
        <f>$P$1*LN(F933/F932)</f>
        <v/>
      </c>
      <c r="Q933" s="9">
        <f>$Q$1*(G933-G932)</f>
        <v/>
      </c>
      <c r="R933" s="9">
        <f>$R$1*(H933-H932)</f>
        <v/>
      </c>
      <c r="S933" s="9">
        <f>$S$1*LN(I933/I932)</f>
        <v/>
      </c>
      <c r="T933" s="9">
        <f>$T$1*LN(J933/J932)</f>
        <v/>
      </c>
      <c r="U933" s="9">
        <f>$W$12+$W$4*M933+$W$5*N933+$W$6*O933+$W$7*P933+$W$8*Q933+$W$9*R933+$W$10*S933+$W$11*T933</f>
        <v/>
      </c>
      <c r="AA933" s="10">
        <f>INDEX(LINEST(L674:L933,M674:T933,TRUE,TRUE),1,9)*52</f>
        <v/>
      </c>
      <c r="AB933" s="9">
        <f>INDEX(LINEST(L674:L933,M674:T933,TRUE,TRUE),1,8)</f>
        <v/>
      </c>
      <c r="AC933" s="9">
        <f>INDEX(LINEST(L674:L933,M674:T933,TRUE,TRUE),1,7)</f>
        <v/>
      </c>
      <c r="AD933" s="9">
        <f>INDEX(LINEST(L674:L933,M674:T933,TRUE,TRUE),1,6)</f>
        <v/>
      </c>
      <c r="AE933" s="9">
        <f>INDEX(LINEST(L674:L933,M674:T933,TRUE,TRUE),1,5)</f>
        <v/>
      </c>
      <c r="AF933" s="9">
        <f>INDEX(LINEST(L674:L933,M674:T933,TRUE,TRUE),1,4)</f>
        <v/>
      </c>
      <c r="AG933" s="9">
        <f>INDEX(LINEST(L674:L933,M674:T933,TRUE,TRUE),1,3)</f>
        <v/>
      </c>
      <c r="AH933" s="9">
        <f>INDEX(LINEST(L674:L933,M674:T933,TRUE,TRUE),1,2)</f>
        <v/>
      </c>
      <c r="AI933" s="9">
        <f>INDEX(LINEST(L674:L933,M674:T933,TRUE,TRUE),1,1)</f>
        <v/>
      </c>
      <c r="AJ933" s="10">
        <f>INDEX(LINEST(L674:L933,M674:T933,TRUE,TRUE),3,1)</f>
        <v/>
      </c>
      <c r="AK933" s="9">
        <f>AA932/52+AB932*M933+AC932*N933+AD932*O933+AE932*P933+AF932*Q933+AG932*R933+AH932*S933+AI932*T933</f>
        <v/>
      </c>
      <c r="AL933" s="9">
        <f>AVERAGE(L673:L932)</f>
        <v/>
      </c>
    </row>
    <row r="934">
      <c r="A934" s="7" t="n">
        <v>44148</v>
      </c>
      <c r="B934" s="8" t="n">
        <v>1890.9</v>
      </c>
      <c r="C934" s="8" t="n">
        <v>1.72</v>
      </c>
      <c r="D934" s="8" t="n">
        <v>-0.83</v>
      </c>
      <c r="E934" s="8" t="n">
        <v>92.760002</v>
      </c>
      <c r="F934" s="8" t="n">
        <v>39.93</v>
      </c>
      <c r="G934" s="8" t="n">
        <v>23.1</v>
      </c>
      <c r="H934" s="8" t="n">
        <v>42.950001</v>
      </c>
      <c r="I934" s="8" t="n">
        <v>3585.149902</v>
      </c>
      <c r="J934" s="8" t="n">
        <v>99.475281</v>
      </c>
      <c r="L934" s="9">
        <f>LN(B934/B933)</f>
        <v/>
      </c>
      <c r="M934" s="9">
        <f>$M$1*(C934-C933)</f>
        <v/>
      </c>
      <c r="N934" s="9">
        <f>$N$1*(D934-D933)</f>
        <v/>
      </c>
      <c r="O934" s="9">
        <f>$O$1*LN(E934/E933)</f>
        <v/>
      </c>
      <c r="P934" s="9">
        <f>$P$1*LN(F934/F933)</f>
        <v/>
      </c>
      <c r="Q934" s="9">
        <f>$Q$1*(G934-G933)</f>
        <v/>
      </c>
      <c r="R934" s="9">
        <f>$R$1*(H934-H933)</f>
        <v/>
      </c>
      <c r="S934" s="9">
        <f>$S$1*LN(I934/I933)</f>
        <v/>
      </c>
      <c r="T934" s="9">
        <f>$T$1*LN(J934/J933)</f>
        <v/>
      </c>
      <c r="U934" s="9">
        <f>$W$12+$W$4*M934+$W$5*N934+$W$6*O934+$W$7*P934+$W$8*Q934+$W$9*R934+$W$10*S934+$W$11*T934</f>
        <v/>
      </c>
      <c r="AA934" s="10">
        <f>INDEX(LINEST(L675:L934,M675:T934,TRUE,TRUE),1,9)*52</f>
        <v/>
      </c>
      <c r="AB934" s="9">
        <f>INDEX(LINEST(L675:L934,M675:T934,TRUE,TRUE),1,8)</f>
        <v/>
      </c>
      <c r="AC934" s="9">
        <f>INDEX(LINEST(L675:L934,M675:T934,TRUE,TRUE),1,7)</f>
        <v/>
      </c>
      <c r="AD934" s="9">
        <f>INDEX(LINEST(L675:L934,M675:T934,TRUE,TRUE),1,6)</f>
        <v/>
      </c>
      <c r="AE934" s="9">
        <f>INDEX(LINEST(L675:L934,M675:T934,TRUE,TRUE),1,5)</f>
        <v/>
      </c>
      <c r="AF934" s="9">
        <f>INDEX(LINEST(L675:L934,M675:T934,TRUE,TRUE),1,4)</f>
        <v/>
      </c>
      <c r="AG934" s="9">
        <f>INDEX(LINEST(L675:L934,M675:T934,TRUE,TRUE),1,3)</f>
        <v/>
      </c>
      <c r="AH934" s="9">
        <f>INDEX(LINEST(L675:L934,M675:T934,TRUE,TRUE),1,2)</f>
        <v/>
      </c>
      <c r="AI934" s="9">
        <f>INDEX(LINEST(L675:L934,M675:T934,TRUE,TRUE),1,1)</f>
        <v/>
      </c>
      <c r="AJ934" s="10">
        <f>INDEX(LINEST(L675:L934,M675:T934,TRUE,TRUE),3,1)</f>
        <v/>
      </c>
      <c r="AK934" s="9">
        <f>AA933/52+AB933*M934+AC933*N934+AD933*O934+AE933*P934+AF933*Q934+AG933*R934+AH933*S934+AI933*T934</f>
        <v/>
      </c>
      <c r="AL934" s="9">
        <f>AVERAGE(L674:L933)</f>
        <v/>
      </c>
    </row>
    <row r="935">
      <c r="A935" s="7" t="n">
        <v>44155</v>
      </c>
      <c r="B935" s="8" t="n">
        <v>1875.7</v>
      </c>
      <c r="C935" s="8" t="n">
        <v>1.69</v>
      </c>
      <c r="D935" s="8" t="n">
        <v>-0.86</v>
      </c>
      <c r="E935" s="8" t="n">
        <v>92.389999</v>
      </c>
      <c r="F935" s="8" t="n">
        <v>41.99</v>
      </c>
      <c r="G935" s="8" t="n">
        <v>23.7</v>
      </c>
      <c r="H935" s="8" t="n">
        <v>42.310001</v>
      </c>
      <c r="I935" s="8" t="n">
        <v>3557.540039</v>
      </c>
      <c r="J935" s="8" t="n">
        <v>100.02491</v>
      </c>
      <c r="L935" s="9">
        <f>LN(B935/B934)</f>
        <v/>
      </c>
      <c r="M935" s="9">
        <f>$M$1*(C935-C934)</f>
        <v/>
      </c>
      <c r="N935" s="9">
        <f>$N$1*(D935-D934)</f>
        <v/>
      </c>
      <c r="O935" s="9">
        <f>$O$1*LN(E935/E934)</f>
        <v/>
      </c>
      <c r="P935" s="9">
        <f>$P$1*LN(F935/F934)</f>
        <v/>
      </c>
      <c r="Q935" s="9">
        <f>$Q$1*(G935-G934)</f>
        <v/>
      </c>
      <c r="R935" s="9">
        <f>$R$1*(H935-H934)</f>
        <v/>
      </c>
      <c r="S935" s="9">
        <f>$S$1*LN(I935/I934)</f>
        <v/>
      </c>
      <c r="T935" s="9">
        <f>$T$1*LN(J935/J934)</f>
        <v/>
      </c>
      <c r="U935" s="9">
        <f>$W$12+$W$4*M935+$W$5*N935+$W$6*O935+$W$7*P935+$W$8*Q935+$W$9*R935+$W$10*S935+$W$11*T935</f>
        <v/>
      </c>
      <c r="AA935" s="10">
        <f>INDEX(LINEST(L676:L935,M676:T935,TRUE,TRUE),1,9)*52</f>
        <v/>
      </c>
      <c r="AB935" s="9">
        <f>INDEX(LINEST(L676:L935,M676:T935,TRUE,TRUE),1,8)</f>
        <v/>
      </c>
      <c r="AC935" s="9">
        <f>INDEX(LINEST(L676:L935,M676:T935,TRUE,TRUE),1,7)</f>
        <v/>
      </c>
      <c r="AD935" s="9">
        <f>INDEX(LINEST(L676:L935,M676:T935,TRUE,TRUE),1,6)</f>
        <v/>
      </c>
      <c r="AE935" s="9">
        <f>INDEX(LINEST(L676:L935,M676:T935,TRUE,TRUE),1,5)</f>
        <v/>
      </c>
      <c r="AF935" s="9">
        <f>INDEX(LINEST(L676:L935,M676:T935,TRUE,TRUE),1,4)</f>
        <v/>
      </c>
      <c r="AG935" s="9">
        <f>INDEX(LINEST(L676:L935,M676:T935,TRUE,TRUE),1,3)</f>
        <v/>
      </c>
      <c r="AH935" s="9">
        <f>INDEX(LINEST(L676:L935,M676:T935,TRUE,TRUE),1,2)</f>
        <v/>
      </c>
      <c r="AI935" s="9">
        <f>INDEX(LINEST(L676:L935,M676:T935,TRUE,TRUE),1,1)</f>
        <v/>
      </c>
      <c r="AJ935" s="10">
        <f>INDEX(LINEST(L676:L935,M676:T935,TRUE,TRUE),3,1)</f>
        <v/>
      </c>
      <c r="AK935" s="9">
        <f>AA934/52+AB934*M935+AC934*N935+AD934*O935+AE934*P935+AF934*Q935+AG934*R935+AH934*S935+AI934*T935</f>
        <v/>
      </c>
      <c r="AL935" s="9">
        <f>AVERAGE(L675:L934)</f>
        <v/>
      </c>
    </row>
    <row r="936">
      <c r="A936" s="7" t="n">
        <v>44162</v>
      </c>
      <c r="B936" s="8" t="n">
        <v>1779.3</v>
      </c>
      <c r="C936" s="8" t="n">
        <v>1.75</v>
      </c>
      <c r="D936" s="8" t="n">
        <v>-0.91</v>
      </c>
      <c r="E936" s="8" t="n">
        <v>91.790001</v>
      </c>
      <c r="F936" s="8" t="n">
        <v>45.58</v>
      </c>
      <c r="G936" s="8" t="n">
        <v>20.84</v>
      </c>
      <c r="H936" s="8" t="n">
        <v>39.639999</v>
      </c>
      <c r="I936" s="8" t="n">
        <v>3638.350098</v>
      </c>
      <c r="J936" s="8" t="n">
        <v>99.99955</v>
      </c>
      <c r="L936" s="9">
        <f>LN(B936/B935)</f>
        <v/>
      </c>
      <c r="M936" s="9">
        <f>$M$1*(C936-C935)</f>
        <v/>
      </c>
      <c r="N936" s="9">
        <f>$N$1*(D936-D935)</f>
        <v/>
      </c>
      <c r="O936" s="9">
        <f>$O$1*LN(E936/E935)</f>
        <v/>
      </c>
      <c r="P936" s="9">
        <f>$P$1*LN(F936/F935)</f>
        <v/>
      </c>
      <c r="Q936" s="9">
        <f>$Q$1*(G936-G935)</f>
        <v/>
      </c>
      <c r="R936" s="9">
        <f>$R$1*(H936-H935)</f>
        <v/>
      </c>
      <c r="S936" s="9">
        <f>$S$1*LN(I936/I935)</f>
        <v/>
      </c>
      <c r="T936" s="9">
        <f>$T$1*LN(J936/J935)</f>
        <v/>
      </c>
      <c r="U936" s="9">
        <f>$W$12+$W$4*M936+$W$5*N936+$W$6*O936+$W$7*P936+$W$8*Q936+$W$9*R936+$W$10*S936+$W$11*T936</f>
        <v/>
      </c>
      <c r="AA936" s="10">
        <f>INDEX(LINEST(L677:L936,M677:T936,TRUE,TRUE),1,9)*52</f>
        <v/>
      </c>
      <c r="AB936" s="9">
        <f>INDEX(LINEST(L677:L936,M677:T936,TRUE,TRUE),1,8)</f>
        <v/>
      </c>
      <c r="AC936" s="9">
        <f>INDEX(LINEST(L677:L936,M677:T936,TRUE,TRUE),1,7)</f>
        <v/>
      </c>
      <c r="AD936" s="9">
        <f>INDEX(LINEST(L677:L936,M677:T936,TRUE,TRUE),1,6)</f>
        <v/>
      </c>
      <c r="AE936" s="9">
        <f>INDEX(LINEST(L677:L936,M677:T936,TRUE,TRUE),1,5)</f>
        <v/>
      </c>
      <c r="AF936" s="9">
        <f>INDEX(LINEST(L677:L936,M677:T936,TRUE,TRUE),1,4)</f>
        <v/>
      </c>
      <c r="AG936" s="9">
        <f>INDEX(LINEST(L677:L936,M677:T936,TRUE,TRUE),1,3)</f>
        <v/>
      </c>
      <c r="AH936" s="9">
        <f>INDEX(LINEST(L677:L936,M677:T936,TRUE,TRUE),1,2)</f>
        <v/>
      </c>
      <c r="AI936" s="9">
        <f>INDEX(LINEST(L677:L936,M677:T936,TRUE,TRUE),1,1)</f>
        <v/>
      </c>
      <c r="AJ936" s="10">
        <f>INDEX(LINEST(L677:L936,M677:T936,TRUE,TRUE),3,1)</f>
        <v/>
      </c>
      <c r="AK936" s="9">
        <f>AA935/52+AB935*M936+AC935*N936+AD935*O936+AE935*P936+AF935*Q936+AG935*R936+AH935*S936+AI935*T936</f>
        <v/>
      </c>
      <c r="AL936" s="9">
        <f>AVERAGE(L676:L935)</f>
        <v/>
      </c>
    </row>
    <row r="937">
      <c r="A937" s="7" t="n">
        <v>44169</v>
      </c>
      <c r="B937" s="8" t="n">
        <v>1843</v>
      </c>
      <c r="C937" s="8" t="n">
        <v>1.89</v>
      </c>
      <c r="D937" s="8" t="n">
        <v>-0.92</v>
      </c>
      <c r="E937" s="8" t="n">
        <v>90.699997</v>
      </c>
      <c r="F937" s="8" t="n">
        <v>46.23</v>
      </c>
      <c r="G937" s="8" t="n">
        <v>20.79</v>
      </c>
      <c r="H937" s="8" t="n">
        <v>43.889999</v>
      </c>
      <c r="I937" s="8" t="n">
        <v>3699.120117</v>
      </c>
      <c r="J937" s="8" t="n">
        <v>99.60627700000001</v>
      </c>
      <c r="L937" s="9">
        <f>LN(B937/B936)</f>
        <v/>
      </c>
      <c r="M937" s="9">
        <f>$M$1*(C937-C936)</f>
        <v/>
      </c>
      <c r="N937" s="9">
        <f>$N$1*(D937-D936)</f>
        <v/>
      </c>
      <c r="O937" s="9">
        <f>$O$1*LN(E937/E936)</f>
        <v/>
      </c>
      <c r="P937" s="9">
        <f>$P$1*LN(F937/F936)</f>
        <v/>
      </c>
      <c r="Q937" s="9">
        <f>$Q$1*(G937-G936)</f>
        <v/>
      </c>
      <c r="R937" s="9">
        <f>$R$1*(H937-H936)</f>
        <v/>
      </c>
      <c r="S937" s="9">
        <f>$S$1*LN(I937/I936)</f>
        <v/>
      </c>
      <c r="T937" s="9">
        <f>$T$1*LN(J937/J936)</f>
        <v/>
      </c>
      <c r="U937" s="9">
        <f>$W$12+$W$4*M937+$W$5*N937+$W$6*O937+$W$7*P937+$W$8*Q937+$W$9*R937+$W$10*S937+$W$11*T937</f>
        <v/>
      </c>
      <c r="AA937" s="10">
        <f>INDEX(LINEST(L678:L937,M678:T937,TRUE,TRUE),1,9)*52</f>
        <v/>
      </c>
      <c r="AB937" s="9">
        <f>INDEX(LINEST(L678:L937,M678:T937,TRUE,TRUE),1,8)</f>
        <v/>
      </c>
      <c r="AC937" s="9">
        <f>INDEX(LINEST(L678:L937,M678:T937,TRUE,TRUE),1,7)</f>
        <v/>
      </c>
      <c r="AD937" s="9">
        <f>INDEX(LINEST(L678:L937,M678:T937,TRUE,TRUE),1,6)</f>
        <v/>
      </c>
      <c r="AE937" s="9">
        <f>INDEX(LINEST(L678:L937,M678:T937,TRUE,TRUE),1,5)</f>
        <v/>
      </c>
      <c r="AF937" s="9">
        <f>INDEX(LINEST(L678:L937,M678:T937,TRUE,TRUE),1,4)</f>
        <v/>
      </c>
      <c r="AG937" s="9">
        <f>INDEX(LINEST(L678:L937,M678:T937,TRUE,TRUE),1,3)</f>
        <v/>
      </c>
      <c r="AH937" s="9">
        <f>INDEX(LINEST(L678:L937,M678:T937,TRUE,TRUE),1,2)</f>
        <v/>
      </c>
      <c r="AI937" s="9">
        <f>INDEX(LINEST(L678:L937,M678:T937,TRUE,TRUE),1,1)</f>
        <v/>
      </c>
      <c r="AJ937" s="10">
        <f>INDEX(LINEST(L678:L937,M678:T937,TRUE,TRUE),3,1)</f>
        <v/>
      </c>
      <c r="AK937" s="9">
        <f>AA936/52+AB936*M937+AC936*N937+AD936*O937+AE936*P937+AF936*Q937+AG936*R937+AH936*S937+AI936*T937</f>
        <v/>
      </c>
      <c r="AL937" s="9">
        <f>AVERAGE(L677:L936)</f>
        <v/>
      </c>
    </row>
    <row r="938">
      <c r="A938" s="7" t="n">
        <v>44176</v>
      </c>
      <c r="B938" s="8" t="n">
        <v>1842</v>
      </c>
      <c r="C938" s="8" t="n">
        <v>1.87</v>
      </c>
      <c r="D938" s="8" t="n">
        <v>-0.97</v>
      </c>
      <c r="E938" s="8" t="n">
        <v>90.980003</v>
      </c>
      <c r="F938" s="8" t="n">
        <v>46.59</v>
      </c>
      <c r="G938" s="8" t="n">
        <v>23.31</v>
      </c>
      <c r="H938" s="8" t="n">
        <v>47.52</v>
      </c>
      <c r="I938" s="8" t="n">
        <v>3663.459961</v>
      </c>
      <c r="J938" s="8" t="n">
        <v>99.978966</v>
      </c>
      <c r="L938" s="9">
        <f>LN(B938/B937)</f>
        <v/>
      </c>
      <c r="M938" s="9">
        <f>$M$1*(C938-C937)</f>
        <v/>
      </c>
      <c r="N938" s="9">
        <f>$N$1*(D938-D937)</f>
        <v/>
      </c>
      <c r="O938" s="9">
        <f>$O$1*LN(E938/E937)</f>
        <v/>
      </c>
      <c r="P938" s="9">
        <f>$P$1*LN(F938/F937)</f>
        <v/>
      </c>
      <c r="Q938" s="9">
        <f>$Q$1*(G938-G937)</f>
        <v/>
      </c>
      <c r="R938" s="9">
        <f>$R$1*(H938-H937)</f>
        <v/>
      </c>
      <c r="S938" s="9">
        <f>$S$1*LN(I938/I937)</f>
        <v/>
      </c>
      <c r="T938" s="9">
        <f>$T$1*LN(J938/J937)</f>
        <v/>
      </c>
      <c r="U938" s="9">
        <f>$W$12+$W$4*M938+$W$5*N938+$W$6*O938+$W$7*P938+$W$8*Q938+$W$9*R938+$W$10*S938+$W$11*T938</f>
        <v/>
      </c>
      <c r="AA938" s="10">
        <f>INDEX(LINEST(L679:L938,M679:T938,TRUE,TRUE),1,9)*52</f>
        <v/>
      </c>
      <c r="AB938" s="9">
        <f>INDEX(LINEST(L679:L938,M679:T938,TRUE,TRUE),1,8)</f>
        <v/>
      </c>
      <c r="AC938" s="9">
        <f>INDEX(LINEST(L679:L938,M679:T938,TRUE,TRUE),1,7)</f>
        <v/>
      </c>
      <c r="AD938" s="9">
        <f>INDEX(LINEST(L679:L938,M679:T938,TRUE,TRUE),1,6)</f>
        <v/>
      </c>
      <c r="AE938" s="9">
        <f>INDEX(LINEST(L679:L938,M679:T938,TRUE,TRUE),1,5)</f>
        <v/>
      </c>
      <c r="AF938" s="9">
        <f>INDEX(LINEST(L679:L938,M679:T938,TRUE,TRUE),1,4)</f>
        <v/>
      </c>
      <c r="AG938" s="9">
        <f>INDEX(LINEST(L679:L938,M679:T938,TRUE,TRUE),1,3)</f>
        <v/>
      </c>
      <c r="AH938" s="9">
        <f>INDEX(LINEST(L679:L938,M679:T938,TRUE,TRUE),1,2)</f>
        <v/>
      </c>
      <c r="AI938" s="9">
        <f>INDEX(LINEST(L679:L938,M679:T938,TRUE,TRUE),1,1)</f>
        <v/>
      </c>
      <c r="AJ938" s="10">
        <f>INDEX(LINEST(L679:L938,M679:T938,TRUE,TRUE),3,1)</f>
        <v/>
      </c>
      <c r="AK938" s="9">
        <f>AA937/52+AB937*M938+AC937*N938+AD937*O938+AE937*P938+AF937*Q938+AG937*R938+AH937*S938+AI937*T938</f>
        <v/>
      </c>
      <c r="AL938" s="9">
        <f>AVERAGE(L678:L937)</f>
        <v/>
      </c>
    </row>
    <row r="939">
      <c r="A939" s="7" t="n">
        <v>44183</v>
      </c>
      <c r="B939" s="8" t="n">
        <v>1879.75</v>
      </c>
      <c r="C939" s="8" t="n">
        <v>1.95</v>
      </c>
      <c r="D939" s="8" t="n">
        <v>-1</v>
      </c>
      <c r="E939" s="8" t="n">
        <v>90.019997</v>
      </c>
      <c r="F939" s="8" t="n">
        <v>49.04</v>
      </c>
      <c r="G939" s="8" t="n">
        <v>21.57</v>
      </c>
      <c r="H939" s="8" t="n">
        <v>44.639999</v>
      </c>
      <c r="I939" s="8" t="n">
        <v>3709.409912</v>
      </c>
      <c r="J939" s="8" t="n">
        <v>99.8815</v>
      </c>
      <c r="L939" s="9">
        <f>LN(B939/B938)</f>
        <v/>
      </c>
      <c r="M939" s="9">
        <f>$M$1*(C939-C938)</f>
        <v/>
      </c>
      <c r="N939" s="9">
        <f>$N$1*(D939-D938)</f>
        <v/>
      </c>
      <c r="O939" s="9">
        <f>$O$1*LN(E939/E938)</f>
        <v/>
      </c>
      <c r="P939" s="9">
        <f>$P$1*LN(F939/F938)</f>
        <v/>
      </c>
      <c r="Q939" s="9">
        <f>$Q$1*(G939-G938)</f>
        <v/>
      </c>
      <c r="R939" s="9">
        <f>$R$1*(H939-H938)</f>
        <v/>
      </c>
      <c r="S939" s="9">
        <f>$S$1*LN(I939/I938)</f>
        <v/>
      </c>
      <c r="T939" s="9">
        <f>$T$1*LN(J939/J938)</f>
        <v/>
      </c>
      <c r="U939" s="9">
        <f>$W$12+$W$4*M939+$W$5*N939+$W$6*O939+$W$7*P939+$W$8*Q939+$W$9*R939+$W$10*S939+$W$11*T939</f>
        <v/>
      </c>
      <c r="AA939" s="10">
        <f>INDEX(LINEST(L680:L939,M680:T939,TRUE,TRUE),1,9)*52</f>
        <v/>
      </c>
      <c r="AB939" s="9">
        <f>INDEX(LINEST(L680:L939,M680:T939,TRUE,TRUE),1,8)</f>
        <v/>
      </c>
      <c r="AC939" s="9">
        <f>INDEX(LINEST(L680:L939,M680:T939,TRUE,TRUE),1,7)</f>
        <v/>
      </c>
      <c r="AD939" s="9">
        <f>INDEX(LINEST(L680:L939,M680:T939,TRUE,TRUE),1,6)</f>
        <v/>
      </c>
      <c r="AE939" s="9">
        <f>INDEX(LINEST(L680:L939,M680:T939,TRUE,TRUE),1,5)</f>
        <v/>
      </c>
      <c r="AF939" s="9">
        <f>INDEX(LINEST(L680:L939,M680:T939,TRUE,TRUE),1,4)</f>
        <v/>
      </c>
      <c r="AG939" s="9">
        <f>INDEX(LINEST(L680:L939,M680:T939,TRUE,TRUE),1,3)</f>
        <v/>
      </c>
      <c r="AH939" s="9">
        <f>INDEX(LINEST(L680:L939,M680:T939,TRUE,TRUE),1,2)</f>
        <v/>
      </c>
      <c r="AI939" s="9">
        <f>INDEX(LINEST(L680:L939,M680:T939,TRUE,TRUE),1,1)</f>
        <v/>
      </c>
      <c r="AJ939" s="10">
        <f>INDEX(LINEST(L680:L939,M680:T939,TRUE,TRUE),3,1)</f>
        <v/>
      </c>
      <c r="AK939" s="9">
        <f>AA938/52+AB938*M939+AC938*N939+AD938*O939+AE938*P939+AF938*Q939+AG938*R939+AH938*S939+AI938*T939</f>
        <v/>
      </c>
      <c r="AL939" s="9">
        <f>AVERAGE(L679:L938)</f>
        <v/>
      </c>
    </row>
    <row r="940">
      <c r="A940" s="7" t="n">
        <v>44190</v>
      </c>
      <c r="B940" s="8" t="n">
        <v>1875</v>
      </c>
      <c r="C940" s="8" t="n">
        <v>1.97</v>
      </c>
      <c r="D940" s="8" t="n">
        <v>-1.03</v>
      </c>
      <c r="E940" s="8" t="n">
        <v>90.33000199999999</v>
      </c>
      <c r="F940" s="8" t="n">
        <v>48.18</v>
      </c>
      <c r="G940" s="8" t="n">
        <v>21.53</v>
      </c>
      <c r="H940" s="8" t="n">
        <v>42.110001</v>
      </c>
      <c r="I940" s="8" t="n">
        <v>3703.060059</v>
      </c>
      <c r="J940" s="8" t="n">
        <v>100.051109</v>
      </c>
      <c r="L940" s="9">
        <f>LN(B940/B939)</f>
        <v/>
      </c>
      <c r="M940" s="9">
        <f>$M$1*(C940-C939)</f>
        <v/>
      </c>
      <c r="N940" s="9">
        <f>$N$1*(D940-D939)</f>
        <v/>
      </c>
      <c r="O940" s="9">
        <f>$O$1*LN(E940/E939)</f>
        <v/>
      </c>
      <c r="P940" s="9">
        <f>$P$1*LN(F940/F939)</f>
        <v/>
      </c>
      <c r="Q940" s="9">
        <f>$Q$1*(G940-G939)</f>
        <v/>
      </c>
      <c r="R940" s="9">
        <f>$R$1*(H940-H939)</f>
        <v/>
      </c>
      <c r="S940" s="9">
        <f>$S$1*LN(I940/I939)</f>
        <v/>
      </c>
      <c r="T940" s="9">
        <f>$T$1*LN(J940/J939)</f>
        <v/>
      </c>
      <c r="U940" s="9">
        <f>$W$12+$W$4*M940+$W$5*N940+$W$6*O940+$W$7*P940+$W$8*Q940+$W$9*R940+$W$10*S940+$W$11*T940</f>
        <v/>
      </c>
      <c r="AA940" s="10">
        <f>INDEX(LINEST(L681:L940,M681:T940,TRUE,TRUE),1,9)*52</f>
        <v/>
      </c>
      <c r="AB940" s="9">
        <f>INDEX(LINEST(L681:L940,M681:T940,TRUE,TRUE),1,8)</f>
        <v/>
      </c>
      <c r="AC940" s="9">
        <f>INDEX(LINEST(L681:L940,M681:T940,TRUE,TRUE),1,7)</f>
        <v/>
      </c>
      <c r="AD940" s="9">
        <f>INDEX(LINEST(L681:L940,M681:T940,TRUE,TRUE),1,6)</f>
        <v/>
      </c>
      <c r="AE940" s="9">
        <f>INDEX(LINEST(L681:L940,M681:T940,TRUE,TRUE),1,5)</f>
        <v/>
      </c>
      <c r="AF940" s="9">
        <f>INDEX(LINEST(L681:L940,M681:T940,TRUE,TRUE),1,4)</f>
        <v/>
      </c>
      <c r="AG940" s="9">
        <f>INDEX(LINEST(L681:L940,M681:T940,TRUE,TRUE),1,3)</f>
        <v/>
      </c>
      <c r="AH940" s="9">
        <f>INDEX(LINEST(L681:L940,M681:T940,TRUE,TRUE),1,2)</f>
        <v/>
      </c>
      <c r="AI940" s="9">
        <f>INDEX(LINEST(L681:L940,M681:T940,TRUE,TRUE),1,1)</f>
        <v/>
      </c>
      <c r="AJ940" s="10">
        <f>INDEX(LINEST(L681:L940,M681:T940,TRUE,TRUE),3,1)</f>
        <v/>
      </c>
      <c r="AK940" s="9">
        <f>AA939/52+AB939*M940+AC939*N940+AD939*O940+AE939*P940+AF939*Q940+AG939*R940+AH939*S940+AI939*T940</f>
        <v/>
      </c>
      <c r="AL940" s="9">
        <f>AVERAGE(L680:L939)</f>
        <v/>
      </c>
    </row>
    <row r="941">
      <c r="A941" s="7" t="n">
        <v>44197</v>
      </c>
      <c r="B941" s="8" t="n">
        <v>1887.6</v>
      </c>
      <c r="C941" s="8" t="n">
        <v>1.99</v>
      </c>
      <c r="D941" s="8" t="n">
        <v>-1.06</v>
      </c>
      <c r="E941" s="8" t="n">
        <v>89.94000200000001</v>
      </c>
      <c r="F941" s="8" t="n">
        <v>48.35</v>
      </c>
      <c r="G941" s="8" t="n">
        <v>22.75</v>
      </c>
      <c r="H941" s="8" t="n">
        <v>48.98</v>
      </c>
      <c r="I941" s="8" t="n">
        <v>3756.070068</v>
      </c>
      <c r="J941" s="8" t="n">
        <v>100.220718</v>
      </c>
      <c r="L941" s="9">
        <f>LN(B941/B940)</f>
        <v/>
      </c>
      <c r="M941" s="9">
        <f>$M$1*(C941-C940)</f>
        <v/>
      </c>
      <c r="N941" s="9">
        <f>$N$1*(D941-D940)</f>
        <v/>
      </c>
      <c r="O941" s="9">
        <f>$O$1*LN(E941/E940)</f>
        <v/>
      </c>
      <c r="P941" s="9">
        <f>$P$1*LN(F941/F940)</f>
        <v/>
      </c>
      <c r="Q941" s="9">
        <f>$Q$1*(G941-G940)</f>
        <v/>
      </c>
      <c r="R941" s="9">
        <f>$R$1*(H941-H940)</f>
        <v/>
      </c>
      <c r="S941" s="9">
        <f>$S$1*LN(I941/I940)</f>
        <v/>
      </c>
      <c r="T941" s="9">
        <f>$T$1*LN(J941/J940)</f>
        <v/>
      </c>
      <c r="U941" s="9">
        <f>$W$12+$W$4*M941+$W$5*N941+$W$6*O941+$W$7*P941+$W$8*Q941+$W$9*R941+$W$10*S941+$W$11*T941</f>
        <v/>
      </c>
      <c r="AA941" s="10">
        <f>INDEX(LINEST(L682:L941,M682:T941,TRUE,TRUE),1,9)*52</f>
        <v/>
      </c>
      <c r="AB941" s="9">
        <f>INDEX(LINEST(L682:L941,M682:T941,TRUE,TRUE),1,8)</f>
        <v/>
      </c>
      <c r="AC941" s="9">
        <f>INDEX(LINEST(L682:L941,M682:T941,TRUE,TRUE),1,7)</f>
        <v/>
      </c>
      <c r="AD941" s="9">
        <f>INDEX(LINEST(L682:L941,M682:T941,TRUE,TRUE),1,6)</f>
        <v/>
      </c>
      <c r="AE941" s="9">
        <f>INDEX(LINEST(L682:L941,M682:T941,TRUE,TRUE),1,5)</f>
        <v/>
      </c>
      <c r="AF941" s="9">
        <f>INDEX(LINEST(L682:L941,M682:T941,TRUE,TRUE),1,4)</f>
        <v/>
      </c>
      <c r="AG941" s="9">
        <f>INDEX(LINEST(L682:L941,M682:T941,TRUE,TRUE),1,3)</f>
        <v/>
      </c>
      <c r="AH941" s="9">
        <f>INDEX(LINEST(L682:L941,M682:T941,TRUE,TRUE),1,2)</f>
        <v/>
      </c>
      <c r="AI941" s="9">
        <f>INDEX(LINEST(L682:L941,M682:T941,TRUE,TRUE),1,1)</f>
        <v/>
      </c>
      <c r="AJ941" s="10">
        <f>INDEX(LINEST(L682:L941,M682:T941,TRUE,TRUE),3,1)</f>
        <v/>
      </c>
      <c r="AK941" s="9">
        <f>AA940/52+AB940*M941+AC940*N941+AD940*O941+AE940*P941+AF940*Q941+AG940*R941+AH940*S941+AI940*T941</f>
        <v/>
      </c>
      <c r="AL941" s="9">
        <f>AVERAGE(L681:L940)</f>
        <v/>
      </c>
    </row>
    <row r="942">
      <c r="A942" s="7" t="n">
        <v>44204</v>
      </c>
      <c r="B942" s="8" t="n">
        <v>1862.9</v>
      </c>
      <c r="C942" s="8" t="n">
        <v>2.06</v>
      </c>
      <c r="D942" s="8" t="n">
        <v>-0.93</v>
      </c>
      <c r="E942" s="8" t="n">
        <v>90.099998</v>
      </c>
      <c r="F942" s="8" t="n">
        <v>52.14</v>
      </c>
      <c r="G942" s="8" t="n">
        <v>21.56</v>
      </c>
      <c r="H942" s="8" t="n">
        <v>44.810001</v>
      </c>
      <c r="I942" s="8" t="n">
        <v>3824.679932</v>
      </c>
      <c r="J942" s="8" t="n">
        <v>99.279488</v>
      </c>
      <c r="L942" s="9">
        <f>LN(B942/B941)</f>
        <v/>
      </c>
      <c r="M942" s="9">
        <f>$M$1*(C942-C941)</f>
        <v/>
      </c>
      <c r="N942" s="9">
        <f>$N$1*(D942-D941)</f>
        <v/>
      </c>
      <c r="O942" s="9">
        <f>$O$1*LN(E942/E941)</f>
        <v/>
      </c>
      <c r="P942" s="9">
        <f>$P$1*LN(F942/F941)</f>
        <v/>
      </c>
      <c r="Q942" s="9">
        <f>$Q$1*(G942-G941)</f>
        <v/>
      </c>
      <c r="R942" s="9">
        <f>$R$1*(H942-H941)</f>
        <v/>
      </c>
      <c r="S942" s="9">
        <f>$S$1*LN(I942/I941)</f>
        <v/>
      </c>
      <c r="T942" s="9">
        <f>$T$1*LN(J942/J941)</f>
        <v/>
      </c>
      <c r="U942" s="9">
        <f>$W$12+$W$4*M942+$W$5*N942+$W$6*O942+$W$7*P942+$W$8*Q942+$W$9*R942+$W$10*S942+$W$11*T942</f>
        <v/>
      </c>
      <c r="AA942" s="10">
        <f>INDEX(LINEST(L683:L942,M683:T942,TRUE,TRUE),1,9)*52</f>
        <v/>
      </c>
      <c r="AB942" s="9">
        <f>INDEX(LINEST(L683:L942,M683:T942,TRUE,TRUE),1,8)</f>
        <v/>
      </c>
      <c r="AC942" s="9">
        <f>INDEX(LINEST(L683:L942,M683:T942,TRUE,TRUE),1,7)</f>
        <v/>
      </c>
      <c r="AD942" s="9">
        <f>INDEX(LINEST(L683:L942,M683:T942,TRUE,TRUE),1,6)</f>
        <v/>
      </c>
      <c r="AE942" s="9">
        <f>INDEX(LINEST(L683:L942,M683:T942,TRUE,TRUE),1,5)</f>
        <v/>
      </c>
      <c r="AF942" s="9">
        <f>INDEX(LINEST(L683:L942,M683:T942,TRUE,TRUE),1,4)</f>
        <v/>
      </c>
      <c r="AG942" s="9">
        <f>INDEX(LINEST(L683:L942,M683:T942,TRUE,TRUE),1,3)</f>
        <v/>
      </c>
      <c r="AH942" s="9">
        <f>INDEX(LINEST(L683:L942,M683:T942,TRUE,TRUE),1,2)</f>
        <v/>
      </c>
      <c r="AI942" s="9">
        <f>INDEX(LINEST(L683:L942,M683:T942,TRUE,TRUE),1,1)</f>
        <v/>
      </c>
      <c r="AJ942" s="10">
        <f>INDEX(LINEST(L683:L942,M683:T942,TRUE,TRUE),3,1)</f>
        <v/>
      </c>
      <c r="AK942" s="9">
        <f>AA941/52+AB941*M942+AC941*N942+AD941*O942+AE941*P942+AF941*Q942+AG941*R942+AH941*S942+AI941*T942</f>
        <v/>
      </c>
      <c r="AL942" s="9">
        <f>AVERAGE(L682:L941)</f>
        <v/>
      </c>
    </row>
    <row r="943">
      <c r="A943" s="7" t="n">
        <v>44211</v>
      </c>
      <c r="B943" s="8" t="n">
        <v>1839</v>
      </c>
      <c r="C943" s="8" t="n">
        <v>2.1</v>
      </c>
      <c r="D943" s="8" t="n">
        <v>-0.99</v>
      </c>
      <c r="E943" s="8" t="n">
        <v>90.779999</v>
      </c>
      <c r="F943" s="8" t="n">
        <v>52.25</v>
      </c>
      <c r="G943" s="8" t="n">
        <v>24.34</v>
      </c>
      <c r="H943" s="8" t="n">
        <v>45.139999</v>
      </c>
      <c r="I943" s="8" t="n">
        <v>3768.25</v>
      </c>
      <c r="J943" s="8" t="n">
        <v>99.42358400000001</v>
      </c>
      <c r="L943" s="9">
        <f>LN(B943/B942)</f>
        <v/>
      </c>
      <c r="M943" s="9">
        <f>$M$1*(C943-C942)</f>
        <v/>
      </c>
      <c r="N943" s="9">
        <f>$N$1*(D943-D942)</f>
        <v/>
      </c>
      <c r="O943" s="9">
        <f>$O$1*LN(E943/E942)</f>
        <v/>
      </c>
      <c r="P943" s="9">
        <f>$P$1*LN(F943/F942)</f>
        <v/>
      </c>
      <c r="Q943" s="9">
        <f>$Q$1*(G943-G942)</f>
        <v/>
      </c>
      <c r="R943" s="9">
        <f>$R$1*(H943-H942)</f>
        <v/>
      </c>
      <c r="S943" s="9">
        <f>$S$1*LN(I943/I942)</f>
        <v/>
      </c>
      <c r="T943" s="9">
        <f>$T$1*LN(J943/J942)</f>
        <v/>
      </c>
      <c r="U943" s="9">
        <f>$W$12+$W$4*M943+$W$5*N943+$W$6*O943+$W$7*P943+$W$8*Q943+$W$9*R943+$W$10*S943+$W$11*T943</f>
        <v/>
      </c>
      <c r="AA943" s="10">
        <f>INDEX(LINEST(L684:L943,M684:T943,TRUE,TRUE),1,9)*52</f>
        <v/>
      </c>
      <c r="AB943" s="9">
        <f>INDEX(LINEST(L684:L943,M684:T943,TRUE,TRUE),1,8)</f>
        <v/>
      </c>
      <c r="AC943" s="9">
        <f>INDEX(LINEST(L684:L943,M684:T943,TRUE,TRUE),1,7)</f>
        <v/>
      </c>
      <c r="AD943" s="9">
        <f>INDEX(LINEST(L684:L943,M684:T943,TRUE,TRUE),1,6)</f>
        <v/>
      </c>
      <c r="AE943" s="9">
        <f>INDEX(LINEST(L684:L943,M684:T943,TRUE,TRUE),1,5)</f>
        <v/>
      </c>
      <c r="AF943" s="9">
        <f>INDEX(LINEST(L684:L943,M684:T943,TRUE,TRUE),1,4)</f>
        <v/>
      </c>
      <c r="AG943" s="9">
        <f>INDEX(LINEST(L684:L943,M684:T943,TRUE,TRUE),1,3)</f>
        <v/>
      </c>
      <c r="AH943" s="9">
        <f>INDEX(LINEST(L684:L943,M684:T943,TRUE,TRUE),1,2)</f>
        <v/>
      </c>
      <c r="AI943" s="9">
        <f>INDEX(LINEST(L684:L943,M684:T943,TRUE,TRUE),1,1)</f>
        <v/>
      </c>
      <c r="AJ943" s="10">
        <f>INDEX(LINEST(L684:L943,M684:T943,TRUE,TRUE),3,1)</f>
        <v/>
      </c>
      <c r="AK943" s="9">
        <f>AA942/52+AB942*M943+AC942*N943+AD942*O943+AE942*P943+AF942*Q943+AG942*R943+AH942*S943+AI942*T943</f>
        <v/>
      </c>
      <c r="AL943" s="9">
        <f>AVERAGE(L683:L942)</f>
        <v/>
      </c>
    </row>
    <row r="944">
      <c r="A944" s="7" t="n">
        <v>44218</v>
      </c>
      <c r="B944" s="8" t="n">
        <v>1852.7</v>
      </c>
      <c r="C944" s="8" t="n">
        <v>2.09</v>
      </c>
      <c r="D944" s="8" t="n">
        <v>-0.99</v>
      </c>
      <c r="E944" s="8" t="n">
        <v>90.239998</v>
      </c>
      <c r="F944" s="8" t="n">
        <v>52.28</v>
      </c>
      <c r="G944" s="8" t="n">
        <v>21.91</v>
      </c>
      <c r="H944" s="8" t="n">
        <v>43.09</v>
      </c>
      <c r="I944" s="8" t="n">
        <v>3841.469971</v>
      </c>
      <c r="J944" s="8" t="n">
        <v>99.42358400000001</v>
      </c>
      <c r="L944" s="9">
        <f>LN(B944/B943)</f>
        <v/>
      </c>
      <c r="M944" s="9">
        <f>$M$1*(C944-C943)</f>
        <v/>
      </c>
      <c r="N944" s="9">
        <f>$N$1*(D944-D943)</f>
        <v/>
      </c>
      <c r="O944" s="9">
        <f>$O$1*LN(E944/E943)</f>
        <v/>
      </c>
      <c r="P944" s="9">
        <f>$P$1*LN(F944/F943)</f>
        <v/>
      </c>
      <c r="Q944" s="9">
        <f>$Q$1*(G944-G943)</f>
        <v/>
      </c>
      <c r="R944" s="9">
        <f>$R$1*(H944-H943)</f>
        <v/>
      </c>
      <c r="S944" s="9">
        <f>$S$1*LN(I944/I943)</f>
        <v/>
      </c>
      <c r="T944" s="9">
        <f>$T$1*LN(J944/J943)</f>
        <v/>
      </c>
      <c r="U944" s="9">
        <f>$W$12+$W$4*M944+$W$5*N944+$W$6*O944+$W$7*P944+$W$8*Q944+$W$9*R944+$W$10*S944+$W$11*T944</f>
        <v/>
      </c>
      <c r="AA944" s="10">
        <f>INDEX(LINEST(L685:L944,M685:T944,TRUE,TRUE),1,9)*52</f>
        <v/>
      </c>
      <c r="AB944" s="9">
        <f>INDEX(LINEST(L685:L944,M685:T944,TRUE,TRUE),1,8)</f>
        <v/>
      </c>
      <c r="AC944" s="9">
        <f>INDEX(LINEST(L685:L944,M685:T944,TRUE,TRUE),1,7)</f>
        <v/>
      </c>
      <c r="AD944" s="9">
        <f>INDEX(LINEST(L685:L944,M685:T944,TRUE,TRUE),1,6)</f>
        <v/>
      </c>
      <c r="AE944" s="9">
        <f>INDEX(LINEST(L685:L944,M685:T944,TRUE,TRUE),1,5)</f>
        <v/>
      </c>
      <c r="AF944" s="9">
        <f>INDEX(LINEST(L685:L944,M685:T944,TRUE,TRUE),1,4)</f>
        <v/>
      </c>
      <c r="AG944" s="9">
        <f>INDEX(LINEST(L685:L944,M685:T944,TRUE,TRUE),1,3)</f>
        <v/>
      </c>
      <c r="AH944" s="9">
        <f>INDEX(LINEST(L685:L944,M685:T944,TRUE,TRUE),1,2)</f>
        <v/>
      </c>
      <c r="AI944" s="9">
        <f>INDEX(LINEST(L685:L944,M685:T944,TRUE,TRUE),1,1)</f>
        <v/>
      </c>
      <c r="AJ944" s="10">
        <f>INDEX(LINEST(L685:L944,M685:T944,TRUE,TRUE),3,1)</f>
        <v/>
      </c>
      <c r="AK944" s="9">
        <f>AA943/52+AB943*M944+AC943*N944+AD943*O944+AE943*P944+AF943*Q944+AG943*R944+AH943*S944+AI943*T944</f>
        <v/>
      </c>
      <c r="AL944" s="9">
        <f>AVERAGE(L684:L943)</f>
        <v/>
      </c>
    </row>
    <row r="945">
      <c r="A945" s="7" t="n">
        <v>44225</v>
      </c>
      <c r="B945" s="8" t="n">
        <v>1863.8</v>
      </c>
      <c r="C945" s="8" t="n">
        <v>2.13</v>
      </c>
      <c r="D945" s="8" t="n">
        <v>-1.02</v>
      </c>
      <c r="E945" s="8" t="n">
        <v>90.58000199999999</v>
      </c>
      <c r="F945" s="8" t="n">
        <v>52.16</v>
      </c>
      <c r="G945" s="8" t="n">
        <v>33.09</v>
      </c>
      <c r="H945" s="8" t="n">
        <v>47.41</v>
      </c>
      <c r="I945" s="8" t="n">
        <v>3714.23999</v>
      </c>
      <c r="J945" s="8" t="n">
        <v>99.474518</v>
      </c>
      <c r="L945" s="9">
        <f>LN(B945/B944)</f>
        <v/>
      </c>
      <c r="M945" s="9">
        <f>$M$1*(C945-C944)</f>
        <v/>
      </c>
      <c r="N945" s="9">
        <f>$N$1*(D945-D944)</f>
        <v/>
      </c>
      <c r="O945" s="9">
        <f>$O$1*LN(E945/E944)</f>
        <v/>
      </c>
      <c r="P945" s="9">
        <f>$P$1*LN(F945/F944)</f>
        <v/>
      </c>
      <c r="Q945" s="9">
        <f>$Q$1*(G945-G944)</f>
        <v/>
      </c>
      <c r="R945" s="9">
        <f>$R$1*(H945-H944)</f>
        <v/>
      </c>
      <c r="S945" s="9">
        <f>$S$1*LN(I945/I944)</f>
        <v/>
      </c>
      <c r="T945" s="9">
        <f>$T$1*LN(J945/J944)</f>
        <v/>
      </c>
      <c r="U945" s="9">
        <f>$W$12+$W$4*M945+$W$5*N945+$W$6*O945+$W$7*P945+$W$8*Q945+$W$9*R945+$W$10*S945+$W$11*T945</f>
        <v/>
      </c>
      <c r="AA945" s="10">
        <f>INDEX(LINEST(L686:L945,M686:T945,TRUE,TRUE),1,9)*52</f>
        <v/>
      </c>
      <c r="AB945" s="9">
        <f>INDEX(LINEST(L686:L945,M686:T945,TRUE,TRUE),1,8)</f>
        <v/>
      </c>
      <c r="AC945" s="9">
        <f>INDEX(LINEST(L686:L945,M686:T945,TRUE,TRUE),1,7)</f>
        <v/>
      </c>
      <c r="AD945" s="9">
        <f>INDEX(LINEST(L686:L945,M686:T945,TRUE,TRUE),1,6)</f>
        <v/>
      </c>
      <c r="AE945" s="9">
        <f>INDEX(LINEST(L686:L945,M686:T945,TRUE,TRUE),1,5)</f>
        <v/>
      </c>
      <c r="AF945" s="9">
        <f>INDEX(LINEST(L686:L945,M686:T945,TRUE,TRUE),1,4)</f>
        <v/>
      </c>
      <c r="AG945" s="9">
        <f>INDEX(LINEST(L686:L945,M686:T945,TRUE,TRUE),1,3)</f>
        <v/>
      </c>
      <c r="AH945" s="9">
        <f>INDEX(LINEST(L686:L945,M686:T945,TRUE,TRUE),1,2)</f>
        <v/>
      </c>
      <c r="AI945" s="9">
        <f>INDEX(LINEST(L686:L945,M686:T945,TRUE,TRUE),1,1)</f>
        <v/>
      </c>
      <c r="AJ945" s="10">
        <f>INDEX(LINEST(L686:L945,M686:T945,TRUE,TRUE),3,1)</f>
        <v/>
      </c>
      <c r="AK945" s="9">
        <f>AA944/52+AB944*M945+AC944*N945+AD944*O945+AE944*P945+AF944*Q945+AG944*R945+AH944*S945+AI944*T945</f>
        <v/>
      </c>
      <c r="AL945" s="9">
        <f>AVERAGE(L685:L944)</f>
        <v/>
      </c>
    </row>
    <row r="946">
      <c r="A946" s="7" t="n">
        <v>44232</v>
      </c>
      <c r="B946" s="8" t="n">
        <v>1802.95</v>
      </c>
      <c r="C946" s="8" t="n">
        <v>2.21</v>
      </c>
      <c r="D946" s="8" t="n">
        <v>-1.02</v>
      </c>
      <c r="E946" s="8" t="n">
        <v>91.040001</v>
      </c>
      <c r="F946" s="8" t="n">
        <v>56.8</v>
      </c>
      <c r="G946" s="8" t="n">
        <v>20.87</v>
      </c>
      <c r="H946" s="8" t="n">
        <v>47.200001</v>
      </c>
      <c r="I946" s="8" t="n">
        <v>3886.830078</v>
      </c>
      <c r="J946" s="8" t="n">
        <v>99.12795300000001</v>
      </c>
      <c r="L946" s="9">
        <f>LN(B946/B945)</f>
        <v/>
      </c>
      <c r="M946" s="9">
        <f>$M$1*(C946-C945)</f>
        <v/>
      </c>
      <c r="N946" s="9">
        <f>$N$1*(D946-D945)</f>
        <v/>
      </c>
      <c r="O946" s="9">
        <f>$O$1*LN(E946/E945)</f>
        <v/>
      </c>
      <c r="P946" s="9">
        <f>$P$1*LN(F946/F945)</f>
        <v/>
      </c>
      <c r="Q946" s="9">
        <f>$Q$1*(G946-G945)</f>
        <v/>
      </c>
      <c r="R946" s="9">
        <f>$R$1*(H946-H945)</f>
        <v/>
      </c>
      <c r="S946" s="9">
        <f>$S$1*LN(I946/I945)</f>
        <v/>
      </c>
      <c r="T946" s="9">
        <f>$T$1*LN(J946/J945)</f>
        <v/>
      </c>
      <c r="U946" s="9">
        <f>$W$12+$W$4*M946+$W$5*N946+$W$6*O946+$W$7*P946+$W$8*Q946+$W$9*R946+$W$10*S946+$W$11*T946</f>
        <v/>
      </c>
      <c r="AA946" s="10">
        <f>INDEX(LINEST(L687:L946,M687:T946,TRUE,TRUE),1,9)*52</f>
        <v/>
      </c>
      <c r="AB946" s="9">
        <f>INDEX(LINEST(L687:L946,M687:T946,TRUE,TRUE),1,8)</f>
        <v/>
      </c>
      <c r="AC946" s="9">
        <f>INDEX(LINEST(L687:L946,M687:T946,TRUE,TRUE),1,7)</f>
        <v/>
      </c>
      <c r="AD946" s="9">
        <f>INDEX(LINEST(L687:L946,M687:T946,TRUE,TRUE),1,6)</f>
        <v/>
      </c>
      <c r="AE946" s="9">
        <f>INDEX(LINEST(L687:L946,M687:T946,TRUE,TRUE),1,5)</f>
        <v/>
      </c>
      <c r="AF946" s="9">
        <f>INDEX(LINEST(L687:L946,M687:T946,TRUE,TRUE),1,4)</f>
        <v/>
      </c>
      <c r="AG946" s="9">
        <f>INDEX(LINEST(L687:L946,M687:T946,TRUE,TRUE),1,3)</f>
        <v/>
      </c>
      <c r="AH946" s="9">
        <f>INDEX(LINEST(L687:L946,M687:T946,TRUE,TRUE),1,2)</f>
        <v/>
      </c>
      <c r="AI946" s="9">
        <f>INDEX(LINEST(L687:L946,M687:T946,TRUE,TRUE),1,1)</f>
        <v/>
      </c>
      <c r="AJ946" s="10">
        <f>INDEX(LINEST(L687:L946,M687:T946,TRUE,TRUE),3,1)</f>
        <v/>
      </c>
      <c r="AK946" s="9">
        <f>AA945/52+AB945*M946+AC945*N946+AD945*O946+AE945*P946+AF945*Q946+AG945*R946+AH945*S946+AI945*T946</f>
        <v/>
      </c>
      <c r="AL946" s="9">
        <f>AVERAGE(L686:L945)</f>
        <v/>
      </c>
    </row>
    <row r="947">
      <c r="A947" s="7" t="n">
        <v>44239</v>
      </c>
      <c r="B947" s="8" t="n">
        <v>1816.35</v>
      </c>
      <c r="C947" s="8" t="n">
        <v>2.21</v>
      </c>
      <c r="D947" s="8" t="n">
        <v>-1.01</v>
      </c>
      <c r="E947" s="8" t="n">
        <v>90.480003</v>
      </c>
      <c r="F947" s="8" t="n">
        <v>59.5</v>
      </c>
      <c r="G947" s="8" t="n">
        <v>19.97</v>
      </c>
      <c r="H947" s="8" t="n">
        <v>47.009998</v>
      </c>
      <c r="I947" s="8" t="n">
        <v>3934.830078</v>
      </c>
      <c r="J947" s="8" t="n">
        <v>99.01752500000001</v>
      </c>
      <c r="L947" s="9">
        <f>LN(B947/B946)</f>
        <v/>
      </c>
      <c r="M947" s="9">
        <f>$M$1*(C947-C946)</f>
        <v/>
      </c>
      <c r="N947" s="9">
        <f>$N$1*(D947-D946)</f>
        <v/>
      </c>
      <c r="O947" s="9">
        <f>$O$1*LN(E947/E946)</f>
        <v/>
      </c>
      <c r="P947" s="9">
        <f>$P$1*LN(F947/F946)</f>
        <v/>
      </c>
      <c r="Q947" s="9">
        <f>$Q$1*(G947-G946)</f>
        <v/>
      </c>
      <c r="R947" s="9">
        <f>$R$1*(H947-H946)</f>
        <v/>
      </c>
      <c r="S947" s="9">
        <f>$S$1*LN(I947/I946)</f>
        <v/>
      </c>
      <c r="T947" s="9">
        <f>$T$1*LN(J947/J946)</f>
        <v/>
      </c>
      <c r="U947" s="9">
        <f>$W$12+$W$4*M947+$W$5*N947+$W$6*O947+$W$7*P947+$W$8*Q947+$W$9*R947+$W$10*S947+$W$11*T947</f>
        <v/>
      </c>
      <c r="AA947" s="10">
        <f>INDEX(LINEST(L688:L947,M688:T947,TRUE,TRUE),1,9)*52</f>
        <v/>
      </c>
      <c r="AB947" s="9">
        <f>INDEX(LINEST(L688:L947,M688:T947,TRUE,TRUE),1,8)</f>
        <v/>
      </c>
      <c r="AC947" s="9">
        <f>INDEX(LINEST(L688:L947,M688:T947,TRUE,TRUE),1,7)</f>
        <v/>
      </c>
      <c r="AD947" s="9">
        <f>INDEX(LINEST(L688:L947,M688:T947,TRUE,TRUE),1,6)</f>
        <v/>
      </c>
      <c r="AE947" s="9">
        <f>INDEX(LINEST(L688:L947,M688:T947,TRUE,TRUE),1,5)</f>
        <v/>
      </c>
      <c r="AF947" s="9">
        <f>INDEX(LINEST(L688:L947,M688:T947,TRUE,TRUE),1,4)</f>
        <v/>
      </c>
      <c r="AG947" s="9">
        <f>INDEX(LINEST(L688:L947,M688:T947,TRUE,TRUE),1,3)</f>
        <v/>
      </c>
      <c r="AH947" s="9">
        <f>INDEX(LINEST(L688:L947,M688:T947,TRUE,TRUE),1,2)</f>
        <v/>
      </c>
      <c r="AI947" s="9">
        <f>INDEX(LINEST(L688:L947,M688:T947,TRUE,TRUE),1,1)</f>
        <v/>
      </c>
      <c r="AJ947" s="10">
        <f>INDEX(LINEST(L688:L947,M688:T947,TRUE,TRUE),3,1)</f>
        <v/>
      </c>
      <c r="AK947" s="9">
        <f>AA946/52+AB946*M947+AC946*N947+AD946*O947+AE946*P947+AF946*Q947+AG946*R947+AH946*S947+AI946*T947</f>
        <v/>
      </c>
      <c r="AL947" s="9">
        <f>AVERAGE(L687:L946)</f>
        <v/>
      </c>
    </row>
    <row r="948">
      <c r="A948" s="7" t="n">
        <v>44246</v>
      </c>
      <c r="B948" s="8" t="n">
        <v>1786.2</v>
      </c>
      <c r="C948" s="8" t="n">
        <v>2.14</v>
      </c>
      <c r="D948" s="8" t="n">
        <v>-0.8</v>
      </c>
      <c r="E948" s="8" t="n">
        <v>90.360001</v>
      </c>
      <c r="F948" s="8" t="n">
        <v>59.12</v>
      </c>
      <c r="G948" s="8" t="n">
        <v>22.05</v>
      </c>
      <c r="H948" s="8" t="n">
        <v>60.43</v>
      </c>
      <c r="I948" s="8" t="n">
        <v>3906.709961</v>
      </c>
      <c r="J948" s="8" t="n">
        <v>98.389</v>
      </c>
      <c r="L948" s="9">
        <f>LN(B948/B947)</f>
        <v/>
      </c>
      <c r="M948" s="9">
        <f>$M$1*(C948-C947)</f>
        <v/>
      </c>
      <c r="N948" s="9">
        <f>$N$1*(D948-D947)</f>
        <v/>
      </c>
      <c r="O948" s="9">
        <f>$O$1*LN(E948/E947)</f>
        <v/>
      </c>
      <c r="P948" s="9">
        <f>$P$1*LN(F948/F947)</f>
        <v/>
      </c>
      <c r="Q948" s="9">
        <f>$Q$1*(G948-G947)</f>
        <v/>
      </c>
      <c r="R948" s="9">
        <f>$R$1*(H948-H947)</f>
        <v/>
      </c>
      <c r="S948" s="9">
        <f>$S$1*LN(I948/I947)</f>
        <v/>
      </c>
      <c r="T948" s="9">
        <f>$T$1*LN(J948/J947)</f>
        <v/>
      </c>
      <c r="U948" s="9">
        <f>$W$12+$W$4*M948+$W$5*N948+$W$6*O948+$W$7*P948+$W$8*Q948+$W$9*R948+$W$10*S948+$W$11*T948</f>
        <v/>
      </c>
      <c r="AA948" s="10">
        <f>INDEX(LINEST(L689:L948,M689:T948,TRUE,TRUE),1,9)*52</f>
        <v/>
      </c>
      <c r="AB948" s="9">
        <f>INDEX(LINEST(L689:L948,M689:T948,TRUE,TRUE),1,8)</f>
        <v/>
      </c>
      <c r="AC948" s="9">
        <f>INDEX(LINEST(L689:L948,M689:T948,TRUE,TRUE),1,7)</f>
        <v/>
      </c>
      <c r="AD948" s="9">
        <f>INDEX(LINEST(L689:L948,M689:T948,TRUE,TRUE),1,6)</f>
        <v/>
      </c>
      <c r="AE948" s="9">
        <f>INDEX(LINEST(L689:L948,M689:T948,TRUE,TRUE),1,5)</f>
        <v/>
      </c>
      <c r="AF948" s="9">
        <f>INDEX(LINEST(L689:L948,M689:T948,TRUE,TRUE),1,4)</f>
        <v/>
      </c>
      <c r="AG948" s="9">
        <f>INDEX(LINEST(L689:L948,M689:T948,TRUE,TRUE),1,3)</f>
        <v/>
      </c>
      <c r="AH948" s="9">
        <f>INDEX(LINEST(L689:L948,M689:T948,TRUE,TRUE),1,2)</f>
        <v/>
      </c>
      <c r="AI948" s="9">
        <f>INDEX(LINEST(L689:L948,M689:T948,TRUE,TRUE),1,1)</f>
        <v/>
      </c>
      <c r="AJ948" s="10">
        <f>INDEX(LINEST(L689:L948,M689:T948,TRUE,TRUE),3,1)</f>
        <v/>
      </c>
      <c r="AK948" s="9">
        <f>AA947/52+AB947*M948+AC947*N948+AD947*O948+AE947*P948+AF947*Q948+AG947*R948+AH947*S948+AI947*T948</f>
        <v/>
      </c>
      <c r="AL948" s="9">
        <f>AVERAGE(L688:L947)</f>
        <v/>
      </c>
    </row>
    <row r="949">
      <c r="A949" s="7" t="n">
        <v>44253</v>
      </c>
      <c r="B949" s="8" t="n">
        <v>1742.85</v>
      </c>
      <c r="C949" s="8" t="n">
        <v>2.15</v>
      </c>
      <c r="D949" s="8" t="n">
        <v>-0.71</v>
      </c>
      <c r="E949" s="8" t="n">
        <v>90.93000000000001</v>
      </c>
      <c r="F949" s="8" t="n">
        <v>61.55</v>
      </c>
      <c r="G949" s="8" t="n">
        <v>27.95</v>
      </c>
      <c r="H949" s="8" t="n">
        <v>75.660004</v>
      </c>
      <c r="I949" s="8" t="n">
        <v>3811.149902</v>
      </c>
      <c r="J949" s="8" t="n">
        <v>97.964348</v>
      </c>
      <c r="L949" s="9">
        <f>LN(B949/B948)</f>
        <v/>
      </c>
      <c r="M949" s="9">
        <f>$M$1*(C949-C948)</f>
        <v/>
      </c>
      <c r="N949" s="9">
        <f>$N$1*(D949-D948)</f>
        <v/>
      </c>
      <c r="O949" s="9">
        <f>$O$1*LN(E949/E948)</f>
        <v/>
      </c>
      <c r="P949" s="9">
        <f>$P$1*LN(F949/F948)</f>
        <v/>
      </c>
      <c r="Q949" s="9">
        <f>$Q$1*(G949-G948)</f>
        <v/>
      </c>
      <c r="R949" s="9">
        <f>$R$1*(H949-H948)</f>
        <v/>
      </c>
      <c r="S949" s="9">
        <f>$S$1*LN(I949/I948)</f>
        <v/>
      </c>
      <c r="T949" s="9">
        <f>$T$1*LN(J949/J948)</f>
        <v/>
      </c>
      <c r="U949" s="9">
        <f>$W$12+$W$4*M949+$W$5*N949+$W$6*O949+$W$7*P949+$W$8*Q949+$W$9*R949+$W$10*S949+$W$11*T949</f>
        <v/>
      </c>
      <c r="AA949" s="10">
        <f>INDEX(LINEST(L690:L949,M690:T949,TRUE,TRUE),1,9)*52</f>
        <v/>
      </c>
      <c r="AB949" s="9">
        <f>INDEX(LINEST(L690:L949,M690:T949,TRUE,TRUE),1,8)</f>
        <v/>
      </c>
      <c r="AC949" s="9">
        <f>INDEX(LINEST(L690:L949,M690:T949,TRUE,TRUE),1,7)</f>
        <v/>
      </c>
      <c r="AD949" s="9">
        <f>INDEX(LINEST(L690:L949,M690:T949,TRUE,TRUE),1,6)</f>
        <v/>
      </c>
      <c r="AE949" s="9">
        <f>INDEX(LINEST(L690:L949,M690:T949,TRUE,TRUE),1,5)</f>
        <v/>
      </c>
      <c r="AF949" s="9">
        <f>INDEX(LINEST(L690:L949,M690:T949,TRUE,TRUE),1,4)</f>
        <v/>
      </c>
      <c r="AG949" s="9">
        <f>INDEX(LINEST(L690:L949,M690:T949,TRUE,TRUE),1,3)</f>
        <v/>
      </c>
      <c r="AH949" s="9">
        <f>INDEX(LINEST(L690:L949,M690:T949,TRUE,TRUE),1,2)</f>
        <v/>
      </c>
      <c r="AI949" s="9">
        <f>INDEX(LINEST(L690:L949,M690:T949,TRUE,TRUE),1,1)</f>
        <v/>
      </c>
      <c r="AJ949" s="10">
        <f>INDEX(LINEST(L690:L949,M690:T949,TRUE,TRUE),3,1)</f>
        <v/>
      </c>
      <c r="AK949" s="9">
        <f>AA948/52+AB948*M949+AC948*N949+AD948*O949+AE948*P949+AF948*Q949+AG948*R949+AH948*S949+AI948*T949</f>
        <v/>
      </c>
      <c r="AL949" s="9">
        <f>AVERAGE(L689:L948)</f>
        <v/>
      </c>
    </row>
    <row r="950">
      <c r="A950" s="7" t="n">
        <v>44260</v>
      </c>
      <c r="B950" s="8" t="n">
        <v>1696.25</v>
      </c>
      <c r="C950" s="8" t="n">
        <v>2.22</v>
      </c>
      <c r="D950" s="8" t="n">
        <v>-0.66</v>
      </c>
      <c r="E950" s="8" t="n">
        <v>91.980003</v>
      </c>
      <c r="F950" s="8" t="n">
        <v>66.08</v>
      </c>
      <c r="G950" s="8" t="n">
        <v>24.66</v>
      </c>
      <c r="H950" s="8" t="n">
        <v>69.370003</v>
      </c>
      <c r="I950" s="8" t="n">
        <v>3841.939941</v>
      </c>
      <c r="J950" s="8" t="n">
        <v>97.224197</v>
      </c>
      <c r="L950" s="9">
        <f>LN(B950/B949)</f>
        <v/>
      </c>
      <c r="M950" s="9">
        <f>$M$1*(C950-C949)</f>
        <v/>
      </c>
      <c r="N950" s="9">
        <f>$N$1*(D950-D949)</f>
        <v/>
      </c>
      <c r="O950" s="9">
        <f>$O$1*LN(E950/E949)</f>
        <v/>
      </c>
      <c r="P950" s="9">
        <f>$P$1*LN(F950/F949)</f>
        <v/>
      </c>
      <c r="Q950" s="9">
        <f>$Q$1*(G950-G949)</f>
        <v/>
      </c>
      <c r="R950" s="9">
        <f>$R$1*(H950-H949)</f>
        <v/>
      </c>
      <c r="S950" s="9">
        <f>$S$1*LN(I950/I949)</f>
        <v/>
      </c>
      <c r="T950" s="9">
        <f>$T$1*LN(J950/J949)</f>
        <v/>
      </c>
      <c r="U950" s="9">
        <f>$W$12+$W$4*M950+$W$5*N950+$W$6*O950+$W$7*P950+$W$8*Q950+$W$9*R950+$W$10*S950+$W$11*T950</f>
        <v/>
      </c>
      <c r="AA950" s="10">
        <f>INDEX(LINEST(L691:L950,M691:T950,TRUE,TRUE),1,9)*52</f>
        <v/>
      </c>
      <c r="AB950" s="9">
        <f>INDEX(LINEST(L691:L950,M691:T950,TRUE,TRUE),1,8)</f>
        <v/>
      </c>
      <c r="AC950" s="9">
        <f>INDEX(LINEST(L691:L950,M691:T950,TRUE,TRUE),1,7)</f>
        <v/>
      </c>
      <c r="AD950" s="9">
        <f>INDEX(LINEST(L691:L950,M691:T950,TRUE,TRUE),1,6)</f>
        <v/>
      </c>
      <c r="AE950" s="9">
        <f>INDEX(LINEST(L691:L950,M691:T950,TRUE,TRUE),1,5)</f>
        <v/>
      </c>
      <c r="AF950" s="9">
        <f>INDEX(LINEST(L691:L950,M691:T950,TRUE,TRUE),1,4)</f>
        <v/>
      </c>
      <c r="AG950" s="9">
        <f>INDEX(LINEST(L691:L950,M691:T950,TRUE,TRUE),1,3)</f>
        <v/>
      </c>
      <c r="AH950" s="9">
        <f>INDEX(LINEST(L691:L950,M691:T950,TRUE,TRUE),1,2)</f>
        <v/>
      </c>
      <c r="AI950" s="9">
        <f>INDEX(LINEST(L691:L950,M691:T950,TRUE,TRUE),1,1)</f>
        <v/>
      </c>
      <c r="AJ950" s="10">
        <f>INDEX(LINEST(L691:L950,M691:T950,TRUE,TRUE),3,1)</f>
        <v/>
      </c>
      <c r="AK950" s="9">
        <f>AA949/52+AB949*M950+AC949*N950+AD949*O950+AE949*P950+AF949*Q950+AG949*R950+AH949*S950+AI949*T950</f>
        <v/>
      </c>
      <c r="AL950" s="9">
        <f>AVERAGE(L690:L949)</f>
        <v/>
      </c>
    </row>
    <row r="951">
      <c r="A951" s="7" t="n">
        <v>44267</v>
      </c>
      <c r="B951" s="8" t="n">
        <v>1704.8</v>
      </c>
      <c r="C951" s="8" t="n">
        <v>2.26</v>
      </c>
      <c r="D951" s="8" t="n">
        <v>-0.62</v>
      </c>
      <c r="E951" s="8" t="n">
        <v>91.68000000000001</v>
      </c>
      <c r="F951" s="8" t="n">
        <v>65.59</v>
      </c>
      <c r="G951" s="8" t="n">
        <v>20.69</v>
      </c>
      <c r="H951" s="8" t="n">
        <v>70.83000199999999</v>
      </c>
      <c r="I951" s="8" t="n">
        <v>3943.340088</v>
      </c>
      <c r="J951" s="8" t="n">
        <v>96.80729700000001</v>
      </c>
      <c r="L951" s="9">
        <f>LN(B951/B950)</f>
        <v/>
      </c>
      <c r="M951" s="9">
        <f>$M$1*(C951-C950)</f>
        <v/>
      </c>
      <c r="N951" s="9">
        <f>$N$1*(D951-D950)</f>
        <v/>
      </c>
      <c r="O951" s="9">
        <f>$O$1*LN(E951/E950)</f>
        <v/>
      </c>
      <c r="P951" s="9">
        <f>$P$1*LN(F951/F950)</f>
        <v/>
      </c>
      <c r="Q951" s="9">
        <f>$Q$1*(G951-G950)</f>
        <v/>
      </c>
      <c r="R951" s="9">
        <f>$R$1*(H951-H950)</f>
        <v/>
      </c>
      <c r="S951" s="9">
        <f>$S$1*LN(I951/I950)</f>
        <v/>
      </c>
      <c r="T951" s="9">
        <f>$T$1*LN(J951/J950)</f>
        <v/>
      </c>
      <c r="U951" s="9">
        <f>$W$12+$W$4*M951+$W$5*N951+$W$6*O951+$W$7*P951+$W$8*Q951+$W$9*R951+$W$10*S951+$W$11*T951</f>
        <v/>
      </c>
      <c r="AA951" s="10">
        <f>INDEX(LINEST(L692:L951,M692:T951,TRUE,TRUE),1,9)*52</f>
        <v/>
      </c>
      <c r="AB951" s="9">
        <f>INDEX(LINEST(L692:L951,M692:T951,TRUE,TRUE),1,8)</f>
        <v/>
      </c>
      <c r="AC951" s="9">
        <f>INDEX(LINEST(L692:L951,M692:T951,TRUE,TRUE),1,7)</f>
        <v/>
      </c>
      <c r="AD951" s="9">
        <f>INDEX(LINEST(L692:L951,M692:T951,TRUE,TRUE),1,6)</f>
        <v/>
      </c>
      <c r="AE951" s="9">
        <f>INDEX(LINEST(L692:L951,M692:T951,TRUE,TRUE),1,5)</f>
        <v/>
      </c>
      <c r="AF951" s="9">
        <f>INDEX(LINEST(L692:L951,M692:T951,TRUE,TRUE),1,4)</f>
        <v/>
      </c>
      <c r="AG951" s="9">
        <f>INDEX(LINEST(L692:L951,M692:T951,TRUE,TRUE),1,3)</f>
        <v/>
      </c>
      <c r="AH951" s="9">
        <f>INDEX(LINEST(L692:L951,M692:T951,TRUE,TRUE),1,2)</f>
        <v/>
      </c>
      <c r="AI951" s="9">
        <f>INDEX(LINEST(L692:L951,M692:T951,TRUE,TRUE),1,1)</f>
        <v/>
      </c>
      <c r="AJ951" s="10">
        <f>INDEX(LINEST(L692:L951,M692:T951,TRUE,TRUE),3,1)</f>
        <v/>
      </c>
      <c r="AK951" s="9">
        <f>AA950/52+AB950*M951+AC950*N951+AD950*O951+AE950*P951+AF950*Q951+AG950*R951+AH950*S951+AI950*T951</f>
        <v/>
      </c>
      <c r="AL951" s="9">
        <f>AVERAGE(L691:L950)</f>
        <v/>
      </c>
    </row>
    <row r="952">
      <c r="A952" s="7" t="n">
        <v>44274</v>
      </c>
      <c r="B952" s="8" t="n">
        <v>1735.2</v>
      </c>
      <c r="C952" s="8" t="n">
        <v>2.31</v>
      </c>
      <c r="D952" s="8" t="n">
        <v>-0.57</v>
      </c>
      <c r="E952" s="8" t="n">
        <v>91.91999800000001</v>
      </c>
      <c r="F952" s="8" t="n">
        <v>61.43</v>
      </c>
      <c r="G952" s="8" t="n">
        <v>20.95</v>
      </c>
      <c r="H952" s="8" t="n">
        <v>68.800003</v>
      </c>
      <c r="I952" s="8" t="n">
        <v>3913.100098</v>
      </c>
      <c r="J952" s="8" t="n">
        <v>96.56912199999999</v>
      </c>
      <c r="L952" s="9">
        <f>LN(B952/B951)</f>
        <v/>
      </c>
      <c r="M952" s="9">
        <f>$M$1*(C952-C951)</f>
        <v/>
      </c>
      <c r="N952" s="9">
        <f>$N$1*(D952-D951)</f>
        <v/>
      </c>
      <c r="O952" s="9">
        <f>$O$1*LN(E952/E951)</f>
        <v/>
      </c>
      <c r="P952" s="9">
        <f>$P$1*LN(F952/F951)</f>
        <v/>
      </c>
      <c r="Q952" s="9">
        <f>$Q$1*(G952-G951)</f>
        <v/>
      </c>
      <c r="R952" s="9">
        <f>$R$1*(H952-H951)</f>
        <v/>
      </c>
      <c r="S952" s="9">
        <f>$S$1*LN(I952/I951)</f>
        <v/>
      </c>
      <c r="T952" s="9">
        <f>$T$1*LN(J952/J951)</f>
        <v/>
      </c>
      <c r="U952" s="9">
        <f>$W$12+$W$4*M952+$W$5*N952+$W$6*O952+$W$7*P952+$W$8*Q952+$W$9*R952+$W$10*S952+$W$11*T952</f>
        <v/>
      </c>
      <c r="AA952" s="10">
        <f>INDEX(LINEST(L693:L952,M693:T952,TRUE,TRUE),1,9)*52</f>
        <v/>
      </c>
      <c r="AB952" s="9">
        <f>INDEX(LINEST(L693:L952,M693:T952,TRUE,TRUE),1,8)</f>
        <v/>
      </c>
      <c r="AC952" s="9">
        <f>INDEX(LINEST(L693:L952,M693:T952,TRUE,TRUE),1,7)</f>
        <v/>
      </c>
      <c r="AD952" s="9">
        <f>INDEX(LINEST(L693:L952,M693:T952,TRUE,TRUE),1,6)</f>
        <v/>
      </c>
      <c r="AE952" s="9">
        <f>INDEX(LINEST(L693:L952,M693:T952,TRUE,TRUE),1,5)</f>
        <v/>
      </c>
      <c r="AF952" s="9">
        <f>INDEX(LINEST(L693:L952,M693:T952,TRUE,TRUE),1,4)</f>
        <v/>
      </c>
      <c r="AG952" s="9">
        <f>INDEX(LINEST(L693:L952,M693:T952,TRUE,TRUE),1,3)</f>
        <v/>
      </c>
      <c r="AH952" s="9">
        <f>INDEX(LINEST(L693:L952,M693:T952,TRUE,TRUE),1,2)</f>
        <v/>
      </c>
      <c r="AI952" s="9">
        <f>INDEX(LINEST(L693:L952,M693:T952,TRUE,TRUE),1,1)</f>
        <v/>
      </c>
      <c r="AJ952" s="10">
        <f>INDEX(LINEST(L693:L952,M693:T952,TRUE,TRUE),3,1)</f>
        <v/>
      </c>
      <c r="AK952" s="9">
        <f>AA951/52+AB951*M952+AC951*N952+AD951*O952+AE951*P952+AF951*Q952+AG951*R952+AH951*S952+AI951*T952</f>
        <v/>
      </c>
      <c r="AL952" s="9">
        <f>AVERAGE(L692:L951)</f>
        <v/>
      </c>
    </row>
    <row r="953">
      <c r="A953" s="7" t="n">
        <v>44281</v>
      </c>
      <c r="B953" s="8" t="n">
        <v>1731.8</v>
      </c>
      <c r="C953" s="8" t="n">
        <v>2.34</v>
      </c>
      <c r="D953" s="8" t="n">
        <v>-0.67</v>
      </c>
      <c r="E953" s="8" t="n">
        <v>92.769997</v>
      </c>
      <c r="F953" s="8" t="n">
        <v>60.93</v>
      </c>
      <c r="G953" s="8" t="n">
        <v>18.86</v>
      </c>
      <c r="H953" s="8" t="n">
        <v>61.490002</v>
      </c>
      <c r="I953" s="8" t="n">
        <v>3974.540039</v>
      </c>
      <c r="J953" s="8" t="n">
        <v>96.909401</v>
      </c>
      <c r="L953" s="9">
        <f>LN(B953/B952)</f>
        <v/>
      </c>
      <c r="M953" s="9">
        <f>$M$1*(C953-C952)</f>
        <v/>
      </c>
      <c r="N953" s="9">
        <f>$N$1*(D953-D952)</f>
        <v/>
      </c>
      <c r="O953" s="9">
        <f>$O$1*LN(E953/E952)</f>
        <v/>
      </c>
      <c r="P953" s="9">
        <f>$P$1*LN(F953/F952)</f>
        <v/>
      </c>
      <c r="Q953" s="9">
        <f>$Q$1*(G953-G952)</f>
        <v/>
      </c>
      <c r="R953" s="9">
        <f>$R$1*(H953-H952)</f>
        <v/>
      </c>
      <c r="S953" s="9">
        <f>$S$1*LN(I953/I952)</f>
        <v/>
      </c>
      <c r="T953" s="9">
        <f>$T$1*LN(J953/J952)</f>
        <v/>
      </c>
      <c r="U953" s="9">
        <f>$W$12+$W$4*M953+$W$5*N953+$W$6*O953+$W$7*P953+$W$8*Q953+$W$9*R953+$W$10*S953+$W$11*T953</f>
        <v/>
      </c>
      <c r="AA953" s="10">
        <f>INDEX(LINEST(L694:L953,M694:T953,TRUE,TRUE),1,9)*52</f>
        <v/>
      </c>
      <c r="AB953" s="9">
        <f>INDEX(LINEST(L694:L953,M694:T953,TRUE,TRUE),1,8)</f>
        <v/>
      </c>
      <c r="AC953" s="9">
        <f>INDEX(LINEST(L694:L953,M694:T953,TRUE,TRUE),1,7)</f>
        <v/>
      </c>
      <c r="AD953" s="9">
        <f>INDEX(LINEST(L694:L953,M694:T953,TRUE,TRUE),1,6)</f>
        <v/>
      </c>
      <c r="AE953" s="9">
        <f>INDEX(LINEST(L694:L953,M694:T953,TRUE,TRUE),1,5)</f>
        <v/>
      </c>
      <c r="AF953" s="9">
        <f>INDEX(LINEST(L694:L953,M694:T953,TRUE,TRUE),1,4)</f>
        <v/>
      </c>
      <c r="AG953" s="9">
        <f>INDEX(LINEST(L694:L953,M694:T953,TRUE,TRUE),1,3)</f>
        <v/>
      </c>
      <c r="AH953" s="9">
        <f>INDEX(LINEST(L694:L953,M694:T953,TRUE,TRUE),1,2)</f>
        <v/>
      </c>
      <c r="AI953" s="9">
        <f>INDEX(LINEST(L694:L953,M694:T953,TRUE,TRUE),1,1)</f>
        <v/>
      </c>
      <c r="AJ953" s="10">
        <f>INDEX(LINEST(L694:L953,M694:T953,TRUE,TRUE),3,1)</f>
        <v/>
      </c>
      <c r="AK953" s="9">
        <f>AA952/52+AB952*M953+AC952*N953+AD952*O953+AE952*P953+AF952*Q953+AG952*R953+AH952*S953+AI952*T953</f>
        <v/>
      </c>
      <c r="AL953" s="9">
        <f>AVERAGE(L693:L952)</f>
        <v/>
      </c>
    </row>
    <row r="954">
      <c r="A954" s="7" t="n">
        <v>44288</v>
      </c>
      <c r="B954" s="8" t="n">
        <v>1726.05</v>
      </c>
      <c r="C954" s="8" t="n">
        <v>2.36</v>
      </c>
      <c r="D954" s="8" t="n">
        <v>-0.64</v>
      </c>
      <c r="E954" s="8" t="n">
        <v>92.93000000000001</v>
      </c>
      <c r="F954" s="8" t="n">
        <v>61.41</v>
      </c>
      <c r="G954" s="8" t="n">
        <v>17.33</v>
      </c>
      <c r="H954" s="8" t="n">
        <v>64.989998</v>
      </c>
      <c r="I954" s="8" t="n">
        <v>4019.870117</v>
      </c>
      <c r="J954" s="8" t="n">
        <v>97.16683999999999</v>
      </c>
      <c r="L954" s="9">
        <f>LN(B954/B953)</f>
        <v/>
      </c>
      <c r="M954" s="9">
        <f>$M$1*(C954-C953)</f>
        <v/>
      </c>
      <c r="N954" s="9">
        <f>$N$1*(D954-D953)</f>
        <v/>
      </c>
      <c r="O954" s="9">
        <f>$O$1*LN(E954/E953)</f>
        <v/>
      </c>
      <c r="P954" s="9">
        <f>$P$1*LN(F954/F953)</f>
        <v/>
      </c>
      <c r="Q954" s="9">
        <f>$Q$1*(G954-G953)</f>
        <v/>
      </c>
      <c r="R954" s="9">
        <f>$R$1*(H954-H953)</f>
        <v/>
      </c>
      <c r="S954" s="9">
        <f>$S$1*LN(I954/I953)</f>
        <v/>
      </c>
      <c r="T954" s="9">
        <f>$T$1*LN(J954/J953)</f>
        <v/>
      </c>
      <c r="U954" s="9">
        <f>$W$12+$W$4*M954+$W$5*N954+$W$6*O954+$W$7*P954+$W$8*Q954+$W$9*R954+$W$10*S954+$W$11*T954</f>
        <v/>
      </c>
      <c r="AA954" s="10">
        <f>INDEX(LINEST(L695:L954,M695:T954,TRUE,TRUE),1,9)*52</f>
        <v/>
      </c>
      <c r="AB954" s="9">
        <f>INDEX(LINEST(L695:L954,M695:T954,TRUE,TRUE),1,8)</f>
        <v/>
      </c>
      <c r="AC954" s="9">
        <f>INDEX(LINEST(L695:L954,M695:T954,TRUE,TRUE),1,7)</f>
        <v/>
      </c>
      <c r="AD954" s="9">
        <f>INDEX(LINEST(L695:L954,M695:T954,TRUE,TRUE),1,6)</f>
        <v/>
      </c>
      <c r="AE954" s="9">
        <f>INDEX(LINEST(L695:L954,M695:T954,TRUE,TRUE),1,5)</f>
        <v/>
      </c>
      <c r="AF954" s="9">
        <f>INDEX(LINEST(L695:L954,M695:T954,TRUE,TRUE),1,4)</f>
        <v/>
      </c>
      <c r="AG954" s="9">
        <f>INDEX(LINEST(L695:L954,M695:T954,TRUE,TRUE),1,3)</f>
        <v/>
      </c>
      <c r="AH954" s="9">
        <f>INDEX(LINEST(L695:L954,M695:T954,TRUE,TRUE),1,2)</f>
        <v/>
      </c>
      <c r="AI954" s="9">
        <f>INDEX(LINEST(L695:L954,M695:T954,TRUE,TRUE),1,1)</f>
        <v/>
      </c>
      <c r="AJ954" s="10">
        <f>INDEX(LINEST(L695:L954,M695:T954,TRUE,TRUE),3,1)</f>
        <v/>
      </c>
      <c r="AK954" s="9">
        <f>AA953/52+AB953*M954+AC953*N954+AD953*O954+AE953*P954+AF953*Q954+AG953*R954+AH953*S954+AI953*T954</f>
        <v/>
      </c>
      <c r="AL954" s="9">
        <f>AVERAGE(L694:L953)</f>
        <v/>
      </c>
    </row>
    <row r="955">
      <c r="A955" s="7" t="n">
        <v>44295</v>
      </c>
      <c r="B955" s="8" t="n">
        <v>1741.2</v>
      </c>
      <c r="C955" s="8" t="n">
        <v>2.31</v>
      </c>
      <c r="D955" s="8" t="n">
        <v>-0.64</v>
      </c>
      <c r="E955" s="8" t="n">
        <v>92.160004</v>
      </c>
      <c r="F955" s="8" t="n">
        <v>59.29</v>
      </c>
      <c r="G955" s="8" t="n">
        <v>16.69</v>
      </c>
      <c r="H955" s="8" t="n">
        <v>61.209999</v>
      </c>
      <c r="I955" s="8" t="n">
        <v>4128.799805</v>
      </c>
      <c r="J955" s="8" t="n">
        <v>97.286102</v>
      </c>
      <c r="L955" s="9">
        <f>LN(B955/B954)</f>
        <v/>
      </c>
      <c r="M955" s="9">
        <f>$M$1*(C955-C954)</f>
        <v/>
      </c>
      <c r="N955" s="9">
        <f>$N$1*(D955-D954)</f>
        <v/>
      </c>
      <c r="O955" s="9">
        <f>$O$1*LN(E955/E954)</f>
        <v/>
      </c>
      <c r="P955" s="9">
        <f>$P$1*LN(F955/F954)</f>
        <v/>
      </c>
      <c r="Q955" s="9">
        <f>$Q$1*(G955-G954)</f>
        <v/>
      </c>
      <c r="R955" s="9">
        <f>$R$1*(H955-H954)</f>
        <v/>
      </c>
      <c r="S955" s="9">
        <f>$S$1*LN(I955/I954)</f>
        <v/>
      </c>
      <c r="T955" s="9">
        <f>$T$1*LN(J955/J954)</f>
        <v/>
      </c>
      <c r="U955" s="9">
        <f>$W$12+$W$4*M955+$W$5*N955+$W$6*O955+$W$7*P955+$W$8*Q955+$W$9*R955+$W$10*S955+$W$11*T955</f>
        <v/>
      </c>
      <c r="AA955" s="10">
        <f>INDEX(LINEST(L696:L955,M696:T955,TRUE,TRUE),1,9)*52</f>
        <v/>
      </c>
      <c r="AB955" s="9">
        <f>INDEX(LINEST(L696:L955,M696:T955,TRUE,TRUE),1,8)</f>
        <v/>
      </c>
      <c r="AC955" s="9">
        <f>INDEX(LINEST(L696:L955,M696:T955,TRUE,TRUE),1,7)</f>
        <v/>
      </c>
      <c r="AD955" s="9">
        <f>INDEX(LINEST(L696:L955,M696:T955,TRUE,TRUE),1,6)</f>
        <v/>
      </c>
      <c r="AE955" s="9">
        <f>INDEX(LINEST(L696:L955,M696:T955,TRUE,TRUE),1,5)</f>
        <v/>
      </c>
      <c r="AF955" s="9">
        <f>INDEX(LINEST(L696:L955,M696:T955,TRUE,TRUE),1,4)</f>
        <v/>
      </c>
      <c r="AG955" s="9">
        <f>INDEX(LINEST(L696:L955,M696:T955,TRUE,TRUE),1,3)</f>
        <v/>
      </c>
      <c r="AH955" s="9">
        <f>INDEX(LINEST(L696:L955,M696:T955,TRUE,TRUE),1,2)</f>
        <v/>
      </c>
      <c r="AI955" s="9">
        <f>INDEX(LINEST(L696:L955,M696:T955,TRUE,TRUE),1,1)</f>
        <v/>
      </c>
      <c r="AJ955" s="10">
        <f>INDEX(LINEST(L696:L955,M696:T955,TRUE,TRUE),3,1)</f>
        <v/>
      </c>
      <c r="AK955" s="9">
        <f>AA954/52+AB954*M955+AC954*N955+AD954*O955+AE954*P955+AF954*Q955+AG954*R955+AH954*S955+AI954*T955</f>
        <v/>
      </c>
      <c r="AL955" s="9">
        <f>AVERAGE(L695:L954)</f>
        <v/>
      </c>
    </row>
    <row r="956">
      <c r="A956" s="7" t="n">
        <v>44302</v>
      </c>
      <c r="B956" s="8" t="n">
        <v>1774.45</v>
      </c>
      <c r="C956" s="8" t="n">
        <v>2.36</v>
      </c>
      <c r="D956" s="8" t="n">
        <v>-0.77</v>
      </c>
      <c r="E956" s="8" t="n">
        <v>91.55999799999999</v>
      </c>
      <c r="F956" s="8" t="n">
        <v>63.16</v>
      </c>
      <c r="G956" s="8" t="n">
        <v>16.25</v>
      </c>
      <c r="H956" s="8" t="n">
        <v>62.57</v>
      </c>
      <c r="I956" s="8" t="n">
        <v>4185.470215</v>
      </c>
      <c r="J956" s="8" t="n">
        <v>97.592834</v>
      </c>
      <c r="L956" s="9">
        <f>LN(B956/B955)</f>
        <v/>
      </c>
      <c r="M956" s="9">
        <f>$M$1*(C956-C955)</f>
        <v/>
      </c>
      <c r="N956" s="9">
        <f>$N$1*(D956-D955)</f>
        <v/>
      </c>
      <c r="O956" s="9">
        <f>$O$1*LN(E956/E955)</f>
        <v/>
      </c>
      <c r="P956" s="9">
        <f>$P$1*LN(F956/F955)</f>
        <v/>
      </c>
      <c r="Q956" s="9">
        <f>$Q$1*(G956-G955)</f>
        <v/>
      </c>
      <c r="R956" s="9">
        <f>$R$1*(H956-H955)</f>
        <v/>
      </c>
      <c r="S956" s="9">
        <f>$S$1*LN(I956/I955)</f>
        <v/>
      </c>
      <c r="T956" s="9">
        <f>$T$1*LN(J956/J955)</f>
        <v/>
      </c>
      <c r="U956" s="9">
        <f>$W$12+$W$4*M956+$W$5*N956+$W$6*O956+$W$7*P956+$W$8*Q956+$W$9*R956+$W$10*S956+$W$11*T956</f>
        <v/>
      </c>
      <c r="AA956" s="10">
        <f>INDEX(LINEST(L697:L956,M697:T956,TRUE,TRUE),1,9)*52</f>
        <v/>
      </c>
      <c r="AB956" s="9">
        <f>INDEX(LINEST(L697:L956,M697:T956,TRUE,TRUE),1,8)</f>
        <v/>
      </c>
      <c r="AC956" s="9">
        <f>INDEX(LINEST(L697:L956,M697:T956,TRUE,TRUE),1,7)</f>
        <v/>
      </c>
      <c r="AD956" s="9">
        <f>INDEX(LINEST(L697:L956,M697:T956,TRUE,TRUE),1,6)</f>
        <v/>
      </c>
      <c r="AE956" s="9">
        <f>INDEX(LINEST(L697:L956,M697:T956,TRUE,TRUE),1,5)</f>
        <v/>
      </c>
      <c r="AF956" s="9">
        <f>INDEX(LINEST(L697:L956,M697:T956,TRUE,TRUE),1,4)</f>
        <v/>
      </c>
      <c r="AG956" s="9">
        <f>INDEX(LINEST(L697:L956,M697:T956,TRUE,TRUE),1,3)</f>
        <v/>
      </c>
      <c r="AH956" s="9">
        <f>INDEX(LINEST(L697:L956,M697:T956,TRUE,TRUE),1,2)</f>
        <v/>
      </c>
      <c r="AI956" s="9">
        <f>INDEX(LINEST(L697:L956,M697:T956,TRUE,TRUE),1,1)</f>
        <v/>
      </c>
      <c r="AJ956" s="10">
        <f>INDEX(LINEST(L697:L956,M697:T956,TRUE,TRUE),3,1)</f>
        <v/>
      </c>
      <c r="AK956" s="9">
        <f>AA955/52+AB955*M956+AC955*N956+AD955*O956+AE955*P956+AF955*Q956+AG955*R956+AH955*S956+AI955*T956</f>
        <v/>
      </c>
      <c r="AL956" s="9">
        <f>AVERAGE(L696:L955)</f>
        <v/>
      </c>
    </row>
    <row r="957">
      <c r="A957" s="7" t="n">
        <v>44309</v>
      </c>
      <c r="B957" s="8" t="n">
        <v>1781.8</v>
      </c>
      <c r="C957" s="8" t="n">
        <v>2.34</v>
      </c>
      <c r="D957" s="8" t="n">
        <v>-0.76</v>
      </c>
      <c r="E957" s="8" t="n">
        <v>90.860001</v>
      </c>
      <c r="F957" s="8" t="n">
        <v>62.18</v>
      </c>
      <c r="G957" s="8" t="n">
        <v>17.33</v>
      </c>
      <c r="H957" s="8" t="n">
        <v>59.98</v>
      </c>
      <c r="I957" s="8" t="n">
        <v>4180.169922</v>
      </c>
      <c r="J957" s="8" t="n">
        <v>97.771767</v>
      </c>
      <c r="L957" s="9">
        <f>LN(B957/B956)</f>
        <v/>
      </c>
      <c r="M957" s="9">
        <f>$M$1*(C957-C956)</f>
        <v/>
      </c>
      <c r="N957" s="9">
        <f>$N$1*(D957-D956)</f>
        <v/>
      </c>
      <c r="O957" s="9">
        <f>$O$1*LN(E957/E956)</f>
        <v/>
      </c>
      <c r="P957" s="9">
        <f>$P$1*LN(F957/F956)</f>
        <v/>
      </c>
      <c r="Q957" s="9">
        <f>$Q$1*(G957-G956)</f>
        <v/>
      </c>
      <c r="R957" s="9">
        <f>$R$1*(H957-H956)</f>
        <v/>
      </c>
      <c r="S957" s="9">
        <f>$S$1*LN(I957/I956)</f>
        <v/>
      </c>
      <c r="T957" s="9">
        <f>$T$1*LN(J957/J956)</f>
        <v/>
      </c>
      <c r="U957" s="9">
        <f>$W$12+$W$4*M957+$W$5*N957+$W$6*O957+$W$7*P957+$W$8*Q957+$W$9*R957+$W$10*S957+$W$11*T957</f>
        <v/>
      </c>
      <c r="AA957" s="10">
        <f>INDEX(LINEST(L698:L957,M698:T957,TRUE,TRUE),1,9)*52</f>
        <v/>
      </c>
      <c r="AB957" s="9">
        <f>INDEX(LINEST(L698:L957,M698:T957,TRUE,TRUE),1,8)</f>
        <v/>
      </c>
      <c r="AC957" s="9">
        <f>INDEX(LINEST(L698:L957,M698:T957,TRUE,TRUE),1,7)</f>
        <v/>
      </c>
      <c r="AD957" s="9">
        <f>INDEX(LINEST(L698:L957,M698:T957,TRUE,TRUE),1,6)</f>
        <v/>
      </c>
      <c r="AE957" s="9">
        <f>INDEX(LINEST(L698:L957,M698:T957,TRUE,TRUE),1,5)</f>
        <v/>
      </c>
      <c r="AF957" s="9">
        <f>INDEX(LINEST(L698:L957,M698:T957,TRUE,TRUE),1,4)</f>
        <v/>
      </c>
      <c r="AG957" s="9">
        <f>INDEX(LINEST(L698:L957,M698:T957,TRUE,TRUE),1,3)</f>
        <v/>
      </c>
      <c r="AH957" s="9">
        <f>INDEX(LINEST(L698:L957,M698:T957,TRUE,TRUE),1,2)</f>
        <v/>
      </c>
      <c r="AI957" s="9">
        <f>INDEX(LINEST(L698:L957,M698:T957,TRUE,TRUE),1,1)</f>
        <v/>
      </c>
      <c r="AJ957" s="10">
        <f>INDEX(LINEST(L698:L957,M698:T957,TRUE,TRUE),3,1)</f>
        <v/>
      </c>
      <c r="AK957" s="9">
        <f>AA956/52+AB956*M957+AC956*N957+AD956*O957+AE956*P957+AF956*Q957+AG956*R957+AH956*S957+AI956*T957</f>
        <v/>
      </c>
      <c r="AL957" s="9">
        <f>AVERAGE(L697:L956)</f>
        <v/>
      </c>
    </row>
    <row r="958">
      <c r="A958" s="7" t="n">
        <v>44316</v>
      </c>
      <c r="B958" s="8" t="n">
        <v>1767.65</v>
      </c>
      <c r="C958" s="8" t="n">
        <v>2.41</v>
      </c>
      <c r="D958" s="8" t="n">
        <v>-0.76</v>
      </c>
      <c r="E958" s="8" t="n">
        <v>91.279999</v>
      </c>
      <c r="F958" s="8" t="n">
        <v>63.5</v>
      </c>
      <c r="G958" s="8" t="n">
        <v>18.61</v>
      </c>
      <c r="H958" s="8" t="n">
        <v>58.130001</v>
      </c>
      <c r="I958" s="8" t="n">
        <v>4181.169922</v>
      </c>
      <c r="J958" s="8" t="n">
        <v>97.550262</v>
      </c>
      <c r="L958" s="9">
        <f>LN(B958/B957)</f>
        <v/>
      </c>
      <c r="M958" s="9">
        <f>$M$1*(C958-C957)</f>
        <v/>
      </c>
      <c r="N958" s="9">
        <f>$N$1*(D958-D957)</f>
        <v/>
      </c>
      <c r="O958" s="9">
        <f>$O$1*LN(E958/E957)</f>
        <v/>
      </c>
      <c r="P958" s="9">
        <f>$P$1*LN(F958/F957)</f>
        <v/>
      </c>
      <c r="Q958" s="9">
        <f>$Q$1*(G958-G957)</f>
        <v/>
      </c>
      <c r="R958" s="9">
        <f>$R$1*(H958-H957)</f>
        <v/>
      </c>
      <c r="S958" s="9">
        <f>$S$1*LN(I958/I957)</f>
        <v/>
      </c>
      <c r="T958" s="9">
        <f>$T$1*LN(J958/J957)</f>
        <v/>
      </c>
      <c r="U958" s="9">
        <f>$W$12+$W$4*M958+$W$5*N958+$W$6*O958+$W$7*P958+$W$8*Q958+$W$9*R958+$W$10*S958+$W$11*T958</f>
        <v/>
      </c>
      <c r="AA958" s="10">
        <f>INDEX(LINEST(L699:L958,M699:T958,TRUE,TRUE),1,9)*52</f>
        <v/>
      </c>
      <c r="AB958" s="9">
        <f>INDEX(LINEST(L699:L958,M699:T958,TRUE,TRUE),1,8)</f>
        <v/>
      </c>
      <c r="AC958" s="9">
        <f>INDEX(LINEST(L699:L958,M699:T958,TRUE,TRUE),1,7)</f>
        <v/>
      </c>
      <c r="AD958" s="9">
        <f>INDEX(LINEST(L699:L958,M699:T958,TRUE,TRUE),1,6)</f>
        <v/>
      </c>
      <c r="AE958" s="9">
        <f>INDEX(LINEST(L699:L958,M699:T958,TRUE,TRUE),1,5)</f>
        <v/>
      </c>
      <c r="AF958" s="9">
        <f>INDEX(LINEST(L699:L958,M699:T958,TRUE,TRUE),1,4)</f>
        <v/>
      </c>
      <c r="AG958" s="9">
        <f>INDEX(LINEST(L699:L958,M699:T958,TRUE,TRUE),1,3)</f>
        <v/>
      </c>
      <c r="AH958" s="9">
        <f>INDEX(LINEST(L699:L958,M699:T958,TRUE,TRUE),1,2)</f>
        <v/>
      </c>
      <c r="AI958" s="9">
        <f>INDEX(LINEST(L699:L958,M699:T958,TRUE,TRUE),1,1)</f>
        <v/>
      </c>
      <c r="AJ958" s="10">
        <f>INDEX(LINEST(L699:L958,M699:T958,TRUE,TRUE),3,1)</f>
        <v/>
      </c>
      <c r="AK958" s="9">
        <f>AA957/52+AB957*M958+AC957*N958+AD957*O958+AE957*P958+AF957*Q958+AG957*R958+AH957*S958+AI957*T958</f>
        <v/>
      </c>
      <c r="AL958" s="9">
        <f>AVERAGE(L698:L957)</f>
        <v/>
      </c>
    </row>
    <row r="959">
      <c r="A959" s="7" t="n">
        <v>44323</v>
      </c>
      <c r="B959" s="8" t="n">
        <v>1836.55</v>
      </c>
      <c r="C959" s="8" t="n">
        <v>2.49</v>
      </c>
      <c r="D959" s="8" t="n">
        <v>-0.89</v>
      </c>
      <c r="E959" s="8" t="n">
        <v>90.230003</v>
      </c>
      <c r="F959" s="8" t="n">
        <v>64.95999999999999</v>
      </c>
      <c r="G959" s="8" t="n">
        <v>16.69</v>
      </c>
      <c r="H959" s="8" t="n">
        <v>54.130001</v>
      </c>
      <c r="I959" s="8" t="n">
        <v>4232.600098</v>
      </c>
      <c r="J959" s="8" t="n">
        <v>97.800262</v>
      </c>
      <c r="L959" s="9">
        <f>LN(B959/B958)</f>
        <v/>
      </c>
      <c r="M959" s="9">
        <f>$M$1*(C959-C958)</f>
        <v/>
      </c>
      <c r="N959" s="9">
        <f>$N$1*(D959-D958)</f>
        <v/>
      </c>
      <c r="O959" s="9">
        <f>$O$1*LN(E959/E958)</f>
        <v/>
      </c>
      <c r="P959" s="9">
        <f>$P$1*LN(F959/F958)</f>
        <v/>
      </c>
      <c r="Q959" s="9">
        <f>$Q$1*(G959-G958)</f>
        <v/>
      </c>
      <c r="R959" s="9">
        <f>$R$1*(H959-H958)</f>
        <v/>
      </c>
      <c r="S959" s="9">
        <f>$S$1*LN(I959/I958)</f>
        <v/>
      </c>
      <c r="T959" s="9">
        <f>$T$1*LN(J959/J958)</f>
        <v/>
      </c>
      <c r="U959" s="9">
        <f>$W$12+$W$4*M959+$W$5*N959+$W$6*O959+$W$7*P959+$W$8*Q959+$W$9*R959+$W$10*S959+$W$11*T959</f>
        <v/>
      </c>
      <c r="AA959" s="10">
        <f>INDEX(LINEST(L700:L959,M700:T959,TRUE,TRUE),1,9)*52</f>
        <v/>
      </c>
      <c r="AB959" s="9">
        <f>INDEX(LINEST(L700:L959,M700:T959,TRUE,TRUE),1,8)</f>
        <v/>
      </c>
      <c r="AC959" s="9">
        <f>INDEX(LINEST(L700:L959,M700:T959,TRUE,TRUE),1,7)</f>
        <v/>
      </c>
      <c r="AD959" s="9">
        <f>INDEX(LINEST(L700:L959,M700:T959,TRUE,TRUE),1,6)</f>
        <v/>
      </c>
      <c r="AE959" s="9">
        <f>INDEX(LINEST(L700:L959,M700:T959,TRUE,TRUE),1,5)</f>
        <v/>
      </c>
      <c r="AF959" s="9">
        <f>INDEX(LINEST(L700:L959,M700:T959,TRUE,TRUE),1,4)</f>
        <v/>
      </c>
      <c r="AG959" s="9">
        <f>INDEX(LINEST(L700:L959,M700:T959,TRUE,TRUE),1,3)</f>
        <v/>
      </c>
      <c r="AH959" s="9">
        <f>INDEX(LINEST(L700:L959,M700:T959,TRUE,TRUE),1,2)</f>
        <v/>
      </c>
      <c r="AI959" s="9">
        <f>INDEX(LINEST(L700:L959,M700:T959,TRUE,TRUE),1,1)</f>
        <v/>
      </c>
      <c r="AJ959" s="10">
        <f>INDEX(LINEST(L700:L959,M700:T959,TRUE,TRUE),3,1)</f>
        <v/>
      </c>
      <c r="AK959" s="9">
        <f>AA958/52+AB958*M959+AC958*N959+AD958*O959+AE958*P959+AF958*Q959+AG958*R959+AH958*S959+AI958*T959</f>
        <v/>
      </c>
      <c r="AL959" s="9">
        <f>AVERAGE(L699:L958)</f>
        <v/>
      </c>
    </row>
    <row r="960">
      <c r="A960" s="7" t="n">
        <v>44330</v>
      </c>
      <c r="B960" s="8" t="n">
        <v>1838.1</v>
      </c>
      <c r="C960" s="8" t="n">
        <v>2.51</v>
      </c>
      <c r="D960" s="8" t="n">
        <v>-0.88</v>
      </c>
      <c r="E960" s="8" t="n">
        <v>90.31999999999999</v>
      </c>
      <c r="F960" s="8" t="n">
        <v>65.31999999999999</v>
      </c>
      <c r="G960" s="8" t="n">
        <v>18.81</v>
      </c>
      <c r="H960" s="8" t="n">
        <v>54.990002</v>
      </c>
      <c r="I960" s="8" t="n">
        <v>4173.850098</v>
      </c>
      <c r="J960" s="8" t="n">
        <v>97.53576700000001</v>
      </c>
      <c r="L960" s="9">
        <f>LN(B960/B959)</f>
        <v/>
      </c>
      <c r="M960" s="9">
        <f>$M$1*(C960-C959)</f>
        <v/>
      </c>
      <c r="N960" s="9">
        <f>$N$1*(D960-D959)</f>
        <v/>
      </c>
      <c r="O960" s="9">
        <f>$O$1*LN(E960/E959)</f>
        <v/>
      </c>
      <c r="P960" s="9">
        <f>$P$1*LN(F960/F959)</f>
        <v/>
      </c>
      <c r="Q960" s="9">
        <f>$Q$1*(G960-G959)</f>
        <v/>
      </c>
      <c r="R960" s="9">
        <f>$R$1*(H960-H959)</f>
        <v/>
      </c>
      <c r="S960" s="9">
        <f>$S$1*LN(I960/I959)</f>
        <v/>
      </c>
      <c r="T960" s="9">
        <f>$T$1*LN(J960/J959)</f>
        <v/>
      </c>
      <c r="U960" s="9">
        <f>$W$12+$W$4*M960+$W$5*N960+$W$6*O960+$W$7*P960+$W$8*Q960+$W$9*R960+$W$10*S960+$W$11*T960</f>
        <v/>
      </c>
      <c r="AA960" s="10">
        <f>INDEX(LINEST(L701:L960,M701:T960,TRUE,TRUE),1,9)*52</f>
        <v/>
      </c>
      <c r="AB960" s="9">
        <f>INDEX(LINEST(L701:L960,M701:T960,TRUE,TRUE),1,8)</f>
        <v/>
      </c>
      <c r="AC960" s="9">
        <f>INDEX(LINEST(L701:L960,M701:T960,TRUE,TRUE),1,7)</f>
        <v/>
      </c>
      <c r="AD960" s="9">
        <f>INDEX(LINEST(L701:L960,M701:T960,TRUE,TRUE),1,6)</f>
        <v/>
      </c>
      <c r="AE960" s="9">
        <f>INDEX(LINEST(L701:L960,M701:T960,TRUE,TRUE),1,5)</f>
        <v/>
      </c>
      <c r="AF960" s="9">
        <f>INDEX(LINEST(L701:L960,M701:T960,TRUE,TRUE),1,4)</f>
        <v/>
      </c>
      <c r="AG960" s="9">
        <f>INDEX(LINEST(L701:L960,M701:T960,TRUE,TRUE),1,3)</f>
        <v/>
      </c>
      <c r="AH960" s="9">
        <f>INDEX(LINEST(L701:L960,M701:T960,TRUE,TRUE),1,2)</f>
        <v/>
      </c>
      <c r="AI960" s="9">
        <f>INDEX(LINEST(L701:L960,M701:T960,TRUE,TRUE),1,1)</f>
        <v/>
      </c>
      <c r="AJ960" s="10">
        <f>INDEX(LINEST(L701:L960,M701:T960,TRUE,TRUE),3,1)</f>
        <v/>
      </c>
      <c r="AK960" s="9">
        <f>AA959/52+AB959*M960+AC959*N960+AD959*O960+AE959*P960+AF959*Q960+AG959*R960+AH959*S960+AI959*T960</f>
        <v/>
      </c>
      <c r="AL960" s="9">
        <f>AVERAGE(L700:L959)</f>
        <v/>
      </c>
    </row>
    <row r="961">
      <c r="A961" s="7" t="n">
        <v>44337</v>
      </c>
      <c r="B961" s="8" t="n">
        <v>1875.9</v>
      </c>
      <c r="C961" s="8" t="n">
        <v>2.43</v>
      </c>
      <c r="D961" s="8" t="n">
        <v>-0.8</v>
      </c>
      <c r="E961" s="8" t="n">
        <v>90.019997</v>
      </c>
      <c r="F961" s="8" t="n">
        <v>63.61</v>
      </c>
      <c r="G961" s="8" t="n">
        <v>20.15</v>
      </c>
      <c r="H961" s="8" t="n">
        <v>54.59</v>
      </c>
      <c r="I961" s="8" t="n">
        <v>4155.859863</v>
      </c>
      <c r="J961" s="8" t="n">
        <v>97.569855</v>
      </c>
      <c r="L961" s="9">
        <f>LN(B961/B960)</f>
        <v/>
      </c>
      <c r="M961" s="9">
        <f>$M$1*(C961-C960)</f>
        <v/>
      </c>
      <c r="N961" s="9">
        <f>$N$1*(D961-D960)</f>
        <v/>
      </c>
      <c r="O961" s="9">
        <f>$O$1*LN(E961/E960)</f>
        <v/>
      </c>
      <c r="P961" s="9">
        <f>$P$1*LN(F961/F960)</f>
        <v/>
      </c>
      <c r="Q961" s="9">
        <f>$Q$1*(G961-G960)</f>
        <v/>
      </c>
      <c r="R961" s="9">
        <f>$R$1*(H961-H960)</f>
        <v/>
      </c>
      <c r="S961" s="9">
        <f>$S$1*LN(I961/I960)</f>
        <v/>
      </c>
      <c r="T961" s="9">
        <f>$T$1*LN(J961/J960)</f>
        <v/>
      </c>
      <c r="U961" s="9">
        <f>$W$12+$W$4*M961+$W$5*N961+$W$6*O961+$W$7*P961+$W$8*Q961+$W$9*R961+$W$10*S961+$W$11*T961</f>
        <v/>
      </c>
      <c r="AA961" s="10">
        <f>INDEX(LINEST(L702:L961,M702:T961,TRUE,TRUE),1,9)*52</f>
        <v/>
      </c>
      <c r="AB961" s="9">
        <f>INDEX(LINEST(L702:L961,M702:T961,TRUE,TRUE),1,8)</f>
        <v/>
      </c>
      <c r="AC961" s="9">
        <f>INDEX(LINEST(L702:L961,M702:T961,TRUE,TRUE),1,7)</f>
        <v/>
      </c>
      <c r="AD961" s="9">
        <f>INDEX(LINEST(L702:L961,M702:T961,TRUE,TRUE),1,6)</f>
        <v/>
      </c>
      <c r="AE961" s="9">
        <f>INDEX(LINEST(L702:L961,M702:T961,TRUE,TRUE),1,5)</f>
        <v/>
      </c>
      <c r="AF961" s="9">
        <f>INDEX(LINEST(L702:L961,M702:T961,TRUE,TRUE),1,4)</f>
        <v/>
      </c>
      <c r="AG961" s="9">
        <f>INDEX(LINEST(L702:L961,M702:T961,TRUE,TRUE),1,3)</f>
        <v/>
      </c>
      <c r="AH961" s="9">
        <f>INDEX(LINEST(L702:L961,M702:T961,TRUE,TRUE),1,2)</f>
        <v/>
      </c>
      <c r="AI961" s="9">
        <f>INDEX(LINEST(L702:L961,M702:T961,TRUE,TRUE),1,1)</f>
        <v/>
      </c>
      <c r="AJ961" s="10">
        <f>INDEX(LINEST(L702:L961,M702:T961,TRUE,TRUE),3,1)</f>
        <v/>
      </c>
      <c r="AK961" s="9">
        <f>AA960/52+AB960*M961+AC960*N961+AD960*O961+AE960*P961+AF960*Q961+AG960*R961+AH960*S961+AI960*T961</f>
        <v/>
      </c>
      <c r="AL961" s="9">
        <f>AVERAGE(L701:L960)</f>
        <v/>
      </c>
    </row>
    <row r="962">
      <c r="A962" s="7" t="n">
        <v>44344</v>
      </c>
      <c r="B962" s="8" t="n">
        <v>1899.95</v>
      </c>
      <c r="C962" s="8" t="n">
        <v>2.42</v>
      </c>
      <c r="D962" s="8" t="n">
        <v>-0.84</v>
      </c>
      <c r="E962" s="8" t="n">
        <v>90.029999</v>
      </c>
      <c r="F962" s="8" t="n">
        <v>66.31</v>
      </c>
      <c r="G962" s="8" t="n">
        <v>16.76</v>
      </c>
      <c r="H962" s="8" t="n">
        <v>52.040001</v>
      </c>
      <c r="I962" s="8" t="n">
        <v>4204.109863</v>
      </c>
      <c r="J962" s="8" t="n">
        <v>97.749115</v>
      </c>
      <c r="L962" s="9">
        <f>LN(B962/B961)</f>
        <v/>
      </c>
      <c r="M962" s="9">
        <f>$M$1*(C962-C961)</f>
        <v/>
      </c>
      <c r="N962" s="9">
        <f>$N$1*(D962-D961)</f>
        <v/>
      </c>
      <c r="O962" s="9">
        <f>$O$1*LN(E962/E961)</f>
        <v/>
      </c>
      <c r="P962" s="9">
        <f>$P$1*LN(F962/F961)</f>
        <v/>
      </c>
      <c r="Q962" s="9">
        <f>$Q$1*(G962-G961)</f>
        <v/>
      </c>
      <c r="R962" s="9">
        <f>$R$1*(H962-H961)</f>
        <v/>
      </c>
      <c r="S962" s="9">
        <f>$S$1*LN(I962/I961)</f>
        <v/>
      </c>
      <c r="T962" s="9">
        <f>$T$1*LN(J962/J961)</f>
        <v/>
      </c>
      <c r="U962" s="9">
        <f>$W$12+$W$4*M962+$W$5*N962+$W$6*O962+$W$7*P962+$W$8*Q962+$W$9*R962+$W$10*S962+$W$11*T962</f>
        <v/>
      </c>
      <c r="AA962" s="10">
        <f>INDEX(LINEST(L703:L962,M703:T962,TRUE,TRUE),1,9)*52</f>
        <v/>
      </c>
      <c r="AB962" s="9">
        <f>INDEX(LINEST(L703:L962,M703:T962,TRUE,TRUE),1,8)</f>
        <v/>
      </c>
      <c r="AC962" s="9">
        <f>INDEX(LINEST(L703:L962,M703:T962,TRUE,TRUE),1,7)</f>
        <v/>
      </c>
      <c r="AD962" s="9">
        <f>INDEX(LINEST(L703:L962,M703:T962,TRUE,TRUE),1,6)</f>
        <v/>
      </c>
      <c r="AE962" s="9">
        <f>INDEX(LINEST(L703:L962,M703:T962,TRUE,TRUE),1,5)</f>
        <v/>
      </c>
      <c r="AF962" s="9">
        <f>INDEX(LINEST(L703:L962,M703:T962,TRUE,TRUE),1,4)</f>
        <v/>
      </c>
      <c r="AG962" s="9">
        <f>INDEX(LINEST(L703:L962,M703:T962,TRUE,TRUE),1,3)</f>
        <v/>
      </c>
      <c r="AH962" s="9">
        <f>INDEX(LINEST(L703:L962,M703:T962,TRUE,TRUE),1,2)</f>
        <v/>
      </c>
      <c r="AI962" s="9">
        <f>INDEX(LINEST(L703:L962,M703:T962,TRUE,TRUE),1,1)</f>
        <v/>
      </c>
      <c r="AJ962" s="10">
        <f>INDEX(LINEST(L703:L962,M703:T962,TRUE,TRUE),3,1)</f>
        <v/>
      </c>
      <c r="AK962" s="9">
        <f>AA961/52+AB961*M962+AC961*N962+AD961*O962+AE961*P962+AF961*Q962+AG961*R962+AH961*S962+AI961*T962</f>
        <v/>
      </c>
      <c r="AL962" s="9">
        <f>AVERAGE(L702:L961)</f>
        <v/>
      </c>
    </row>
    <row r="963">
      <c r="A963" s="7" t="n">
        <v>44351</v>
      </c>
      <c r="B963" s="8" t="n">
        <v>1890.6</v>
      </c>
      <c r="C963" s="8" t="n">
        <v>2.4</v>
      </c>
      <c r="D963" s="8" t="n">
        <v>-0.84</v>
      </c>
      <c r="E963" s="8" t="n">
        <v>90.139999</v>
      </c>
      <c r="F963" s="8" t="n">
        <v>69.56999999999999</v>
      </c>
      <c r="G963" s="8" t="n">
        <v>16.42</v>
      </c>
      <c r="H963" s="8" t="n">
        <v>49.779999</v>
      </c>
      <c r="I963" s="8" t="n">
        <v>4229.890137</v>
      </c>
      <c r="J963" s="8" t="n">
        <v>98.00288399999999</v>
      </c>
      <c r="L963" s="9">
        <f>LN(B963/B962)</f>
        <v/>
      </c>
      <c r="M963" s="9">
        <f>$M$1*(C963-C962)</f>
        <v/>
      </c>
      <c r="N963" s="9">
        <f>$N$1*(D963-D962)</f>
        <v/>
      </c>
      <c r="O963" s="9">
        <f>$O$1*LN(E963/E962)</f>
        <v/>
      </c>
      <c r="P963" s="9">
        <f>$P$1*LN(F963/F962)</f>
        <v/>
      </c>
      <c r="Q963" s="9">
        <f>$Q$1*(G963-G962)</f>
        <v/>
      </c>
      <c r="R963" s="9">
        <f>$R$1*(H963-H962)</f>
        <v/>
      </c>
      <c r="S963" s="9">
        <f>$S$1*LN(I963/I962)</f>
        <v/>
      </c>
      <c r="T963" s="9">
        <f>$T$1*LN(J963/J962)</f>
        <v/>
      </c>
      <c r="U963" s="9">
        <f>$W$12+$W$4*M963+$W$5*N963+$W$6*O963+$W$7*P963+$W$8*Q963+$W$9*R963+$W$10*S963+$W$11*T963</f>
        <v/>
      </c>
      <c r="AA963" s="10">
        <f>INDEX(LINEST(L704:L963,M704:T963,TRUE,TRUE),1,9)*52</f>
        <v/>
      </c>
      <c r="AB963" s="9">
        <f>INDEX(LINEST(L704:L963,M704:T963,TRUE,TRUE),1,8)</f>
        <v/>
      </c>
      <c r="AC963" s="9">
        <f>INDEX(LINEST(L704:L963,M704:T963,TRUE,TRUE),1,7)</f>
        <v/>
      </c>
      <c r="AD963" s="9">
        <f>INDEX(LINEST(L704:L963,M704:T963,TRUE,TRUE),1,6)</f>
        <v/>
      </c>
      <c r="AE963" s="9">
        <f>INDEX(LINEST(L704:L963,M704:T963,TRUE,TRUE),1,5)</f>
        <v/>
      </c>
      <c r="AF963" s="9">
        <f>INDEX(LINEST(L704:L963,M704:T963,TRUE,TRUE),1,4)</f>
        <v/>
      </c>
      <c r="AG963" s="9">
        <f>INDEX(LINEST(L704:L963,M704:T963,TRUE,TRUE),1,3)</f>
        <v/>
      </c>
      <c r="AH963" s="9">
        <f>INDEX(LINEST(L704:L963,M704:T963,TRUE,TRUE),1,2)</f>
        <v/>
      </c>
      <c r="AI963" s="9">
        <f>INDEX(LINEST(L704:L963,M704:T963,TRUE,TRUE),1,1)</f>
        <v/>
      </c>
      <c r="AJ963" s="10">
        <f>INDEX(LINEST(L704:L963,M704:T963,TRUE,TRUE),3,1)</f>
        <v/>
      </c>
      <c r="AK963" s="9">
        <f>AA962/52+AB962*M963+AC962*N963+AD962*O963+AE962*P963+AF962*Q963+AG962*R963+AH962*S963+AI962*T963</f>
        <v/>
      </c>
      <c r="AL963" s="9">
        <f>AVERAGE(L703:L962)</f>
        <v/>
      </c>
    </row>
    <row r="964">
      <c r="A964" s="7" t="n">
        <v>44358</v>
      </c>
      <c r="B964" s="8" t="n">
        <v>1881.05</v>
      </c>
      <c r="C964" s="8" t="n">
        <v>2.32</v>
      </c>
      <c r="D964" s="8" t="n">
        <v>-0.85</v>
      </c>
      <c r="E964" s="8" t="n">
        <v>90.55999799999999</v>
      </c>
      <c r="F964" s="8" t="n">
        <v>71</v>
      </c>
      <c r="G964" s="8" t="n">
        <v>15.65</v>
      </c>
      <c r="H964" s="8" t="n">
        <v>50.849998</v>
      </c>
      <c r="I964" s="8" t="n">
        <v>4247.439941</v>
      </c>
      <c r="J964" s="8" t="n">
        <v>98.472908</v>
      </c>
      <c r="L964" s="9">
        <f>LN(B964/B963)</f>
        <v/>
      </c>
      <c r="M964" s="9">
        <f>$M$1*(C964-C963)</f>
        <v/>
      </c>
      <c r="N964" s="9">
        <f>$N$1*(D964-D963)</f>
        <v/>
      </c>
      <c r="O964" s="9">
        <f>$O$1*LN(E964/E963)</f>
        <v/>
      </c>
      <c r="P964" s="9">
        <f>$P$1*LN(F964/F963)</f>
        <v/>
      </c>
      <c r="Q964" s="9">
        <f>$Q$1*(G964-G963)</f>
        <v/>
      </c>
      <c r="R964" s="9">
        <f>$R$1*(H964-H963)</f>
        <v/>
      </c>
      <c r="S964" s="9">
        <f>$S$1*LN(I964/I963)</f>
        <v/>
      </c>
      <c r="T964" s="9">
        <f>$T$1*LN(J964/J963)</f>
        <v/>
      </c>
      <c r="U964" s="9">
        <f>$W$12+$W$4*M964+$W$5*N964+$W$6*O964+$W$7*P964+$W$8*Q964+$W$9*R964+$W$10*S964+$W$11*T964</f>
        <v/>
      </c>
      <c r="AA964" s="10">
        <f>INDEX(LINEST(L705:L964,M705:T964,TRUE,TRUE),1,9)*52</f>
        <v/>
      </c>
      <c r="AB964" s="9">
        <f>INDEX(LINEST(L705:L964,M705:T964,TRUE,TRUE),1,8)</f>
        <v/>
      </c>
      <c r="AC964" s="9">
        <f>INDEX(LINEST(L705:L964,M705:T964,TRUE,TRUE),1,7)</f>
        <v/>
      </c>
      <c r="AD964" s="9">
        <f>INDEX(LINEST(L705:L964,M705:T964,TRUE,TRUE),1,6)</f>
        <v/>
      </c>
      <c r="AE964" s="9">
        <f>INDEX(LINEST(L705:L964,M705:T964,TRUE,TRUE),1,5)</f>
        <v/>
      </c>
      <c r="AF964" s="9">
        <f>INDEX(LINEST(L705:L964,M705:T964,TRUE,TRUE),1,4)</f>
        <v/>
      </c>
      <c r="AG964" s="9">
        <f>INDEX(LINEST(L705:L964,M705:T964,TRUE,TRUE),1,3)</f>
        <v/>
      </c>
      <c r="AH964" s="9">
        <f>INDEX(LINEST(L705:L964,M705:T964,TRUE,TRUE),1,2)</f>
        <v/>
      </c>
      <c r="AI964" s="9">
        <f>INDEX(LINEST(L705:L964,M705:T964,TRUE,TRUE),1,1)</f>
        <v/>
      </c>
      <c r="AJ964" s="10">
        <f>INDEX(LINEST(L705:L964,M705:T964,TRUE,TRUE),3,1)</f>
        <v/>
      </c>
      <c r="AK964" s="9">
        <f>AA963/52+AB963*M964+AC963*N964+AD963*O964+AE963*P964+AF963*Q964+AG963*R964+AH963*S964+AI963*T964</f>
        <v/>
      </c>
      <c r="AL964" s="9">
        <f>AVERAGE(L704:L963)</f>
        <v/>
      </c>
    </row>
    <row r="965">
      <c r="A965" s="7" t="n">
        <v>44365</v>
      </c>
      <c r="B965" s="8" t="n">
        <v>1773.1</v>
      </c>
      <c r="C965" s="8" t="n">
        <v>2.24</v>
      </c>
      <c r="D965" s="8" t="n">
        <v>-0.79</v>
      </c>
      <c r="E965" s="8" t="n">
        <v>92.230003</v>
      </c>
      <c r="F965" s="8" t="n">
        <v>71.64</v>
      </c>
      <c r="G965" s="8" t="n">
        <v>20.7</v>
      </c>
      <c r="H965" s="8" t="n">
        <v>60.450001</v>
      </c>
      <c r="I965" s="8" t="n">
        <v>4166.450195</v>
      </c>
      <c r="J965" s="8" t="n">
        <v>98.524147</v>
      </c>
      <c r="L965" s="9">
        <f>LN(B965/B964)</f>
        <v/>
      </c>
      <c r="M965" s="9">
        <f>$M$1*(C965-C964)</f>
        <v/>
      </c>
      <c r="N965" s="9">
        <f>$N$1*(D965-D964)</f>
        <v/>
      </c>
      <c r="O965" s="9">
        <f>$O$1*LN(E965/E964)</f>
        <v/>
      </c>
      <c r="P965" s="9">
        <f>$P$1*LN(F965/F964)</f>
        <v/>
      </c>
      <c r="Q965" s="9">
        <f>$Q$1*(G965-G964)</f>
        <v/>
      </c>
      <c r="R965" s="9">
        <f>$R$1*(H965-H964)</f>
        <v/>
      </c>
      <c r="S965" s="9">
        <f>$S$1*LN(I965/I964)</f>
        <v/>
      </c>
      <c r="T965" s="9">
        <f>$T$1*LN(J965/J964)</f>
        <v/>
      </c>
      <c r="U965" s="9">
        <f>$W$12+$W$4*M965+$W$5*N965+$W$6*O965+$W$7*P965+$W$8*Q965+$W$9*R965+$W$10*S965+$W$11*T965</f>
        <v/>
      </c>
      <c r="AA965" s="10">
        <f>INDEX(LINEST(L706:L965,M706:T965,TRUE,TRUE),1,9)*52</f>
        <v/>
      </c>
      <c r="AB965" s="9">
        <f>INDEX(LINEST(L706:L965,M706:T965,TRUE,TRUE),1,8)</f>
        <v/>
      </c>
      <c r="AC965" s="9">
        <f>INDEX(LINEST(L706:L965,M706:T965,TRUE,TRUE),1,7)</f>
        <v/>
      </c>
      <c r="AD965" s="9">
        <f>INDEX(LINEST(L706:L965,M706:T965,TRUE,TRUE),1,6)</f>
        <v/>
      </c>
      <c r="AE965" s="9">
        <f>INDEX(LINEST(L706:L965,M706:T965,TRUE,TRUE),1,5)</f>
        <v/>
      </c>
      <c r="AF965" s="9">
        <f>INDEX(LINEST(L706:L965,M706:T965,TRUE,TRUE),1,4)</f>
        <v/>
      </c>
      <c r="AG965" s="9">
        <f>INDEX(LINEST(L706:L965,M706:T965,TRUE,TRUE),1,3)</f>
        <v/>
      </c>
      <c r="AH965" s="9">
        <f>INDEX(LINEST(L706:L965,M706:T965,TRUE,TRUE),1,2)</f>
        <v/>
      </c>
      <c r="AI965" s="9">
        <f>INDEX(LINEST(L706:L965,M706:T965,TRUE,TRUE),1,1)</f>
        <v/>
      </c>
      <c r="AJ965" s="10">
        <f>INDEX(LINEST(L706:L965,M706:T965,TRUE,TRUE),3,1)</f>
        <v/>
      </c>
      <c r="AK965" s="9">
        <f>AA964/52+AB964*M965+AC964*N965+AD964*O965+AE964*P965+AF964*Q965+AG964*R965+AH964*S965+AI964*T965</f>
        <v/>
      </c>
      <c r="AL965" s="9">
        <f>AVERAGE(L705:L964)</f>
        <v/>
      </c>
    </row>
    <row r="966">
      <c r="A966" s="7" t="n">
        <v>44372</v>
      </c>
      <c r="B966" s="8" t="n">
        <v>1786.65</v>
      </c>
      <c r="C966" s="8" t="n">
        <v>2.34</v>
      </c>
      <c r="D966" s="8" t="n">
        <v>-0.8</v>
      </c>
      <c r="E966" s="8" t="n">
        <v>91.80999799999999</v>
      </c>
      <c r="F966" s="8" t="n">
        <v>74.20999999999999</v>
      </c>
      <c r="G966" s="8" t="n">
        <v>15.62</v>
      </c>
      <c r="H966" s="8" t="n">
        <v>55.580002</v>
      </c>
      <c r="I966" s="8" t="n">
        <v>4280.700195</v>
      </c>
      <c r="J966" s="8" t="n">
        <v>98.156685</v>
      </c>
      <c r="L966" s="9">
        <f>LN(B966/B965)</f>
        <v/>
      </c>
      <c r="M966" s="9">
        <f>$M$1*(C966-C965)</f>
        <v/>
      </c>
      <c r="N966" s="9">
        <f>$N$1*(D966-D965)</f>
        <v/>
      </c>
      <c r="O966" s="9">
        <f>$O$1*LN(E966/E965)</f>
        <v/>
      </c>
      <c r="P966" s="9">
        <f>$P$1*LN(F966/F965)</f>
        <v/>
      </c>
      <c r="Q966" s="9">
        <f>$Q$1*(G966-G965)</f>
        <v/>
      </c>
      <c r="R966" s="9">
        <f>$R$1*(H966-H965)</f>
        <v/>
      </c>
      <c r="S966" s="9">
        <f>$S$1*LN(I966/I965)</f>
        <v/>
      </c>
      <c r="T966" s="9">
        <f>$T$1*LN(J966/J965)</f>
        <v/>
      </c>
      <c r="U966" s="9">
        <f>$W$12+$W$4*M966+$W$5*N966+$W$6*O966+$W$7*P966+$W$8*Q966+$W$9*R966+$W$10*S966+$W$11*T966</f>
        <v/>
      </c>
      <c r="AA966" s="10">
        <f>INDEX(LINEST(L707:L966,M707:T966,TRUE,TRUE),1,9)*52</f>
        <v/>
      </c>
      <c r="AB966" s="9">
        <f>INDEX(LINEST(L707:L966,M707:T966,TRUE,TRUE),1,8)</f>
        <v/>
      </c>
      <c r="AC966" s="9">
        <f>INDEX(LINEST(L707:L966,M707:T966,TRUE,TRUE),1,7)</f>
        <v/>
      </c>
      <c r="AD966" s="9">
        <f>INDEX(LINEST(L707:L966,M707:T966,TRUE,TRUE),1,6)</f>
        <v/>
      </c>
      <c r="AE966" s="9">
        <f>INDEX(LINEST(L707:L966,M707:T966,TRUE,TRUE),1,5)</f>
        <v/>
      </c>
      <c r="AF966" s="9">
        <f>INDEX(LINEST(L707:L966,M707:T966,TRUE,TRUE),1,4)</f>
        <v/>
      </c>
      <c r="AG966" s="9">
        <f>INDEX(LINEST(L707:L966,M707:T966,TRUE,TRUE),1,3)</f>
        <v/>
      </c>
      <c r="AH966" s="9">
        <f>INDEX(LINEST(L707:L966,M707:T966,TRUE,TRUE),1,2)</f>
        <v/>
      </c>
      <c r="AI966" s="9">
        <f>INDEX(LINEST(L707:L966,M707:T966,TRUE,TRUE),1,1)</f>
        <v/>
      </c>
      <c r="AJ966" s="10">
        <f>INDEX(LINEST(L707:L966,M707:T966,TRUE,TRUE),3,1)</f>
        <v/>
      </c>
      <c r="AK966" s="9">
        <f>AA965/52+AB965*M966+AC965*N966+AD965*O966+AE965*P966+AF965*Q966+AG965*R966+AH965*S966+AI965*T966</f>
        <v/>
      </c>
      <c r="AL966" s="9">
        <f>AVERAGE(L706:L965)</f>
        <v/>
      </c>
    </row>
    <row r="967">
      <c r="A967" s="7" t="n">
        <v>44379</v>
      </c>
      <c r="B967" s="8" t="n">
        <v>1786.15</v>
      </c>
      <c r="C967" s="8" t="n">
        <v>2.33</v>
      </c>
      <c r="D967" s="8" t="n">
        <v>-0.89</v>
      </c>
      <c r="E967" s="8" t="n">
        <v>92.230003</v>
      </c>
      <c r="F967" s="8" t="n">
        <v>75.37</v>
      </c>
      <c r="G967" s="8" t="n">
        <v>15.07</v>
      </c>
      <c r="H967" s="8" t="n">
        <v>52.41</v>
      </c>
      <c r="I967" s="8" t="n">
        <v>4352.339844</v>
      </c>
      <c r="J967" s="8" t="n">
        <v>98.71753699999999</v>
      </c>
      <c r="L967" s="9">
        <f>LN(B967/B966)</f>
        <v/>
      </c>
      <c r="M967" s="9">
        <f>$M$1*(C967-C966)</f>
        <v/>
      </c>
      <c r="N967" s="9">
        <f>$N$1*(D967-D966)</f>
        <v/>
      </c>
      <c r="O967" s="9">
        <f>$O$1*LN(E967/E966)</f>
        <v/>
      </c>
      <c r="P967" s="9">
        <f>$P$1*LN(F967/F966)</f>
        <v/>
      </c>
      <c r="Q967" s="9">
        <f>$Q$1*(G967-G966)</f>
        <v/>
      </c>
      <c r="R967" s="9">
        <f>$R$1*(H967-H966)</f>
        <v/>
      </c>
      <c r="S967" s="9">
        <f>$S$1*LN(I967/I966)</f>
        <v/>
      </c>
      <c r="T967" s="9">
        <f>$T$1*LN(J967/J966)</f>
        <v/>
      </c>
      <c r="U967" s="9">
        <f>$W$12+$W$4*M967+$W$5*N967+$W$6*O967+$W$7*P967+$W$8*Q967+$W$9*R967+$W$10*S967+$W$11*T967</f>
        <v/>
      </c>
      <c r="AA967" s="10">
        <f>INDEX(LINEST(L708:L967,M708:T967,TRUE,TRUE),1,9)*52</f>
        <v/>
      </c>
      <c r="AB967" s="9">
        <f>INDEX(LINEST(L708:L967,M708:T967,TRUE,TRUE),1,8)</f>
        <v/>
      </c>
      <c r="AC967" s="9">
        <f>INDEX(LINEST(L708:L967,M708:T967,TRUE,TRUE),1,7)</f>
        <v/>
      </c>
      <c r="AD967" s="9">
        <f>INDEX(LINEST(L708:L967,M708:T967,TRUE,TRUE),1,6)</f>
        <v/>
      </c>
      <c r="AE967" s="9">
        <f>INDEX(LINEST(L708:L967,M708:T967,TRUE,TRUE),1,5)</f>
        <v/>
      </c>
      <c r="AF967" s="9">
        <f>INDEX(LINEST(L708:L967,M708:T967,TRUE,TRUE),1,4)</f>
        <v/>
      </c>
      <c r="AG967" s="9">
        <f>INDEX(LINEST(L708:L967,M708:T967,TRUE,TRUE),1,3)</f>
        <v/>
      </c>
      <c r="AH967" s="9">
        <f>INDEX(LINEST(L708:L967,M708:T967,TRUE,TRUE),1,2)</f>
        <v/>
      </c>
      <c r="AI967" s="9">
        <f>INDEX(LINEST(L708:L967,M708:T967,TRUE,TRUE),1,1)</f>
        <v/>
      </c>
      <c r="AJ967" s="10">
        <f>INDEX(LINEST(L708:L967,M708:T967,TRUE,TRUE),3,1)</f>
        <v/>
      </c>
      <c r="AK967" s="9">
        <f>AA966/52+AB966*M967+AC966*N967+AD966*O967+AE966*P967+AF966*Q967+AG966*R967+AH966*S967+AI966*T967</f>
        <v/>
      </c>
      <c r="AL967" s="9">
        <f>AVERAGE(L707:L966)</f>
        <v/>
      </c>
    </row>
    <row r="968">
      <c r="A968" s="7" t="n">
        <v>44386</v>
      </c>
      <c r="B968" s="8" t="n">
        <v>1806</v>
      </c>
      <c r="C968" s="8" t="n">
        <v>2.28</v>
      </c>
      <c r="D968" s="8" t="n">
        <v>-0.91</v>
      </c>
      <c r="E968" s="8" t="n">
        <v>92.129997</v>
      </c>
      <c r="F968" s="8" t="n">
        <v>74.56</v>
      </c>
      <c r="G968" s="8" t="n">
        <v>16.18</v>
      </c>
      <c r="H968" s="8" t="n">
        <v>59.919998</v>
      </c>
      <c r="I968" s="8" t="n">
        <v>4369.549805</v>
      </c>
      <c r="J968" s="8" t="n">
        <v>98.991356</v>
      </c>
      <c r="L968" s="9">
        <f>LN(B968/B967)</f>
        <v/>
      </c>
      <c r="M968" s="9">
        <f>$M$1*(C968-C967)</f>
        <v/>
      </c>
      <c r="N968" s="9">
        <f>$N$1*(D968-D967)</f>
        <v/>
      </c>
      <c r="O968" s="9">
        <f>$O$1*LN(E968/E967)</f>
        <v/>
      </c>
      <c r="P968" s="9">
        <f>$P$1*LN(F968/F967)</f>
        <v/>
      </c>
      <c r="Q968" s="9">
        <f>$Q$1*(G968-G967)</f>
        <v/>
      </c>
      <c r="R968" s="9">
        <f>$R$1*(H968-H967)</f>
        <v/>
      </c>
      <c r="S968" s="9">
        <f>$S$1*LN(I968/I967)</f>
        <v/>
      </c>
      <c r="T968" s="9">
        <f>$T$1*LN(J968/J967)</f>
        <v/>
      </c>
      <c r="U968" s="9">
        <f>$W$12+$W$4*M968+$W$5*N968+$W$6*O968+$W$7*P968+$W$8*Q968+$W$9*R968+$W$10*S968+$W$11*T968</f>
        <v/>
      </c>
      <c r="AA968" s="10">
        <f>INDEX(LINEST(L709:L968,M709:T968,TRUE,TRUE),1,9)*52</f>
        <v/>
      </c>
      <c r="AB968" s="9">
        <f>INDEX(LINEST(L709:L968,M709:T968,TRUE,TRUE),1,8)</f>
        <v/>
      </c>
      <c r="AC968" s="9">
        <f>INDEX(LINEST(L709:L968,M709:T968,TRUE,TRUE),1,7)</f>
        <v/>
      </c>
      <c r="AD968" s="9">
        <f>INDEX(LINEST(L709:L968,M709:T968,TRUE,TRUE),1,6)</f>
        <v/>
      </c>
      <c r="AE968" s="9">
        <f>INDEX(LINEST(L709:L968,M709:T968,TRUE,TRUE),1,5)</f>
        <v/>
      </c>
      <c r="AF968" s="9">
        <f>INDEX(LINEST(L709:L968,M709:T968,TRUE,TRUE),1,4)</f>
        <v/>
      </c>
      <c r="AG968" s="9">
        <f>INDEX(LINEST(L709:L968,M709:T968,TRUE,TRUE),1,3)</f>
        <v/>
      </c>
      <c r="AH968" s="9">
        <f>INDEX(LINEST(L709:L968,M709:T968,TRUE,TRUE),1,2)</f>
        <v/>
      </c>
      <c r="AI968" s="9">
        <f>INDEX(LINEST(L709:L968,M709:T968,TRUE,TRUE),1,1)</f>
        <v/>
      </c>
      <c r="AJ968" s="10">
        <f>INDEX(LINEST(L709:L968,M709:T968,TRUE,TRUE),3,1)</f>
        <v/>
      </c>
      <c r="AK968" s="9">
        <f>AA967/52+AB967*M968+AC967*N968+AD967*O968+AE967*P968+AF967*Q968+AG967*R968+AH967*S968+AI967*T968</f>
        <v/>
      </c>
      <c r="AL968" s="9">
        <f>AVERAGE(L708:L967)</f>
        <v/>
      </c>
    </row>
    <row r="969">
      <c r="A969" s="7" t="n">
        <v>44393</v>
      </c>
      <c r="B969" s="8" t="n">
        <v>1824.3</v>
      </c>
      <c r="C969" s="8" t="n">
        <v>2.33</v>
      </c>
      <c r="D969" s="8" t="n">
        <v>-1.02</v>
      </c>
      <c r="E969" s="8" t="n">
        <v>92.69000200000001</v>
      </c>
      <c r="F969" s="8" t="n">
        <v>71.76000000000001</v>
      </c>
      <c r="G969" s="8" t="n">
        <v>18.45</v>
      </c>
      <c r="H969" s="8" t="n">
        <v>58.240002</v>
      </c>
      <c r="I969" s="8" t="n">
        <v>4327.160156</v>
      </c>
      <c r="J969" s="8" t="n">
        <v>99.179619</v>
      </c>
      <c r="L969" s="9">
        <f>LN(B969/B968)</f>
        <v/>
      </c>
      <c r="M969" s="9">
        <f>$M$1*(C969-C968)</f>
        <v/>
      </c>
      <c r="N969" s="9">
        <f>$N$1*(D969-D968)</f>
        <v/>
      </c>
      <c r="O969" s="9">
        <f>$O$1*LN(E969/E968)</f>
        <v/>
      </c>
      <c r="P969" s="9">
        <f>$P$1*LN(F969/F968)</f>
        <v/>
      </c>
      <c r="Q969" s="9">
        <f>$Q$1*(G969-G968)</f>
        <v/>
      </c>
      <c r="R969" s="9">
        <f>$R$1*(H969-H968)</f>
        <v/>
      </c>
      <c r="S969" s="9">
        <f>$S$1*LN(I969/I968)</f>
        <v/>
      </c>
      <c r="T969" s="9">
        <f>$T$1*LN(J969/J968)</f>
        <v/>
      </c>
      <c r="U969" s="9">
        <f>$W$12+$W$4*M969+$W$5*N969+$W$6*O969+$W$7*P969+$W$8*Q969+$W$9*R969+$W$10*S969+$W$11*T969</f>
        <v/>
      </c>
      <c r="AA969" s="10">
        <f>INDEX(LINEST(L710:L969,M710:T969,TRUE,TRUE),1,9)*52</f>
        <v/>
      </c>
      <c r="AB969" s="9">
        <f>INDEX(LINEST(L710:L969,M710:T969,TRUE,TRUE),1,8)</f>
        <v/>
      </c>
      <c r="AC969" s="9">
        <f>INDEX(LINEST(L710:L969,M710:T969,TRUE,TRUE),1,7)</f>
        <v/>
      </c>
      <c r="AD969" s="9">
        <f>INDEX(LINEST(L710:L969,M710:T969,TRUE,TRUE),1,6)</f>
        <v/>
      </c>
      <c r="AE969" s="9">
        <f>INDEX(LINEST(L710:L969,M710:T969,TRUE,TRUE),1,5)</f>
        <v/>
      </c>
      <c r="AF969" s="9">
        <f>INDEX(LINEST(L710:L969,M710:T969,TRUE,TRUE),1,4)</f>
        <v/>
      </c>
      <c r="AG969" s="9">
        <f>INDEX(LINEST(L710:L969,M710:T969,TRUE,TRUE),1,3)</f>
        <v/>
      </c>
      <c r="AH969" s="9">
        <f>INDEX(LINEST(L710:L969,M710:T969,TRUE,TRUE),1,2)</f>
        <v/>
      </c>
      <c r="AI969" s="9">
        <f>INDEX(LINEST(L710:L969,M710:T969,TRUE,TRUE),1,1)</f>
        <v/>
      </c>
      <c r="AJ969" s="10">
        <f>INDEX(LINEST(L710:L969,M710:T969,TRUE,TRUE),3,1)</f>
        <v/>
      </c>
      <c r="AK969" s="9">
        <f>AA968/52+AB968*M969+AC968*N969+AD968*O969+AE968*P969+AF968*Q969+AG968*R969+AH968*S969+AI968*T969</f>
        <v/>
      </c>
      <c r="AL969" s="9">
        <f>AVERAGE(L709:L968)</f>
        <v/>
      </c>
    </row>
    <row r="970">
      <c r="A970" s="7" t="n">
        <v>44400</v>
      </c>
      <c r="B970" s="8" t="n">
        <v>1799.6</v>
      </c>
      <c r="C970" s="8" t="n">
        <v>2.35</v>
      </c>
      <c r="D970" s="8" t="n">
        <v>-1.05</v>
      </c>
      <c r="E970" s="8" t="n">
        <v>92.910004</v>
      </c>
      <c r="F970" s="8" t="n">
        <v>72.23999999999999</v>
      </c>
      <c r="G970" s="8" t="n">
        <v>17.2</v>
      </c>
      <c r="H970" s="8" t="n">
        <v>65.279999</v>
      </c>
      <c r="I970" s="8" t="n">
        <v>4411.790039</v>
      </c>
      <c r="J970" s="8" t="n">
        <v>99.444901</v>
      </c>
      <c r="L970" s="9">
        <f>LN(B970/B969)</f>
        <v/>
      </c>
      <c r="M970" s="9">
        <f>$M$1*(C970-C969)</f>
        <v/>
      </c>
      <c r="N970" s="9">
        <f>$N$1*(D970-D969)</f>
        <v/>
      </c>
      <c r="O970" s="9">
        <f>$O$1*LN(E970/E969)</f>
        <v/>
      </c>
      <c r="P970" s="9">
        <f>$P$1*LN(F970/F969)</f>
        <v/>
      </c>
      <c r="Q970" s="9">
        <f>$Q$1*(G970-G969)</f>
        <v/>
      </c>
      <c r="R970" s="9">
        <f>$R$1*(H970-H969)</f>
        <v/>
      </c>
      <c r="S970" s="9">
        <f>$S$1*LN(I970/I969)</f>
        <v/>
      </c>
      <c r="T970" s="9">
        <f>$T$1*LN(J970/J969)</f>
        <v/>
      </c>
      <c r="U970" s="9">
        <f>$W$12+$W$4*M970+$W$5*N970+$W$6*O970+$W$7*P970+$W$8*Q970+$W$9*R970+$W$10*S970+$W$11*T970</f>
        <v/>
      </c>
      <c r="AA970" s="10">
        <f>INDEX(LINEST(L711:L970,M711:T970,TRUE,TRUE),1,9)*52</f>
        <v/>
      </c>
      <c r="AB970" s="9">
        <f>INDEX(LINEST(L711:L970,M711:T970,TRUE,TRUE),1,8)</f>
        <v/>
      </c>
      <c r="AC970" s="9">
        <f>INDEX(LINEST(L711:L970,M711:T970,TRUE,TRUE),1,7)</f>
        <v/>
      </c>
      <c r="AD970" s="9">
        <f>INDEX(LINEST(L711:L970,M711:T970,TRUE,TRUE),1,6)</f>
        <v/>
      </c>
      <c r="AE970" s="9">
        <f>INDEX(LINEST(L711:L970,M711:T970,TRUE,TRUE),1,5)</f>
        <v/>
      </c>
      <c r="AF970" s="9">
        <f>INDEX(LINEST(L711:L970,M711:T970,TRUE,TRUE),1,4)</f>
        <v/>
      </c>
      <c r="AG970" s="9">
        <f>INDEX(LINEST(L711:L970,M711:T970,TRUE,TRUE),1,3)</f>
        <v/>
      </c>
      <c r="AH970" s="9">
        <f>INDEX(LINEST(L711:L970,M711:T970,TRUE,TRUE),1,2)</f>
        <v/>
      </c>
      <c r="AI970" s="9">
        <f>INDEX(LINEST(L711:L970,M711:T970,TRUE,TRUE),1,1)</f>
        <v/>
      </c>
      <c r="AJ970" s="10">
        <f>INDEX(LINEST(L711:L970,M711:T970,TRUE,TRUE),3,1)</f>
        <v/>
      </c>
      <c r="AK970" s="9">
        <f>AA969/52+AB969*M970+AC969*N970+AD969*O970+AE969*P970+AF969*Q970+AG969*R970+AH969*S970+AI969*T970</f>
        <v/>
      </c>
      <c r="AL970" s="9">
        <f>AVERAGE(L710:L969)</f>
        <v/>
      </c>
    </row>
    <row r="971">
      <c r="A971" s="7" t="n">
        <v>44407</v>
      </c>
      <c r="B971" s="8" t="n">
        <v>1825.75</v>
      </c>
      <c r="C971" s="8" t="n">
        <v>2.4</v>
      </c>
      <c r="D971" s="8" t="n">
        <v>-1.16</v>
      </c>
      <c r="E971" s="8" t="n">
        <v>92.16999800000001</v>
      </c>
      <c r="F971" s="8" t="n">
        <v>73.93000000000001</v>
      </c>
      <c r="G971" s="8" t="n">
        <v>18.24</v>
      </c>
      <c r="H971" s="8" t="n">
        <v>61.189999</v>
      </c>
      <c r="I971" s="8" t="n">
        <v>4395.259766</v>
      </c>
      <c r="J971" s="8" t="n">
        <v>99.658821</v>
      </c>
      <c r="L971" s="9">
        <f>LN(B971/B970)</f>
        <v/>
      </c>
      <c r="M971" s="9">
        <f>$M$1*(C971-C970)</f>
        <v/>
      </c>
      <c r="N971" s="9">
        <f>$N$1*(D971-D970)</f>
        <v/>
      </c>
      <c r="O971" s="9">
        <f>$O$1*LN(E971/E970)</f>
        <v/>
      </c>
      <c r="P971" s="9">
        <f>$P$1*LN(F971/F970)</f>
        <v/>
      </c>
      <c r="Q971" s="9">
        <f>$Q$1*(G971-G970)</f>
        <v/>
      </c>
      <c r="R971" s="9">
        <f>$R$1*(H971-H970)</f>
        <v/>
      </c>
      <c r="S971" s="9">
        <f>$S$1*LN(I971/I970)</f>
        <v/>
      </c>
      <c r="T971" s="9">
        <f>$T$1*LN(J971/J970)</f>
        <v/>
      </c>
      <c r="U971" s="9">
        <f>$W$12+$W$4*M971+$W$5*N971+$W$6*O971+$W$7*P971+$W$8*Q971+$W$9*R971+$W$10*S971+$W$11*T971</f>
        <v/>
      </c>
      <c r="AA971" s="10">
        <f>INDEX(LINEST(L712:L971,M712:T971,TRUE,TRUE),1,9)*52</f>
        <v/>
      </c>
      <c r="AB971" s="9">
        <f>INDEX(LINEST(L712:L971,M712:T971,TRUE,TRUE),1,8)</f>
        <v/>
      </c>
      <c r="AC971" s="9">
        <f>INDEX(LINEST(L712:L971,M712:T971,TRUE,TRUE),1,7)</f>
        <v/>
      </c>
      <c r="AD971" s="9">
        <f>INDEX(LINEST(L712:L971,M712:T971,TRUE,TRUE),1,6)</f>
        <v/>
      </c>
      <c r="AE971" s="9">
        <f>INDEX(LINEST(L712:L971,M712:T971,TRUE,TRUE),1,5)</f>
        <v/>
      </c>
      <c r="AF971" s="9">
        <f>INDEX(LINEST(L712:L971,M712:T971,TRUE,TRUE),1,4)</f>
        <v/>
      </c>
      <c r="AG971" s="9">
        <f>INDEX(LINEST(L712:L971,M712:T971,TRUE,TRUE),1,3)</f>
        <v/>
      </c>
      <c r="AH971" s="9">
        <f>INDEX(LINEST(L712:L971,M712:T971,TRUE,TRUE),1,2)</f>
        <v/>
      </c>
      <c r="AI971" s="9">
        <f>INDEX(LINEST(L712:L971,M712:T971,TRUE,TRUE),1,1)</f>
        <v/>
      </c>
      <c r="AJ971" s="10">
        <f>INDEX(LINEST(L712:L971,M712:T971,TRUE,TRUE),3,1)</f>
        <v/>
      </c>
      <c r="AK971" s="9">
        <f>AA970/52+AB970*M971+AC970*N971+AD970*O971+AE970*P971+AF970*Q971+AG970*R971+AH970*S971+AI970*T971</f>
        <v/>
      </c>
      <c r="AL971" s="9">
        <f>AVERAGE(L711:L970)</f>
        <v/>
      </c>
    </row>
    <row r="972">
      <c r="A972" s="7" t="n">
        <v>44414</v>
      </c>
      <c r="B972" s="8" t="n">
        <v>1762.9</v>
      </c>
      <c r="C972" s="8" t="n">
        <v>2.37</v>
      </c>
      <c r="D972" s="8" t="n">
        <v>-1.06</v>
      </c>
      <c r="E972" s="8" t="n">
        <v>92.800003</v>
      </c>
      <c r="F972" s="8" t="n">
        <v>68.26000000000001</v>
      </c>
      <c r="G972" s="8" t="n">
        <v>16.15</v>
      </c>
      <c r="H972" s="8" t="n">
        <v>62.639999</v>
      </c>
      <c r="I972" s="8" t="n">
        <v>4436.52002</v>
      </c>
      <c r="J972" s="8" t="n">
        <v>99.22775300000001</v>
      </c>
      <c r="L972" s="9">
        <f>LN(B972/B971)</f>
        <v/>
      </c>
      <c r="M972" s="9">
        <f>$M$1*(C972-C971)</f>
        <v/>
      </c>
      <c r="N972" s="9">
        <f>$N$1*(D972-D971)</f>
        <v/>
      </c>
      <c r="O972" s="9">
        <f>$O$1*LN(E972/E971)</f>
        <v/>
      </c>
      <c r="P972" s="9">
        <f>$P$1*LN(F972/F971)</f>
        <v/>
      </c>
      <c r="Q972" s="9">
        <f>$Q$1*(G972-G971)</f>
        <v/>
      </c>
      <c r="R972" s="9">
        <f>$R$1*(H972-H971)</f>
        <v/>
      </c>
      <c r="S972" s="9">
        <f>$S$1*LN(I972/I971)</f>
        <v/>
      </c>
      <c r="T972" s="9">
        <f>$T$1*LN(J972/J971)</f>
        <v/>
      </c>
      <c r="U972" s="9">
        <f>$W$12+$W$4*M972+$W$5*N972+$W$6*O972+$W$7*P972+$W$8*Q972+$W$9*R972+$W$10*S972+$W$11*T972</f>
        <v/>
      </c>
      <c r="AA972" s="10">
        <f>INDEX(LINEST(L713:L972,M713:T972,TRUE,TRUE),1,9)*52</f>
        <v/>
      </c>
      <c r="AB972" s="9">
        <f>INDEX(LINEST(L713:L972,M713:T972,TRUE,TRUE),1,8)</f>
        <v/>
      </c>
      <c r="AC972" s="9">
        <f>INDEX(LINEST(L713:L972,M713:T972,TRUE,TRUE),1,7)</f>
        <v/>
      </c>
      <c r="AD972" s="9">
        <f>INDEX(LINEST(L713:L972,M713:T972,TRUE,TRUE),1,6)</f>
        <v/>
      </c>
      <c r="AE972" s="9">
        <f>INDEX(LINEST(L713:L972,M713:T972,TRUE,TRUE),1,5)</f>
        <v/>
      </c>
      <c r="AF972" s="9">
        <f>INDEX(LINEST(L713:L972,M713:T972,TRUE,TRUE),1,4)</f>
        <v/>
      </c>
      <c r="AG972" s="9">
        <f>INDEX(LINEST(L713:L972,M713:T972,TRUE,TRUE),1,3)</f>
        <v/>
      </c>
      <c r="AH972" s="9">
        <f>INDEX(LINEST(L713:L972,M713:T972,TRUE,TRUE),1,2)</f>
        <v/>
      </c>
      <c r="AI972" s="9">
        <f>INDEX(LINEST(L713:L972,M713:T972,TRUE,TRUE),1,1)</f>
        <v/>
      </c>
      <c r="AJ972" s="10">
        <f>INDEX(LINEST(L713:L972,M713:T972,TRUE,TRUE),3,1)</f>
        <v/>
      </c>
      <c r="AK972" s="9">
        <f>AA971/52+AB971*M972+AC971*N972+AD971*O972+AE971*P972+AF971*Q972+AG971*R972+AH971*S972+AI971*T972</f>
        <v/>
      </c>
      <c r="AL972" s="9">
        <f>AVERAGE(L712:L971)</f>
        <v/>
      </c>
    </row>
    <row r="973">
      <c r="A973" s="7" t="n">
        <v>44421</v>
      </c>
      <c r="B973" s="8" t="n">
        <v>1773.85</v>
      </c>
      <c r="C973" s="8" t="n">
        <v>2.37</v>
      </c>
      <c r="D973" s="8" t="n">
        <v>-1.08</v>
      </c>
      <c r="E973" s="8" t="n">
        <v>92.519997</v>
      </c>
      <c r="F973" s="8" t="n">
        <v>68.36</v>
      </c>
      <c r="G973" s="8" t="n">
        <v>15.45</v>
      </c>
      <c r="H973" s="8" t="n">
        <v>55.450001</v>
      </c>
      <c r="I973" s="8" t="n">
        <v>4468</v>
      </c>
      <c r="J973" s="8" t="n">
        <v>99.38205000000001</v>
      </c>
      <c r="L973" s="9">
        <f>LN(B973/B972)</f>
        <v/>
      </c>
      <c r="M973" s="9">
        <f>$M$1*(C973-C972)</f>
        <v/>
      </c>
      <c r="N973" s="9">
        <f>$N$1*(D973-D972)</f>
        <v/>
      </c>
      <c r="O973" s="9">
        <f>$O$1*LN(E973/E972)</f>
        <v/>
      </c>
      <c r="P973" s="9">
        <f>$P$1*LN(F973/F972)</f>
        <v/>
      </c>
      <c r="Q973" s="9">
        <f>$Q$1*(G973-G972)</f>
        <v/>
      </c>
      <c r="R973" s="9">
        <f>$R$1*(H973-H972)</f>
        <v/>
      </c>
      <c r="S973" s="9">
        <f>$S$1*LN(I973/I972)</f>
        <v/>
      </c>
      <c r="T973" s="9">
        <f>$T$1*LN(J973/J972)</f>
        <v/>
      </c>
      <c r="U973" s="9">
        <f>$W$12+$W$4*M973+$W$5*N973+$W$6*O973+$W$7*P973+$W$8*Q973+$W$9*R973+$W$10*S973+$W$11*T973</f>
        <v/>
      </c>
      <c r="AA973" s="10">
        <f>INDEX(LINEST(L714:L973,M714:T973,TRUE,TRUE),1,9)*52</f>
        <v/>
      </c>
      <c r="AB973" s="9">
        <f>INDEX(LINEST(L714:L973,M714:T973,TRUE,TRUE),1,8)</f>
        <v/>
      </c>
      <c r="AC973" s="9">
        <f>INDEX(LINEST(L714:L973,M714:T973,TRUE,TRUE),1,7)</f>
        <v/>
      </c>
      <c r="AD973" s="9">
        <f>INDEX(LINEST(L714:L973,M714:T973,TRUE,TRUE),1,6)</f>
        <v/>
      </c>
      <c r="AE973" s="9">
        <f>INDEX(LINEST(L714:L973,M714:T973,TRUE,TRUE),1,5)</f>
        <v/>
      </c>
      <c r="AF973" s="9">
        <f>INDEX(LINEST(L714:L973,M714:T973,TRUE,TRUE),1,4)</f>
        <v/>
      </c>
      <c r="AG973" s="9">
        <f>INDEX(LINEST(L714:L973,M714:T973,TRUE,TRUE),1,3)</f>
        <v/>
      </c>
      <c r="AH973" s="9">
        <f>INDEX(LINEST(L714:L973,M714:T973,TRUE,TRUE),1,2)</f>
        <v/>
      </c>
      <c r="AI973" s="9">
        <f>INDEX(LINEST(L714:L973,M714:T973,TRUE,TRUE),1,1)</f>
        <v/>
      </c>
      <c r="AJ973" s="10">
        <f>INDEX(LINEST(L714:L973,M714:T973,TRUE,TRUE),3,1)</f>
        <v/>
      </c>
      <c r="AK973" s="9">
        <f>AA972/52+AB972*M973+AC972*N973+AD972*O973+AE972*P973+AF972*Q973+AG972*R973+AH972*S973+AI972*T973</f>
        <v/>
      </c>
      <c r="AL973" s="9">
        <f>AVERAGE(L713:L972)</f>
        <v/>
      </c>
    </row>
    <row r="974">
      <c r="A974" s="7" t="n">
        <v>44428</v>
      </c>
      <c r="B974" s="8" t="n">
        <v>1779.05</v>
      </c>
      <c r="C974" s="8" t="n">
        <v>2.27</v>
      </c>
      <c r="D974" s="8" t="n">
        <v>-1.01</v>
      </c>
      <c r="E974" s="8" t="n">
        <v>93.5</v>
      </c>
      <c r="F974" s="8" t="n">
        <v>62.25</v>
      </c>
      <c r="G974" s="8" t="n">
        <v>18.56</v>
      </c>
      <c r="H974" s="8" t="n">
        <v>59.950001</v>
      </c>
      <c r="I974" s="8" t="n">
        <v>4441.669922</v>
      </c>
      <c r="J974" s="8" t="n">
        <v>99.54486799999999</v>
      </c>
      <c r="L974" s="9">
        <f>LN(B974/B973)</f>
        <v/>
      </c>
      <c r="M974" s="9">
        <f>$M$1*(C974-C973)</f>
        <v/>
      </c>
      <c r="N974" s="9">
        <f>$N$1*(D974-D973)</f>
        <v/>
      </c>
      <c r="O974" s="9">
        <f>$O$1*LN(E974/E973)</f>
        <v/>
      </c>
      <c r="P974" s="9">
        <f>$P$1*LN(F974/F973)</f>
        <v/>
      </c>
      <c r="Q974" s="9">
        <f>$Q$1*(G974-G973)</f>
        <v/>
      </c>
      <c r="R974" s="9">
        <f>$R$1*(H974-H973)</f>
        <v/>
      </c>
      <c r="S974" s="9">
        <f>$S$1*LN(I974/I973)</f>
        <v/>
      </c>
      <c r="T974" s="9">
        <f>$T$1*LN(J974/J973)</f>
        <v/>
      </c>
      <c r="U974" s="9">
        <f>$W$12+$W$4*M974+$W$5*N974+$W$6*O974+$W$7*P974+$W$8*Q974+$W$9*R974+$W$10*S974+$W$11*T974</f>
        <v/>
      </c>
      <c r="AA974" s="10">
        <f>INDEX(LINEST(L715:L974,M715:T974,TRUE,TRUE),1,9)*52</f>
        <v/>
      </c>
      <c r="AB974" s="9">
        <f>INDEX(LINEST(L715:L974,M715:T974,TRUE,TRUE),1,8)</f>
        <v/>
      </c>
      <c r="AC974" s="9">
        <f>INDEX(LINEST(L715:L974,M715:T974,TRUE,TRUE),1,7)</f>
        <v/>
      </c>
      <c r="AD974" s="9">
        <f>INDEX(LINEST(L715:L974,M715:T974,TRUE,TRUE),1,6)</f>
        <v/>
      </c>
      <c r="AE974" s="9">
        <f>INDEX(LINEST(L715:L974,M715:T974,TRUE,TRUE),1,5)</f>
        <v/>
      </c>
      <c r="AF974" s="9">
        <f>INDEX(LINEST(L715:L974,M715:T974,TRUE,TRUE),1,4)</f>
        <v/>
      </c>
      <c r="AG974" s="9">
        <f>INDEX(LINEST(L715:L974,M715:T974,TRUE,TRUE),1,3)</f>
        <v/>
      </c>
      <c r="AH974" s="9">
        <f>INDEX(LINEST(L715:L974,M715:T974,TRUE,TRUE),1,2)</f>
        <v/>
      </c>
      <c r="AI974" s="9">
        <f>INDEX(LINEST(L715:L974,M715:T974,TRUE,TRUE),1,1)</f>
        <v/>
      </c>
      <c r="AJ974" s="10">
        <f>INDEX(LINEST(L715:L974,M715:T974,TRUE,TRUE),3,1)</f>
        <v/>
      </c>
      <c r="AK974" s="9">
        <f>AA973/52+AB973*M974+AC973*N974+AD973*O974+AE973*P974+AF973*Q974+AG973*R974+AH973*S974+AI973*T974</f>
        <v/>
      </c>
      <c r="AL974" s="9">
        <f>AVERAGE(L714:L973)</f>
        <v/>
      </c>
    </row>
    <row r="975">
      <c r="A975" s="7" t="n">
        <v>44435</v>
      </c>
      <c r="B975" s="8" t="n">
        <v>1798.5</v>
      </c>
      <c r="C975" s="8" t="n">
        <v>2.39</v>
      </c>
      <c r="D975" s="8" t="n">
        <v>-1.08</v>
      </c>
      <c r="E975" s="8" t="n">
        <v>92.69000200000001</v>
      </c>
      <c r="F975" s="8" t="n">
        <v>68.84</v>
      </c>
      <c r="G975" s="8" t="n">
        <v>16.39</v>
      </c>
      <c r="H975" s="8" t="n">
        <v>57.98</v>
      </c>
      <c r="I975" s="8" t="n">
        <v>4509.370117</v>
      </c>
      <c r="J975" s="8" t="n">
        <v>99.493439</v>
      </c>
      <c r="L975" s="9">
        <f>LN(B975/B974)</f>
        <v/>
      </c>
      <c r="M975" s="9">
        <f>$M$1*(C975-C974)</f>
        <v/>
      </c>
      <c r="N975" s="9">
        <f>$N$1*(D975-D974)</f>
        <v/>
      </c>
      <c r="O975" s="9">
        <f>$O$1*LN(E975/E974)</f>
        <v/>
      </c>
      <c r="P975" s="9">
        <f>$P$1*LN(F975/F974)</f>
        <v/>
      </c>
      <c r="Q975" s="9">
        <f>$Q$1*(G975-G974)</f>
        <v/>
      </c>
      <c r="R975" s="9">
        <f>$R$1*(H975-H974)</f>
        <v/>
      </c>
      <c r="S975" s="9">
        <f>$S$1*LN(I975/I974)</f>
        <v/>
      </c>
      <c r="T975" s="9">
        <f>$T$1*LN(J975/J974)</f>
        <v/>
      </c>
      <c r="U975" s="9">
        <f>$W$12+$W$4*M975+$W$5*N975+$W$6*O975+$W$7*P975+$W$8*Q975+$W$9*R975+$W$10*S975+$W$11*T975</f>
        <v/>
      </c>
      <c r="AA975" s="10">
        <f>INDEX(LINEST(L716:L975,M716:T975,TRUE,TRUE),1,9)*52</f>
        <v/>
      </c>
      <c r="AB975" s="9">
        <f>INDEX(LINEST(L716:L975,M716:T975,TRUE,TRUE),1,8)</f>
        <v/>
      </c>
      <c r="AC975" s="9">
        <f>INDEX(LINEST(L716:L975,M716:T975,TRUE,TRUE),1,7)</f>
        <v/>
      </c>
      <c r="AD975" s="9">
        <f>INDEX(LINEST(L716:L975,M716:T975,TRUE,TRUE),1,6)</f>
        <v/>
      </c>
      <c r="AE975" s="9">
        <f>INDEX(LINEST(L716:L975,M716:T975,TRUE,TRUE),1,5)</f>
        <v/>
      </c>
      <c r="AF975" s="9">
        <f>INDEX(LINEST(L716:L975,M716:T975,TRUE,TRUE),1,4)</f>
        <v/>
      </c>
      <c r="AG975" s="9">
        <f>INDEX(LINEST(L716:L975,M716:T975,TRUE,TRUE),1,3)</f>
        <v/>
      </c>
      <c r="AH975" s="9">
        <f>INDEX(LINEST(L716:L975,M716:T975,TRUE,TRUE),1,2)</f>
        <v/>
      </c>
      <c r="AI975" s="9">
        <f>INDEX(LINEST(L716:L975,M716:T975,TRUE,TRUE),1,1)</f>
        <v/>
      </c>
      <c r="AJ975" s="10">
        <f>INDEX(LINEST(L716:L975,M716:T975,TRUE,TRUE),3,1)</f>
        <v/>
      </c>
      <c r="AK975" s="9">
        <f>AA974/52+AB974*M975+AC974*N975+AD974*O975+AE974*P975+AF974*Q975+AG974*R975+AH974*S975+AI974*T975</f>
        <v/>
      </c>
      <c r="AL975" s="9">
        <f>AVERAGE(L715:L974)</f>
        <v/>
      </c>
    </row>
    <row r="976">
      <c r="A976" s="7" t="n">
        <v>44442</v>
      </c>
      <c r="B976" s="8" t="n">
        <v>1823.7</v>
      </c>
      <c r="C976" s="8" t="n">
        <v>2.34</v>
      </c>
      <c r="D976" s="8" t="n">
        <v>-1.01</v>
      </c>
      <c r="E976" s="8" t="n">
        <v>92.040001</v>
      </c>
      <c r="F976" s="8" t="n">
        <v>69.34</v>
      </c>
      <c r="G976" s="8" t="n">
        <v>16.41</v>
      </c>
      <c r="H976" s="8" t="n">
        <v>53.259998</v>
      </c>
      <c r="I976" s="8" t="n">
        <v>4535.430176</v>
      </c>
      <c r="J976" s="8" t="n">
        <v>99.422256</v>
      </c>
      <c r="L976" s="9">
        <f>LN(B976/B975)</f>
        <v/>
      </c>
      <c r="M976" s="9">
        <f>$M$1*(C976-C975)</f>
        <v/>
      </c>
      <c r="N976" s="9">
        <f>$N$1*(D976-D975)</f>
        <v/>
      </c>
      <c r="O976" s="9">
        <f>$O$1*LN(E976/E975)</f>
        <v/>
      </c>
      <c r="P976" s="9">
        <f>$P$1*LN(F976/F975)</f>
        <v/>
      </c>
      <c r="Q976" s="9">
        <f>$Q$1*(G976-G975)</f>
        <v/>
      </c>
      <c r="R976" s="9">
        <f>$R$1*(H976-H975)</f>
        <v/>
      </c>
      <c r="S976" s="9">
        <f>$S$1*LN(I976/I975)</f>
        <v/>
      </c>
      <c r="T976" s="9">
        <f>$T$1*LN(J976/J975)</f>
        <v/>
      </c>
      <c r="U976" s="9">
        <f>$W$12+$W$4*M976+$W$5*N976+$W$6*O976+$W$7*P976+$W$8*Q976+$W$9*R976+$W$10*S976+$W$11*T976</f>
        <v/>
      </c>
      <c r="AA976" s="10">
        <f>INDEX(LINEST(L717:L976,M717:T976,TRUE,TRUE),1,9)*52</f>
        <v/>
      </c>
      <c r="AB976" s="9">
        <f>INDEX(LINEST(L717:L976,M717:T976,TRUE,TRUE),1,8)</f>
        <v/>
      </c>
      <c r="AC976" s="9">
        <f>INDEX(LINEST(L717:L976,M717:T976,TRUE,TRUE),1,7)</f>
        <v/>
      </c>
      <c r="AD976" s="9">
        <f>INDEX(LINEST(L717:L976,M717:T976,TRUE,TRUE),1,6)</f>
        <v/>
      </c>
      <c r="AE976" s="9">
        <f>INDEX(LINEST(L717:L976,M717:T976,TRUE,TRUE),1,5)</f>
        <v/>
      </c>
      <c r="AF976" s="9">
        <f>INDEX(LINEST(L717:L976,M717:T976,TRUE,TRUE),1,4)</f>
        <v/>
      </c>
      <c r="AG976" s="9">
        <f>INDEX(LINEST(L717:L976,M717:T976,TRUE,TRUE),1,3)</f>
        <v/>
      </c>
      <c r="AH976" s="9">
        <f>INDEX(LINEST(L717:L976,M717:T976,TRUE,TRUE),1,2)</f>
        <v/>
      </c>
      <c r="AI976" s="9">
        <f>INDEX(LINEST(L717:L976,M717:T976,TRUE,TRUE),1,1)</f>
        <v/>
      </c>
      <c r="AJ976" s="10">
        <f>INDEX(LINEST(L717:L976,M717:T976,TRUE,TRUE),3,1)</f>
        <v/>
      </c>
      <c r="AK976" s="9">
        <f>AA975/52+AB975*M976+AC975*N976+AD975*O976+AE975*P976+AF975*Q976+AG975*R976+AH975*S976+AI975*T976</f>
        <v/>
      </c>
      <c r="AL976" s="9">
        <f>AVERAGE(L716:L975)</f>
        <v/>
      </c>
    </row>
    <row r="977">
      <c r="A977" s="7" t="n">
        <v>44449</v>
      </c>
      <c r="B977" s="8" t="n">
        <v>1794.6</v>
      </c>
      <c r="C977" s="8" t="n">
        <v>2.4</v>
      </c>
      <c r="D977" s="8" t="n">
        <v>-1.05</v>
      </c>
      <c r="E977" s="8" t="n">
        <v>92.58000199999999</v>
      </c>
      <c r="F977" s="8" t="n">
        <v>69.81999999999999</v>
      </c>
      <c r="G977" s="8" t="n">
        <v>20.95</v>
      </c>
      <c r="H977" s="8" t="n">
        <v>51.73</v>
      </c>
      <c r="I977" s="8" t="n">
        <v>4458.580078</v>
      </c>
      <c r="J977" s="8" t="n">
        <v>99.43942300000001</v>
      </c>
      <c r="L977" s="9">
        <f>LN(B977/B976)</f>
        <v/>
      </c>
      <c r="M977" s="9">
        <f>$M$1*(C977-C976)</f>
        <v/>
      </c>
      <c r="N977" s="9">
        <f>$N$1*(D977-D976)</f>
        <v/>
      </c>
      <c r="O977" s="9">
        <f>$O$1*LN(E977/E976)</f>
        <v/>
      </c>
      <c r="P977" s="9">
        <f>$P$1*LN(F977/F976)</f>
        <v/>
      </c>
      <c r="Q977" s="9">
        <f>$Q$1*(G977-G976)</f>
        <v/>
      </c>
      <c r="R977" s="9">
        <f>$R$1*(H977-H976)</f>
        <v/>
      </c>
      <c r="S977" s="9">
        <f>$S$1*LN(I977/I976)</f>
        <v/>
      </c>
      <c r="T977" s="9">
        <f>$T$1*LN(J977/J976)</f>
        <v/>
      </c>
      <c r="U977" s="9">
        <f>$W$12+$W$4*M977+$W$5*N977+$W$6*O977+$W$7*P977+$W$8*Q977+$W$9*R977+$W$10*S977+$W$11*T977</f>
        <v/>
      </c>
      <c r="AA977" s="10">
        <f>INDEX(LINEST(L718:L977,M718:T977,TRUE,TRUE),1,9)*52</f>
        <v/>
      </c>
      <c r="AB977" s="9">
        <f>INDEX(LINEST(L718:L977,M718:T977,TRUE,TRUE),1,8)</f>
        <v/>
      </c>
      <c r="AC977" s="9">
        <f>INDEX(LINEST(L718:L977,M718:T977,TRUE,TRUE),1,7)</f>
        <v/>
      </c>
      <c r="AD977" s="9">
        <f>INDEX(LINEST(L718:L977,M718:T977,TRUE,TRUE),1,6)</f>
        <v/>
      </c>
      <c r="AE977" s="9">
        <f>INDEX(LINEST(L718:L977,M718:T977,TRUE,TRUE),1,5)</f>
        <v/>
      </c>
      <c r="AF977" s="9">
        <f>INDEX(LINEST(L718:L977,M718:T977,TRUE,TRUE),1,4)</f>
        <v/>
      </c>
      <c r="AG977" s="9">
        <f>INDEX(LINEST(L718:L977,M718:T977,TRUE,TRUE),1,3)</f>
        <v/>
      </c>
      <c r="AH977" s="9">
        <f>INDEX(LINEST(L718:L977,M718:T977,TRUE,TRUE),1,2)</f>
        <v/>
      </c>
      <c r="AI977" s="9">
        <f>INDEX(LINEST(L718:L977,M718:T977,TRUE,TRUE),1,1)</f>
        <v/>
      </c>
      <c r="AJ977" s="10">
        <f>INDEX(LINEST(L718:L977,M718:T977,TRUE,TRUE),3,1)</f>
        <v/>
      </c>
      <c r="AK977" s="9">
        <f>AA976/52+AB976*M977+AC976*N977+AD976*O977+AE976*P977+AF976*Q977+AG976*R977+AH976*S977+AI976*T977</f>
        <v/>
      </c>
      <c r="AL977" s="9">
        <f>AVERAGE(L717:L976)</f>
        <v/>
      </c>
    </row>
    <row r="978">
      <c r="A978" s="7" t="n">
        <v>44456</v>
      </c>
      <c r="B978" s="8" t="n">
        <v>1755.95</v>
      </c>
      <c r="C978" s="8" t="n">
        <v>2.33</v>
      </c>
      <c r="D978" s="8" t="n">
        <v>-0.96</v>
      </c>
      <c r="E978" s="8" t="n">
        <v>93.199997</v>
      </c>
      <c r="F978" s="8" t="n">
        <v>72.09</v>
      </c>
      <c r="G978" s="8" t="n">
        <v>20.81</v>
      </c>
      <c r="H978" s="8" t="n">
        <v>56.060001</v>
      </c>
      <c r="I978" s="8" t="n">
        <v>4432.990234</v>
      </c>
      <c r="J978" s="8" t="n">
        <v>99.43942300000001</v>
      </c>
      <c r="L978" s="9">
        <f>LN(B978/B977)</f>
        <v/>
      </c>
      <c r="M978" s="9">
        <f>$M$1*(C978-C977)</f>
        <v/>
      </c>
      <c r="N978" s="9">
        <f>$N$1*(D978-D977)</f>
        <v/>
      </c>
      <c r="O978" s="9">
        <f>$O$1*LN(E978/E977)</f>
        <v/>
      </c>
      <c r="P978" s="9">
        <f>$P$1*LN(F978/F977)</f>
        <v/>
      </c>
      <c r="Q978" s="9">
        <f>$Q$1*(G978-G977)</f>
        <v/>
      </c>
      <c r="R978" s="9">
        <f>$R$1*(H978-H977)</f>
        <v/>
      </c>
      <c r="S978" s="9">
        <f>$S$1*LN(I978/I977)</f>
        <v/>
      </c>
      <c r="T978" s="9">
        <f>$T$1*LN(J978/J977)</f>
        <v/>
      </c>
      <c r="U978" s="9">
        <f>$W$12+$W$4*M978+$W$5*N978+$W$6*O978+$W$7*P978+$W$8*Q978+$W$9*R978+$W$10*S978+$W$11*T978</f>
        <v/>
      </c>
      <c r="AA978" s="10">
        <f>INDEX(LINEST(L719:L978,M719:T978,TRUE,TRUE),1,9)*52</f>
        <v/>
      </c>
      <c r="AB978" s="9">
        <f>INDEX(LINEST(L719:L978,M719:T978,TRUE,TRUE),1,8)</f>
        <v/>
      </c>
      <c r="AC978" s="9">
        <f>INDEX(LINEST(L719:L978,M719:T978,TRUE,TRUE),1,7)</f>
        <v/>
      </c>
      <c r="AD978" s="9">
        <f>INDEX(LINEST(L719:L978,M719:T978,TRUE,TRUE),1,6)</f>
        <v/>
      </c>
      <c r="AE978" s="9">
        <f>INDEX(LINEST(L719:L978,M719:T978,TRUE,TRUE),1,5)</f>
        <v/>
      </c>
      <c r="AF978" s="9">
        <f>INDEX(LINEST(L719:L978,M719:T978,TRUE,TRUE),1,4)</f>
        <v/>
      </c>
      <c r="AG978" s="9">
        <f>INDEX(LINEST(L719:L978,M719:T978,TRUE,TRUE),1,3)</f>
        <v/>
      </c>
      <c r="AH978" s="9">
        <f>INDEX(LINEST(L719:L978,M719:T978,TRUE,TRUE),1,2)</f>
        <v/>
      </c>
      <c r="AI978" s="9">
        <f>INDEX(LINEST(L719:L978,M719:T978,TRUE,TRUE),1,1)</f>
        <v/>
      </c>
      <c r="AJ978" s="10">
        <f>INDEX(LINEST(L719:L978,M719:T978,TRUE,TRUE),3,1)</f>
        <v/>
      </c>
      <c r="AK978" s="9">
        <f>AA977/52+AB977*M978+AC977*N978+AD977*O978+AE977*P978+AF977*Q978+AG977*R978+AH977*S978+AI977*T978</f>
        <v/>
      </c>
      <c r="AL978" s="9">
        <f>AVERAGE(L718:L977)</f>
        <v/>
      </c>
    </row>
    <row r="979">
      <c r="A979" s="7" t="n">
        <v>44463</v>
      </c>
      <c r="B979" s="8" t="n">
        <v>1746.8</v>
      </c>
      <c r="C979" s="8" t="n">
        <v>2.34</v>
      </c>
      <c r="D979" s="8" t="n">
        <v>-0.87</v>
      </c>
      <c r="E979" s="8" t="n">
        <v>93.33000199999999</v>
      </c>
      <c r="F979" s="8" t="n">
        <v>74.18000000000001</v>
      </c>
      <c r="G979" s="8" t="n">
        <v>17.75</v>
      </c>
      <c r="H979" s="8" t="n">
        <v>58.459999</v>
      </c>
      <c r="I979" s="8" t="n">
        <v>4455.47998</v>
      </c>
      <c r="J979" s="8" t="n">
        <v>99.044617</v>
      </c>
      <c r="L979" s="9">
        <f>LN(B979/B978)</f>
        <v/>
      </c>
      <c r="M979" s="9">
        <f>$M$1*(C979-C978)</f>
        <v/>
      </c>
      <c r="N979" s="9">
        <f>$N$1*(D979-D978)</f>
        <v/>
      </c>
      <c r="O979" s="9">
        <f>$O$1*LN(E979/E978)</f>
        <v/>
      </c>
      <c r="P979" s="9">
        <f>$P$1*LN(F979/F978)</f>
        <v/>
      </c>
      <c r="Q979" s="9">
        <f>$Q$1*(G979-G978)</f>
        <v/>
      </c>
      <c r="R979" s="9">
        <f>$R$1*(H979-H978)</f>
        <v/>
      </c>
      <c r="S979" s="9">
        <f>$S$1*LN(I979/I978)</f>
        <v/>
      </c>
      <c r="T979" s="9">
        <f>$T$1*LN(J979/J978)</f>
        <v/>
      </c>
      <c r="U979" s="9">
        <f>$W$12+$W$4*M979+$W$5*N979+$W$6*O979+$W$7*P979+$W$8*Q979+$W$9*R979+$W$10*S979+$W$11*T979</f>
        <v/>
      </c>
      <c r="AA979" s="10">
        <f>INDEX(LINEST(L720:L979,M720:T979,TRUE,TRUE),1,9)*52</f>
        <v/>
      </c>
      <c r="AB979" s="9">
        <f>INDEX(LINEST(L720:L979,M720:T979,TRUE,TRUE),1,8)</f>
        <v/>
      </c>
      <c r="AC979" s="9">
        <f>INDEX(LINEST(L720:L979,M720:T979,TRUE,TRUE),1,7)</f>
        <v/>
      </c>
      <c r="AD979" s="9">
        <f>INDEX(LINEST(L720:L979,M720:T979,TRUE,TRUE),1,6)</f>
        <v/>
      </c>
      <c r="AE979" s="9">
        <f>INDEX(LINEST(L720:L979,M720:T979,TRUE,TRUE),1,5)</f>
        <v/>
      </c>
      <c r="AF979" s="9">
        <f>INDEX(LINEST(L720:L979,M720:T979,TRUE,TRUE),1,4)</f>
        <v/>
      </c>
      <c r="AG979" s="9">
        <f>INDEX(LINEST(L720:L979,M720:T979,TRUE,TRUE),1,3)</f>
        <v/>
      </c>
      <c r="AH979" s="9">
        <f>INDEX(LINEST(L720:L979,M720:T979,TRUE,TRUE),1,2)</f>
        <v/>
      </c>
      <c r="AI979" s="9">
        <f>INDEX(LINEST(L720:L979,M720:T979,TRUE,TRUE),1,1)</f>
        <v/>
      </c>
      <c r="AJ979" s="10">
        <f>INDEX(LINEST(L720:L979,M720:T979,TRUE,TRUE),3,1)</f>
        <v/>
      </c>
      <c r="AK979" s="9">
        <f>AA978/52+AB978*M979+AC978*N979+AD978*O979+AE978*P979+AF978*Q979+AG978*R979+AH978*S979+AI978*T979</f>
        <v/>
      </c>
      <c r="AL979" s="9">
        <f>AVERAGE(L719:L978)</f>
        <v/>
      </c>
    </row>
    <row r="980">
      <c r="A980" s="7" t="n">
        <v>44470</v>
      </c>
      <c r="B980" s="8" t="n">
        <v>1757.05</v>
      </c>
      <c r="C980" s="8" t="n">
        <v>2.38</v>
      </c>
      <c r="D980" s="8" t="n">
        <v>-0.9</v>
      </c>
      <c r="E980" s="8" t="n">
        <v>94.040001</v>
      </c>
      <c r="F980" s="8" t="n">
        <v>76.01000000000001</v>
      </c>
      <c r="G980" s="8" t="n">
        <v>21.15</v>
      </c>
      <c r="H980" s="8" t="n">
        <v>57.380001</v>
      </c>
      <c r="I980" s="8" t="n">
        <v>4357.040039</v>
      </c>
      <c r="J980" s="8" t="n">
        <v>98.847717</v>
      </c>
      <c r="L980" s="9">
        <f>LN(B980/B979)</f>
        <v/>
      </c>
      <c r="M980" s="9">
        <f>$M$1*(C980-C979)</f>
        <v/>
      </c>
      <c r="N980" s="9">
        <f>$N$1*(D980-D979)</f>
        <v/>
      </c>
      <c r="O980" s="9">
        <f>$O$1*LN(E980/E979)</f>
        <v/>
      </c>
      <c r="P980" s="9">
        <f>$P$1*LN(F980/F979)</f>
        <v/>
      </c>
      <c r="Q980" s="9">
        <f>$Q$1*(G980-G979)</f>
        <v/>
      </c>
      <c r="R980" s="9">
        <f>$R$1*(H980-H979)</f>
        <v/>
      </c>
      <c r="S980" s="9">
        <f>$S$1*LN(I980/I979)</f>
        <v/>
      </c>
      <c r="T980" s="9">
        <f>$T$1*LN(J980/J979)</f>
        <v/>
      </c>
      <c r="U980" s="9">
        <f>$W$12+$W$4*M980+$W$5*N980+$W$6*O980+$W$7*P980+$W$8*Q980+$W$9*R980+$W$10*S980+$W$11*T980</f>
        <v/>
      </c>
      <c r="AA980" s="10">
        <f>INDEX(LINEST(L721:L980,M721:T980,TRUE,TRUE),1,9)*52</f>
        <v/>
      </c>
      <c r="AB980" s="9">
        <f>INDEX(LINEST(L721:L980,M721:T980,TRUE,TRUE),1,8)</f>
        <v/>
      </c>
      <c r="AC980" s="9">
        <f>INDEX(LINEST(L721:L980,M721:T980,TRUE,TRUE),1,7)</f>
        <v/>
      </c>
      <c r="AD980" s="9">
        <f>INDEX(LINEST(L721:L980,M721:T980,TRUE,TRUE),1,6)</f>
        <v/>
      </c>
      <c r="AE980" s="9">
        <f>INDEX(LINEST(L721:L980,M721:T980,TRUE,TRUE),1,5)</f>
        <v/>
      </c>
      <c r="AF980" s="9">
        <f>INDEX(LINEST(L721:L980,M721:T980,TRUE,TRUE),1,4)</f>
        <v/>
      </c>
      <c r="AG980" s="9">
        <f>INDEX(LINEST(L721:L980,M721:T980,TRUE,TRUE),1,3)</f>
        <v/>
      </c>
      <c r="AH980" s="9">
        <f>INDEX(LINEST(L721:L980,M721:T980,TRUE,TRUE),1,2)</f>
        <v/>
      </c>
      <c r="AI980" s="9">
        <f>INDEX(LINEST(L721:L980,M721:T980,TRUE,TRUE),1,1)</f>
        <v/>
      </c>
      <c r="AJ980" s="10">
        <f>INDEX(LINEST(L721:L980,M721:T980,TRUE,TRUE),3,1)</f>
        <v/>
      </c>
      <c r="AK980" s="9">
        <f>AA979/52+AB979*M980+AC979*N980+AD979*O980+AE979*P980+AF979*Q980+AG979*R980+AH979*S980+AI979*T980</f>
        <v/>
      </c>
      <c r="AL980" s="9">
        <f>AVERAGE(L720:L979)</f>
        <v/>
      </c>
    </row>
    <row r="981">
      <c r="A981" s="7" t="n">
        <v>44477</v>
      </c>
      <c r="B981" s="8" t="n">
        <v>1773.25</v>
      </c>
      <c r="C981" s="8" t="n">
        <v>2.5</v>
      </c>
      <c r="D981" s="8" t="n">
        <v>-0.89</v>
      </c>
      <c r="E981" s="8" t="n">
        <v>94.06999999999999</v>
      </c>
      <c r="F981" s="8" t="n">
        <v>79.55</v>
      </c>
      <c r="G981" s="8" t="n">
        <v>18.77</v>
      </c>
      <c r="H981" s="8" t="n">
        <v>59.650002</v>
      </c>
      <c r="I981" s="8" t="n">
        <v>4391.339844</v>
      </c>
      <c r="J981" s="8" t="n">
        <v>98.099915</v>
      </c>
      <c r="L981" s="9">
        <f>LN(B981/B980)</f>
        <v/>
      </c>
      <c r="M981" s="9">
        <f>$M$1*(C981-C980)</f>
        <v/>
      </c>
      <c r="N981" s="9">
        <f>$N$1*(D981-D980)</f>
        <v/>
      </c>
      <c r="O981" s="9">
        <f>$O$1*LN(E981/E980)</f>
        <v/>
      </c>
      <c r="P981" s="9">
        <f>$P$1*LN(F981/F980)</f>
        <v/>
      </c>
      <c r="Q981" s="9">
        <f>$Q$1*(G981-G980)</f>
        <v/>
      </c>
      <c r="R981" s="9">
        <f>$R$1*(H981-H980)</f>
        <v/>
      </c>
      <c r="S981" s="9">
        <f>$S$1*LN(I981/I980)</f>
        <v/>
      </c>
      <c r="T981" s="9">
        <f>$T$1*LN(J981/J980)</f>
        <v/>
      </c>
      <c r="U981" s="9">
        <f>$W$12+$W$4*M981+$W$5*N981+$W$6*O981+$W$7*P981+$W$8*Q981+$W$9*R981+$W$10*S981+$W$11*T981</f>
        <v/>
      </c>
      <c r="AA981" s="10">
        <f>INDEX(LINEST(L722:L981,M722:T981,TRUE,TRUE),1,9)*52</f>
        <v/>
      </c>
      <c r="AB981" s="9">
        <f>INDEX(LINEST(L722:L981,M722:T981,TRUE,TRUE),1,8)</f>
        <v/>
      </c>
      <c r="AC981" s="9">
        <f>INDEX(LINEST(L722:L981,M722:T981,TRUE,TRUE),1,7)</f>
        <v/>
      </c>
      <c r="AD981" s="9">
        <f>INDEX(LINEST(L722:L981,M722:T981,TRUE,TRUE),1,6)</f>
        <v/>
      </c>
      <c r="AE981" s="9">
        <f>INDEX(LINEST(L722:L981,M722:T981,TRUE,TRUE),1,5)</f>
        <v/>
      </c>
      <c r="AF981" s="9">
        <f>INDEX(LINEST(L722:L981,M722:T981,TRUE,TRUE),1,4)</f>
        <v/>
      </c>
      <c r="AG981" s="9">
        <f>INDEX(LINEST(L722:L981,M722:T981,TRUE,TRUE),1,3)</f>
        <v/>
      </c>
      <c r="AH981" s="9">
        <f>INDEX(LINEST(L722:L981,M722:T981,TRUE,TRUE),1,2)</f>
        <v/>
      </c>
      <c r="AI981" s="9">
        <f>INDEX(LINEST(L722:L981,M722:T981,TRUE,TRUE),1,1)</f>
        <v/>
      </c>
      <c r="AJ981" s="10">
        <f>INDEX(LINEST(L722:L981,M722:T981,TRUE,TRUE),3,1)</f>
        <v/>
      </c>
      <c r="AK981" s="9">
        <f>AA980/52+AB980*M981+AC980*N981+AD980*O981+AE980*P981+AF980*Q981+AG980*R981+AH980*S981+AI980*T981</f>
        <v/>
      </c>
      <c r="AL981" s="9">
        <f>AVERAGE(L721:L980)</f>
        <v/>
      </c>
    </row>
    <row r="982">
      <c r="A982" s="7" t="n">
        <v>44484</v>
      </c>
      <c r="B982" s="8" t="n">
        <v>1772.65</v>
      </c>
      <c r="C982" s="8" t="n">
        <v>2.56</v>
      </c>
      <c r="D982" s="8" t="n">
        <v>-0.97</v>
      </c>
      <c r="E982" s="8" t="n">
        <v>93.94000200000001</v>
      </c>
      <c r="F982" s="8" t="n">
        <v>82.39</v>
      </c>
      <c r="G982" s="8" t="n">
        <v>16.3</v>
      </c>
      <c r="H982" s="8" t="n">
        <v>62.700001</v>
      </c>
      <c r="I982" s="8" t="n">
        <v>4471.370117</v>
      </c>
      <c r="J982" s="8" t="n">
        <v>98.478149</v>
      </c>
      <c r="L982" s="9">
        <f>LN(B982/B981)</f>
        <v/>
      </c>
      <c r="M982" s="9">
        <f>$M$1*(C982-C981)</f>
        <v/>
      </c>
      <c r="N982" s="9">
        <f>$N$1*(D982-D981)</f>
        <v/>
      </c>
      <c r="O982" s="9">
        <f>$O$1*LN(E982/E981)</f>
        <v/>
      </c>
      <c r="P982" s="9">
        <f>$P$1*LN(F982/F981)</f>
        <v/>
      </c>
      <c r="Q982" s="9">
        <f>$Q$1*(G982-G981)</f>
        <v/>
      </c>
      <c r="R982" s="9">
        <f>$R$1*(H982-H981)</f>
        <v/>
      </c>
      <c r="S982" s="9">
        <f>$S$1*LN(I982/I981)</f>
        <v/>
      </c>
      <c r="T982" s="9">
        <f>$T$1*LN(J982/J981)</f>
        <v/>
      </c>
      <c r="U982" s="9">
        <f>$W$12+$W$4*M982+$W$5*N982+$W$6*O982+$W$7*P982+$W$8*Q982+$W$9*R982+$W$10*S982+$W$11*T982</f>
        <v/>
      </c>
      <c r="AA982" s="10">
        <f>INDEX(LINEST(L723:L982,M723:T982,TRUE,TRUE),1,9)*52</f>
        <v/>
      </c>
      <c r="AB982" s="9">
        <f>INDEX(LINEST(L723:L982,M723:T982,TRUE,TRUE),1,8)</f>
        <v/>
      </c>
      <c r="AC982" s="9">
        <f>INDEX(LINEST(L723:L982,M723:T982,TRUE,TRUE),1,7)</f>
        <v/>
      </c>
      <c r="AD982" s="9">
        <f>INDEX(LINEST(L723:L982,M723:T982,TRUE,TRUE),1,6)</f>
        <v/>
      </c>
      <c r="AE982" s="9">
        <f>INDEX(LINEST(L723:L982,M723:T982,TRUE,TRUE),1,5)</f>
        <v/>
      </c>
      <c r="AF982" s="9">
        <f>INDEX(LINEST(L723:L982,M723:T982,TRUE,TRUE),1,4)</f>
        <v/>
      </c>
      <c r="AG982" s="9">
        <f>INDEX(LINEST(L723:L982,M723:T982,TRUE,TRUE),1,3)</f>
        <v/>
      </c>
      <c r="AH982" s="9">
        <f>INDEX(LINEST(L723:L982,M723:T982,TRUE,TRUE),1,2)</f>
        <v/>
      </c>
      <c r="AI982" s="9">
        <f>INDEX(LINEST(L723:L982,M723:T982,TRUE,TRUE),1,1)</f>
        <v/>
      </c>
      <c r="AJ982" s="10">
        <f>INDEX(LINEST(L723:L982,M723:T982,TRUE,TRUE),3,1)</f>
        <v/>
      </c>
      <c r="AK982" s="9">
        <f>AA981/52+AB981*M982+AC981*N982+AD981*O982+AE981*P982+AF981*Q982+AG981*R982+AH981*S982+AI981*T982</f>
        <v/>
      </c>
      <c r="AL982" s="9">
        <f>AVERAGE(L722:L981)</f>
        <v/>
      </c>
    </row>
    <row r="983">
      <c r="A983" s="7" t="n">
        <v>44491</v>
      </c>
      <c r="B983" s="8" t="n">
        <v>1808.25</v>
      </c>
      <c r="C983" s="8" t="n">
        <v>2.64</v>
      </c>
      <c r="D983" s="8" t="n">
        <v>-0.98</v>
      </c>
      <c r="E983" s="8" t="n">
        <v>93.610001</v>
      </c>
      <c r="F983" s="8" t="n">
        <v>84.53</v>
      </c>
      <c r="G983" s="8" t="n">
        <v>15.43</v>
      </c>
      <c r="H983" s="8" t="n">
        <v>72.040001</v>
      </c>
      <c r="I983" s="8" t="n">
        <v>4544.899902</v>
      </c>
      <c r="J983" s="8" t="n">
        <v>98.03976400000001</v>
      </c>
      <c r="L983" s="9">
        <f>LN(B983/B982)</f>
        <v/>
      </c>
      <c r="M983" s="9">
        <f>$M$1*(C983-C982)</f>
        <v/>
      </c>
      <c r="N983" s="9">
        <f>$N$1*(D983-D982)</f>
        <v/>
      </c>
      <c r="O983" s="9">
        <f>$O$1*LN(E983/E982)</f>
        <v/>
      </c>
      <c r="P983" s="9">
        <f>$P$1*LN(F983/F982)</f>
        <v/>
      </c>
      <c r="Q983" s="9">
        <f>$Q$1*(G983-G982)</f>
        <v/>
      </c>
      <c r="R983" s="9">
        <f>$R$1*(H983-H982)</f>
        <v/>
      </c>
      <c r="S983" s="9">
        <f>$S$1*LN(I983/I982)</f>
        <v/>
      </c>
      <c r="T983" s="9">
        <f>$T$1*LN(J983/J982)</f>
        <v/>
      </c>
      <c r="U983" s="9">
        <f>$W$12+$W$4*M983+$W$5*N983+$W$6*O983+$W$7*P983+$W$8*Q983+$W$9*R983+$W$10*S983+$W$11*T983</f>
        <v/>
      </c>
      <c r="AA983" s="10">
        <f>INDEX(LINEST(L724:L983,M724:T983,TRUE,TRUE),1,9)*52</f>
        <v/>
      </c>
      <c r="AB983" s="9">
        <f>INDEX(LINEST(L724:L983,M724:T983,TRUE,TRUE),1,8)</f>
        <v/>
      </c>
      <c r="AC983" s="9">
        <f>INDEX(LINEST(L724:L983,M724:T983,TRUE,TRUE),1,7)</f>
        <v/>
      </c>
      <c r="AD983" s="9">
        <f>INDEX(LINEST(L724:L983,M724:T983,TRUE,TRUE),1,6)</f>
        <v/>
      </c>
      <c r="AE983" s="9">
        <f>INDEX(LINEST(L724:L983,M724:T983,TRUE,TRUE),1,5)</f>
        <v/>
      </c>
      <c r="AF983" s="9">
        <f>INDEX(LINEST(L724:L983,M724:T983,TRUE,TRUE),1,4)</f>
        <v/>
      </c>
      <c r="AG983" s="9">
        <f>INDEX(LINEST(L724:L983,M724:T983,TRUE,TRUE),1,3)</f>
        <v/>
      </c>
      <c r="AH983" s="9">
        <f>INDEX(LINEST(L724:L983,M724:T983,TRUE,TRUE),1,2)</f>
        <v/>
      </c>
      <c r="AI983" s="9">
        <f>INDEX(LINEST(L724:L983,M724:T983,TRUE,TRUE),1,1)</f>
        <v/>
      </c>
      <c r="AJ983" s="10">
        <f>INDEX(LINEST(L724:L983,M724:T983,TRUE,TRUE),3,1)</f>
        <v/>
      </c>
      <c r="AK983" s="9">
        <f>AA982/52+AB982*M983+AC982*N983+AD982*O983+AE982*P983+AF982*Q983+AG982*R983+AH982*S983+AI982*T983</f>
        <v/>
      </c>
      <c r="AL983" s="9">
        <f>AVERAGE(L723:L982)</f>
        <v/>
      </c>
    </row>
    <row r="984">
      <c r="A984" s="7" t="n">
        <v>44498</v>
      </c>
      <c r="B984" s="8" t="n">
        <v>1769.15</v>
      </c>
      <c r="C984" s="8" t="n">
        <v>2.51</v>
      </c>
      <c r="D984" s="8" t="n">
        <v>-0.96</v>
      </c>
      <c r="E984" s="8" t="n">
        <v>94.120003</v>
      </c>
      <c r="F984" s="8" t="n">
        <v>83.5</v>
      </c>
      <c r="G984" s="8" t="n">
        <v>16.26</v>
      </c>
      <c r="H984" s="8" t="n">
        <v>75.449997</v>
      </c>
      <c r="I984" s="8" t="n">
        <v>4605.379883</v>
      </c>
      <c r="J984" s="8" t="n">
        <v>98.538284</v>
      </c>
      <c r="L984" s="9">
        <f>LN(B984/B983)</f>
        <v/>
      </c>
      <c r="M984" s="9">
        <f>$M$1*(C984-C983)</f>
        <v/>
      </c>
      <c r="N984" s="9">
        <f>$N$1*(D984-D983)</f>
        <v/>
      </c>
      <c r="O984" s="9">
        <f>$O$1*LN(E984/E983)</f>
        <v/>
      </c>
      <c r="P984" s="9">
        <f>$P$1*LN(F984/F983)</f>
        <v/>
      </c>
      <c r="Q984" s="9">
        <f>$Q$1*(G984-G983)</f>
        <v/>
      </c>
      <c r="R984" s="9">
        <f>$R$1*(H984-H983)</f>
        <v/>
      </c>
      <c r="S984" s="9">
        <f>$S$1*LN(I984/I983)</f>
        <v/>
      </c>
      <c r="T984" s="9">
        <f>$T$1*LN(J984/J983)</f>
        <v/>
      </c>
      <c r="U984" s="9">
        <f>$W$12+$W$4*M984+$W$5*N984+$W$6*O984+$W$7*P984+$W$8*Q984+$W$9*R984+$W$10*S984+$W$11*T984</f>
        <v/>
      </c>
      <c r="AA984" s="10">
        <f>INDEX(LINEST(L725:L984,M725:T984,TRUE,TRUE),1,9)*52</f>
        <v/>
      </c>
      <c r="AB984" s="9">
        <f>INDEX(LINEST(L725:L984,M725:T984,TRUE,TRUE),1,8)</f>
        <v/>
      </c>
      <c r="AC984" s="9">
        <f>INDEX(LINEST(L725:L984,M725:T984,TRUE,TRUE),1,7)</f>
        <v/>
      </c>
      <c r="AD984" s="9">
        <f>INDEX(LINEST(L725:L984,M725:T984,TRUE,TRUE),1,6)</f>
        <v/>
      </c>
      <c r="AE984" s="9">
        <f>INDEX(LINEST(L725:L984,M725:T984,TRUE,TRUE),1,5)</f>
        <v/>
      </c>
      <c r="AF984" s="9">
        <f>INDEX(LINEST(L725:L984,M725:T984,TRUE,TRUE),1,4)</f>
        <v/>
      </c>
      <c r="AG984" s="9">
        <f>INDEX(LINEST(L725:L984,M725:T984,TRUE,TRUE),1,3)</f>
        <v/>
      </c>
      <c r="AH984" s="9">
        <f>INDEX(LINEST(L725:L984,M725:T984,TRUE,TRUE),1,2)</f>
        <v/>
      </c>
      <c r="AI984" s="9">
        <f>INDEX(LINEST(L725:L984,M725:T984,TRUE,TRUE),1,1)</f>
        <v/>
      </c>
      <c r="AJ984" s="10">
        <f>INDEX(LINEST(L725:L984,M725:T984,TRUE,TRUE),3,1)</f>
        <v/>
      </c>
      <c r="AK984" s="9">
        <f>AA983/52+AB983*M984+AC983*N984+AD983*O984+AE983*P984+AF983*Q984+AG983*R984+AH983*S984+AI983*T984</f>
        <v/>
      </c>
      <c r="AL984" s="9">
        <f>AVERAGE(L724:L983)</f>
        <v/>
      </c>
    </row>
    <row r="985">
      <c r="A985" s="7" t="n">
        <v>44505</v>
      </c>
      <c r="B985" s="8" t="n">
        <v>1801.85</v>
      </c>
      <c r="C985" s="8" t="n">
        <v>2.54</v>
      </c>
      <c r="D985" s="8" t="n">
        <v>-1.09</v>
      </c>
      <c r="E985" s="8" t="n">
        <v>94.31999999999999</v>
      </c>
      <c r="F985" s="8" t="n">
        <v>81.25</v>
      </c>
      <c r="G985" s="8" t="n">
        <v>16.48</v>
      </c>
      <c r="H985" s="8" t="n">
        <v>66.900002</v>
      </c>
      <c r="I985" s="8" t="n">
        <v>4697.529785</v>
      </c>
      <c r="J985" s="8" t="n">
        <v>99.192566</v>
      </c>
      <c r="L985" s="9">
        <f>LN(B985/B984)</f>
        <v/>
      </c>
      <c r="M985" s="9">
        <f>$M$1*(C985-C984)</f>
        <v/>
      </c>
      <c r="N985" s="9">
        <f>$N$1*(D985-D984)</f>
        <v/>
      </c>
      <c r="O985" s="9">
        <f>$O$1*LN(E985/E984)</f>
        <v/>
      </c>
      <c r="P985" s="9">
        <f>$P$1*LN(F985/F984)</f>
        <v/>
      </c>
      <c r="Q985" s="9">
        <f>$Q$1*(G985-G984)</f>
        <v/>
      </c>
      <c r="R985" s="9">
        <f>$R$1*(H985-H984)</f>
        <v/>
      </c>
      <c r="S985" s="9">
        <f>$S$1*LN(I985/I984)</f>
        <v/>
      </c>
      <c r="T985" s="9">
        <f>$T$1*LN(J985/J984)</f>
        <v/>
      </c>
      <c r="U985" s="9">
        <f>$W$12+$W$4*M985+$W$5*N985+$W$6*O985+$W$7*P985+$W$8*Q985+$W$9*R985+$W$10*S985+$W$11*T985</f>
        <v/>
      </c>
      <c r="AA985" s="10">
        <f>INDEX(LINEST(L726:L985,M726:T985,TRUE,TRUE),1,9)*52</f>
        <v/>
      </c>
      <c r="AB985" s="9">
        <f>INDEX(LINEST(L726:L985,M726:T985,TRUE,TRUE),1,8)</f>
        <v/>
      </c>
      <c r="AC985" s="9">
        <f>INDEX(LINEST(L726:L985,M726:T985,TRUE,TRUE),1,7)</f>
        <v/>
      </c>
      <c r="AD985" s="9">
        <f>INDEX(LINEST(L726:L985,M726:T985,TRUE,TRUE),1,6)</f>
        <v/>
      </c>
      <c r="AE985" s="9">
        <f>INDEX(LINEST(L726:L985,M726:T985,TRUE,TRUE),1,5)</f>
        <v/>
      </c>
      <c r="AF985" s="9">
        <f>INDEX(LINEST(L726:L985,M726:T985,TRUE,TRUE),1,4)</f>
        <v/>
      </c>
      <c r="AG985" s="9">
        <f>INDEX(LINEST(L726:L985,M726:T985,TRUE,TRUE),1,3)</f>
        <v/>
      </c>
      <c r="AH985" s="9">
        <f>INDEX(LINEST(L726:L985,M726:T985,TRUE,TRUE),1,2)</f>
        <v/>
      </c>
      <c r="AI985" s="9">
        <f>INDEX(LINEST(L726:L985,M726:T985,TRUE,TRUE),1,1)</f>
        <v/>
      </c>
      <c r="AJ985" s="10">
        <f>INDEX(LINEST(L726:L985,M726:T985,TRUE,TRUE),3,1)</f>
        <v/>
      </c>
      <c r="AK985" s="9">
        <f>AA984/52+AB984*M985+AC984*N985+AD984*O985+AE984*P985+AF984*Q985+AG984*R985+AH984*S985+AI984*T985</f>
        <v/>
      </c>
      <c r="AL985" s="9">
        <f>AVERAGE(L725:L984)</f>
        <v/>
      </c>
    </row>
    <row r="986">
      <c r="A986" s="7" t="n">
        <v>44512</v>
      </c>
      <c r="B986" s="8" t="n">
        <v>1860.55</v>
      </c>
      <c r="C986" s="8" t="n">
        <v>2.73</v>
      </c>
      <c r="D986" s="8" t="n">
        <v>-1.15</v>
      </c>
      <c r="E986" s="8" t="n">
        <v>95.129997</v>
      </c>
      <c r="F986" s="8" t="n">
        <v>80.87</v>
      </c>
      <c r="G986" s="8" t="n">
        <v>16.29</v>
      </c>
      <c r="H986" s="8" t="n">
        <v>78.610001</v>
      </c>
      <c r="I986" s="8" t="n">
        <v>4682.850098</v>
      </c>
      <c r="J986" s="8" t="n">
        <v>98.417793</v>
      </c>
      <c r="L986" s="9">
        <f>LN(B986/B985)</f>
        <v/>
      </c>
      <c r="M986" s="9">
        <f>$M$1*(C986-C985)</f>
        <v/>
      </c>
      <c r="N986" s="9">
        <f>$N$1*(D986-D985)</f>
        <v/>
      </c>
      <c r="O986" s="9">
        <f>$O$1*LN(E986/E985)</f>
        <v/>
      </c>
      <c r="P986" s="9">
        <f>$P$1*LN(F986/F985)</f>
        <v/>
      </c>
      <c r="Q986" s="9">
        <f>$Q$1*(G986-G985)</f>
        <v/>
      </c>
      <c r="R986" s="9">
        <f>$R$1*(H986-H985)</f>
        <v/>
      </c>
      <c r="S986" s="9">
        <f>$S$1*LN(I986/I985)</f>
        <v/>
      </c>
      <c r="T986" s="9">
        <f>$T$1*LN(J986/J985)</f>
        <v/>
      </c>
      <c r="U986" s="9">
        <f>$W$12+$W$4*M986+$W$5*N986+$W$6*O986+$W$7*P986+$W$8*Q986+$W$9*R986+$W$10*S986+$W$11*T986</f>
        <v/>
      </c>
      <c r="AA986" s="10">
        <f>INDEX(LINEST(L727:L986,M727:T986,TRUE,TRUE),1,9)*52</f>
        <v/>
      </c>
      <c r="AB986" s="9">
        <f>INDEX(LINEST(L727:L986,M727:T986,TRUE,TRUE),1,8)</f>
        <v/>
      </c>
      <c r="AC986" s="9">
        <f>INDEX(LINEST(L727:L986,M727:T986,TRUE,TRUE),1,7)</f>
        <v/>
      </c>
      <c r="AD986" s="9">
        <f>INDEX(LINEST(L727:L986,M727:T986,TRUE,TRUE),1,6)</f>
        <v/>
      </c>
      <c r="AE986" s="9">
        <f>INDEX(LINEST(L727:L986,M727:T986,TRUE,TRUE),1,5)</f>
        <v/>
      </c>
      <c r="AF986" s="9">
        <f>INDEX(LINEST(L727:L986,M727:T986,TRUE,TRUE),1,4)</f>
        <v/>
      </c>
      <c r="AG986" s="9">
        <f>INDEX(LINEST(L727:L986,M727:T986,TRUE,TRUE),1,3)</f>
        <v/>
      </c>
      <c r="AH986" s="9">
        <f>INDEX(LINEST(L727:L986,M727:T986,TRUE,TRUE),1,2)</f>
        <v/>
      </c>
      <c r="AI986" s="9">
        <f>INDEX(LINEST(L727:L986,M727:T986,TRUE,TRUE),1,1)</f>
        <v/>
      </c>
      <c r="AJ986" s="10">
        <f>INDEX(LINEST(L727:L986,M727:T986,TRUE,TRUE),3,1)</f>
        <v/>
      </c>
      <c r="AK986" s="9">
        <f>AA985/52+AB985*M986+AC985*N986+AD985*O986+AE985*P986+AF985*Q986+AG985*R986+AH985*S986+AI985*T986</f>
        <v/>
      </c>
      <c r="AL986" s="9">
        <f>AVERAGE(L726:L985)</f>
        <v/>
      </c>
    </row>
    <row r="987">
      <c r="A987" s="7" t="n">
        <v>44519</v>
      </c>
      <c r="B987" s="8" t="n">
        <v>1861.1</v>
      </c>
      <c r="C987" s="8" t="n">
        <v>2.65</v>
      </c>
      <c r="D987" s="8" t="n">
        <v>-1.11</v>
      </c>
      <c r="E987" s="8" t="n">
        <v>96.06999999999999</v>
      </c>
      <c r="F987" s="8" t="n">
        <v>76.11</v>
      </c>
      <c r="G987" s="8" t="n">
        <v>17.91</v>
      </c>
      <c r="H987" s="8" t="n">
        <v>73.389999</v>
      </c>
      <c r="I987" s="8" t="n">
        <v>4697.959961</v>
      </c>
      <c r="J987" s="8" t="n">
        <v>98.529686</v>
      </c>
      <c r="L987" s="9">
        <f>LN(B987/B986)</f>
        <v/>
      </c>
      <c r="M987" s="9">
        <f>$M$1*(C987-C986)</f>
        <v/>
      </c>
      <c r="N987" s="9">
        <f>$N$1*(D987-D986)</f>
        <v/>
      </c>
      <c r="O987" s="9">
        <f>$O$1*LN(E987/E986)</f>
        <v/>
      </c>
      <c r="P987" s="9">
        <f>$P$1*LN(F987/F986)</f>
        <v/>
      </c>
      <c r="Q987" s="9">
        <f>$Q$1*(G987-G986)</f>
        <v/>
      </c>
      <c r="R987" s="9">
        <f>$R$1*(H987-H986)</f>
        <v/>
      </c>
      <c r="S987" s="9">
        <f>$S$1*LN(I987/I986)</f>
        <v/>
      </c>
      <c r="T987" s="9">
        <f>$T$1*LN(J987/J986)</f>
        <v/>
      </c>
      <c r="U987" s="9">
        <f>$W$12+$W$4*M987+$W$5*N987+$W$6*O987+$W$7*P987+$W$8*Q987+$W$9*R987+$W$10*S987+$W$11*T987</f>
        <v/>
      </c>
      <c r="AA987" s="10">
        <f>INDEX(LINEST(L728:L987,M728:T987,TRUE,TRUE),1,9)*52</f>
        <v/>
      </c>
      <c r="AB987" s="9">
        <f>INDEX(LINEST(L728:L987,M728:T987,TRUE,TRUE),1,8)</f>
        <v/>
      </c>
      <c r="AC987" s="9">
        <f>INDEX(LINEST(L728:L987,M728:T987,TRUE,TRUE),1,7)</f>
        <v/>
      </c>
      <c r="AD987" s="9">
        <f>INDEX(LINEST(L728:L987,M728:T987,TRUE,TRUE),1,6)</f>
        <v/>
      </c>
      <c r="AE987" s="9">
        <f>INDEX(LINEST(L728:L987,M728:T987,TRUE,TRUE),1,5)</f>
        <v/>
      </c>
      <c r="AF987" s="9">
        <f>INDEX(LINEST(L728:L987,M728:T987,TRUE,TRUE),1,4)</f>
        <v/>
      </c>
      <c r="AG987" s="9">
        <f>INDEX(LINEST(L728:L987,M728:T987,TRUE,TRUE),1,3)</f>
        <v/>
      </c>
      <c r="AH987" s="9">
        <f>INDEX(LINEST(L728:L987,M728:T987,TRUE,TRUE),1,2)</f>
        <v/>
      </c>
      <c r="AI987" s="9">
        <f>INDEX(LINEST(L728:L987,M728:T987,TRUE,TRUE),1,1)</f>
        <v/>
      </c>
      <c r="AJ987" s="10">
        <f>INDEX(LINEST(L728:L987,M728:T987,TRUE,TRUE),3,1)</f>
        <v/>
      </c>
      <c r="AK987" s="9">
        <f>AA986/52+AB986*M987+AC986*N987+AD986*O987+AE986*P987+AF986*Q987+AG986*R987+AH986*S987+AI986*T987</f>
        <v/>
      </c>
      <c r="AL987" s="9">
        <f>AVERAGE(L727:L986)</f>
        <v/>
      </c>
    </row>
    <row r="988">
      <c r="A988" s="7" t="n">
        <v>44526</v>
      </c>
      <c r="B988" s="8" t="n">
        <v>1800.8</v>
      </c>
      <c r="C988" s="8" t="n">
        <v>2.55</v>
      </c>
      <c r="D988" s="8" t="n">
        <v>-1.07</v>
      </c>
      <c r="E988" s="8" t="n">
        <v>96.089996</v>
      </c>
      <c r="F988" s="8" t="n">
        <v>78.31999999999999</v>
      </c>
      <c r="G988" s="8" t="n">
        <v>28.62</v>
      </c>
      <c r="H988" s="8" t="n">
        <v>89.449997</v>
      </c>
      <c r="I988" s="8" t="n">
        <v>4594.620117</v>
      </c>
      <c r="J988" s="8" t="n">
        <v>98.589935</v>
      </c>
      <c r="L988" s="9">
        <f>LN(B988/B987)</f>
        <v/>
      </c>
      <c r="M988" s="9">
        <f>$M$1*(C988-C987)</f>
        <v/>
      </c>
      <c r="N988" s="9">
        <f>$N$1*(D988-D987)</f>
        <v/>
      </c>
      <c r="O988" s="9">
        <f>$O$1*LN(E988/E987)</f>
        <v/>
      </c>
      <c r="P988" s="9">
        <f>$P$1*LN(F988/F987)</f>
        <v/>
      </c>
      <c r="Q988" s="9">
        <f>$Q$1*(G988-G987)</f>
        <v/>
      </c>
      <c r="R988" s="9">
        <f>$R$1*(H988-H987)</f>
        <v/>
      </c>
      <c r="S988" s="9">
        <f>$S$1*LN(I988/I987)</f>
        <v/>
      </c>
      <c r="T988" s="9">
        <f>$T$1*LN(J988/J987)</f>
        <v/>
      </c>
      <c r="U988" s="9">
        <f>$W$12+$W$4*M988+$W$5*N988+$W$6*O988+$W$7*P988+$W$8*Q988+$W$9*R988+$W$10*S988+$W$11*T988</f>
        <v/>
      </c>
      <c r="AA988" s="10">
        <f>INDEX(LINEST(L729:L988,M729:T988,TRUE,TRUE),1,9)*52</f>
        <v/>
      </c>
      <c r="AB988" s="9">
        <f>INDEX(LINEST(L729:L988,M729:T988,TRUE,TRUE),1,8)</f>
        <v/>
      </c>
      <c r="AC988" s="9">
        <f>INDEX(LINEST(L729:L988,M729:T988,TRUE,TRUE),1,7)</f>
        <v/>
      </c>
      <c r="AD988" s="9">
        <f>INDEX(LINEST(L729:L988,M729:T988,TRUE,TRUE),1,6)</f>
        <v/>
      </c>
      <c r="AE988" s="9">
        <f>INDEX(LINEST(L729:L988,M729:T988,TRUE,TRUE),1,5)</f>
        <v/>
      </c>
      <c r="AF988" s="9">
        <f>INDEX(LINEST(L729:L988,M729:T988,TRUE,TRUE),1,4)</f>
        <v/>
      </c>
      <c r="AG988" s="9">
        <f>INDEX(LINEST(L729:L988,M729:T988,TRUE,TRUE),1,3)</f>
        <v/>
      </c>
      <c r="AH988" s="9">
        <f>INDEX(LINEST(L729:L988,M729:T988,TRUE,TRUE),1,2)</f>
        <v/>
      </c>
      <c r="AI988" s="9">
        <f>INDEX(LINEST(L729:L988,M729:T988,TRUE,TRUE),1,1)</f>
        <v/>
      </c>
      <c r="AJ988" s="10">
        <f>INDEX(LINEST(L729:L988,M729:T988,TRUE,TRUE),3,1)</f>
        <v/>
      </c>
      <c r="AK988" s="9">
        <f>AA987/52+AB987*M988+AC987*N988+AD987*O988+AE987*P988+AF987*Q988+AG987*R988+AH987*S988+AI987*T988</f>
        <v/>
      </c>
      <c r="AL988" s="9">
        <f>AVERAGE(L728:L987)</f>
        <v/>
      </c>
    </row>
    <row r="989">
      <c r="A989" s="7" t="n">
        <v>44533</v>
      </c>
      <c r="B989" s="8" t="n">
        <v>1767.55</v>
      </c>
      <c r="C989" s="8" t="n">
        <v>2.43</v>
      </c>
      <c r="D989" s="8" t="n">
        <v>-1.08</v>
      </c>
      <c r="E989" s="8" t="n">
        <v>96.120003</v>
      </c>
      <c r="F989" s="8" t="n">
        <v>66.39</v>
      </c>
      <c r="G989" s="8" t="n">
        <v>30.67</v>
      </c>
      <c r="H989" s="8" t="n">
        <v>79.139999</v>
      </c>
      <c r="I989" s="8" t="n">
        <v>4538.430176</v>
      </c>
      <c r="J989" s="8" t="n">
        <v>99.203468</v>
      </c>
      <c r="L989" s="9">
        <f>LN(B989/B988)</f>
        <v/>
      </c>
      <c r="M989" s="9">
        <f>$M$1*(C989-C988)</f>
        <v/>
      </c>
      <c r="N989" s="9">
        <f>$N$1*(D989-D988)</f>
        <v/>
      </c>
      <c r="O989" s="9">
        <f>$O$1*LN(E989/E988)</f>
        <v/>
      </c>
      <c r="P989" s="9">
        <f>$P$1*LN(F989/F988)</f>
        <v/>
      </c>
      <c r="Q989" s="9">
        <f>$Q$1*(G989-G988)</f>
        <v/>
      </c>
      <c r="R989" s="9">
        <f>$R$1*(H989-H988)</f>
        <v/>
      </c>
      <c r="S989" s="9">
        <f>$S$1*LN(I989/I988)</f>
        <v/>
      </c>
      <c r="T989" s="9">
        <f>$T$1*LN(J989/J988)</f>
        <v/>
      </c>
      <c r="U989" s="9">
        <f>$W$12+$W$4*M989+$W$5*N989+$W$6*O989+$W$7*P989+$W$8*Q989+$W$9*R989+$W$10*S989+$W$11*T989</f>
        <v/>
      </c>
      <c r="AA989" s="10">
        <f>INDEX(LINEST(L730:L989,M730:T989,TRUE,TRUE),1,9)*52</f>
        <v/>
      </c>
      <c r="AB989" s="9">
        <f>INDEX(LINEST(L730:L989,M730:T989,TRUE,TRUE),1,8)</f>
        <v/>
      </c>
      <c r="AC989" s="9">
        <f>INDEX(LINEST(L730:L989,M730:T989,TRUE,TRUE),1,7)</f>
        <v/>
      </c>
      <c r="AD989" s="9">
        <f>INDEX(LINEST(L730:L989,M730:T989,TRUE,TRUE),1,6)</f>
        <v/>
      </c>
      <c r="AE989" s="9">
        <f>INDEX(LINEST(L730:L989,M730:T989,TRUE,TRUE),1,5)</f>
        <v/>
      </c>
      <c r="AF989" s="9">
        <f>INDEX(LINEST(L730:L989,M730:T989,TRUE,TRUE),1,4)</f>
        <v/>
      </c>
      <c r="AG989" s="9">
        <f>INDEX(LINEST(L730:L989,M730:T989,TRUE,TRUE),1,3)</f>
        <v/>
      </c>
      <c r="AH989" s="9">
        <f>INDEX(LINEST(L730:L989,M730:T989,TRUE,TRUE),1,2)</f>
        <v/>
      </c>
      <c r="AI989" s="9">
        <f>INDEX(LINEST(L730:L989,M730:T989,TRUE,TRUE),1,1)</f>
        <v/>
      </c>
      <c r="AJ989" s="10">
        <f>INDEX(LINEST(L730:L989,M730:T989,TRUE,TRUE),3,1)</f>
        <v/>
      </c>
      <c r="AK989" s="9">
        <f>AA988/52+AB988*M989+AC988*N989+AD988*O989+AE988*P989+AF988*Q989+AG988*R989+AH988*S989+AI988*T989</f>
        <v/>
      </c>
      <c r="AL989" s="9">
        <f>AVERAGE(L729:L988)</f>
        <v/>
      </c>
    </row>
    <row r="990">
      <c r="A990" s="7" t="n">
        <v>44540</v>
      </c>
      <c r="B990" s="8" t="n">
        <v>1779.75</v>
      </c>
      <c r="C990" s="8" t="n">
        <v>2.44</v>
      </c>
      <c r="D990" s="8" t="n">
        <v>-0.96</v>
      </c>
      <c r="E990" s="8" t="n">
        <v>96.050003</v>
      </c>
      <c r="F990" s="8" t="n">
        <v>71.70999999999999</v>
      </c>
      <c r="G990" s="8" t="n">
        <v>18.69</v>
      </c>
      <c r="H990" s="8" t="n">
        <v>74.360001</v>
      </c>
      <c r="I990" s="8" t="n">
        <v>4712.02002</v>
      </c>
      <c r="J990" s="8" t="n">
        <v>98.479286</v>
      </c>
      <c r="L990" s="9">
        <f>LN(B990/B989)</f>
        <v/>
      </c>
      <c r="M990" s="9">
        <f>$M$1*(C990-C989)</f>
        <v/>
      </c>
      <c r="N990" s="9">
        <f>$N$1*(D990-D989)</f>
        <v/>
      </c>
      <c r="O990" s="9">
        <f>$O$1*LN(E990/E989)</f>
        <v/>
      </c>
      <c r="P990" s="9">
        <f>$P$1*LN(F990/F989)</f>
        <v/>
      </c>
      <c r="Q990" s="9">
        <f>$Q$1*(G990-G989)</f>
        <v/>
      </c>
      <c r="R990" s="9">
        <f>$R$1*(H990-H989)</f>
        <v/>
      </c>
      <c r="S990" s="9">
        <f>$S$1*LN(I990/I989)</f>
        <v/>
      </c>
      <c r="T990" s="9">
        <f>$T$1*LN(J990/J989)</f>
        <v/>
      </c>
      <c r="U990" s="9">
        <f>$W$12+$W$4*M990+$W$5*N990+$W$6*O990+$W$7*P990+$W$8*Q990+$W$9*R990+$W$10*S990+$W$11*T990</f>
        <v/>
      </c>
      <c r="AA990" s="10">
        <f>INDEX(LINEST(L731:L990,M731:T990,TRUE,TRUE),1,9)*52</f>
        <v/>
      </c>
      <c r="AB990" s="9">
        <f>INDEX(LINEST(L731:L990,M731:T990,TRUE,TRUE),1,8)</f>
        <v/>
      </c>
      <c r="AC990" s="9">
        <f>INDEX(LINEST(L731:L990,M731:T990,TRUE,TRUE),1,7)</f>
        <v/>
      </c>
      <c r="AD990" s="9">
        <f>INDEX(LINEST(L731:L990,M731:T990,TRUE,TRUE),1,6)</f>
        <v/>
      </c>
      <c r="AE990" s="9">
        <f>INDEX(LINEST(L731:L990,M731:T990,TRUE,TRUE),1,5)</f>
        <v/>
      </c>
      <c r="AF990" s="9">
        <f>INDEX(LINEST(L731:L990,M731:T990,TRUE,TRUE),1,4)</f>
        <v/>
      </c>
      <c r="AG990" s="9">
        <f>INDEX(LINEST(L731:L990,M731:T990,TRUE,TRUE),1,3)</f>
        <v/>
      </c>
      <c r="AH990" s="9">
        <f>INDEX(LINEST(L731:L990,M731:T990,TRUE,TRUE),1,2)</f>
        <v/>
      </c>
      <c r="AI990" s="9">
        <f>INDEX(LINEST(L731:L990,M731:T990,TRUE,TRUE),1,1)</f>
        <v/>
      </c>
      <c r="AJ990" s="10">
        <f>INDEX(LINEST(L731:L990,M731:T990,TRUE,TRUE),3,1)</f>
        <v/>
      </c>
      <c r="AK990" s="9">
        <f>AA989/52+AB989*M990+AC989*N990+AD989*O990+AE989*P990+AF989*Q990+AG989*R990+AH989*S990+AI989*T990</f>
        <v/>
      </c>
      <c r="AL990" s="9">
        <f>AVERAGE(L730:L989)</f>
        <v/>
      </c>
    </row>
    <row r="991">
      <c r="A991" s="7" t="n">
        <v>44547</v>
      </c>
      <c r="B991" s="8" t="n">
        <v>1807.7</v>
      </c>
      <c r="C991" s="8" t="n">
        <v>2.38</v>
      </c>
      <c r="D991" s="8" t="n">
        <v>-0.97</v>
      </c>
      <c r="E991" s="8" t="n">
        <v>96.56999999999999</v>
      </c>
      <c r="F991" s="8" t="n">
        <v>70.93000000000001</v>
      </c>
      <c r="G991" s="8" t="n">
        <v>21.57</v>
      </c>
      <c r="H991" s="8" t="n">
        <v>72.459999</v>
      </c>
      <c r="I991" s="8" t="n">
        <v>4620.640137</v>
      </c>
      <c r="J991" s="8" t="n">
        <v>98.81321</v>
      </c>
      <c r="L991" s="9">
        <f>LN(B991/B990)</f>
        <v/>
      </c>
      <c r="M991" s="9">
        <f>$M$1*(C991-C990)</f>
        <v/>
      </c>
      <c r="N991" s="9">
        <f>$N$1*(D991-D990)</f>
        <v/>
      </c>
      <c r="O991" s="9">
        <f>$O$1*LN(E991/E990)</f>
        <v/>
      </c>
      <c r="P991" s="9">
        <f>$P$1*LN(F991/F990)</f>
        <v/>
      </c>
      <c r="Q991" s="9">
        <f>$Q$1*(G991-G990)</f>
        <v/>
      </c>
      <c r="R991" s="9">
        <f>$R$1*(H991-H990)</f>
        <v/>
      </c>
      <c r="S991" s="9">
        <f>$S$1*LN(I991/I990)</f>
        <v/>
      </c>
      <c r="T991" s="9">
        <f>$T$1*LN(J991/J990)</f>
        <v/>
      </c>
      <c r="U991" s="9">
        <f>$W$12+$W$4*M991+$W$5*N991+$W$6*O991+$W$7*P991+$W$8*Q991+$W$9*R991+$W$10*S991+$W$11*T991</f>
        <v/>
      </c>
      <c r="AA991" s="10">
        <f>INDEX(LINEST(L732:L991,M732:T991,TRUE,TRUE),1,9)*52</f>
        <v/>
      </c>
      <c r="AB991" s="9">
        <f>INDEX(LINEST(L732:L991,M732:T991,TRUE,TRUE),1,8)</f>
        <v/>
      </c>
      <c r="AC991" s="9">
        <f>INDEX(LINEST(L732:L991,M732:T991,TRUE,TRUE),1,7)</f>
        <v/>
      </c>
      <c r="AD991" s="9">
        <f>INDEX(LINEST(L732:L991,M732:T991,TRUE,TRUE),1,6)</f>
        <v/>
      </c>
      <c r="AE991" s="9">
        <f>INDEX(LINEST(L732:L991,M732:T991,TRUE,TRUE),1,5)</f>
        <v/>
      </c>
      <c r="AF991" s="9">
        <f>INDEX(LINEST(L732:L991,M732:T991,TRUE,TRUE),1,4)</f>
        <v/>
      </c>
      <c r="AG991" s="9">
        <f>INDEX(LINEST(L732:L991,M732:T991,TRUE,TRUE),1,3)</f>
        <v/>
      </c>
      <c r="AH991" s="9">
        <f>INDEX(LINEST(L732:L991,M732:T991,TRUE,TRUE),1,2)</f>
        <v/>
      </c>
      <c r="AI991" s="9">
        <f>INDEX(LINEST(L732:L991,M732:T991,TRUE,TRUE),1,1)</f>
        <v/>
      </c>
      <c r="AJ991" s="10">
        <f>INDEX(LINEST(L732:L991,M732:T991,TRUE,TRUE),3,1)</f>
        <v/>
      </c>
      <c r="AK991" s="9">
        <f>AA990/52+AB990*M991+AC990*N991+AD990*O991+AE990*P991+AF990*Q991+AG990*R991+AH990*S991+AI990*T991</f>
        <v/>
      </c>
      <c r="AL991" s="9">
        <f>AVERAGE(L731:L990)</f>
        <v/>
      </c>
    </row>
    <row r="992">
      <c r="A992" s="7" t="n">
        <v>44554</v>
      </c>
      <c r="B992" s="8" t="n">
        <v>1805.2</v>
      </c>
      <c r="C992" s="8" t="n">
        <v>2.47</v>
      </c>
      <c r="D992" s="8" t="n">
        <v>-0.97</v>
      </c>
      <c r="E992" s="8" t="n">
        <v>96.019997</v>
      </c>
      <c r="F992" s="8" t="n">
        <v>73.89</v>
      </c>
      <c r="G992" s="8" t="n">
        <v>17.96</v>
      </c>
      <c r="H992" s="8" t="n">
        <v>77.290001</v>
      </c>
      <c r="I992" s="8" t="n">
        <v>4725.790039</v>
      </c>
      <c r="J992" s="8" t="n">
        <v>98.554298</v>
      </c>
      <c r="L992" s="9">
        <f>LN(B992/B991)</f>
        <v/>
      </c>
      <c r="M992" s="9">
        <f>$M$1*(C992-C991)</f>
        <v/>
      </c>
      <c r="N992" s="9">
        <f>$N$1*(D992-D991)</f>
        <v/>
      </c>
      <c r="O992" s="9">
        <f>$O$1*LN(E992/E991)</f>
        <v/>
      </c>
      <c r="P992" s="9">
        <f>$P$1*LN(F992/F991)</f>
        <v/>
      </c>
      <c r="Q992" s="9">
        <f>$Q$1*(G992-G991)</f>
        <v/>
      </c>
      <c r="R992" s="9">
        <f>$R$1*(H992-H991)</f>
        <v/>
      </c>
      <c r="S992" s="9">
        <f>$S$1*LN(I992/I991)</f>
        <v/>
      </c>
      <c r="T992" s="9">
        <f>$T$1*LN(J992/J991)</f>
        <v/>
      </c>
      <c r="U992" s="9">
        <f>$W$12+$W$4*M992+$W$5*N992+$W$6*O992+$W$7*P992+$W$8*Q992+$W$9*R992+$W$10*S992+$W$11*T992</f>
        <v/>
      </c>
      <c r="AA992" s="10">
        <f>INDEX(LINEST(L733:L992,M733:T992,TRUE,TRUE),1,9)*52</f>
        <v/>
      </c>
      <c r="AB992" s="9">
        <f>INDEX(LINEST(L733:L992,M733:T992,TRUE,TRUE),1,8)</f>
        <v/>
      </c>
      <c r="AC992" s="9">
        <f>INDEX(LINEST(L733:L992,M733:T992,TRUE,TRUE),1,7)</f>
        <v/>
      </c>
      <c r="AD992" s="9">
        <f>INDEX(LINEST(L733:L992,M733:T992,TRUE,TRUE),1,6)</f>
        <v/>
      </c>
      <c r="AE992" s="9">
        <f>INDEX(LINEST(L733:L992,M733:T992,TRUE,TRUE),1,5)</f>
        <v/>
      </c>
      <c r="AF992" s="9">
        <f>INDEX(LINEST(L733:L992,M733:T992,TRUE,TRUE),1,4)</f>
        <v/>
      </c>
      <c r="AG992" s="9">
        <f>INDEX(LINEST(L733:L992,M733:T992,TRUE,TRUE),1,3)</f>
        <v/>
      </c>
      <c r="AH992" s="9">
        <f>INDEX(LINEST(L733:L992,M733:T992,TRUE,TRUE),1,2)</f>
        <v/>
      </c>
      <c r="AI992" s="9">
        <f>INDEX(LINEST(L733:L992,M733:T992,TRUE,TRUE),1,1)</f>
        <v/>
      </c>
      <c r="AJ992" s="10">
        <f>INDEX(LINEST(L733:L992,M733:T992,TRUE,TRUE),3,1)</f>
        <v/>
      </c>
      <c r="AK992" s="9">
        <f>AA991/52+AB991*M992+AC991*N992+AD991*O992+AE991*P992+AF991*Q992+AG991*R992+AH991*S992+AI991*T992</f>
        <v/>
      </c>
      <c r="AL992" s="9">
        <f>AVERAGE(L732:L991)</f>
        <v/>
      </c>
    </row>
    <row r="993">
      <c r="A993" s="7" t="n">
        <v>44561</v>
      </c>
      <c r="B993" s="8" t="n">
        <v>1805.85</v>
      </c>
      <c r="C993" s="8" t="n">
        <v>2.56</v>
      </c>
      <c r="D993" s="8" t="n">
        <v>-1.04</v>
      </c>
      <c r="E993" s="8" t="n">
        <v>95.66999800000001</v>
      </c>
      <c r="F993" s="8" t="n">
        <v>75.33</v>
      </c>
      <c r="G993" s="8" t="n">
        <v>17.22</v>
      </c>
      <c r="H993" s="8" t="n">
        <v>77.099998</v>
      </c>
      <c r="I993" s="8" t="n">
        <v>4766.180176</v>
      </c>
      <c r="J993" s="8" t="n">
        <v>98.450729</v>
      </c>
      <c r="L993" s="9">
        <f>LN(B993/B992)</f>
        <v/>
      </c>
      <c r="M993" s="9">
        <f>$M$1*(C993-C992)</f>
        <v/>
      </c>
      <c r="N993" s="9">
        <f>$N$1*(D993-D992)</f>
        <v/>
      </c>
      <c r="O993" s="9">
        <f>$O$1*LN(E993/E992)</f>
        <v/>
      </c>
      <c r="P993" s="9">
        <f>$P$1*LN(F993/F992)</f>
        <v/>
      </c>
      <c r="Q993" s="9">
        <f>$Q$1*(G993-G992)</f>
        <v/>
      </c>
      <c r="R993" s="9">
        <f>$R$1*(H993-H992)</f>
        <v/>
      </c>
      <c r="S993" s="9">
        <f>$S$1*LN(I993/I992)</f>
        <v/>
      </c>
      <c r="T993" s="9">
        <f>$T$1*LN(J993/J992)</f>
        <v/>
      </c>
      <c r="U993" s="9">
        <f>$W$12+$W$4*M993+$W$5*N993+$W$6*O993+$W$7*P993+$W$8*Q993+$W$9*R993+$W$10*S993+$W$11*T993</f>
        <v/>
      </c>
      <c r="AA993" s="10">
        <f>INDEX(LINEST(L734:L993,M734:T993,TRUE,TRUE),1,9)*52</f>
        <v/>
      </c>
      <c r="AB993" s="9">
        <f>INDEX(LINEST(L734:L993,M734:T993,TRUE,TRUE),1,8)</f>
        <v/>
      </c>
      <c r="AC993" s="9">
        <f>INDEX(LINEST(L734:L993,M734:T993,TRUE,TRUE),1,7)</f>
        <v/>
      </c>
      <c r="AD993" s="9">
        <f>INDEX(LINEST(L734:L993,M734:T993,TRUE,TRUE),1,6)</f>
        <v/>
      </c>
      <c r="AE993" s="9">
        <f>INDEX(LINEST(L734:L993,M734:T993,TRUE,TRUE),1,5)</f>
        <v/>
      </c>
      <c r="AF993" s="9">
        <f>INDEX(LINEST(L734:L993,M734:T993,TRUE,TRUE),1,4)</f>
        <v/>
      </c>
      <c r="AG993" s="9">
        <f>INDEX(LINEST(L734:L993,M734:T993,TRUE,TRUE),1,3)</f>
        <v/>
      </c>
      <c r="AH993" s="9">
        <f>INDEX(LINEST(L734:L993,M734:T993,TRUE,TRUE),1,2)</f>
        <v/>
      </c>
      <c r="AI993" s="9">
        <f>INDEX(LINEST(L734:L993,M734:T993,TRUE,TRUE),1,1)</f>
        <v/>
      </c>
      <c r="AJ993" s="10">
        <f>INDEX(LINEST(L734:L993,M734:T993,TRUE,TRUE),3,1)</f>
        <v/>
      </c>
      <c r="AK993" s="9">
        <f>AA992/52+AB992*M993+AC992*N993+AD992*O993+AE992*P993+AF992*Q993+AG992*R993+AH992*S993+AI992*T993</f>
        <v/>
      </c>
      <c r="AL993" s="9">
        <f>AVERAGE(L733:L992)</f>
        <v/>
      </c>
    </row>
    <row r="994">
      <c r="A994" s="7" t="n">
        <v>44568</v>
      </c>
      <c r="B994" s="8" t="n">
        <v>1792.6</v>
      </c>
      <c r="C994" s="8" t="n">
        <v>2.48</v>
      </c>
      <c r="D994" s="8" t="n">
        <v>-0.72</v>
      </c>
      <c r="E994" s="8" t="n">
        <v>95.739998</v>
      </c>
      <c r="F994" s="8" t="n">
        <v>79</v>
      </c>
      <c r="G994" s="8" t="n">
        <v>18.76</v>
      </c>
      <c r="H994" s="8" t="n">
        <v>74.69000200000001</v>
      </c>
      <c r="I994" s="8" t="n">
        <v>4677.029785</v>
      </c>
      <c r="J994" s="8" t="n">
        <v>97.078552</v>
      </c>
      <c r="L994" s="9">
        <f>LN(B994/B993)</f>
        <v/>
      </c>
      <c r="M994" s="9">
        <f>$M$1*(C994-C993)</f>
        <v/>
      </c>
      <c r="N994" s="9">
        <f>$N$1*(D994-D993)</f>
        <v/>
      </c>
      <c r="O994" s="9">
        <f>$O$1*LN(E994/E993)</f>
        <v/>
      </c>
      <c r="P994" s="9">
        <f>$P$1*LN(F994/F993)</f>
        <v/>
      </c>
      <c r="Q994" s="9">
        <f>$Q$1*(G994-G993)</f>
        <v/>
      </c>
      <c r="R994" s="9">
        <f>$R$1*(H994-H993)</f>
        <v/>
      </c>
      <c r="S994" s="9">
        <f>$S$1*LN(I994/I993)</f>
        <v/>
      </c>
      <c r="T994" s="9">
        <f>$T$1*LN(J994/J993)</f>
        <v/>
      </c>
      <c r="U994" s="9">
        <f>$W$12+$W$4*M994+$W$5*N994+$W$6*O994+$W$7*P994+$W$8*Q994+$W$9*R994+$W$10*S994+$W$11*T994</f>
        <v/>
      </c>
      <c r="AA994" s="10">
        <f>INDEX(LINEST(L735:L994,M735:T994,TRUE,TRUE),1,9)*52</f>
        <v/>
      </c>
      <c r="AB994" s="9">
        <f>INDEX(LINEST(L735:L994,M735:T994,TRUE,TRUE),1,8)</f>
        <v/>
      </c>
      <c r="AC994" s="9">
        <f>INDEX(LINEST(L735:L994,M735:T994,TRUE,TRUE),1,7)</f>
        <v/>
      </c>
      <c r="AD994" s="9">
        <f>INDEX(LINEST(L735:L994,M735:T994,TRUE,TRUE),1,6)</f>
        <v/>
      </c>
      <c r="AE994" s="9">
        <f>INDEX(LINEST(L735:L994,M735:T994,TRUE,TRUE),1,5)</f>
        <v/>
      </c>
      <c r="AF994" s="9">
        <f>INDEX(LINEST(L735:L994,M735:T994,TRUE,TRUE),1,4)</f>
        <v/>
      </c>
      <c r="AG994" s="9">
        <f>INDEX(LINEST(L735:L994,M735:T994,TRUE,TRUE),1,3)</f>
        <v/>
      </c>
      <c r="AH994" s="9">
        <f>INDEX(LINEST(L735:L994,M735:T994,TRUE,TRUE),1,2)</f>
        <v/>
      </c>
      <c r="AI994" s="9">
        <f>INDEX(LINEST(L735:L994,M735:T994,TRUE,TRUE),1,1)</f>
        <v/>
      </c>
      <c r="AJ994" s="10">
        <f>INDEX(LINEST(L735:L994,M735:T994,TRUE,TRUE),3,1)</f>
        <v/>
      </c>
      <c r="AK994" s="9">
        <f>AA993/52+AB993*M994+AC993*N994+AD993*O994+AE993*P994+AF993*Q994+AG993*R994+AH993*S994+AI993*T994</f>
        <v/>
      </c>
      <c r="AL994" s="9">
        <f>AVERAGE(L734:L993)</f>
        <v/>
      </c>
    </row>
    <row r="995">
      <c r="A995" s="7" t="n">
        <v>44575</v>
      </c>
      <c r="B995" s="8" t="n">
        <v>1822.95</v>
      </c>
      <c r="C995" s="8" t="n">
        <v>2.44</v>
      </c>
      <c r="D995" s="8" t="n">
        <v>-0.66</v>
      </c>
      <c r="E995" s="8" t="n">
        <v>95.16999800000001</v>
      </c>
      <c r="F995" s="8" t="n">
        <v>83.81999999999999</v>
      </c>
      <c r="G995" s="8" t="n">
        <v>19.19</v>
      </c>
      <c r="H995" s="8" t="n">
        <v>76.589996</v>
      </c>
      <c r="I995" s="8" t="n">
        <v>4662.850098</v>
      </c>
      <c r="J995" s="8" t="n">
        <v>96.80239899999999</v>
      </c>
      <c r="L995" s="9">
        <f>LN(B995/B994)</f>
        <v/>
      </c>
      <c r="M995" s="9">
        <f>$M$1*(C995-C994)</f>
        <v/>
      </c>
      <c r="N995" s="9">
        <f>$N$1*(D995-D994)</f>
        <v/>
      </c>
      <c r="O995" s="9">
        <f>$O$1*LN(E995/E994)</f>
        <v/>
      </c>
      <c r="P995" s="9">
        <f>$P$1*LN(F995/F994)</f>
        <v/>
      </c>
      <c r="Q995" s="9">
        <f>$Q$1*(G995-G994)</f>
        <v/>
      </c>
      <c r="R995" s="9">
        <f>$R$1*(H995-H994)</f>
        <v/>
      </c>
      <c r="S995" s="9">
        <f>$S$1*LN(I995/I994)</f>
        <v/>
      </c>
      <c r="T995" s="9">
        <f>$T$1*LN(J995/J994)</f>
        <v/>
      </c>
      <c r="U995" s="9">
        <f>$W$12+$W$4*M995+$W$5*N995+$W$6*O995+$W$7*P995+$W$8*Q995+$W$9*R995+$W$10*S995+$W$11*T995</f>
        <v/>
      </c>
      <c r="AA995" s="10">
        <f>INDEX(LINEST(L736:L995,M736:T995,TRUE,TRUE),1,9)*52</f>
        <v/>
      </c>
      <c r="AB995" s="9">
        <f>INDEX(LINEST(L736:L995,M736:T995,TRUE,TRUE),1,8)</f>
        <v/>
      </c>
      <c r="AC995" s="9">
        <f>INDEX(LINEST(L736:L995,M736:T995,TRUE,TRUE),1,7)</f>
        <v/>
      </c>
      <c r="AD995" s="9">
        <f>INDEX(LINEST(L736:L995,M736:T995,TRUE,TRUE),1,6)</f>
        <v/>
      </c>
      <c r="AE995" s="9">
        <f>INDEX(LINEST(L736:L995,M736:T995,TRUE,TRUE),1,5)</f>
        <v/>
      </c>
      <c r="AF995" s="9">
        <f>INDEX(LINEST(L736:L995,M736:T995,TRUE,TRUE),1,4)</f>
        <v/>
      </c>
      <c r="AG995" s="9">
        <f>INDEX(LINEST(L736:L995,M736:T995,TRUE,TRUE),1,3)</f>
        <v/>
      </c>
      <c r="AH995" s="9">
        <f>INDEX(LINEST(L736:L995,M736:T995,TRUE,TRUE),1,2)</f>
        <v/>
      </c>
      <c r="AI995" s="9">
        <f>INDEX(LINEST(L736:L995,M736:T995,TRUE,TRUE),1,1)</f>
        <v/>
      </c>
      <c r="AJ995" s="10">
        <f>INDEX(LINEST(L736:L995,M736:T995,TRUE,TRUE),3,1)</f>
        <v/>
      </c>
      <c r="AK995" s="9">
        <f>AA994/52+AB994*M995+AC994*N995+AD994*O995+AE994*P995+AF994*Q995+AG994*R995+AH994*S995+AI994*T995</f>
        <v/>
      </c>
      <c r="AL995" s="9">
        <f>AVERAGE(L735:L994)</f>
        <v/>
      </c>
    </row>
    <row r="996">
      <c r="A996" s="7" t="n">
        <v>44582</v>
      </c>
      <c r="B996" s="8" t="n">
        <v>1837.6</v>
      </c>
      <c r="C996" s="8" t="n">
        <v>2.34</v>
      </c>
      <c r="D996" s="8" t="n">
        <v>-0.59</v>
      </c>
      <c r="E996" s="8" t="n">
        <v>95.639999</v>
      </c>
      <c r="F996" s="8" t="n">
        <v>85.16</v>
      </c>
      <c r="G996" s="8" t="n">
        <v>28.85</v>
      </c>
      <c r="H996" s="8" t="n">
        <v>81.029999</v>
      </c>
      <c r="I996" s="8" t="n">
        <v>4397.939941</v>
      </c>
      <c r="J996" s="8" t="n">
        <v>96.854179</v>
      </c>
      <c r="L996" s="9">
        <f>LN(B996/B995)</f>
        <v/>
      </c>
      <c r="M996" s="9">
        <f>$M$1*(C996-C995)</f>
        <v/>
      </c>
      <c r="N996" s="9">
        <f>$N$1*(D996-D995)</f>
        <v/>
      </c>
      <c r="O996" s="9">
        <f>$O$1*LN(E996/E995)</f>
        <v/>
      </c>
      <c r="P996" s="9">
        <f>$P$1*LN(F996/F995)</f>
        <v/>
      </c>
      <c r="Q996" s="9">
        <f>$Q$1*(G996-G995)</f>
        <v/>
      </c>
      <c r="R996" s="9">
        <f>$R$1*(H996-H995)</f>
        <v/>
      </c>
      <c r="S996" s="9">
        <f>$S$1*LN(I996/I995)</f>
        <v/>
      </c>
      <c r="T996" s="9">
        <f>$T$1*LN(J996/J995)</f>
        <v/>
      </c>
      <c r="U996" s="9">
        <f>$W$12+$W$4*M996+$W$5*N996+$W$6*O996+$W$7*P996+$W$8*Q996+$W$9*R996+$W$10*S996+$W$11*T996</f>
        <v/>
      </c>
      <c r="AA996" s="10">
        <f>INDEX(LINEST(L737:L996,M737:T996,TRUE,TRUE),1,9)*52</f>
        <v/>
      </c>
      <c r="AB996" s="9">
        <f>INDEX(LINEST(L737:L996,M737:T996,TRUE,TRUE),1,8)</f>
        <v/>
      </c>
      <c r="AC996" s="9">
        <f>INDEX(LINEST(L737:L996,M737:T996,TRUE,TRUE),1,7)</f>
        <v/>
      </c>
      <c r="AD996" s="9">
        <f>INDEX(LINEST(L737:L996,M737:T996,TRUE,TRUE),1,6)</f>
        <v/>
      </c>
      <c r="AE996" s="9">
        <f>INDEX(LINEST(L737:L996,M737:T996,TRUE,TRUE),1,5)</f>
        <v/>
      </c>
      <c r="AF996" s="9">
        <f>INDEX(LINEST(L737:L996,M737:T996,TRUE,TRUE),1,4)</f>
        <v/>
      </c>
      <c r="AG996" s="9">
        <f>INDEX(LINEST(L737:L996,M737:T996,TRUE,TRUE),1,3)</f>
        <v/>
      </c>
      <c r="AH996" s="9">
        <f>INDEX(LINEST(L737:L996,M737:T996,TRUE,TRUE),1,2)</f>
        <v/>
      </c>
      <c r="AI996" s="9">
        <f>INDEX(LINEST(L737:L996,M737:T996,TRUE,TRUE),1,1)</f>
        <v/>
      </c>
      <c r="AJ996" s="10">
        <f>INDEX(LINEST(L737:L996,M737:T996,TRUE,TRUE),3,1)</f>
        <v/>
      </c>
      <c r="AK996" s="9">
        <f>AA995/52+AB995*M996+AC995*N996+AD995*O996+AE995*P996+AF995*Q996+AG995*R996+AH995*S996+AI995*T996</f>
        <v/>
      </c>
      <c r="AL996" s="9">
        <f>AVERAGE(L736:L995)</f>
        <v/>
      </c>
    </row>
    <row r="997">
      <c r="A997" s="7" t="n">
        <v>44589</v>
      </c>
      <c r="B997" s="8" t="n">
        <v>1788.15</v>
      </c>
      <c r="C997" s="8" t="n">
        <v>2.44</v>
      </c>
      <c r="D997" s="8" t="n">
        <v>-0.66</v>
      </c>
      <c r="E997" s="8" t="n">
        <v>97.269997</v>
      </c>
      <c r="F997" s="8" t="n">
        <v>87.67</v>
      </c>
      <c r="G997" s="8" t="n">
        <v>27.66</v>
      </c>
      <c r="H997" s="8" t="n">
        <v>85.290001</v>
      </c>
      <c r="I997" s="8" t="n">
        <v>4431.850098</v>
      </c>
      <c r="J997" s="8" t="n">
        <v>96.49173</v>
      </c>
      <c r="L997" s="9">
        <f>LN(B997/B996)</f>
        <v/>
      </c>
      <c r="M997" s="9">
        <f>$M$1*(C997-C996)</f>
        <v/>
      </c>
      <c r="N997" s="9">
        <f>$N$1*(D997-D996)</f>
        <v/>
      </c>
      <c r="O997" s="9">
        <f>$O$1*LN(E997/E996)</f>
        <v/>
      </c>
      <c r="P997" s="9">
        <f>$P$1*LN(F997/F996)</f>
        <v/>
      </c>
      <c r="Q997" s="9">
        <f>$Q$1*(G997-G996)</f>
        <v/>
      </c>
      <c r="R997" s="9">
        <f>$R$1*(H997-H996)</f>
        <v/>
      </c>
      <c r="S997" s="9">
        <f>$S$1*LN(I997/I996)</f>
        <v/>
      </c>
      <c r="T997" s="9">
        <f>$T$1*LN(J997/J996)</f>
        <v/>
      </c>
      <c r="U997" s="9">
        <f>$W$12+$W$4*M997+$W$5*N997+$W$6*O997+$W$7*P997+$W$8*Q997+$W$9*R997+$W$10*S997+$W$11*T997</f>
        <v/>
      </c>
      <c r="AA997" s="10">
        <f>INDEX(LINEST(L738:L997,M738:T997,TRUE,TRUE),1,9)*52</f>
        <v/>
      </c>
      <c r="AB997" s="9">
        <f>INDEX(LINEST(L738:L997,M738:T997,TRUE,TRUE),1,8)</f>
        <v/>
      </c>
      <c r="AC997" s="9">
        <f>INDEX(LINEST(L738:L997,M738:T997,TRUE,TRUE),1,7)</f>
        <v/>
      </c>
      <c r="AD997" s="9">
        <f>INDEX(LINEST(L738:L997,M738:T997,TRUE,TRUE),1,6)</f>
        <v/>
      </c>
      <c r="AE997" s="9">
        <f>INDEX(LINEST(L738:L997,M738:T997,TRUE,TRUE),1,5)</f>
        <v/>
      </c>
      <c r="AF997" s="9">
        <f>INDEX(LINEST(L738:L997,M738:T997,TRUE,TRUE),1,4)</f>
        <v/>
      </c>
      <c r="AG997" s="9">
        <f>INDEX(LINEST(L738:L997,M738:T997,TRUE,TRUE),1,3)</f>
        <v/>
      </c>
      <c r="AH997" s="9">
        <f>INDEX(LINEST(L738:L997,M738:T997,TRUE,TRUE),1,2)</f>
        <v/>
      </c>
      <c r="AI997" s="9">
        <f>INDEX(LINEST(L738:L997,M738:T997,TRUE,TRUE),1,1)</f>
        <v/>
      </c>
      <c r="AJ997" s="10">
        <f>INDEX(LINEST(L738:L997,M738:T997,TRUE,TRUE),3,1)</f>
        <v/>
      </c>
      <c r="AK997" s="9">
        <f>AA996/52+AB996*M997+AC996*N997+AD996*O997+AE996*P997+AF996*Q997+AG996*R997+AH996*S997+AI996*T997</f>
        <v/>
      </c>
      <c r="AL997" s="9">
        <f>AVERAGE(L737:L996)</f>
        <v/>
      </c>
    </row>
    <row r="998">
      <c r="A998" s="7" t="n">
        <v>44596</v>
      </c>
      <c r="B998" s="8" t="n">
        <v>1804.7</v>
      </c>
      <c r="C998" s="8" t="n">
        <v>2.41</v>
      </c>
      <c r="D998" s="8" t="n">
        <v>-0.48</v>
      </c>
      <c r="E998" s="8" t="n">
        <v>95.480003</v>
      </c>
      <c r="F998" s="8" t="n">
        <v>92.27</v>
      </c>
      <c r="G998" s="8" t="n">
        <v>23.22</v>
      </c>
      <c r="H998" s="8" t="n">
        <v>87.68000000000001</v>
      </c>
      <c r="I998" s="8" t="n">
        <v>4500.529785</v>
      </c>
      <c r="J998" s="8" t="n">
        <v>95.55920399999999</v>
      </c>
      <c r="L998" s="9">
        <f>LN(B998/B997)</f>
        <v/>
      </c>
      <c r="M998" s="9">
        <f>$M$1*(C998-C997)</f>
        <v/>
      </c>
      <c r="N998" s="9">
        <f>$N$1*(D998-D997)</f>
        <v/>
      </c>
      <c r="O998" s="9">
        <f>$O$1*LN(E998/E997)</f>
        <v/>
      </c>
      <c r="P998" s="9">
        <f>$P$1*LN(F998/F997)</f>
        <v/>
      </c>
      <c r="Q998" s="9">
        <f>$Q$1*(G998-G997)</f>
        <v/>
      </c>
      <c r="R998" s="9">
        <f>$R$1*(H998-H997)</f>
        <v/>
      </c>
      <c r="S998" s="9">
        <f>$S$1*LN(I998/I997)</f>
        <v/>
      </c>
      <c r="T998" s="9">
        <f>$T$1*LN(J998/J997)</f>
        <v/>
      </c>
      <c r="U998" s="9">
        <f>$W$12+$W$4*M998+$W$5*N998+$W$6*O998+$W$7*P998+$W$8*Q998+$W$9*R998+$W$10*S998+$W$11*T998</f>
        <v/>
      </c>
      <c r="AA998" s="10">
        <f>INDEX(LINEST(L739:L998,M739:T998,TRUE,TRUE),1,9)*52</f>
        <v/>
      </c>
      <c r="AB998" s="9">
        <f>INDEX(LINEST(L739:L998,M739:T998,TRUE,TRUE),1,8)</f>
        <v/>
      </c>
      <c r="AC998" s="9">
        <f>INDEX(LINEST(L739:L998,M739:T998,TRUE,TRUE),1,7)</f>
        <v/>
      </c>
      <c r="AD998" s="9">
        <f>INDEX(LINEST(L739:L998,M739:T998,TRUE,TRUE),1,6)</f>
        <v/>
      </c>
      <c r="AE998" s="9">
        <f>INDEX(LINEST(L739:L998,M739:T998,TRUE,TRUE),1,5)</f>
        <v/>
      </c>
      <c r="AF998" s="9">
        <f>INDEX(LINEST(L739:L998,M739:T998,TRUE,TRUE),1,4)</f>
        <v/>
      </c>
      <c r="AG998" s="9">
        <f>INDEX(LINEST(L739:L998,M739:T998,TRUE,TRUE),1,3)</f>
        <v/>
      </c>
      <c r="AH998" s="9">
        <f>INDEX(LINEST(L739:L998,M739:T998,TRUE,TRUE),1,2)</f>
        <v/>
      </c>
      <c r="AI998" s="9">
        <f>INDEX(LINEST(L739:L998,M739:T998,TRUE,TRUE),1,1)</f>
        <v/>
      </c>
      <c r="AJ998" s="10">
        <f>INDEX(LINEST(L739:L998,M739:T998,TRUE,TRUE),3,1)</f>
        <v/>
      </c>
      <c r="AK998" s="9">
        <f>AA997/52+AB997*M998+AC997*N998+AD997*O998+AE997*P998+AF997*Q998+AG997*R998+AH997*S998+AI997*T998</f>
        <v/>
      </c>
      <c r="AL998" s="9">
        <f>AVERAGE(L738:L997)</f>
        <v/>
      </c>
    </row>
    <row r="999">
      <c r="A999" s="7" t="n">
        <v>44603</v>
      </c>
      <c r="B999" s="8" t="n">
        <v>1831.15</v>
      </c>
      <c r="C999" s="8" t="n">
        <v>2.43</v>
      </c>
      <c r="D999" s="8" t="n">
        <v>-0.51</v>
      </c>
      <c r="E999" s="8" t="n">
        <v>96.08000199999999</v>
      </c>
      <c r="F999" s="8" t="n">
        <v>93.09999999999999</v>
      </c>
      <c r="G999" s="8" t="n">
        <v>27.36</v>
      </c>
      <c r="H999" s="8" t="n">
        <v>94.029999</v>
      </c>
      <c r="I999" s="8" t="n">
        <v>4418.640137</v>
      </c>
      <c r="J999" s="8" t="n">
        <v>95.153023</v>
      </c>
      <c r="L999" s="9">
        <f>LN(B999/B998)</f>
        <v/>
      </c>
      <c r="M999" s="9">
        <f>$M$1*(C999-C998)</f>
        <v/>
      </c>
      <c r="N999" s="9">
        <f>$N$1*(D999-D998)</f>
        <v/>
      </c>
      <c r="O999" s="9">
        <f>$O$1*LN(E999/E998)</f>
        <v/>
      </c>
      <c r="P999" s="9">
        <f>$P$1*LN(F999/F998)</f>
        <v/>
      </c>
      <c r="Q999" s="9">
        <f>$Q$1*(G999-G998)</f>
        <v/>
      </c>
      <c r="R999" s="9">
        <f>$R$1*(H999-H998)</f>
        <v/>
      </c>
      <c r="S999" s="9">
        <f>$S$1*LN(I999/I998)</f>
        <v/>
      </c>
      <c r="T999" s="9">
        <f>$T$1*LN(J999/J998)</f>
        <v/>
      </c>
      <c r="U999" s="9">
        <f>$W$12+$W$4*M999+$W$5*N999+$W$6*O999+$W$7*P999+$W$8*Q999+$W$9*R999+$W$10*S999+$W$11*T999</f>
        <v/>
      </c>
      <c r="AA999" s="10">
        <f>INDEX(LINEST(L740:L999,M740:T999,TRUE,TRUE),1,9)*52</f>
        <v/>
      </c>
      <c r="AB999" s="9">
        <f>INDEX(LINEST(L740:L999,M740:T999,TRUE,TRUE),1,8)</f>
        <v/>
      </c>
      <c r="AC999" s="9">
        <f>INDEX(LINEST(L740:L999,M740:T999,TRUE,TRUE),1,7)</f>
        <v/>
      </c>
      <c r="AD999" s="9">
        <f>INDEX(LINEST(L740:L999,M740:T999,TRUE,TRUE),1,6)</f>
        <v/>
      </c>
      <c r="AE999" s="9">
        <f>INDEX(LINEST(L740:L999,M740:T999,TRUE,TRUE),1,5)</f>
        <v/>
      </c>
      <c r="AF999" s="9">
        <f>INDEX(LINEST(L740:L999,M740:T999,TRUE,TRUE),1,4)</f>
        <v/>
      </c>
      <c r="AG999" s="9">
        <f>INDEX(LINEST(L740:L999,M740:T999,TRUE,TRUE),1,3)</f>
        <v/>
      </c>
      <c r="AH999" s="9">
        <f>INDEX(LINEST(L740:L999,M740:T999,TRUE,TRUE),1,2)</f>
        <v/>
      </c>
      <c r="AI999" s="9">
        <f>INDEX(LINEST(L740:L999,M740:T999,TRUE,TRUE),1,1)</f>
        <v/>
      </c>
      <c r="AJ999" s="10">
        <f>INDEX(LINEST(L740:L999,M740:T999,TRUE,TRUE),3,1)</f>
        <v/>
      </c>
      <c r="AK999" s="9">
        <f>AA998/52+AB998*M999+AC998*N999+AD998*O999+AE998*P999+AF998*Q999+AG998*R999+AH998*S999+AI998*T999</f>
        <v/>
      </c>
      <c r="AL999" s="9">
        <f>AVERAGE(L739:L998)</f>
        <v/>
      </c>
    </row>
    <row r="1000">
      <c r="A1000" s="7" t="n">
        <v>44610</v>
      </c>
      <c r="B1000" s="8" t="n">
        <v>1893.6</v>
      </c>
      <c r="C1000" s="8" t="n">
        <v>2.41</v>
      </c>
      <c r="D1000" s="8" t="n">
        <v>-0.49</v>
      </c>
      <c r="E1000" s="8" t="n">
        <v>96.040001</v>
      </c>
      <c r="F1000" s="8" t="n">
        <v>91.26000000000001</v>
      </c>
      <c r="G1000" s="8" t="n">
        <v>27.75</v>
      </c>
      <c r="H1000" s="8" t="n">
        <v>94.360001</v>
      </c>
      <c r="I1000" s="8" t="n">
        <v>4348.870117</v>
      </c>
      <c r="J1000" s="8" t="n">
        <v>94.954277</v>
      </c>
      <c r="L1000" s="9">
        <f>LN(B1000/B999)</f>
        <v/>
      </c>
      <c r="M1000" s="9">
        <f>$M$1*(C1000-C999)</f>
        <v/>
      </c>
      <c r="N1000" s="9">
        <f>$N$1*(D1000-D999)</f>
        <v/>
      </c>
      <c r="O1000" s="9">
        <f>$O$1*LN(E1000/E999)</f>
        <v/>
      </c>
      <c r="P1000" s="9">
        <f>$P$1*LN(F1000/F999)</f>
        <v/>
      </c>
      <c r="Q1000" s="9">
        <f>$Q$1*(G1000-G999)</f>
        <v/>
      </c>
      <c r="R1000" s="9">
        <f>$R$1*(H1000-H999)</f>
        <v/>
      </c>
      <c r="S1000" s="9">
        <f>$S$1*LN(I1000/I999)</f>
        <v/>
      </c>
      <c r="T1000" s="9">
        <f>$T$1*LN(J1000/J999)</f>
        <v/>
      </c>
      <c r="U1000" s="9">
        <f>$W$12+$W$4*M1000+$W$5*N1000+$W$6*O1000+$W$7*P1000+$W$8*Q1000+$W$9*R1000+$W$10*S1000+$W$11*T1000</f>
        <v/>
      </c>
      <c r="AA1000" s="10">
        <f>INDEX(LINEST(L741:L1000,M741:T1000,TRUE,TRUE),1,9)*52</f>
        <v/>
      </c>
      <c r="AB1000" s="9">
        <f>INDEX(LINEST(L741:L1000,M741:T1000,TRUE,TRUE),1,8)</f>
        <v/>
      </c>
      <c r="AC1000" s="9">
        <f>INDEX(LINEST(L741:L1000,M741:T1000,TRUE,TRUE),1,7)</f>
        <v/>
      </c>
      <c r="AD1000" s="9">
        <f>INDEX(LINEST(L741:L1000,M741:T1000,TRUE,TRUE),1,6)</f>
        <v/>
      </c>
      <c r="AE1000" s="9">
        <f>INDEX(LINEST(L741:L1000,M741:T1000,TRUE,TRUE),1,5)</f>
        <v/>
      </c>
      <c r="AF1000" s="9">
        <f>INDEX(LINEST(L741:L1000,M741:T1000,TRUE,TRUE),1,4)</f>
        <v/>
      </c>
      <c r="AG1000" s="9">
        <f>INDEX(LINEST(L741:L1000,M741:T1000,TRUE,TRUE),1,3)</f>
        <v/>
      </c>
      <c r="AH1000" s="9">
        <f>INDEX(LINEST(L741:L1000,M741:T1000,TRUE,TRUE),1,2)</f>
        <v/>
      </c>
      <c r="AI1000" s="9">
        <f>INDEX(LINEST(L741:L1000,M741:T1000,TRUE,TRUE),1,1)</f>
        <v/>
      </c>
      <c r="AJ1000" s="10">
        <f>INDEX(LINEST(L741:L1000,M741:T1000,TRUE,TRUE),3,1)</f>
        <v/>
      </c>
      <c r="AK1000" s="9">
        <f>AA999/52+AB999*M1000+AC999*N1000+AD999*O1000+AE999*P1000+AF999*Q1000+AG999*R1000+AH999*S1000+AI999*T1000</f>
        <v/>
      </c>
      <c r="AL1000" s="9">
        <f>AVERAGE(L740:L999)</f>
        <v/>
      </c>
    </row>
    <row r="1001">
      <c r="A1001" s="7" t="n">
        <v>44617</v>
      </c>
      <c r="B1001" s="8" t="n">
        <v>1884.8</v>
      </c>
      <c r="C1001" s="8" t="n">
        <v>2.54</v>
      </c>
      <c r="D1001" s="8" t="n">
        <v>-0.57</v>
      </c>
      <c r="E1001" s="8" t="n">
        <v>96.620003</v>
      </c>
      <c r="F1001" s="8" t="n">
        <v>91.68000000000001</v>
      </c>
      <c r="G1001" s="8" t="n">
        <v>27.59</v>
      </c>
      <c r="H1001" s="8" t="n">
        <v>93.339996</v>
      </c>
      <c r="I1001" s="8" t="n">
        <v>4384.649902</v>
      </c>
      <c r="J1001" s="8" t="n">
        <v>94.69498400000001</v>
      </c>
      <c r="L1001" s="9">
        <f>LN(B1001/B1000)</f>
        <v/>
      </c>
      <c r="M1001" s="9">
        <f>$M$1*(C1001-C1000)</f>
        <v/>
      </c>
      <c r="N1001" s="9">
        <f>$N$1*(D1001-D1000)</f>
        <v/>
      </c>
      <c r="O1001" s="9">
        <f>$O$1*LN(E1001/E1000)</f>
        <v/>
      </c>
      <c r="P1001" s="9">
        <f>$P$1*LN(F1001/F1000)</f>
        <v/>
      </c>
      <c r="Q1001" s="9">
        <f>$Q$1*(G1001-G1000)</f>
        <v/>
      </c>
      <c r="R1001" s="9">
        <f>$R$1*(H1001-H1000)</f>
        <v/>
      </c>
      <c r="S1001" s="9">
        <f>$S$1*LN(I1001/I1000)</f>
        <v/>
      </c>
      <c r="T1001" s="9">
        <f>$T$1*LN(J1001/J1000)</f>
        <v/>
      </c>
      <c r="U1001" s="9">
        <f>$W$12+$W$4*M1001+$W$5*N1001+$W$6*O1001+$W$7*P1001+$W$8*Q1001+$W$9*R1001+$W$10*S1001+$W$11*T1001</f>
        <v/>
      </c>
      <c r="AA1001" s="10">
        <f>INDEX(LINEST(L742:L1001,M742:T1001,TRUE,TRUE),1,9)*52</f>
        <v/>
      </c>
      <c r="AB1001" s="9">
        <f>INDEX(LINEST(L742:L1001,M742:T1001,TRUE,TRUE),1,8)</f>
        <v/>
      </c>
      <c r="AC1001" s="9">
        <f>INDEX(LINEST(L742:L1001,M742:T1001,TRUE,TRUE),1,7)</f>
        <v/>
      </c>
      <c r="AD1001" s="9">
        <f>INDEX(LINEST(L742:L1001,M742:T1001,TRUE,TRUE),1,6)</f>
        <v/>
      </c>
      <c r="AE1001" s="9">
        <f>INDEX(LINEST(L742:L1001,M742:T1001,TRUE,TRUE),1,5)</f>
        <v/>
      </c>
      <c r="AF1001" s="9">
        <f>INDEX(LINEST(L742:L1001,M742:T1001,TRUE,TRUE),1,4)</f>
        <v/>
      </c>
      <c r="AG1001" s="9">
        <f>INDEX(LINEST(L742:L1001,M742:T1001,TRUE,TRUE),1,3)</f>
        <v/>
      </c>
      <c r="AH1001" s="9">
        <f>INDEX(LINEST(L742:L1001,M742:T1001,TRUE,TRUE),1,2)</f>
        <v/>
      </c>
      <c r="AI1001" s="9">
        <f>INDEX(LINEST(L742:L1001,M742:T1001,TRUE,TRUE),1,1)</f>
        <v/>
      </c>
      <c r="AJ1001" s="10">
        <f>INDEX(LINEST(L742:L1001,M742:T1001,TRUE,TRUE),3,1)</f>
        <v/>
      </c>
      <c r="AK1001" s="9">
        <f>AA1000/52+AB1000*M1001+AC1000*N1001+AD1000*O1001+AE1000*P1001+AF1000*Q1001+AG1000*R1001+AH1000*S1001+AI1000*T1001</f>
        <v/>
      </c>
      <c r="AL1001" s="9">
        <f>AVERAGE(L741:L1000)</f>
        <v/>
      </c>
    </row>
    <row r="1002">
      <c r="A1002" s="7" t="n">
        <v>44624</v>
      </c>
      <c r="B1002" s="8" t="n">
        <v>1945.3</v>
      </c>
      <c r="C1002" s="8" t="n">
        <v>2.67</v>
      </c>
      <c r="D1002" s="8" t="n">
        <v>-0.93</v>
      </c>
      <c r="E1002" s="8" t="n">
        <v>98.650002</v>
      </c>
      <c r="F1002" s="8" t="n">
        <v>115.77</v>
      </c>
      <c r="G1002" s="8" t="n">
        <v>31.98</v>
      </c>
      <c r="H1002" s="8" t="n">
        <v>131.820007</v>
      </c>
      <c r="I1002" s="8" t="n">
        <v>4328.870117</v>
      </c>
      <c r="J1002" s="8" t="n">
        <v>95.465164</v>
      </c>
      <c r="L1002" s="9">
        <f>LN(B1002/B1001)</f>
        <v/>
      </c>
      <c r="M1002" s="9">
        <f>$M$1*(C1002-C1001)</f>
        <v/>
      </c>
      <c r="N1002" s="9">
        <f>$N$1*(D1002-D1001)</f>
        <v/>
      </c>
      <c r="O1002" s="9">
        <f>$O$1*LN(E1002/E1001)</f>
        <v/>
      </c>
      <c r="P1002" s="9">
        <f>$P$1*LN(F1002/F1001)</f>
        <v/>
      </c>
      <c r="Q1002" s="9">
        <f>$Q$1*(G1002-G1001)</f>
        <v/>
      </c>
      <c r="R1002" s="9">
        <f>$R$1*(H1002-H1001)</f>
        <v/>
      </c>
      <c r="S1002" s="9">
        <f>$S$1*LN(I1002/I1001)</f>
        <v/>
      </c>
      <c r="T1002" s="9">
        <f>$T$1*LN(J1002/J1001)</f>
        <v/>
      </c>
      <c r="U1002" s="9">
        <f>$W$12+$W$4*M1002+$W$5*N1002+$W$6*O1002+$W$7*P1002+$W$8*Q1002+$W$9*R1002+$W$10*S1002+$W$11*T1002</f>
        <v/>
      </c>
      <c r="AA1002" s="10">
        <f>INDEX(LINEST(L743:L1002,M743:T1002,TRUE,TRUE),1,9)*52</f>
        <v/>
      </c>
      <c r="AB1002" s="9">
        <f>INDEX(LINEST(L743:L1002,M743:T1002,TRUE,TRUE),1,8)</f>
        <v/>
      </c>
      <c r="AC1002" s="9">
        <f>INDEX(LINEST(L743:L1002,M743:T1002,TRUE,TRUE),1,7)</f>
        <v/>
      </c>
      <c r="AD1002" s="9">
        <f>INDEX(LINEST(L743:L1002,M743:T1002,TRUE,TRUE),1,6)</f>
        <v/>
      </c>
      <c r="AE1002" s="9">
        <f>INDEX(LINEST(L743:L1002,M743:T1002,TRUE,TRUE),1,5)</f>
        <v/>
      </c>
      <c r="AF1002" s="9">
        <f>INDEX(LINEST(L743:L1002,M743:T1002,TRUE,TRUE),1,4)</f>
        <v/>
      </c>
      <c r="AG1002" s="9">
        <f>INDEX(LINEST(L743:L1002,M743:T1002,TRUE,TRUE),1,3)</f>
        <v/>
      </c>
      <c r="AH1002" s="9">
        <f>INDEX(LINEST(L743:L1002,M743:T1002,TRUE,TRUE),1,2)</f>
        <v/>
      </c>
      <c r="AI1002" s="9">
        <f>INDEX(LINEST(L743:L1002,M743:T1002,TRUE,TRUE),1,1)</f>
        <v/>
      </c>
      <c r="AJ1002" s="10">
        <f>INDEX(LINEST(L743:L1002,M743:T1002,TRUE,TRUE),3,1)</f>
        <v/>
      </c>
      <c r="AK1002" s="9">
        <f>AA1001/52+AB1001*M1002+AC1001*N1002+AD1001*O1002+AE1001*P1002+AF1001*Q1002+AG1001*R1002+AH1001*S1002+AI1001*T1002</f>
        <v/>
      </c>
      <c r="AL1002" s="9">
        <f>AVERAGE(L742:L1001)</f>
        <v/>
      </c>
    </row>
    <row r="1003">
      <c r="A1003" s="7" t="n">
        <v>44631</v>
      </c>
      <c r="B1003" s="8" t="n">
        <v>1978.7</v>
      </c>
      <c r="C1003" s="8" t="n">
        <v>2.94</v>
      </c>
      <c r="D1003" s="8" t="n">
        <v>-0.9399999999999999</v>
      </c>
      <c r="E1003" s="8" t="n">
        <v>99.120003</v>
      </c>
      <c r="F1003" s="8" t="n">
        <v>109.31</v>
      </c>
      <c r="G1003" s="8" t="n">
        <v>30.75</v>
      </c>
      <c r="H1003" s="8" t="n">
        <v>99.029999</v>
      </c>
      <c r="I1003" s="8" t="n">
        <v>4204.310059</v>
      </c>
      <c r="J1003" s="8" t="n">
        <v>93.829308</v>
      </c>
      <c r="L1003" s="9">
        <f>LN(B1003/B1002)</f>
        <v/>
      </c>
      <c r="M1003" s="9">
        <f>$M$1*(C1003-C1002)</f>
        <v/>
      </c>
      <c r="N1003" s="9">
        <f>$N$1*(D1003-D1002)</f>
        <v/>
      </c>
      <c r="O1003" s="9">
        <f>$O$1*LN(E1003/E1002)</f>
        <v/>
      </c>
      <c r="P1003" s="9">
        <f>$P$1*LN(F1003/F1002)</f>
        <v/>
      </c>
      <c r="Q1003" s="9">
        <f>$Q$1*(G1003-G1002)</f>
        <v/>
      </c>
      <c r="R1003" s="9">
        <f>$R$1*(H1003-H1002)</f>
        <v/>
      </c>
      <c r="S1003" s="9">
        <f>$S$1*LN(I1003/I1002)</f>
        <v/>
      </c>
      <c r="T1003" s="9">
        <f>$T$1*LN(J1003/J1002)</f>
        <v/>
      </c>
      <c r="U1003" s="9">
        <f>$W$12+$W$4*M1003+$W$5*N1003+$W$6*O1003+$W$7*P1003+$W$8*Q1003+$W$9*R1003+$W$10*S1003+$W$11*T1003</f>
        <v/>
      </c>
      <c r="AA1003" s="10">
        <f>INDEX(LINEST(L744:L1003,M744:T1003,TRUE,TRUE),1,9)*52</f>
        <v/>
      </c>
      <c r="AB1003" s="9">
        <f>INDEX(LINEST(L744:L1003,M744:T1003,TRUE,TRUE),1,8)</f>
        <v/>
      </c>
      <c r="AC1003" s="9">
        <f>INDEX(LINEST(L744:L1003,M744:T1003,TRUE,TRUE),1,7)</f>
        <v/>
      </c>
      <c r="AD1003" s="9">
        <f>INDEX(LINEST(L744:L1003,M744:T1003,TRUE,TRUE),1,6)</f>
        <v/>
      </c>
      <c r="AE1003" s="9">
        <f>INDEX(LINEST(L744:L1003,M744:T1003,TRUE,TRUE),1,5)</f>
        <v/>
      </c>
      <c r="AF1003" s="9">
        <f>INDEX(LINEST(L744:L1003,M744:T1003,TRUE,TRUE),1,4)</f>
        <v/>
      </c>
      <c r="AG1003" s="9">
        <f>INDEX(LINEST(L744:L1003,M744:T1003,TRUE,TRUE),1,3)</f>
        <v/>
      </c>
      <c r="AH1003" s="9">
        <f>INDEX(LINEST(L744:L1003,M744:T1003,TRUE,TRUE),1,2)</f>
        <v/>
      </c>
      <c r="AI1003" s="9">
        <f>INDEX(LINEST(L744:L1003,M744:T1003,TRUE,TRUE),1,1)</f>
        <v/>
      </c>
      <c r="AJ1003" s="10">
        <f>INDEX(LINEST(L744:L1003,M744:T1003,TRUE,TRUE),3,1)</f>
        <v/>
      </c>
      <c r="AK1003" s="9">
        <f>AA1002/52+AB1002*M1003+AC1002*N1003+AD1002*O1003+AE1002*P1003+AF1002*Q1003+AG1002*R1003+AH1002*S1003+AI1002*T1003</f>
        <v/>
      </c>
      <c r="AL1003" s="9">
        <f>AVERAGE(L743:L1002)</f>
        <v/>
      </c>
    </row>
    <row r="1004">
      <c r="A1004" s="7" t="n">
        <v>44638</v>
      </c>
      <c r="B1004" s="8" t="n">
        <v>1935.8</v>
      </c>
      <c r="C1004" s="8" t="n">
        <v>2.86</v>
      </c>
      <c r="D1004" s="8" t="n">
        <v>-0.72</v>
      </c>
      <c r="E1004" s="8" t="n">
        <v>98.230003</v>
      </c>
      <c r="F1004" s="8" t="n">
        <v>104.69</v>
      </c>
      <c r="G1004" s="8" t="n">
        <v>23.87</v>
      </c>
      <c r="H1004" s="8" t="n">
        <v>91.769997</v>
      </c>
      <c r="I1004" s="8" t="n">
        <v>4463.120117</v>
      </c>
      <c r="J1004" s="8" t="n">
        <v>93.561043</v>
      </c>
      <c r="L1004" s="9">
        <f>LN(B1004/B1003)</f>
        <v/>
      </c>
      <c r="M1004" s="9">
        <f>$M$1*(C1004-C1003)</f>
        <v/>
      </c>
      <c r="N1004" s="9">
        <f>$N$1*(D1004-D1003)</f>
        <v/>
      </c>
      <c r="O1004" s="9">
        <f>$O$1*LN(E1004/E1003)</f>
        <v/>
      </c>
      <c r="P1004" s="9">
        <f>$P$1*LN(F1004/F1003)</f>
        <v/>
      </c>
      <c r="Q1004" s="9">
        <f>$Q$1*(G1004-G1003)</f>
        <v/>
      </c>
      <c r="R1004" s="9">
        <f>$R$1*(H1004-H1003)</f>
        <v/>
      </c>
      <c r="S1004" s="9">
        <f>$S$1*LN(I1004/I1003)</f>
        <v/>
      </c>
      <c r="T1004" s="9">
        <f>$T$1*LN(J1004/J1003)</f>
        <v/>
      </c>
      <c r="U1004" s="9">
        <f>$W$12+$W$4*M1004+$W$5*N1004+$W$6*O1004+$W$7*P1004+$W$8*Q1004+$W$9*R1004+$W$10*S1004+$W$11*T1004</f>
        <v/>
      </c>
      <c r="AA1004" s="10">
        <f>INDEX(LINEST(L745:L1004,M745:T1004,TRUE,TRUE),1,9)*52</f>
        <v/>
      </c>
      <c r="AB1004" s="9">
        <f>INDEX(LINEST(L745:L1004,M745:T1004,TRUE,TRUE),1,8)</f>
        <v/>
      </c>
      <c r="AC1004" s="9">
        <f>INDEX(LINEST(L745:L1004,M745:T1004,TRUE,TRUE),1,7)</f>
        <v/>
      </c>
      <c r="AD1004" s="9">
        <f>INDEX(LINEST(L745:L1004,M745:T1004,TRUE,TRUE),1,6)</f>
        <v/>
      </c>
      <c r="AE1004" s="9">
        <f>INDEX(LINEST(L745:L1004,M745:T1004,TRUE,TRUE),1,5)</f>
        <v/>
      </c>
      <c r="AF1004" s="9">
        <f>INDEX(LINEST(L745:L1004,M745:T1004,TRUE,TRUE),1,4)</f>
        <v/>
      </c>
      <c r="AG1004" s="9">
        <f>INDEX(LINEST(L745:L1004,M745:T1004,TRUE,TRUE),1,3)</f>
        <v/>
      </c>
      <c r="AH1004" s="9">
        <f>INDEX(LINEST(L745:L1004,M745:T1004,TRUE,TRUE),1,2)</f>
        <v/>
      </c>
      <c r="AI1004" s="9">
        <f>INDEX(LINEST(L745:L1004,M745:T1004,TRUE,TRUE),1,1)</f>
        <v/>
      </c>
      <c r="AJ1004" s="10">
        <f>INDEX(LINEST(L745:L1004,M745:T1004,TRUE,TRUE),3,1)</f>
        <v/>
      </c>
      <c r="AK1004" s="9">
        <f>AA1003/52+AB1003*M1004+AC1003*N1004+AD1003*O1004+AE1003*P1004+AF1003*Q1004+AG1003*R1004+AH1003*S1004+AI1003*T1004</f>
        <v/>
      </c>
      <c r="AL1004" s="9">
        <f>AVERAGE(L744:L1003)</f>
        <v/>
      </c>
    </row>
    <row r="1005">
      <c r="A1005" s="7" t="n">
        <v>44645</v>
      </c>
      <c r="B1005" s="8" t="n">
        <v>1953.8</v>
      </c>
      <c r="C1005" s="8" t="n">
        <v>2.95</v>
      </c>
      <c r="D1005" s="8" t="n">
        <v>-0.47</v>
      </c>
      <c r="E1005" s="8" t="n">
        <v>98.80999799999999</v>
      </c>
      <c r="F1005" s="8" t="n">
        <v>116.2</v>
      </c>
      <c r="G1005" s="8" t="n">
        <v>20.81</v>
      </c>
      <c r="H1005" s="8" t="n">
        <v>125.269997</v>
      </c>
      <c r="I1005" s="8" t="n">
        <v>4543.060059</v>
      </c>
      <c r="J1005" s="8" t="n">
        <v>91.83004800000001</v>
      </c>
      <c r="L1005" s="9">
        <f>LN(B1005/B1004)</f>
        <v/>
      </c>
      <c r="M1005" s="9">
        <f>$M$1*(C1005-C1004)</f>
        <v/>
      </c>
      <c r="N1005" s="9">
        <f>$N$1*(D1005-D1004)</f>
        <v/>
      </c>
      <c r="O1005" s="9">
        <f>$O$1*LN(E1005/E1004)</f>
        <v/>
      </c>
      <c r="P1005" s="9">
        <f>$P$1*LN(F1005/F1004)</f>
        <v/>
      </c>
      <c r="Q1005" s="9">
        <f>$Q$1*(G1005-G1004)</f>
        <v/>
      </c>
      <c r="R1005" s="9">
        <f>$R$1*(H1005-H1004)</f>
        <v/>
      </c>
      <c r="S1005" s="9">
        <f>$S$1*LN(I1005/I1004)</f>
        <v/>
      </c>
      <c r="T1005" s="9">
        <f>$T$1*LN(J1005/J1004)</f>
        <v/>
      </c>
      <c r="U1005" s="9">
        <f>$W$12+$W$4*M1005+$W$5*N1005+$W$6*O1005+$W$7*P1005+$W$8*Q1005+$W$9*R1005+$W$10*S1005+$W$11*T1005</f>
        <v/>
      </c>
      <c r="AA1005" s="10">
        <f>INDEX(LINEST(L746:L1005,M746:T1005,TRUE,TRUE),1,9)*52</f>
        <v/>
      </c>
      <c r="AB1005" s="9">
        <f>INDEX(LINEST(L746:L1005,M746:T1005,TRUE,TRUE),1,8)</f>
        <v/>
      </c>
      <c r="AC1005" s="9">
        <f>INDEX(LINEST(L746:L1005,M746:T1005,TRUE,TRUE),1,7)</f>
        <v/>
      </c>
      <c r="AD1005" s="9">
        <f>INDEX(LINEST(L746:L1005,M746:T1005,TRUE,TRUE),1,6)</f>
        <v/>
      </c>
      <c r="AE1005" s="9">
        <f>INDEX(LINEST(L746:L1005,M746:T1005,TRUE,TRUE),1,5)</f>
        <v/>
      </c>
      <c r="AF1005" s="9">
        <f>INDEX(LINEST(L746:L1005,M746:T1005,TRUE,TRUE),1,4)</f>
        <v/>
      </c>
      <c r="AG1005" s="9">
        <f>INDEX(LINEST(L746:L1005,M746:T1005,TRUE,TRUE),1,3)</f>
        <v/>
      </c>
      <c r="AH1005" s="9">
        <f>INDEX(LINEST(L746:L1005,M746:T1005,TRUE,TRUE),1,2)</f>
        <v/>
      </c>
      <c r="AI1005" s="9">
        <f>INDEX(LINEST(L746:L1005,M746:T1005,TRUE,TRUE),1,1)</f>
        <v/>
      </c>
      <c r="AJ1005" s="10">
        <f>INDEX(LINEST(L746:L1005,M746:T1005,TRUE,TRUE),3,1)</f>
        <v/>
      </c>
      <c r="AK1005" s="9">
        <f>AA1004/52+AB1004*M1005+AC1004*N1005+AD1004*O1005+AE1004*P1005+AF1004*Q1005+AG1004*R1005+AH1004*S1005+AI1004*T1005</f>
        <v/>
      </c>
      <c r="AL1005" s="9">
        <f>AVERAGE(L745:L1004)</f>
        <v/>
      </c>
    </row>
    <row r="1006">
      <c r="A1006" s="7" t="n">
        <v>44652</v>
      </c>
      <c r="B1006" s="8" t="n">
        <v>1929.4</v>
      </c>
      <c r="C1006" s="8" t="n">
        <v>2.8</v>
      </c>
      <c r="D1006" s="8" t="n">
        <v>-0.41</v>
      </c>
      <c r="E1006" s="8" t="n">
        <v>98.629997</v>
      </c>
      <c r="F1006" s="8" t="n">
        <v>99.31999999999999</v>
      </c>
      <c r="G1006" s="8" t="n">
        <v>19.63</v>
      </c>
      <c r="H1006" s="8" t="n">
        <v>108.339996</v>
      </c>
      <c r="I1006" s="8" t="n">
        <v>4545.859863</v>
      </c>
      <c r="J1006" s="8" t="n">
        <v>92.530846</v>
      </c>
      <c r="L1006" s="9">
        <f>LN(B1006/B1005)</f>
        <v/>
      </c>
      <c r="M1006" s="9">
        <f>$M$1*(C1006-C1005)</f>
        <v/>
      </c>
      <c r="N1006" s="9">
        <f>$N$1*(D1006-D1005)</f>
        <v/>
      </c>
      <c r="O1006" s="9">
        <f>$O$1*LN(E1006/E1005)</f>
        <v/>
      </c>
      <c r="P1006" s="9">
        <f>$P$1*LN(F1006/F1005)</f>
        <v/>
      </c>
      <c r="Q1006" s="9">
        <f>$Q$1*(G1006-G1005)</f>
        <v/>
      </c>
      <c r="R1006" s="9">
        <f>$R$1*(H1006-H1005)</f>
        <v/>
      </c>
      <c r="S1006" s="9">
        <f>$S$1*LN(I1006/I1005)</f>
        <v/>
      </c>
      <c r="T1006" s="9">
        <f>$T$1*LN(J1006/J1005)</f>
        <v/>
      </c>
      <c r="U1006" s="9">
        <f>$W$12+$W$4*M1006+$W$5*N1006+$W$6*O1006+$W$7*P1006+$W$8*Q1006+$W$9*R1006+$W$10*S1006+$W$11*T1006</f>
        <v/>
      </c>
      <c r="AA1006" s="10">
        <f>INDEX(LINEST(L747:L1006,M747:T1006,TRUE,TRUE),1,9)*52</f>
        <v/>
      </c>
      <c r="AB1006" s="9">
        <f>INDEX(LINEST(L747:L1006,M747:T1006,TRUE,TRUE),1,8)</f>
        <v/>
      </c>
      <c r="AC1006" s="9">
        <f>INDEX(LINEST(L747:L1006,M747:T1006,TRUE,TRUE),1,7)</f>
        <v/>
      </c>
      <c r="AD1006" s="9">
        <f>INDEX(LINEST(L747:L1006,M747:T1006,TRUE,TRUE),1,6)</f>
        <v/>
      </c>
      <c r="AE1006" s="9">
        <f>INDEX(LINEST(L747:L1006,M747:T1006,TRUE,TRUE),1,5)</f>
        <v/>
      </c>
      <c r="AF1006" s="9">
        <f>INDEX(LINEST(L747:L1006,M747:T1006,TRUE,TRUE),1,4)</f>
        <v/>
      </c>
      <c r="AG1006" s="9">
        <f>INDEX(LINEST(L747:L1006,M747:T1006,TRUE,TRUE),1,3)</f>
        <v/>
      </c>
      <c r="AH1006" s="9">
        <f>INDEX(LINEST(L747:L1006,M747:T1006,TRUE,TRUE),1,2)</f>
        <v/>
      </c>
      <c r="AI1006" s="9">
        <f>INDEX(LINEST(L747:L1006,M747:T1006,TRUE,TRUE),1,1)</f>
        <v/>
      </c>
      <c r="AJ1006" s="10">
        <f>INDEX(LINEST(L747:L1006,M747:T1006,TRUE,TRUE),3,1)</f>
        <v/>
      </c>
      <c r="AK1006" s="9">
        <f>AA1005/52+AB1005*M1006+AC1005*N1006+AD1005*O1006+AE1005*P1006+AF1005*Q1006+AG1005*R1006+AH1005*S1006+AI1005*T1006</f>
        <v/>
      </c>
      <c r="AL1006" s="9">
        <f>AVERAGE(L746:L1005)</f>
        <v/>
      </c>
    </row>
    <row r="1007">
      <c r="A1007" s="7" t="n">
        <v>44659</v>
      </c>
      <c r="B1007" s="8" t="n">
        <v>1941.4</v>
      </c>
      <c r="C1007" s="8" t="n">
        <v>2.87</v>
      </c>
      <c r="D1007" s="8" t="n">
        <v>-0.15</v>
      </c>
      <c r="E1007" s="8" t="n">
        <v>99.800003</v>
      </c>
      <c r="F1007" s="8" t="n">
        <v>98.34999999999999</v>
      </c>
      <c r="G1007" s="8" t="n">
        <v>21.16</v>
      </c>
      <c r="H1007" s="8" t="n">
        <v>124.860001</v>
      </c>
      <c r="I1007" s="8" t="n">
        <v>4488.279785</v>
      </c>
      <c r="J1007" s="8" t="n">
        <v>90.779877</v>
      </c>
      <c r="L1007" s="9">
        <f>LN(B1007/B1006)</f>
        <v/>
      </c>
      <c r="M1007" s="9">
        <f>$M$1*(C1007-C1006)</f>
        <v/>
      </c>
      <c r="N1007" s="9">
        <f>$N$1*(D1007-D1006)</f>
        <v/>
      </c>
      <c r="O1007" s="9">
        <f>$O$1*LN(E1007/E1006)</f>
        <v/>
      </c>
      <c r="P1007" s="9">
        <f>$P$1*LN(F1007/F1006)</f>
        <v/>
      </c>
      <c r="Q1007" s="9">
        <f>$Q$1*(G1007-G1006)</f>
        <v/>
      </c>
      <c r="R1007" s="9">
        <f>$R$1*(H1007-H1006)</f>
        <v/>
      </c>
      <c r="S1007" s="9">
        <f>$S$1*LN(I1007/I1006)</f>
        <v/>
      </c>
      <c r="T1007" s="9">
        <f>$T$1*LN(J1007/J1006)</f>
        <v/>
      </c>
      <c r="U1007" s="9">
        <f>$W$12+$W$4*M1007+$W$5*N1007+$W$6*O1007+$W$7*P1007+$W$8*Q1007+$W$9*R1007+$W$10*S1007+$W$11*T1007</f>
        <v/>
      </c>
      <c r="AA1007" s="10">
        <f>INDEX(LINEST(L748:L1007,M748:T1007,TRUE,TRUE),1,9)*52</f>
        <v/>
      </c>
      <c r="AB1007" s="9">
        <f>INDEX(LINEST(L748:L1007,M748:T1007,TRUE,TRUE),1,8)</f>
        <v/>
      </c>
      <c r="AC1007" s="9">
        <f>INDEX(LINEST(L748:L1007,M748:T1007,TRUE,TRUE),1,7)</f>
        <v/>
      </c>
      <c r="AD1007" s="9">
        <f>INDEX(LINEST(L748:L1007,M748:T1007,TRUE,TRUE),1,6)</f>
        <v/>
      </c>
      <c r="AE1007" s="9">
        <f>INDEX(LINEST(L748:L1007,M748:T1007,TRUE,TRUE),1,5)</f>
        <v/>
      </c>
      <c r="AF1007" s="9">
        <f>INDEX(LINEST(L748:L1007,M748:T1007,TRUE,TRUE),1,4)</f>
        <v/>
      </c>
      <c r="AG1007" s="9">
        <f>INDEX(LINEST(L748:L1007,M748:T1007,TRUE,TRUE),1,3)</f>
        <v/>
      </c>
      <c r="AH1007" s="9">
        <f>INDEX(LINEST(L748:L1007,M748:T1007,TRUE,TRUE),1,2)</f>
        <v/>
      </c>
      <c r="AI1007" s="9">
        <f>INDEX(LINEST(L748:L1007,M748:T1007,TRUE,TRUE),1,1)</f>
        <v/>
      </c>
      <c r="AJ1007" s="10">
        <f>INDEX(LINEST(L748:L1007,M748:T1007,TRUE,TRUE),3,1)</f>
        <v/>
      </c>
      <c r="AK1007" s="9">
        <f>AA1006/52+AB1006*M1007+AC1006*N1007+AD1006*O1007+AE1006*P1007+AF1006*Q1007+AG1006*R1007+AH1006*S1007+AI1006*T1007</f>
        <v/>
      </c>
      <c r="AL1007" s="9">
        <f>AVERAGE(L747:L1006)</f>
        <v/>
      </c>
    </row>
    <row r="1008">
      <c r="A1008" s="7" t="n">
        <v>44666</v>
      </c>
      <c r="B1008" s="8" t="n">
        <v>1963.25</v>
      </c>
      <c r="C1008" s="8" t="n">
        <v>2.89</v>
      </c>
      <c r="D1008" s="8" t="n">
        <v>-0.06</v>
      </c>
      <c r="E1008" s="8" t="n">
        <v>100.32</v>
      </c>
      <c r="F1008" s="8" t="n">
        <v>106.84</v>
      </c>
      <c r="G1008" s="8" t="n">
        <v>22.7</v>
      </c>
      <c r="H1008" s="8" t="n">
        <v>119.660004</v>
      </c>
      <c r="I1008" s="8" t="n">
        <v>4392.589844</v>
      </c>
      <c r="J1008" s="8" t="n">
        <v>90.121101</v>
      </c>
      <c r="L1008" s="9">
        <f>LN(B1008/B1007)</f>
        <v/>
      </c>
      <c r="M1008" s="9">
        <f>$M$1*(C1008-C1007)</f>
        <v/>
      </c>
      <c r="N1008" s="9">
        <f>$N$1*(D1008-D1007)</f>
        <v/>
      </c>
      <c r="O1008" s="9">
        <f>$O$1*LN(E1008/E1007)</f>
        <v/>
      </c>
      <c r="P1008" s="9">
        <f>$P$1*LN(F1008/F1007)</f>
        <v/>
      </c>
      <c r="Q1008" s="9">
        <f>$Q$1*(G1008-G1007)</f>
        <v/>
      </c>
      <c r="R1008" s="9">
        <f>$R$1*(H1008-H1007)</f>
        <v/>
      </c>
      <c r="S1008" s="9">
        <f>$S$1*LN(I1008/I1007)</f>
        <v/>
      </c>
      <c r="T1008" s="9">
        <f>$T$1*LN(J1008/J1007)</f>
        <v/>
      </c>
      <c r="U1008" s="9">
        <f>$W$12+$W$4*M1008+$W$5*N1008+$W$6*O1008+$W$7*P1008+$W$8*Q1008+$W$9*R1008+$W$10*S1008+$W$11*T1008</f>
        <v/>
      </c>
      <c r="AA1008" s="10">
        <f>INDEX(LINEST(L749:L1008,M749:T1008,TRUE,TRUE),1,9)*52</f>
        <v/>
      </c>
      <c r="AB1008" s="9">
        <f>INDEX(LINEST(L749:L1008,M749:T1008,TRUE,TRUE),1,8)</f>
        <v/>
      </c>
      <c r="AC1008" s="9">
        <f>INDEX(LINEST(L749:L1008,M749:T1008,TRUE,TRUE),1,7)</f>
        <v/>
      </c>
      <c r="AD1008" s="9">
        <f>INDEX(LINEST(L749:L1008,M749:T1008,TRUE,TRUE),1,6)</f>
        <v/>
      </c>
      <c r="AE1008" s="9">
        <f>INDEX(LINEST(L749:L1008,M749:T1008,TRUE,TRUE),1,5)</f>
        <v/>
      </c>
      <c r="AF1008" s="9">
        <f>INDEX(LINEST(L749:L1008,M749:T1008,TRUE,TRUE),1,4)</f>
        <v/>
      </c>
      <c r="AG1008" s="9">
        <f>INDEX(LINEST(L749:L1008,M749:T1008,TRUE,TRUE),1,3)</f>
        <v/>
      </c>
      <c r="AH1008" s="9">
        <f>INDEX(LINEST(L749:L1008,M749:T1008,TRUE,TRUE),1,2)</f>
        <v/>
      </c>
      <c r="AI1008" s="9">
        <f>INDEX(LINEST(L749:L1008,M749:T1008,TRUE,TRUE),1,1)</f>
        <v/>
      </c>
      <c r="AJ1008" s="10">
        <f>INDEX(LINEST(L749:L1008,M749:T1008,TRUE,TRUE),3,1)</f>
        <v/>
      </c>
      <c r="AK1008" s="9">
        <f>AA1007/52+AB1007*M1008+AC1007*N1008+AD1007*O1008+AE1007*P1008+AF1007*Q1008+AG1007*R1008+AH1007*S1008+AI1007*T1008</f>
        <v/>
      </c>
      <c r="AL1008" s="9">
        <f>AVERAGE(L748:L1007)</f>
        <v/>
      </c>
    </row>
    <row r="1009">
      <c r="A1009" s="7" t="n">
        <v>44673</v>
      </c>
      <c r="B1009" s="8" t="n">
        <v>1941.55</v>
      </c>
      <c r="C1009" s="8" t="n">
        <v>2.98</v>
      </c>
      <c r="D1009" s="8" t="n">
        <v>-0.08</v>
      </c>
      <c r="E1009" s="8" t="n">
        <v>101.220001</v>
      </c>
      <c r="F1009" s="8" t="n">
        <v>102.86</v>
      </c>
      <c r="G1009" s="8" t="n">
        <v>28.21</v>
      </c>
      <c r="H1009" s="8" t="n">
        <v>128.119995</v>
      </c>
      <c r="I1009" s="8" t="n">
        <v>4271.779785</v>
      </c>
      <c r="J1009" s="8" t="n">
        <v>89.22829400000001</v>
      </c>
      <c r="L1009" s="9">
        <f>LN(B1009/B1008)</f>
        <v/>
      </c>
      <c r="M1009" s="9">
        <f>$M$1*(C1009-C1008)</f>
        <v/>
      </c>
      <c r="N1009" s="9">
        <f>$N$1*(D1009-D1008)</f>
        <v/>
      </c>
      <c r="O1009" s="9">
        <f>$O$1*LN(E1009/E1008)</f>
        <v/>
      </c>
      <c r="P1009" s="9">
        <f>$P$1*LN(F1009/F1008)</f>
        <v/>
      </c>
      <c r="Q1009" s="9">
        <f>$Q$1*(G1009-G1008)</f>
        <v/>
      </c>
      <c r="R1009" s="9">
        <f>$R$1*(H1009-H1008)</f>
        <v/>
      </c>
      <c r="S1009" s="9">
        <f>$S$1*LN(I1009/I1008)</f>
        <v/>
      </c>
      <c r="T1009" s="9">
        <f>$T$1*LN(J1009/J1008)</f>
        <v/>
      </c>
      <c r="U1009" s="9">
        <f>$W$12+$W$4*M1009+$W$5*N1009+$W$6*O1009+$W$7*P1009+$W$8*Q1009+$W$9*R1009+$W$10*S1009+$W$11*T1009</f>
        <v/>
      </c>
      <c r="AA1009" s="10">
        <f>INDEX(LINEST(L750:L1009,M750:T1009,TRUE,TRUE),1,9)*52</f>
        <v/>
      </c>
      <c r="AB1009" s="9">
        <f>INDEX(LINEST(L750:L1009,M750:T1009,TRUE,TRUE),1,8)</f>
        <v/>
      </c>
      <c r="AC1009" s="9">
        <f>INDEX(LINEST(L750:L1009,M750:T1009,TRUE,TRUE),1,7)</f>
        <v/>
      </c>
      <c r="AD1009" s="9">
        <f>INDEX(LINEST(L750:L1009,M750:T1009,TRUE,TRUE),1,6)</f>
        <v/>
      </c>
      <c r="AE1009" s="9">
        <f>INDEX(LINEST(L750:L1009,M750:T1009,TRUE,TRUE),1,5)</f>
        <v/>
      </c>
      <c r="AF1009" s="9">
        <f>INDEX(LINEST(L750:L1009,M750:T1009,TRUE,TRUE),1,4)</f>
        <v/>
      </c>
      <c r="AG1009" s="9">
        <f>INDEX(LINEST(L750:L1009,M750:T1009,TRUE,TRUE),1,3)</f>
        <v/>
      </c>
      <c r="AH1009" s="9">
        <f>INDEX(LINEST(L750:L1009,M750:T1009,TRUE,TRUE),1,2)</f>
        <v/>
      </c>
      <c r="AI1009" s="9">
        <f>INDEX(LINEST(L750:L1009,M750:T1009,TRUE,TRUE),1,1)</f>
        <v/>
      </c>
      <c r="AJ1009" s="10">
        <f>INDEX(LINEST(L750:L1009,M750:T1009,TRUE,TRUE),3,1)</f>
        <v/>
      </c>
      <c r="AK1009" s="9">
        <f>AA1008/52+AB1008*M1009+AC1008*N1009+AD1008*O1009+AE1008*P1009+AF1008*Q1009+AG1008*R1009+AH1008*S1009+AI1008*T1009</f>
        <v/>
      </c>
      <c r="AL1009" s="9">
        <f>AVERAGE(L749:L1008)</f>
        <v/>
      </c>
    </row>
    <row r="1010">
      <c r="A1010" s="7" t="n">
        <v>44680</v>
      </c>
      <c r="B1010" s="8" t="n">
        <v>1911.3</v>
      </c>
      <c r="C1010" s="8" t="n">
        <v>2.88</v>
      </c>
      <c r="D1010" s="8" t="n">
        <v>0.01</v>
      </c>
      <c r="E1010" s="8" t="n">
        <v>102.959999</v>
      </c>
      <c r="F1010" s="8" t="n">
        <v>104.59</v>
      </c>
      <c r="G1010" s="8" t="n">
        <v>33.4</v>
      </c>
      <c r="H1010" s="8" t="n">
        <v>128.399994</v>
      </c>
      <c r="I1010" s="8" t="n">
        <v>4131.930176</v>
      </c>
      <c r="J1010" s="8" t="n">
        <v>89.167664</v>
      </c>
      <c r="L1010" s="9">
        <f>LN(B1010/B1009)</f>
        <v/>
      </c>
      <c r="M1010" s="9">
        <f>$M$1*(C1010-C1009)</f>
        <v/>
      </c>
      <c r="N1010" s="9">
        <f>$N$1*(D1010-D1009)</f>
        <v/>
      </c>
      <c r="O1010" s="9">
        <f>$O$1*LN(E1010/E1009)</f>
        <v/>
      </c>
      <c r="P1010" s="9">
        <f>$P$1*LN(F1010/F1009)</f>
        <v/>
      </c>
      <c r="Q1010" s="9">
        <f>$Q$1*(G1010-G1009)</f>
        <v/>
      </c>
      <c r="R1010" s="9">
        <f>$R$1*(H1010-H1009)</f>
        <v/>
      </c>
      <c r="S1010" s="9">
        <f>$S$1*LN(I1010/I1009)</f>
        <v/>
      </c>
      <c r="T1010" s="9">
        <f>$T$1*LN(J1010/J1009)</f>
        <v/>
      </c>
      <c r="U1010" s="9">
        <f>$W$12+$W$4*M1010+$W$5*N1010+$W$6*O1010+$W$7*P1010+$W$8*Q1010+$W$9*R1010+$W$10*S1010+$W$11*T1010</f>
        <v/>
      </c>
      <c r="AA1010" s="10">
        <f>INDEX(LINEST(L751:L1010,M751:T1010,TRUE,TRUE),1,9)*52</f>
        <v/>
      </c>
      <c r="AB1010" s="9">
        <f>INDEX(LINEST(L751:L1010,M751:T1010,TRUE,TRUE),1,8)</f>
        <v/>
      </c>
      <c r="AC1010" s="9">
        <f>INDEX(LINEST(L751:L1010,M751:T1010,TRUE,TRUE),1,7)</f>
        <v/>
      </c>
      <c r="AD1010" s="9">
        <f>INDEX(LINEST(L751:L1010,M751:T1010,TRUE,TRUE),1,6)</f>
        <v/>
      </c>
      <c r="AE1010" s="9">
        <f>INDEX(LINEST(L751:L1010,M751:T1010,TRUE,TRUE),1,5)</f>
        <v/>
      </c>
      <c r="AF1010" s="9">
        <f>INDEX(LINEST(L751:L1010,M751:T1010,TRUE,TRUE),1,4)</f>
        <v/>
      </c>
      <c r="AG1010" s="9">
        <f>INDEX(LINEST(L751:L1010,M751:T1010,TRUE,TRUE),1,3)</f>
        <v/>
      </c>
      <c r="AH1010" s="9">
        <f>INDEX(LINEST(L751:L1010,M751:T1010,TRUE,TRUE),1,2)</f>
        <v/>
      </c>
      <c r="AI1010" s="9">
        <f>INDEX(LINEST(L751:L1010,M751:T1010,TRUE,TRUE),1,1)</f>
        <v/>
      </c>
      <c r="AJ1010" s="10">
        <f>INDEX(LINEST(L751:L1010,M751:T1010,TRUE,TRUE),3,1)</f>
        <v/>
      </c>
      <c r="AK1010" s="9">
        <f>AA1009/52+AB1009*M1010+AC1009*N1010+AD1009*O1010+AE1009*P1010+AF1009*Q1010+AG1009*R1010+AH1009*S1010+AI1009*T1010</f>
        <v/>
      </c>
      <c r="AL1010" s="9">
        <f>AVERAGE(L750:L1009)</f>
        <v/>
      </c>
    </row>
    <row r="1011">
      <c r="A1011" s="7" t="n">
        <v>44687</v>
      </c>
      <c r="B1011" s="8" t="n">
        <v>1882.35</v>
      </c>
      <c r="C1011" s="8" t="n">
        <v>2.86</v>
      </c>
      <c r="D1011" s="8" t="n">
        <v>0.26</v>
      </c>
      <c r="E1011" s="8" t="n">
        <v>103.660004</v>
      </c>
      <c r="F1011" s="8" t="n">
        <v>109.72</v>
      </c>
      <c r="G1011" s="8" t="n">
        <v>30.19</v>
      </c>
      <c r="H1011" s="8" t="n">
        <v>121.419998</v>
      </c>
      <c r="I1011" s="8" t="n">
        <v>4123.339844</v>
      </c>
      <c r="J1011" s="8" t="n">
        <v>88.196022</v>
      </c>
      <c r="L1011" s="9">
        <f>LN(B1011/B1010)</f>
        <v/>
      </c>
      <c r="M1011" s="9">
        <f>$M$1*(C1011-C1010)</f>
        <v/>
      </c>
      <c r="N1011" s="9">
        <f>$N$1*(D1011-D1010)</f>
        <v/>
      </c>
      <c r="O1011" s="9">
        <f>$O$1*LN(E1011/E1010)</f>
        <v/>
      </c>
      <c r="P1011" s="9">
        <f>$P$1*LN(F1011/F1010)</f>
        <v/>
      </c>
      <c r="Q1011" s="9">
        <f>$Q$1*(G1011-G1010)</f>
        <v/>
      </c>
      <c r="R1011" s="9">
        <f>$R$1*(H1011-H1010)</f>
        <v/>
      </c>
      <c r="S1011" s="9">
        <f>$S$1*LN(I1011/I1010)</f>
        <v/>
      </c>
      <c r="T1011" s="9">
        <f>$T$1*LN(J1011/J1010)</f>
        <v/>
      </c>
      <c r="U1011" s="9">
        <f>$W$12+$W$4*M1011+$W$5*N1011+$W$6*O1011+$W$7*P1011+$W$8*Q1011+$W$9*R1011+$W$10*S1011+$W$11*T1011</f>
        <v/>
      </c>
      <c r="AA1011" s="10">
        <f>INDEX(LINEST(L752:L1011,M752:T1011,TRUE,TRUE),1,9)*52</f>
        <v/>
      </c>
      <c r="AB1011" s="9">
        <f>INDEX(LINEST(L752:L1011,M752:T1011,TRUE,TRUE),1,8)</f>
        <v/>
      </c>
      <c r="AC1011" s="9">
        <f>INDEX(LINEST(L752:L1011,M752:T1011,TRUE,TRUE),1,7)</f>
        <v/>
      </c>
      <c r="AD1011" s="9">
        <f>INDEX(LINEST(L752:L1011,M752:T1011,TRUE,TRUE),1,6)</f>
        <v/>
      </c>
      <c r="AE1011" s="9">
        <f>INDEX(LINEST(L752:L1011,M752:T1011,TRUE,TRUE),1,5)</f>
        <v/>
      </c>
      <c r="AF1011" s="9">
        <f>INDEX(LINEST(L752:L1011,M752:T1011,TRUE,TRUE),1,4)</f>
        <v/>
      </c>
      <c r="AG1011" s="9">
        <f>INDEX(LINEST(L752:L1011,M752:T1011,TRUE,TRUE),1,3)</f>
        <v/>
      </c>
      <c r="AH1011" s="9">
        <f>INDEX(LINEST(L752:L1011,M752:T1011,TRUE,TRUE),1,2)</f>
        <v/>
      </c>
      <c r="AI1011" s="9">
        <f>INDEX(LINEST(L752:L1011,M752:T1011,TRUE,TRUE),1,1)</f>
        <v/>
      </c>
      <c r="AJ1011" s="10">
        <f>INDEX(LINEST(L752:L1011,M752:T1011,TRUE,TRUE),3,1)</f>
        <v/>
      </c>
      <c r="AK1011" s="9">
        <f>AA1010/52+AB1010*M1011+AC1010*N1011+AD1010*O1011+AE1010*P1011+AF1010*Q1011+AG1010*R1011+AH1010*S1011+AI1010*T1011</f>
        <v/>
      </c>
      <c r="AL1011" s="9">
        <f>AVERAGE(L751:L1010)</f>
        <v/>
      </c>
    </row>
    <row r="1012">
      <c r="A1012" s="7" t="n">
        <v>44694</v>
      </c>
      <c r="B1012" s="8" t="n">
        <v>1811.55</v>
      </c>
      <c r="C1012" s="8" t="n">
        <v>2.69</v>
      </c>
      <c r="D1012" s="8" t="n">
        <v>0.24</v>
      </c>
      <c r="E1012" s="8" t="n">
        <v>104.559998</v>
      </c>
      <c r="F1012" s="8" t="n">
        <v>110.52</v>
      </c>
      <c r="G1012" s="8" t="n">
        <v>28.87</v>
      </c>
      <c r="H1012" s="8" t="n">
        <v>114.610001</v>
      </c>
      <c r="I1012" s="8" t="n">
        <v>4023.889893</v>
      </c>
      <c r="J1012" s="8" t="n">
        <v>89.01222199999999</v>
      </c>
      <c r="L1012" s="9">
        <f>LN(B1012/B1011)</f>
        <v/>
      </c>
      <c r="M1012" s="9">
        <f>$M$1*(C1012-C1011)</f>
        <v/>
      </c>
      <c r="N1012" s="9">
        <f>$N$1*(D1012-D1011)</f>
        <v/>
      </c>
      <c r="O1012" s="9">
        <f>$O$1*LN(E1012/E1011)</f>
        <v/>
      </c>
      <c r="P1012" s="9">
        <f>$P$1*LN(F1012/F1011)</f>
        <v/>
      </c>
      <c r="Q1012" s="9">
        <f>$Q$1*(G1012-G1011)</f>
        <v/>
      </c>
      <c r="R1012" s="9">
        <f>$R$1*(H1012-H1011)</f>
        <v/>
      </c>
      <c r="S1012" s="9">
        <f>$S$1*LN(I1012/I1011)</f>
        <v/>
      </c>
      <c r="T1012" s="9">
        <f>$T$1*LN(J1012/J1011)</f>
        <v/>
      </c>
      <c r="U1012" s="9">
        <f>$W$12+$W$4*M1012+$W$5*N1012+$W$6*O1012+$W$7*P1012+$W$8*Q1012+$W$9*R1012+$W$10*S1012+$W$11*T1012</f>
        <v/>
      </c>
      <c r="AA1012" s="10">
        <f>INDEX(LINEST(L753:L1012,M753:T1012,TRUE,TRUE),1,9)*52</f>
        <v/>
      </c>
      <c r="AB1012" s="9">
        <f>INDEX(LINEST(L753:L1012,M753:T1012,TRUE,TRUE),1,8)</f>
        <v/>
      </c>
      <c r="AC1012" s="9">
        <f>INDEX(LINEST(L753:L1012,M753:T1012,TRUE,TRUE),1,7)</f>
        <v/>
      </c>
      <c r="AD1012" s="9">
        <f>INDEX(LINEST(L753:L1012,M753:T1012,TRUE,TRUE),1,6)</f>
        <v/>
      </c>
      <c r="AE1012" s="9">
        <f>INDEX(LINEST(L753:L1012,M753:T1012,TRUE,TRUE),1,5)</f>
        <v/>
      </c>
      <c r="AF1012" s="9">
        <f>INDEX(LINEST(L753:L1012,M753:T1012,TRUE,TRUE),1,4)</f>
        <v/>
      </c>
      <c r="AG1012" s="9">
        <f>INDEX(LINEST(L753:L1012,M753:T1012,TRUE,TRUE),1,3)</f>
        <v/>
      </c>
      <c r="AH1012" s="9">
        <f>INDEX(LINEST(L753:L1012,M753:T1012,TRUE,TRUE),1,2)</f>
        <v/>
      </c>
      <c r="AI1012" s="9">
        <f>INDEX(LINEST(L753:L1012,M753:T1012,TRUE,TRUE),1,1)</f>
        <v/>
      </c>
      <c r="AJ1012" s="10">
        <f>INDEX(LINEST(L753:L1012,M753:T1012,TRUE,TRUE),3,1)</f>
        <v/>
      </c>
      <c r="AK1012" s="9">
        <f>AA1011/52+AB1011*M1012+AC1011*N1012+AD1011*O1012+AE1011*P1012+AF1011*Q1012+AG1011*R1012+AH1011*S1012+AI1011*T1012</f>
        <v/>
      </c>
      <c r="AL1012" s="9">
        <f>AVERAGE(L752:L1011)</f>
        <v/>
      </c>
    </row>
    <row r="1013">
      <c r="A1013" s="7" t="n">
        <v>44701</v>
      </c>
      <c r="B1013" s="8" t="n">
        <v>1834.2</v>
      </c>
      <c r="C1013" s="8" t="n">
        <v>2.55</v>
      </c>
      <c r="D1013" s="8" t="n">
        <v>0.23</v>
      </c>
      <c r="E1013" s="8" t="n">
        <v>103.150002</v>
      </c>
      <c r="F1013" s="8" t="n">
        <v>112.63</v>
      </c>
      <c r="G1013" s="8" t="n">
        <v>29.43</v>
      </c>
      <c r="H1013" s="8" t="n">
        <v>111.099998</v>
      </c>
      <c r="I1013" s="8" t="n">
        <v>3901.360107</v>
      </c>
      <c r="J1013" s="8" t="n">
        <v>89.576668</v>
      </c>
      <c r="L1013" s="9">
        <f>LN(B1013/B1012)</f>
        <v/>
      </c>
      <c r="M1013" s="9">
        <f>$M$1*(C1013-C1012)</f>
        <v/>
      </c>
      <c r="N1013" s="9">
        <f>$N$1*(D1013-D1012)</f>
        <v/>
      </c>
      <c r="O1013" s="9">
        <f>$O$1*LN(E1013/E1012)</f>
        <v/>
      </c>
      <c r="P1013" s="9">
        <f>$P$1*LN(F1013/F1012)</f>
        <v/>
      </c>
      <c r="Q1013" s="9">
        <f>$Q$1*(G1013-G1012)</f>
        <v/>
      </c>
      <c r="R1013" s="9">
        <f>$R$1*(H1013-H1012)</f>
        <v/>
      </c>
      <c r="S1013" s="9">
        <f>$S$1*LN(I1013/I1012)</f>
        <v/>
      </c>
      <c r="T1013" s="9">
        <f>$T$1*LN(J1013/J1012)</f>
        <v/>
      </c>
      <c r="U1013" s="9">
        <f>$W$12+$W$4*M1013+$W$5*N1013+$W$6*O1013+$W$7*P1013+$W$8*Q1013+$W$9*R1013+$W$10*S1013+$W$11*T1013</f>
        <v/>
      </c>
      <c r="AA1013" s="10">
        <f>INDEX(LINEST(L754:L1013,M754:T1013,TRUE,TRUE),1,9)*52</f>
        <v/>
      </c>
      <c r="AB1013" s="9">
        <f>INDEX(LINEST(L754:L1013,M754:T1013,TRUE,TRUE),1,8)</f>
        <v/>
      </c>
      <c r="AC1013" s="9">
        <f>INDEX(LINEST(L754:L1013,M754:T1013,TRUE,TRUE),1,7)</f>
        <v/>
      </c>
      <c r="AD1013" s="9">
        <f>INDEX(LINEST(L754:L1013,M754:T1013,TRUE,TRUE),1,6)</f>
        <v/>
      </c>
      <c r="AE1013" s="9">
        <f>INDEX(LINEST(L754:L1013,M754:T1013,TRUE,TRUE),1,5)</f>
        <v/>
      </c>
      <c r="AF1013" s="9">
        <f>INDEX(LINEST(L754:L1013,M754:T1013,TRUE,TRUE),1,4)</f>
        <v/>
      </c>
      <c r="AG1013" s="9">
        <f>INDEX(LINEST(L754:L1013,M754:T1013,TRUE,TRUE),1,3)</f>
        <v/>
      </c>
      <c r="AH1013" s="9">
        <f>INDEX(LINEST(L754:L1013,M754:T1013,TRUE,TRUE),1,2)</f>
        <v/>
      </c>
      <c r="AI1013" s="9">
        <f>INDEX(LINEST(L754:L1013,M754:T1013,TRUE,TRUE),1,1)</f>
        <v/>
      </c>
      <c r="AJ1013" s="10">
        <f>INDEX(LINEST(L754:L1013,M754:T1013,TRUE,TRUE),3,1)</f>
        <v/>
      </c>
      <c r="AK1013" s="9">
        <f>AA1012/52+AB1012*M1013+AC1012*N1013+AD1012*O1013+AE1012*P1013+AF1012*Q1013+AG1012*R1013+AH1012*S1013+AI1012*T1013</f>
        <v/>
      </c>
      <c r="AL1013" s="9">
        <f>AVERAGE(L753:L1012)</f>
        <v/>
      </c>
    </row>
    <row r="1014">
      <c r="A1014" s="7" t="n">
        <v>44708</v>
      </c>
      <c r="B1014" s="8" t="n">
        <v>1851.8</v>
      </c>
      <c r="C1014" s="8" t="n">
        <v>2.63</v>
      </c>
      <c r="D1014" s="8" t="n">
        <v>0.11</v>
      </c>
      <c r="E1014" s="8" t="n">
        <v>101.669998</v>
      </c>
      <c r="F1014" s="8" t="n">
        <v>114.96</v>
      </c>
      <c r="G1014" s="8" t="n">
        <v>25.72</v>
      </c>
      <c r="H1014" s="8" t="n">
        <v>98.480003</v>
      </c>
      <c r="I1014" s="8" t="n">
        <v>4158.240234</v>
      </c>
      <c r="J1014" s="8" t="n">
        <v>90.418953</v>
      </c>
      <c r="L1014" s="9">
        <f>LN(B1014/B1013)</f>
        <v/>
      </c>
      <c r="M1014" s="9">
        <f>$M$1*(C1014-C1013)</f>
        <v/>
      </c>
      <c r="N1014" s="9">
        <f>$N$1*(D1014-D1013)</f>
        <v/>
      </c>
      <c r="O1014" s="9">
        <f>$O$1*LN(E1014/E1013)</f>
        <v/>
      </c>
      <c r="P1014" s="9">
        <f>$P$1*LN(F1014/F1013)</f>
        <v/>
      </c>
      <c r="Q1014" s="9">
        <f>$Q$1*(G1014-G1013)</f>
        <v/>
      </c>
      <c r="R1014" s="9">
        <f>$R$1*(H1014-H1013)</f>
        <v/>
      </c>
      <c r="S1014" s="9">
        <f>$S$1*LN(I1014/I1013)</f>
        <v/>
      </c>
      <c r="T1014" s="9">
        <f>$T$1*LN(J1014/J1013)</f>
        <v/>
      </c>
      <c r="U1014" s="9">
        <f>$W$12+$W$4*M1014+$W$5*N1014+$W$6*O1014+$W$7*P1014+$W$8*Q1014+$W$9*R1014+$W$10*S1014+$W$11*T1014</f>
        <v/>
      </c>
      <c r="AA1014" s="10">
        <f>INDEX(LINEST(L755:L1014,M755:T1014,TRUE,TRUE),1,9)*52</f>
        <v/>
      </c>
      <c r="AB1014" s="9">
        <f>INDEX(LINEST(L755:L1014,M755:T1014,TRUE,TRUE),1,8)</f>
        <v/>
      </c>
      <c r="AC1014" s="9">
        <f>INDEX(LINEST(L755:L1014,M755:T1014,TRUE,TRUE),1,7)</f>
        <v/>
      </c>
      <c r="AD1014" s="9">
        <f>INDEX(LINEST(L755:L1014,M755:T1014,TRUE,TRUE),1,6)</f>
        <v/>
      </c>
      <c r="AE1014" s="9">
        <f>INDEX(LINEST(L755:L1014,M755:T1014,TRUE,TRUE),1,5)</f>
        <v/>
      </c>
      <c r="AF1014" s="9">
        <f>INDEX(LINEST(L755:L1014,M755:T1014,TRUE,TRUE),1,4)</f>
        <v/>
      </c>
      <c r="AG1014" s="9">
        <f>INDEX(LINEST(L755:L1014,M755:T1014,TRUE,TRUE),1,3)</f>
        <v/>
      </c>
      <c r="AH1014" s="9">
        <f>INDEX(LINEST(L755:L1014,M755:T1014,TRUE,TRUE),1,2)</f>
        <v/>
      </c>
      <c r="AI1014" s="9">
        <f>INDEX(LINEST(L755:L1014,M755:T1014,TRUE,TRUE),1,1)</f>
        <v/>
      </c>
      <c r="AJ1014" s="10">
        <f>INDEX(LINEST(L755:L1014,M755:T1014,TRUE,TRUE),3,1)</f>
        <v/>
      </c>
      <c r="AK1014" s="9">
        <f>AA1013/52+AB1013*M1014+AC1013*N1014+AD1013*O1014+AE1013*P1014+AF1013*Q1014+AG1013*R1014+AH1013*S1014+AI1013*T1014</f>
        <v/>
      </c>
      <c r="AL1014" s="9">
        <f>AVERAGE(L754:L1013)</f>
        <v/>
      </c>
    </row>
    <row r="1015">
      <c r="A1015" s="7" t="n">
        <v>44715</v>
      </c>
      <c r="B1015" s="8" t="n">
        <v>1844.9</v>
      </c>
      <c r="C1015" s="8" t="n">
        <v>2.74</v>
      </c>
      <c r="D1015" s="8" t="n">
        <v>0.22</v>
      </c>
      <c r="E1015" s="8" t="n">
        <v>102.139999</v>
      </c>
      <c r="F1015" s="8" t="n">
        <v>118.97</v>
      </c>
      <c r="G1015" s="8" t="n">
        <v>24.79</v>
      </c>
      <c r="H1015" s="8" t="n">
        <v>97.730003</v>
      </c>
      <c r="I1015" s="8" t="n">
        <v>4108.540039</v>
      </c>
      <c r="J1015" s="8" t="n">
        <v>89.442184</v>
      </c>
      <c r="L1015" s="9">
        <f>LN(B1015/B1014)</f>
        <v/>
      </c>
      <c r="M1015" s="9">
        <f>$M$1*(C1015-C1014)</f>
        <v/>
      </c>
      <c r="N1015" s="9">
        <f>$N$1*(D1015-D1014)</f>
        <v/>
      </c>
      <c r="O1015" s="9">
        <f>$O$1*LN(E1015/E1014)</f>
        <v/>
      </c>
      <c r="P1015" s="9">
        <f>$P$1*LN(F1015/F1014)</f>
        <v/>
      </c>
      <c r="Q1015" s="9">
        <f>$Q$1*(G1015-G1014)</f>
        <v/>
      </c>
      <c r="R1015" s="9">
        <f>$R$1*(H1015-H1014)</f>
        <v/>
      </c>
      <c r="S1015" s="9">
        <f>$S$1*LN(I1015/I1014)</f>
        <v/>
      </c>
      <c r="T1015" s="9">
        <f>$T$1*LN(J1015/J1014)</f>
        <v/>
      </c>
      <c r="U1015" s="9">
        <f>$W$12+$W$4*M1015+$W$5*N1015+$W$6*O1015+$W$7*P1015+$W$8*Q1015+$W$9*R1015+$W$10*S1015+$W$11*T1015</f>
        <v/>
      </c>
      <c r="AA1015" s="10">
        <f>INDEX(LINEST(L756:L1015,M756:T1015,TRUE,TRUE),1,9)*52</f>
        <v/>
      </c>
      <c r="AB1015" s="9">
        <f>INDEX(LINEST(L756:L1015,M756:T1015,TRUE,TRUE),1,8)</f>
        <v/>
      </c>
      <c r="AC1015" s="9">
        <f>INDEX(LINEST(L756:L1015,M756:T1015,TRUE,TRUE),1,7)</f>
        <v/>
      </c>
      <c r="AD1015" s="9">
        <f>INDEX(LINEST(L756:L1015,M756:T1015,TRUE,TRUE),1,6)</f>
        <v/>
      </c>
      <c r="AE1015" s="9">
        <f>INDEX(LINEST(L756:L1015,M756:T1015,TRUE,TRUE),1,5)</f>
        <v/>
      </c>
      <c r="AF1015" s="9">
        <f>INDEX(LINEST(L756:L1015,M756:T1015,TRUE,TRUE),1,4)</f>
        <v/>
      </c>
      <c r="AG1015" s="9">
        <f>INDEX(LINEST(L756:L1015,M756:T1015,TRUE,TRUE),1,3)</f>
        <v/>
      </c>
      <c r="AH1015" s="9">
        <f>INDEX(LINEST(L756:L1015,M756:T1015,TRUE,TRUE),1,2)</f>
        <v/>
      </c>
      <c r="AI1015" s="9">
        <f>INDEX(LINEST(L756:L1015,M756:T1015,TRUE,TRUE),1,1)</f>
        <v/>
      </c>
      <c r="AJ1015" s="10">
        <f>INDEX(LINEST(L756:L1015,M756:T1015,TRUE,TRUE),3,1)</f>
        <v/>
      </c>
      <c r="AK1015" s="9">
        <f>AA1014/52+AB1014*M1015+AC1014*N1015+AD1014*O1015+AE1014*P1015+AF1014*Q1015+AG1014*R1015+AH1014*S1015+AI1014*T1015</f>
        <v/>
      </c>
      <c r="AL1015" s="9">
        <f>AVERAGE(L755:L1014)</f>
        <v/>
      </c>
    </row>
    <row r="1016">
      <c r="A1016" s="7" t="n">
        <v>44722</v>
      </c>
      <c r="B1016" s="8" t="n">
        <v>1830</v>
      </c>
      <c r="C1016" s="8" t="n">
        <v>2.76</v>
      </c>
      <c r="D1016" s="8" t="n">
        <v>0.39</v>
      </c>
      <c r="E1016" s="8" t="n">
        <v>104.150002</v>
      </c>
      <c r="F1016" s="8" t="n">
        <v>120.73</v>
      </c>
      <c r="G1016" s="8" t="n">
        <v>27.75</v>
      </c>
      <c r="H1016" s="8" t="n">
        <v>114.230003</v>
      </c>
      <c r="I1016" s="8" t="n">
        <v>3900.860107</v>
      </c>
      <c r="J1016" s="8" t="n">
        <v>88.085182</v>
      </c>
      <c r="L1016" s="9">
        <f>LN(B1016/B1015)</f>
        <v/>
      </c>
      <c r="M1016" s="9">
        <f>$M$1*(C1016-C1015)</f>
        <v/>
      </c>
      <c r="N1016" s="9">
        <f>$N$1*(D1016-D1015)</f>
        <v/>
      </c>
      <c r="O1016" s="9">
        <f>$O$1*LN(E1016/E1015)</f>
        <v/>
      </c>
      <c r="P1016" s="9">
        <f>$P$1*LN(F1016/F1015)</f>
        <v/>
      </c>
      <c r="Q1016" s="9">
        <f>$Q$1*(G1016-G1015)</f>
        <v/>
      </c>
      <c r="R1016" s="9">
        <f>$R$1*(H1016-H1015)</f>
        <v/>
      </c>
      <c r="S1016" s="9">
        <f>$S$1*LN(I1016/I1015)</f>
        <v/>
      </c>
      <c r="T1016" s="9">
        <f>$T$1*LN(J1016/J1015)</f>
        <v/>
      </c>
      <c r="U1016" s="9">
        <f>$W$12+$W$4*M1016+$W$5*N1016+$W$6*O1016+$W$7*P1016+$W$8*Q1016+$W$9*R1016+$W$10*S1016+$W$11*T1016</f>
        <v/>
      </c>
      <c r="AA1016" s="10">
        <f>INDEX(LINEST(L757:L1016,M757:T1016,TRUE,TRUE),1,9)*52</f>
        <v/>
      </c>
      <c r="AB1016" s="9">
        <f>INDEX(LINEST(L757:L1016,M757:T1016,TRUE,TRUE),1,8)</f>
        <v/>
      </c>
      <c r="AC1016" s="9">
        <f>INDEX(LINEST(L757:L1016,M757:T1016,TRUE,TRUE),1,7)</f>
        <v/>
      </c>
      <c r="AD1016" s="9">
        <f>INDEX(LINEST(L757:L1016,M757:T1016,TRUE,TRUE),1,6)</f>
        <v/>
      </c>
      <c r="AE1016" s="9">
        <f>INDEX(LINEST(L757:L1016,M757:T1016,TRUE,TRUE),1,5)</f>
        <v/>
      </c>
      <c r="AF1016" s="9">
        <f>INDEX(LINEST(L757:L1016,M757:T1016,TRUE,TRUE),1,4)</f>
        <v/>
      </c>
      <c r="AG1016" s="9">
        <f>INDEX(LINEST(L757:L1016,M757:T1016,TRUE,TRUE),1,3)</f>
        <v/>
      </c>
      <c r="AH1016" s="9">
        <f>INDEX(LINEST(L757:L1016,M757:T1016,TRUE,TRUE),1,2)</f>
        <v/>
      </c>
      <c r="AI1016" s="9">
        <f>INDEX(LINEST(L757:L1016,M757:T1016,TRUE,TRUE),1,1)</f>
        <v/>
      </c>
      <c r="AJ1016" s="10">
        <f>INDEX(LINEST(L757:L1016,M757:T1016,TRUE,TRUE),3,1)</f>
        <v/>
      </c>
      <c r="AK1016" s="9">
        <f>AA1015/52+AB1015*M1016+AC1015*N1016+AD1015*O1016+AE1015*P1016+AF1015*Q1016+AG1015*R1016+AH1015*S1016+AI1015*T1016</f>
        <v/>
      </c>
      <c r="AL1016" s="9">
        <f>AVERAGE(L756:L1015)</f>
        <v/>
      </c>
    </row>
    <row r="1017">
      <c r="A1017" s="7" t="n">
        <v>44729</v>
      </c>
      <c r="B1017" s="8" t="n">
        <v>1841.55</v>
      </c>
      <c r="C1017" s="8" t="n">
        <v>2.58</v>
      </c>
      <c r="D1017" s="8" t="n">
        <v>0.67</v>
      </c>
      <c r="E1017" s="8" t="n">
        <v>104.699997</v>
      </c>
      <c r="F1017" s="8" t="n">
        <v>109.56</v>
      </c>
      <c r="G1017" s="8" t="n">
        <v>31.13</v>
      </c>
      <c r="H1017" s="8" t="n">
        <v>133.75</v>
      </c>
      <c r="I1017" s="8" t="n">
        <v>3674.840088</v>
      </c>
      <c r="J1017" s="8" t="n">
        <v>87.284874</v>
      </c>
      <c r="L1017" s="9">
        <f>LN(B1017/B1016)</f>
        <v/>
      </c>
      <c r="M1017" s="9">
        <f>$M$1*(C1017-C1016)</f>
        <v/>
      </c>
      <c r="N1017" s="9">
        <f>$N$1*(D1017-D1016)</f>
        <v/>
      </c>
      <c r="O1017" s="9">
        <f>$O$1*LN(E1017/E1016)</f>
        <v/>
      </c>
      <c r="P1017" s="9">
        <f>$P$1*LN(F1017/F1016)</f>
        <v/>
      </c>
      <c r="Q1017" s="9">
        <f>$Q$1*(G1017-G1016)</f>
        <v/>
      </c>
      <c r="R1017" s="9">
        <f>$R$1*(H1017-H1016)</f>
        <v/>
      </c>
      <c r="S1017" s="9">
        <f>$S$1*LN(I1017/I1016)</f>
        <v/>
      </c>
      <c r="T1017" s="9">
        <f>$T$1*LN(J1017/J1016)</f>
        <v/>
      </c>
      <c r="U1017" s="9">
        <f>$W$12+$W$4*M1017+$W$5*N1017+$W$6*O1017+$W$7*P1017+$W$8*Q1017+$W$9*R1017+$W$10*S1017+$W$11*T1017</f>
        <v/>
      </c>
      <c r="AA1017" s="10">
        <f>INDEX(LINEST(L758:L1017,M758:T1017,TRUE,TRUE),1,9)*52</f>
        <v/>
      </c>
      <c r="AB1017" s="9">
        <f>INDEX(LINEST(L758:L1017,M758:T1017,TRUE,TRUE),1,8)</f>
        <v/>
      </c>
      <c r="AC1017" s="9">
        <f>INDEX(LINEST(L758:L1017,M758:T1017,TRUE,TRUE),1,7)</f>
        <v/>
      </c>
      <c r="AD1017" s="9">
        <f>INDEX(LINEST(L758:L1017,M758:T1017,TRUE,TRUE),1,6)</f>
        <v/>
      </c>
      <c r="AE1017" s="9">
        <f>INDEX(LINEST(L758:L1017,M758:T1017,TRUE,TRUE),1,5)</f>
        <v/>
      </c>
      <c r="AF1017" s="9">
        <f>INDEX(LINEST(L758:L1017,M758:T1017,TRUE,TRUE),1,4)</f>
        <v/>
      </c>
      <c r="AG1017" s="9">
        <f>INDEX(LINEST(L758:L1017,M758:T1017,TRUE,TRUE),1,3)</f>
        <v/>
      </c>
      <c r="AH1017" s="9">
        <f>INDEX(LINEST(L758:L1017,M758:T1017,TRUE,TRUE),1,2)</f>
        <v/>
      </c>
      <c r="AI1017" s="9">
        <f>INDEX(LINEST(L758:L1017,M758:T1017,TRUE,TRUE),1,1)</f>
        <v/>
      </c>
      <c r="AJ1017" s="10">
        <f>INDEX(LINEST(L758:L1017,M758:T1017,TRUE,TRUE),3,1)</f>
        <v/>
      </c>
      <c r="AK1017" s="9">
        <f>AA1016/52+AB1016*M1017+AC1016*N1017+AD1016*O1017+AE1016*P1017+AF1016*Q1017+AG1016*R1017+AH1016*S1017+AI1016*T1017</f>
        <v/>
      </c>
      <c r="AL1017" s="9">
        <f>AVERAGE(L757:L1016)</f>
        <v/>
      </c>
    </row>
    <row r="1018">
      <c r="A1018" s="7" t="n">
        <v>44736</v>
      </c>
      <c r="B1018" s="8" t="n">
        <v>1825.45</v>
      </c>
      <c r="C1018" s="8" t="n">
        <v>2.56</v>
      </c>
      <c r="D1018" s="8" t="n">
        <v>0.57</v>
      </c>
      <c r="E1018" s="8" t="n">
        <v>104.190002</v>
      </c>
      <c r="F1018" s="8" t="n">
        <v>109.07</v>
      </c>
      <c r="G1018" s="8" t="n">
        <v>27.23</v>
      </c>
      <c r="H1018" s="8" t="n">
        <v>127</v>
      </c>
      <c r="I1018" s="8" t="n">
        <v>3911.73999</v>
      </c>
      <c r="J1018" s="8" t="n">
        <v>87.902489</v>
      </c>
      <c r="L1018" s="9">
        <f>LN(B1018/B1017)</f>
        <v/>
      </c>
      <c r="M1018" s="9">
        <f>$M$1*(C1018-C1017)</f>
        <v/>
      </c>
      <c r="N1018" s="9">
        <f>$N$1*(D1018-D1017)</f>
        <v/>
      </c>
      <c r="O1018" s="9">
        <f>$O$1*LN(E1018/E1017)</f>
        <v/>
      </c>
      <c r="P1018" s="9">
        <f>$P$1*LN(F1018/F1017)</f>
        <v/>
      </c>
      <c r="Q1018" s="9">
        <f>$Q$1*(G1018-G1017)</f>
        <v/>
      </c>
      <c r="R1018" s="9">
        <f>$R$1*(H1018-H1017)</f>
        <v/>
      </c>
      <c r="S1018" s="9">
        <f>$S$1*LN(I1018/I1017)</f>
        <v/>
      </c>
      <c r="T1018" s="9">
        <f>$T$1*LN(J1018/J1017)</f>
        <v/>
      </c>
      <c r="U1018" s="9">
        <f>$W$12+$W$4*M1018+$W$5*N1018+$W$6*O1018+$W$7*P1018+$W$8*Q1018+$W$9*R1018+$W$10*S1018+$W$11*T1018</f>
        <v/>
      </c>
      <c r="AA1018" s="10">
        <f>INDEX(LINEST(L759:L1018,M759:T1018,TRUE,TRUE),1,9)*52</f>
        <v/>
      </c>
      <c r="AB1018" s="9">
        <f>INDEX(LINEST(L759:L1018,M759:T1018,TRUE,TRUE),1,8)</f>
        <v/>
      </c>
      <c r="AC1018" s="9">
        <f>INDEX(LINEST(L759:L1018,M759:T1018,TRUE,TRUE),1,7)</f>
        <v/>
      </c>
      <c r="AD1018" s="9">
        <f>INDEX(LINEST(L759:L1018,M759:T1018,TRUE,TRUE),1,6)</f>
        <v/>
      </c>
      <c r="AE1018" s="9">
        <f>INDEX(LINEST(L759:L1018,M759:T1018,TRUE,TRUE),1,5)</f>
        <v/>
      </c>
      <c r="AF1018" s="9">
        <f>INDEX(LINEST(L759:L1018,M759:T1018,TRUE,TRUE),1,4)</f>
        <v/>
      </c>
      <c r="AG1018" s="9">
        <f>INDEX(LINEST(L759:L1018,M759:T1018,TRUE,TRUE),1,3)</f>
        <v/>
      </c>
      <c r="AH1018" s="9">
        <f>INDEX(LINEST(L759:L1018,M759:T1018,TRUE,TRUE),1,2)</f>
        <v/>
      </c>
      <c r="AI1018" s="9">
        <f>INDEX(LINEST(L759:L1018,M759:T1018,TRUE,TRUE),1,1)</f>
        <v/>
      </c>
      <c r="AJ1018" s="10">
        <f>INDEX(LINEST(L759:L1018,M759:T1018,TRUE,TRUE),3,1)</f>
        <v/>
      </c>
      <c r="AK1018" s="9">
        <f>AA1017/52+AB1017*M1018+AC1017*N1018+AD1017*O1018+AE1017*P1018+AF1017*Q1018+AG1017*R1018+AH1017*S1018+AI1017*T1018</f>
        <v/>
      </c>
      <c r="AL1018" s="9">
        <f>AVERAGE(L758:L1017)</f>
        <v/>
      </c>
    </row>
    <row r="1019">
      <c r="A1019" s="7" t="n">
        <v>44743</v>
      </c>
      <c r="B1019" s="8" t="n">
        <v>1797.45</v>
      </c>
      <c r="C1019" s="8" t="n">
        <v>2.34</v>
      </c>
      <c r="D1019" s="8" t="n">
        <v>0.54</v>
      </c>
      <c r="E1019" s="8" t="n">
        <v>105.139999</v>
      </c>
      <c r="F1019" s="8" t="n">
        <v>110.3</v>
      </c>
      <c r="G1019" s="8" t="n">
        <v>26.7</v>
      </c>
      <c r="H1019" s="8" t="n">
        <v>144.169998</v>
      </c>
      <c r="I1019" s="8" t="n">
        <v>3825.330078</v>
      </c>
      <c r="J1019" s="8" t="n">
        <v>89.18782</v>
      </c>
      <c r="L1019" s="9">
        <f>LN(B1019/B1018)</f>
        <v/>
      </c>
      <c r="M1019" s="9">
        <f>$M$1*(C1019-C1018)</f>
        <v/>
      </c>
      <c r="N1019" s="9">
        <f>$N$1*(D1019-D1018)</f>
        <v/>
      </c>
      <c r="O1019" s="9">
        <f>$O$1*LN(E1019/E1018)</f>
        <v/>
      </c>
      <c r="P1019" s="9">
        <f>$P$1*LN(F1019/F1018)</f>
        <v/>
      </c>
      <c r="Q1019" s="9">
        <f>$Q$1*(G1019-G1018)</f>
        <v/>
      </c>
      <c r="R1019" s="9">
        <f>$R$1*(H1019-H1018)</f>
        <v/>
      </c>
      <c r="S1019" s="9">
        <f>$S$1*LN(I1019/I1018)</f>
        <v/>
      </c>
      <c r="T1019" s="9">
        <f>$T$1*LN(J1019/J1018)</f>
        <v/>
      </c>
      <c r="U1019" s="9">
        <f>$W$12+$W$4*M1019+$W$5*N1019+$W$6*O1019+$W$7*P1019+$W$8*Q1019+$W$9*R1019+$W$10*S1019+$W$11*T1019</f>
        <v/>
      </c>
      <c r="AA1019" s="10">
        <f>INDEX(LINEST(L760:L1019,M760:T1019,TRUE,TRUE),1,9)*52</f>
        <v/>
      </c>
      <c r="AB1019" s="9">
        <f>INDEX(LINEST(L760:L1019,M760:T1019,TRUE,TRUE),1,8)</f>
        <v/>
      </c>
      <c r="AC1019" s="9">
        <f>INDEX(LINEST(L760:L1019,M760:T1019,TRUE,TRUE),1,7)</f>
        <v/>
      </c>
      <c r="AD1019" s="9">
        <f>INDEX(LINEST(L760:L1019,M760:T1019,TRUE,TRUE),1,6)</f>
        <v/>
      </c>
      <c r="AE1019" s="9">
        <f>INDEX(LINEST(L760:L1019,M760:T1019,TRUE,TRUE),1,5)</f>
        <v/>
      </c>
      <c r="AF1019" s="9">
        <f>INDEX(LINEST(L760:L1019,M760:T1019,TRUE,TRUE),1,4)</f>
        <v/>
      </c>
      <c r="AG1019" s="9">
        <f>INDEX(LINEST(L760:L1019,M760:T1019,TRUE,TRUE),1,3)</f>
        <v/>
      </c>
      <c r="AH1019" s="9">
        <f>INDEX(LINEST(L760:L1019,M760:T1019,TRUE,TRUE),1,2)</f>
        <v/>
      </c>
      <c r="AI1019" s="9">
        <f>INDEX(LINEST(L760:L1019,M760:T1019,TRUE,TRUE),1,1)</f>
        <v/>
      </c>
      <c r="AJ1019" s="10">
        <f>INDEX(LINEST(L760:L1019,M760:T1019,TRUE,TRUE),3,1)</f>
        <v/>
      </c>
      <c r="AK1019" s="9">
        <f>AA1018/52+AB1018*M1019+AC1018*N1019+AD1018*O1019+AE1018*P1019+AF1018*Q1019+AG1018*R1019+AH1018*S1019+AI1018*T1019</f>
        <v/>
      </c>
      <c r="AL1019" s="9">
        <f>AVERAGE(L759:L1018)</f>
        <v/>
      </c>
    </row>
    <row r="1020">
      <c r="A1020" s="7" t="n">
        <v>44750</v>
      </c>
      <c r="B1020" s="8" t="n">
        <v>1738.2</v>
      </c>
      <c r="C1020" s="8" t="n">
        <v>2.37</v>
      </c>
      <c r="D1020" s="8" t="n">
        <v>0.72</v>
      </c>
      <c r="E1020" s="8" t="n">
        <v>107.010002</v>
      </c>
      <c r="F1020" s="8" t="n">
        <v>106.78</v>
      </c>
      <c r="G1020" s="8" t="n">
        <v>24.64</v>
      </c>
      <c r="H1020" s="8" t="n">
        <v>145.25</v>
      </c>
      <c r="I1020" s="8" t="n">
        <v>3899.379883</v>
      </c>
      <c r="J1020" s="8" t="n">
        <v>88.220451</v>
      </c>
      <c r="L1020" s="9">
        <f>LN(B1020/B1019)</f>
        <v/>
      </c>
      <c r="M1020" s="9">
        <f>$M$1*(C1020-C1019)</f>
        <v/>
      </c>
      <c r="N1020" s="9">
        <f>$N$1*(D1020-D1019)</f>
        <v/>
      </c>
      <c r="O1020" s="9">
        <f>$O$1*LN(E1020/E1019)</f>
        <v/>
      </c>
      <c r="P1020" s="9">
        <f>$P$1*LN(F1020/F1019)</f>
        <v/>
      </c>
      <c r="Q1020" s="9">
        <f>$Q$1*(G1020-G1019)</f>
        <v/>
      </c>
      <c r="R1020" s="9">
        <f>$R$1*(H1020-H1019)</f>
        <v/>
      </c>
      <c r="S1020" s="9">
        <f>$S$1*LN(I1020/I1019)</f>
        <v/>
      </c>
      <c r="T1020" s="9">
        <f>$T$1*LN(J1020/J1019)</f>
        <v/>
      </c>
      <c r="U1020" s="9">
        <f>$W$12+$W$4*M1020+$W$5*N1020+$W$6*O1020+$W$7*P1020+$W$8*Q1020+$W$9*R1020+$W$10*S1020+$W$11*T1020</f>
        <v/>
      </c>
      <c r="AA1020" s="10">
        <f>INDEX(LINEST(L761:L1020,M761:T1020,TRUE,TRUE),1,9)*52</f>
        <v/>
      </c>
      <c r="AB1020" s="9">
        <f>INDEX(LINEST(L761:L1020,M761:T1020,TRUE,TRUE),1,8)</f>
        <v/>
      </c>
      <c r="AC1020" s="9">
        <f>INDEX(LINEST(L761:L1020,M761:T1020,TRUE,TRUE),1,7)</f>
        <v/>
      </c>
      <c r="AD1020" s="9">
        <f>INDEX(LINEST(L761:L1020,M761:T1020,TRUE,TRUE),1,6)</f>
        <v/>
      </c>
      <c r="AE1020" s="9">
        <f>INDEX(LINEST(L761:L1020,M761:T1020,TRUE,TRUE),1,5)</f>
        <v/>
      </c>
      <c r="AF1020" s="9">
        <f>INDEX(LINEST(L761:L1020,M761:T1020,TRUE,TRUE),1,4)</f>
        <v/>
      </c>
      <c r="AG1020" s="9">
        <f>INDEX(LINEST(L761:L1020,M761:T1020,TRUE,TRUE),1,3)</f>
        <v/>
      </c>
      <c r="AH1020" s="9">
        <f>INDEX(LINEST(L761:L1020,M761:T1020,TRUE,TRUE),1,2)</f>
        <v/>
      </c>
      <c r="AI1020" s="9">
        <f>INDEX(LINEST(L761:L1020,M761:T1020,TRUE,TRUE),1,1)</f>
        <v/>
      </c>
      <c r="AJ1020" s="10">
        <f>INDEX(LINEST(L761:L1020,M761:T1020,TRUE,TRUE),3,1)</f>
        <v/>
      </c>
      <c r="AK1020" s="9">
        <f>AA1019/52+AB1019*M1020+AC1019*N1020+AD1019*O1020+AE1019*P1020+AF1019*Q1020+AG1019*R1020+AH1019*S1020+AI1019*T1020</f>
        <v/>
      </c>
      <c r="AL1020" s="9">
        <f>AVERAGE(L760:L1019)</f>
        <v/>
      </c>
    </row>
    <row r="1021">
      <c r="A1021" s="7" t="n">
        <v>44757</v>
      </c>
      <c r="B1021" s="8" t="n">
        <v>1706.15</v>
      </c>
      <c r="C1021" s="8" t="n">
        <v>2.36</v>
      </c>
      <c r="D1021" s="8" t="n">
        <v>0.57</v>
      </c>
      <c r="E1021" s="8" t="n">
        <v>108.059998</v>
      </c>
      <c r="F1021" s="8" t="n">
        <v>99.59</v>
      </c>
      <c r="G1021" s="8" t="n">
        <v>24.23</v>
      </c>
      <c r="H1021" s="8" t="n">
        <v>129.850006</v>
      </c>
      <c r="I1021" s="8" t="n">
        <v>3863.159912</v>
      </c>
      <c r="J1021" s="8" t="n">
        <v>89.109375</v>
      </c>
      <c r="L1021" s="9">
        <f>LN(B1021/B1020)</f>
        <v/>
      </c>
      <c r="M1021" s="9">
        <f>$M$1*(C1021-C1020)</f>
        <v/>
      </c>
      <c r="N1021" s="9">
        <f>$N$1*(D1021-D1020)</f>
        <v/>
      </c>
      <c r="O1021" s="9">
        <f>$O$1*LN(E1021/E1020)</f>
        <v/>
      </c>
      <c r="P1021" s="9">
        <f>$P$1*LN(F1021/F1020)</f>
        <v/>
      </c>
      <c r="Q1021" s="9">
        <f>$Q$1*(G1021-G1020)</f>
        <v/>
      </c>
      <c r="R1021" s="9">
        <f>$R$1*(H1021-H1020)</f>
        <v/>
      </c>
      <c r="S1021" s="9">
        <f>$S$1*LN(I1021/I1020)</f>
        <v/>
      </c>
      <c r="T1021" s="9">
        <f>$T$1*LN(J1021/J1020)</f>
        <v/>
      </c>
      <c r="U1021" s="9">
        <f>$W$12+$W$4*M1021+$W$5*N1021+$W$6*O1021+$W$7*P1021+$W$8*Q1021+$W$9*R1021+$W$10*S1021+$W$11*T1021</f>
        <v/>
      </c>
      <c r="AA1021" s="10">
        <f>INDEX(LINEST(L762:L1021,M762:T1021,TRUE,TRUE),1,9)*52</f>
        <v/>
      </c>
      <c r="AB1021" s="9">
        <f>INDEX(LINEST(L762:L1021,M762:T1021,TRUE,TRUE),1,8)</f>
        <v/>
      </c>
      <c r="AC1021" s="9">
        <f>INDEX(LINEST(L762:L1021,M762:T1021,TRUE,TRUE),1,7)</f>
        <v/>
      </c>
      <c r="AD1021" s="9">
        <f>INDEX(LINEST(L762:L1021,M762:T1021,TRUE,TRUE),1,6)</f>
        <v/>
      </c>
      <c r="AE1021" s="9">
        <f>INDEX(LINEST(L762:L1021,M762:T1021,TRUE,TRUE),1,5)</f>
        <v/>
      </c>
      <c r="AF1021" s="9">
        <f>INDEX(LINEST(L762:L1021,M762:T1021,TRUE,TRUE),1,4)</f>
        <v/>
      </c>
      <c r="AG1021" s="9">
        <f>INDEX(LINEST(L762:L1021,M762:T1021,TRUE,TRUE),1,3)</f>
        <v/>
      </c>
      <c r="AH1021" s="9">
        <f>INDEX(LINEST(L762:L1021,M762:T1021,TRUE,TRUE),1,2)</f>
        <v/>
      </c>
      <c r="AI1021" s="9">
        <f>INDEX(LINEST(L762:L1021,M762:T1021,TRUE,TRUE),1,1)</f>
        <v/>
      </c>
      <c r="AJ1021" s="10">
        <f>INDEX(LINEST(L762:L1021,M762:T1021,TRUE,TRUE),3,1)</f>
        <v/>
      </c>
      <c r="AK1021" s="9">
        <f>AA1020/52+AB1020*M1021+AC1020*N1021+AD1020*O1021+AE1020*P1021+AF1020*Q1021+AG1020*R1021+AH1020*S1021+AI1020*T1021</f>
        <v/>
      </c>
      <c r="AL1021" s="9">
        <f>AVERAGE(L761:L1020)</f>
        <v/>
      </c>
    </row>
    <row r="1022">
      <c r="A1022" s="7" t="n">
        <v>44764</v>
      </c>
      <c r="B1022" s="8" t="n">
        <v>1736.95</v>
      </c>
      <c r="C1022" s="8" t="n">
        <v>2.34</v>
      </c>
      <c r="D1022" s="8" t="n">
        <v>0.43</v>
      </c>
      <c r="E1022" s="8" t="n">
        <v>106.730003</v>
      </c>
      <c r="F1022" s="8" t="n">
        <v>97.70999999999999</v>
      </c>
      <c r="G1022" s="8" t="n">
        <v>23.03</v>
      </c>
      <c r="H1022" s="8" t="n">
        <v>123.699997</v>
      </c>
      <c r="I1022" s="8" t="n">
        <v>3961.629883</v>
      </c>
      <c r="J1022" s="8" t="n">
        <v>90.07674400000001</v>
      </c>
      <c r="L1022" s="9">
        <f>LN(B1022/B1021)</f>
        <v/>
      </c>
      <c r="M1022" s="9">
        <f>$M$1*(C1022-C1021)</f>
        <v/>
      </c>
      <c r="N1022" s="9">
        <f>$N$1*(D1022-D1021)</f>
        <v/>
      </c>
      <c r="O1022" s="9">
        <f>$O$1*LN(E1022/E1021)</f>
        <v/>
      </c>
      <c r="P1022" s="9">
        <f>$P$1*LN(F1022/F1021)</f>
        <v/>
      </c>
      <c r="Q1022" s="9">
        <f>$Q$1*(G1022-G1021)</f>
        <v/>
      </c>
      <c r="R1022" s="9">
        <f>$R$1*(H1022-H1021)</f>
        <v/>
      </c>
      <c r="S1022" s="9">
        <f>$S$1*LN(I1022/I1021)</f>
        <v/>
      </c>
      <c r="T1022" s="9">
        <f>$T$1*LN(J1022/J1021)</f>
        <v/>
      </c>
      <c r="U1022" s="9">
        <f>$W$12+$W$4*M1022+$W$5*N1022+$W$6*O1022+$W$7*P1022+$W$8*Q1022+$W$9*R1022+$W$10*S1022+$W$11*T1022</f>
        <v/>
      </c>
      <c r="AA1022" s="10">
        <f>INDEX(LINEST(L763:L1022,M763:T1022,TRUE,TRUE),1,9)*52</f>
        <v/>
      </c>
      <c r="AB1022" s="9">
        <f>INDEX(LINEST(L763:L1022,M763:T1022,TRUE,TRUE),1,8)</f>
        <v/>
      </c>
      <c r="AC1022" s="9">
        <f>INDEX(LINEST(L763:L1022,M763:T1022,TRUE,TRUE),1,7)</f>
        <v/>
      </c>
      <c r="AD1022" s="9">
        <f>INDEX(LINEST(L763:L1022,M763:T1022,TRUE,TRUE),1,6)</f>
        <v/>
      </c>
      <c r="AE1022" s="9">
        <f>INDEX(LINEST(L763:L1022,M763:T1022,TRUE,TRUE),1,5)</f>
        <v/>
      </c>
      <c r="AF1022" s="9">
        <f>INDEX(LINEST(L763:L1022,M763:T1022,TRUE,TRUE),1,4)</f>
        <v/>
      </c>
      <c r="AG1022" s="9">
        <f>INDEX(LINEST(L763:L1022,M763:T1022,TRUE,TRUE),1,3)</f>
        <v/>
      </c>
      <c r="AH1022" s="9">
        <f>INDEX(LINEST(L763:L1022,M763:T1022,TRUE,TRUE),1,2)</f>
        <v/>
      </c>
      <c r="AI1022" s="9">
        <f>INDEX(LINEST(L763:L1022,M763:T1022,TRUE,TRUE),1,1)</f>
        <v/>
      </c>
      <c r="AJ1022" s="10">
        <f>INDEX(LINEST(L763:L1022,M763:T1022,TRUE,TRUE),3,1)</f>
        <v/>
      </c>
      <c r="AK1022" s="9">
        <f>AA1021/52+AB1021*M1022+AC1021*N1022+AD1021*O1022+AE1021*P1022+AF1021*Q1022+AG1021*R1022+AH1021*S1022+AI1021*T1022</f>
        <v/>
      </c>
      <c r="AL1022" s="9">
        <f>AVERAGE(L762:L1021)</f>
        <v/>
      </c>
    </row>
    <row r="1023">
      <c r="A1023" s="7" t="n">
        <v>44771</v>
      </c>
      <c r="B1023" s="8" t="n">
        <v>1753.4</v>
      </c>
      <c r="C1023" s="8" t="n">
        <v>2.53</v>
      </c>
      <c r="D1023" s="8" t="n">
        <v>0.14</v>
      </c>
      <c r="E1023" s="8" t="n">
        <v>105.900002</v>
      </c>
      <c r="F1023" s="8" t="n">
        <v>101.31</v>
      </c>
      <c r="G1023" s="8" t="n">
        <v>21.33</v>
      </c>
      <c r="H1023" s="8" t="n">
        <v>116.360001</v>
      </c>
      <c r="I1023" s="8" t="n">
        <v>4130.290039</v>
      </c>
      <c r="J1023" s="8" t="n">
        <v>90.69547300000001</v>
      </c>
      <c r="L1023" s="9">
        <f>LN(B1023/B1022)</f>
        <v/>
      </c>
      <c r="M1023" s="9">
        <f>$M$1*(C1023-C1022)</f>
        <v/>
      </c>
      <c r="N1023" s="9">
        <f>$N$1*(D1023-D1022)</f>
        <v/>
      </c>
      <c r="O1023" s="9">
        <f>$O$1*LN(E1023/E1022)</f>
        <v/>
      </c>
      <c r="P1023" s="9">
        <f>$P$1*LN(F1023/F1022)</f>
        <v/>
      </c>
      <c r="Q1023" s="9">
        <f>$Q$1*(G1023-G1022)</f>
        <v/>
      </c>
      <c r="R1023" s="9">
        <f>$R$1*(H1023-H1022)</f>
        <v/>
      </c>
      <c r="S1023" s="9">
        <f>$S$1*LN(I1023/I1022)</f>
        <v/>
      </c>
      <c r="T1023" s="9">
        <f>$T$1*LN(J1023/J1022)</f>
        <v/>
      </c>
      <c r="U1023" s="9">
        <f>$W$12+$W$4*M1023+$W$5*N1023+$W$6*O1023+$W$7*P1023+$W$8*Q1023+$W$9*R1023+$W$10*S1023+$W$11*T1023</f>
        <v/>
      </c>
      <c r="AA1023" s="10">
        <f>INDEX(LINEST(L764:L1023,M764:T1023,TRUE,TRUE),1,9)*52</f>
        <v/>
      </c>
      <c r="AB1023" s="9">
        <f>INDEX(LINEST(L764:L1023,M764:T1023,TRUE,TRUE),1,8)</f>
        <v/>
      </c>
      <c r="AC1023" s="9">
        <f>INDEX(LINEST(L764:L1023,M764:T1023,TRUE,TRUE),1,7)</f>
        <v/>
      </c>
      <c r="AD1023" s="9">
        <f>INDEX(LINEST(L764:L1023,M764:T1023,TRUE,TRUE),1,6)</f>
        <v/>
      </c>
      <c r="AE1023" s="9">
        <f>INDEX(LINEST(L764:L1023,M764:T1023,TRUE,TRUE),1,5)</f>
        <v/>
      </c>
      <c r="AF1023" s="9">
        <f>INDEX(LINEST(L764:L1023,M764:T1023,TRUE,TRUE),1,4)</f>
        <v/>
      </c>
      <c r="AG1023" s="9">
        <f>INDEX(LINEST(L764:L1023,M764:T1023,TRUE,TRUE),1,3)</f>
        <v/>
      </c>
      <c r="AH1023" s="9">
        <f>INDEX(LINEST(L764:L1023,M764:T1023,TRUE,TRUE),1,2)</f>
        <v/>
      </c>
      <c r="AI1023" s="9">
        <f>INDEX(LINEST(L764:L1023,M764:T1023,TRUE,TRUE),1,1)</f>
        <v/>
      </c>
      <c r="AJ1023" s="10">
        <f>INDEX(LINEST(L764:L1023,M764:T1023,TRUE,TRUE),3,1)</f>
        <v/>
      </c>
      <c r="AK1023" s="9">
        <f>AA1022/52+AB1022*M1023+AC1022*N1023+AD1022*O1023+AE1022*P1023+AF1022*Q1023+AG1022*R1023+AH1022*S1023+AI1022*T1023</f>
        <v/>
      </c>
      <c r="AL1023" s="9">
        <f>AVERAGE(L763:L1022)</f>
        <v/>
      </c>
    </row>
    <row r="1024">
      <c r="A1024" s="7" t="n">
        <v>44778</v>
      </c>
      <c r="B1024" s="8" t="n">
        <v>1773.25</v>
      </c>
      <c r="C1024" s="8" t="n">
        <v>2.46</v>
      </c>
      <c r="D1024" s="8" t="n">
        <v>0.37</v>
      </c>
      <c r="E1024" s="8" t="n">
        <v>106.620003</v>
      </c>
      <c r="F1024" s="8" t="n">
        <v>91.77</v>
      </c>
      <c r="G1024" s="8" t="n">
        <v>21.15</v>
      </c>
      <c r="H1024" s="8" t="n">
        <v>122.580002</v>
      </c>
      <c r="I1024" s="8" t="n">
        <v>4145.189941</v>
      </c>
      <c r="J1024" s="8" t="n">
        <v>89.682587</v>
      </c>
      <c r="L1024" s="9">
        <f>LN(B1024/B1023)</f>
        <v/>
      </c>
      <c r="M1024" s="9">
        <f>$M$1*(C1024-C1023)</f>
        <v/>
      </c>
      <c r="N1024" s="9">
        <f>$N$1*(D1024-D1023)</f>
        <v/>
      </c>
      <c r="O1024" s="9">
        <f>$O$1*LN(E1024/E1023)</f>
        <v/>
      </c>
      <c r="P1024" s="9">
        <f>$P$1*LN(F1024/F1023)</f>
        <v/>
      </c>
      <c r="Q1024" s="9">
        <f>$Q$1*(G1024-G1023)</f>
        <v/>
      </c>
      <c r="R1024" s="9">
        <f>$R$1*(H1024-H1023)</f>
        <v/>
      </c>
      <c r="S1024" s="9">
        <f>$S$1*LN(I1024/I1023)</f>
        <v/>
      </c>
      <c r="T1024" s="9">
        <f>$T$1*LN(J1024/J1023)</f>
        <v/>
      </c>
      <c r="U1024" s="9">
        <f>$W$12+$W$4*M1024+$W$5*N1024+$W$6*O1024+$W$7*P1024+$W$8*Q1024+$W$9*R1024+$W$10*S1024+$W$11*T1024</f>
        <v/>
      </c>
      <c r="AA1024" s="10">
        <f>INDEX(LINEST(L765:L1024,M765:T1024,TRUE,TRUE),1,9)*52</f>
        <v/>
      </c>
      <c r="AB1024" s="9">
        <f>INDEX(LINEST(L765:L1024,M765:T1024,TRUE,TRUE),1,8)</f>
        <v/>
      </c>
      <c r="AC1024" s="9">
        <f>INDEX(LINEST(L765:L1024,M765:T1024,TRUE,TRUE),1,7)</f>
        <v/>
      </c>
      <c r="AD1024" s="9">
        <f>INDEX(LINEST(L765:L1024,M765:T1024,TRUE,TRUE),1,6)</f>
        <v/>
      </c>
      <c r="AE1024" s="9">
        <f>INDEX(LINEST(L765:L1024,M765:T1024,TRUE,TRUE),1,5)</f>
        <v/>
      </c>
      <c r="AF1024" s="9">
        <f>INDEX(LINEST(L765:L1024,M765:T1024,TRUE,TRUE),1,4)</f>
        <v/>
      </c>
      <c r="AG1024" s="9">
        <f>INDEX(LINEST(L765:L1024,M765:T1024,TRUE,TRUE),1,3)</f>
        <v/>
      </c>
      <c r="AH1024" s="9">
        <f>INDEX(LINEST(L765:L1024,M765:T1024,TRUE,TRUE),1,2)</f>
        <v/>
      </c>
      <c r="AI1024" s="9">
        <f>INDEX(LINEST(L765:L1024,M765:T1024,TRUE,TRUE),1,1)</f>
        <v/>
      </c>
      <c r="AJ1024" s="10">
        <f>INDEX(LINEST(L765:L1024,M765:T1024,TRUE,TRUE),3,1)</f>
        <v/>
      </c>
      <c r="AK1024" s="9">
        <f>AA1023/52+AB1023*M1024+AC1023*N1024+AD1023*O1024+AE1023*P1024+AF1023*Q1024+AG1023*R1024+AH1023*S1024+AI1023*T1024</f>
        <v/>
      </c>
      <c r="AL1024" s="9">
        <f>AVERAGE(L764:L1023)</f>
        <v/>
      </c>
    </row>
    <row r="1025">
      <c r="A1025" s="7" t="n">
        <v>44785</v>
      </c>
      <c r="B1025" s="8" t="n">
        <v>1792.1</v>
      </c>
      <c r="C1025" s="8" t="n">
        <v>2.47</v>
      </c>
      <c r="D1025" s="8" t="n">
        <v>0.37</v>
      </c>
      <c r="E1025" s="8" t="n">
        <v>105.629997</v>
      </c>
      <c r="F1025" s="8" t="n">
        <v>94.86</v>
      </c>
      <c r="G1025" s="8" t="n">
        <v>19.53</v>
      </c>
      <c r="H1025" s="8" t="n">
        <v>106.279999</v>
      </c>
      <c r="I1025" s="8" t="n">
        <v>4280.149902</v>
      </c>
      <c r="J1025" s="8" t="n">
        <v>90.040581</v>
      </c>
      <c r="L1025" s="9">
        <f>LN(B1025/B1024)</f>
        <v/>
      </c>
      <c r="M1025" s="9">
        <f>$M$1*(C1025-C1024)</f>
        <v/>
      </c>
      <c r="N1025" s="9">
        <f>$N$1*(D1025-D1024)</f>
        <v/>
      </c>
      <c r="O1025" s="9">
        <f>$O$1*LN(E1025/E1024)</f>
        <v/>
      </c>
      <c r="P1025" s="9">
        <f>$P$1*LN(F1025/F1024)</f>
        <v/>
      </c>
      <c r="Q1025" s="9">
        <f>$Q$1*(G1025-G1024)</f>
        <v/>
      </c>
      <c r="R1025" s="9">
        <f>$R$1*(H1025-H1024)</f>
        <v/>
      </c>
      <c r="S1025" s="9">
        <f>$S$1*LN(I1025/I1024)</f>
        <v/>
      </c>
      <c r="T1025" s="9">
        <f>$T$1*LN(J1025/J1024)</f>
        <v/>
      </c>
      <c r="U1025" s="9">
        <f>$W$12+$W$4*M1025+$W$5*N1025+$W$6*O1025+$W$7*P1025+$W$8*Q1025+$W$9*R1025+$W$10*S1025+$W$11*T1025</f>
        <v/>
      </c>
      <c r="AA1025" s="10">
        <f>INDEX(LINEST(L766:L1025,M766:T1025,TRUE,TRUE),1,9)*52</f>
        <v/>
      </c>
      <c r="AB1025" s="9">
        <f>INDEX(LINEST(L766:L1025,M766:T1025,TRUE,TRUE),1,8)</f>
        <v/>
      </c>
      <c r="AC1025" s="9">
        <f>INDEX(LINEST(L766:L1025,M766:T1025,TRUE,TRUE),1,7)</f>
        <v/>
      </c>
      <c r="AD1025" s="9">
        <f>INDEX(LINEST(L766:L1025,M766:T1025,TRUE,TRUE),1,6)</f>
        <v/>
      </c>
      <c r="AE1025" s="9">
        <f>INDEX(LINEST(L766:L1025,M766:T1025,TRUE,TRUE),1,5)</f>
        <v/>
      </c>
      <c r="AF1025" s="9">
        <f>INDEX(LINEST(L766:L1025,M766:T1025,TRUE,TRUE),1,4)</f>
        <v/>
      </c>
      <c r="AG1025" s="9">
        <f>INDEX(LINEST(L766:L1025,M766:T1025,TRUE,TRUE),1,3)</f>
        <v/>
      </c>
      <c r="AH1025" s="9">
        <f>INDEX(LINEST(L766:L1025,M766:T1025,TRUE,TRUE),1,2)</f>
        <v/>
      </c>
      <c r="AI1025" s="9">
        <f>INDEX(LINEST(L766:L1025,M766:T1025,TRUE,TRUE),1,1)</f>
        <v/>
      </c>
      <c r="AJ1025" s="10">
        <f>INDEX(LINEST(L766:L1025,M766:T1025,TRUE,TRUE),3,1)</f>
        <v/>
      </c>
      <c r="AK1025" s="9">
        <f>AA1024/52+AB1024*M1025+AC1024*N1025+AD1024*O1025+AE1024*P1025+AF1024*Q1025+AG1024*R1025+AH1024*S1025+AI1024*T1025</f>
        <v/>
      </c>
      <c r="AL1025" s="9">
        <f>AVERAGE(L765:L1024)</f>
        <v/>
      </c>
    </row>
    <row r="1026">
      <c r="A1026" s="7" t="n">
        <v>44792</v>
      </c>
      <c r="B1026" s="8" t="n">
        <v>1750.75</v>
      </c>
      <c r="C1026" s="8" t="n">
        <v>2.55</v>
      </c>
      <c r="D1026" s="8" t="n">
        <v>0.43</v>
      </c>
      <c r="E1026" s="8" t="n">
        <v>108.169998</v>
      </c>
      <c r="F1026" s="8" t="n">
        <v>93.55</v>
      </c>
      <c r="G1026" s="8" t="n">
        <v>20.6</v>
      </c>
      <c r="H1026" s="8" t="n">
        <v>123.809998</v>
      </c>
      <c r="I1026" s="8" t="n">
        <v>4228.47998</v>
      </c>
      <c r="J1026" s="8" t="n">
        <v>89.053909</v>
      </c>
      <c r="L1026" s="9">
        <f>LN(B1026/B1025)</f>
        <v/>
      </c>
      <c r="M1026" s="9">
        <f>$M$1*(C1026-C1025)</f>
        <v/>
      </c>
      <c r="N1026" s="9">
        <f>$N$1*(D1026-D1025)</f>
        <v/>
      </c>
      <c r="O1026" s="9">
        <f>$O$1*LN(E1026/E1025)</f>
        <v/>
      </c>
      <c r="P1026" s="9">
        <f>$P$1*LN(F1026/F1025)</f>
        <v/>
      </c>
      <c r="Q1026" s="9">
        <f>$Q$1*(G1026-G1025)</f>
        <v/>
      </c>
      <c r="R1026" s="9">
        <f>$R$1*(H1026-H1025)</f>
        <v/>
      </c>
      <c r="S1026" s="9">
        <f>$S$1*LN(I1026/I1025)</f>
        <v/>
      </c>
      <c r="T1026" s="9">
        <f>$T$1*LN(J1026/J1025)</f>
        <v/>
      </c>
      <c r="U1026" s="9">
        <f>$W$12+$W$4*M1026+$W$5*N1026+$W$6*O1026+$W$7*P1026+$W$8*Q1026+$W$9*R1026+$W$10*S1026+$W$11*T1026</f>
        <v/>
      </c>
      <c r="AA1026" s="10">
        <f>INDEX(LINEST(L767:L1026,M767:T1026,TRUE,TRUE),1,9)*52</f>
        <v/>
      </c>
      <c r="AB1026" s="9">
        <f>INDEX(LINEST(L767:L1026,M767:T1026,TRUE,TRUE),1,8)</f>
        <v/>
      </c>
      <c r="AC1026" s="9">
        <f>INDEX(LINEST(L767:L1026,M767:T1026,TRUE,TRUE),1,7)</f>
        <v/>
      </c>
      <c r="AD1026" s="9">
        <f>INDEX(LINEST(L767:L1026,M767:T1026,TRUE,TRUE),1,6)</f>
        <v/>
      </c>
      <c r="AE1026" s="9">
        <f>INDEX(LINEST(L767:L1026,M767:T1026,TRUE,TRUE),1,5)</f>
        <v/>
      </c>
      <c r="AF1026" s="9">
        <f>INDEX(LINEST(L767:L1026,M767:T1026,TRUE,TRUE),1,4)</f>
        <v/>
      </c>
      <c r="AG1026" s="9">
        <f>INDEX(LINEST(L767:L1026,M767:T1026,TRUE,TRUE),1,3)</f>
        <v/>
      </c>
      <c r="AH1026" s="9">
        <f>INDEX(LINEST(L767:L1026,M767:T1026,TRUE,TRUE),1,2)</f>
        <v/>
      </c>
      <c r="AI1026" s="9">
        <f>INDEX(LINEST(L767:L1026,M767:T1026,TRUE,TRUE),1,1)</f>
        <v/>
      </c>
      <c r="AJ1026" s="10">
        <f>INDEX(LINEST(L767:L1026,M767:T1026,TRUE,TRUE),3,1)</f>
        <v/>
      </c>
      <c r="AK1026" s="9">
        <f>AA1025/52+AB1025*M1026+AC1025*N1026+AD1025*O1026+AE1025*P1026+AF1025*Q1026+AG1025*R1026+AH1025*S1026+AI1025*T1026</f>
        <v/>
      </c>
      <c r="AL1026" s="9">
        <f>AVERAGE(L766:L1025)</f>
        <v/>
      </c>
    </row>
    <row r="1027">
      <c r="A1027" s="7" t="n">
        <v>44799</v>
      </c>
      <c r="B1027" s="8" t="n">
        <v>1751.25</v>
      </c>
      <c r="C1027" s="8" t="n">
        <v>2.57</v>
      </c>
      <c r="D1027" s="8" t="n">
        <v>0.47</v>
      </c>
      <c r="E1027" s="8" t="n">
        <v>108.800003</v>
      </c>
      <c r="F1027" s="8" t="n">
        <v>93.63</v>
      </c>
      <c r="G1027" s="8" t="n">
        <v>25.56</v>
      </c>
      <c r="H1027" s="8" t="n">
        <v>122.949997</v>
      </c>
      <c r="I1027" s="8" t="n">
        <v>4057.659912</v>
      </c>
      <c r="J1027" s="8" t="n">
        <v>88.722137</v>
      </c>
      <c r="L1027" s="9">
        <f>LN(B1027/B1026)</f>
        <v/>
      </c>
      <c r="M1027" s="9">
        <f>$M$1*(C1027-C1026)</f>
        <v/>
      </c>
      <c r="N1027" s="9">
        <f>$N$1*(D1027-D1026)</f>
        <v/>
      </c>
      <c r="O1027" s="9">
        <f>$O$1*LN(E1027/E1026)</f>
        <v/>
      </c>
      <c r="P1027" s="9">
        <f>$P$1*LN(F1027/F1026)</f>
        <v/>
      </c>
      <c r="Q1027" s="9">
        <f>$Q$1*(G1027-G1026)</f>
        <v/>
      </c>
      <c r="R1027" s="9">
        <f>$R$1*(H1027-H1026)</f>
        <v/>
      </c>
      <c r="S1027" s="9">
        <f>$S$1*LN(I1027/I1026)</f>
        <v/>
      </c>
      <c r="T1027" s="9">
        <f>$T$1*LN(J1027/J1026)</f>
        <v/>
      </c>
      <c r="U1027" s="9">
        <f>$W$12+$W$4*M1027+$W$5*N1027+$W$6*O1027+$W$7*P1027+$W$8*Q1027+$W$9*R1027+$W$10*S1027+$W$11*T1027</f>
        <v/>
      </c>
      <c r="AA1027" s="10">
        <f>INDEX(LINEST(L768:L1027,M768:T1027,TRUE,TRUE),1,9)*52</f>
        <v/>
      </c>
      <c r="AB1027" s="9">
        <f>INDEX(LINEST(L768:L1027,M768:T1027,TRUE,TRUE),1,8)</f>
        <v/>
      </c>
      <c r="AC1027" s="9">
        <f>INDEX(LINEST(L768:L1027,M768:T1027,TRUE,TRUE),1,7)</f>
        <v/>
      </c>
      <c r="AD1027" s="9">
        <f>INDEX(LINEST(L768:L1027,M768:T1027,TRUE,TRUE),1,6)</f>
        <v/>
      </c>
      <c r="AE1027" s="9">
        <f>INDEX(LINEST(L768:L1027,M768:T1027,TRUE,TRUE),1,5)</f>
        <v/>
      </c>
      <c r="AF1027" s="9">
        <f>INDEX(LINEST(L768:L1027,M768:T1027,TRUE,TRUE),1,4)</f>
        <v/>
      </c>
      <c r="AG1027" s="9">
        <f>INDEX(LINEST(L768:L1027,M768:T1027,TRUE,TRUE),1,3)</f>
        <v/>
      </c>
      <c r="AH1027" s="9">
        <f>INDEX(LINEST(L768:L1027,M768:T1027,TRUE,TRUE),1,2)</f>
        <v/>
      </c>
      <c r="AI1027" s="9">
        <f>INDEX(LINEST(L768:L1027,M768:T1027,TRUE,TRUE),1,1)</f>
        <v/>
      </c>
      <c r="AJ1027" s="10">
        <f>INDEX(LINEST(L768:L1027,M768:T1027,TRUE,TRUE),3,1)</f>
        <v/>
      </c>
      <c r="AK1027" s="9">
        <f>AA1026/52+AB1026*M1027+AC1026*N1027+AD1026*O1027+AE1026*P1027+AF1026*Q1027+AG1026*R1027+AH1026*S1027+AI1026*T1027</f>
        <v/>
      </c>
      <c r="AL1027" s="9">
        <f>AVERAGE(L767:L1026)</f>
        <v/>
      </c>
    </row>
    <row r="1028">
      <c r="A1028" s="7" t="n">
        <v>44806</v>
      </c>
      <c r="B1028" s="8" t="n">
        <v>1712.5</v>
      </c>
      <c r="C1028" s="8" t="n">
        <v>2.47</v>
      </c>
      <c r="D1028" s="8" t="n">
        <v>0.73</v>
      </c>
      <c r="E1028" s="8" t="n">
        <v>109.529999</v>
      </c>
      <c r="F1028" s="8" t="n">
        <v>87.29000000000001</v>
      </c>
      <c r="G1028" s="8" t="n">
        <v>25.47</v>
      </c>
      <c r="H1028" s="8" t="n">
        <v>120.720001</v>
      </c>
      <c r="I1028" s="8" t="n">
        <v>3924.26001</v>
      </c>
      <c r="J1028" s="8" t="n">
        <v>87.80853999999999</v>
      </c>
      <c r="L1028" s="9">
        <f>LN(B1028/B1027)</f>
        <v/>
      </c>
      <c r="M1028" s="9">
        <f>$M$1*(C1028-C1027)</f>
        <v/>
      </c>
      <c r="N1028" s="9">
        <f>$N$1*(D1028-D1027)</f>
        <v/>
      </c>
      <c r="O1028" s="9">
        <f>$O$1*LN(E1028/E1027)</f>
        <v/>
      </c>
      <c r="P1028" s="9">
        <f>$P$1*LN(F1028/F1027)</f>
        <v/>
      </c>
      <c r="Q1028" s="9">
        <f>$Q$1*(G1028-G1027)</f>
        <v/>
      </c>
      <c r="R1028" s="9">
        <f>$R$1*(H1028-H1027)</f>
        <v/>
      </c>
      <c r="S1028" s="9">
        <f>$S$1*LN(I1028/I1027)</f>
        <v/>
      </c>
      <c r="T1028" s="9">
        <f>$T$1*LN(J1028/J1027)</f>
        <v/>
      </c>
      <c r="U1028" s="9">
        <f>$W$12+$W$4*M1028+$W$5*N1028+$W$6*O1028+$W$7*P1028+$W$8*Q1028+$W$9*R1028+$W$10*S1028+$W$11*T1028</f>
        <v/>
      </c>
      <c r="AA1028" s="10">
        <f>INDEX(LINEST(L769:L1028,M769:T1028,TRUE,TRUE),1,9)*52</f>
        <v/>
      </c>
      <c r="AB1028" s="9">
        <f>INDEX(LINEST(L769:L1028,M769:T1028,TRUE,TRUE),1,8)</f>
        <v/>
      </c>
      <c r="AC1028" s="9">
        <f>INDEX(LINEST(L769:L1028,M769:T1028,TRUE,TRUE),1,7)</f>
        <v/>
      </c>
      <c r="AD1028" s="9">
        <f>INDEX(LINEST(L769:L1028,M769:T1028,TRUE,TRUE),1,6)</f>
        <v/>
      </c>
      <c r="AE1028" s="9">
        <f>INDEX(LINEST(L769:L1028,M769:T1028,TRUE,TRUE),1,5)</f>
        <v/>
      </c>
      <c r="AF1028" s="9">
        <f>INDEX(LINEST(L769:L1028,M769:T1028,TRUE,TRUE),1,4)</f>
        <v/>
      </c>
      <c r="AG1028" s="9">
        <f>INDEX(LINEST(L769:L1028,M769:T1028,TRUE,TRUE),1,3)</f>
        <v/>
      </c>
      <c r="AH1028" s="9">
        <f>INDEX(LINEST(L769:L1028,M769:T1028,TRUE,TRUE),1,2)</f>
        <v/>
      </c>
      <c r="AI1028" s="9">
        <f>INDEX(LINEST(L769:L1028,M769:T1028,TRUE,TRUE),1,1)</f>
        <v/>
      </c>
      <c r="AJ1028" s="10">
        <f>INDEX(LINEST(L769:L1028,M769:T1028,TRUE,TRUE),3,1)</f>
        <v/>
      </c>
      <c r="AK1028" s="9">
        <f>AA1027/52+AB1027*M1028+AC1027*N1028+AD1027*O1028+AE1027*P1028+AF1027*Q1028+AG1027*R1028+AH1027*S1028+AI1027*T1028</f>
        <v/>
      </c>
      <c r="AL1028" s="9">
        <f>AVERAGE(L768:L1027)</f>
        <v/>
      </c>
    </row>
    <row r="1029">
      <c r="A1029" s="7" t="n">
        <v>44813</v>
      </c>
      <c r="B1029" s="8" t="n">
        <v>1713.4</v>
      </c>
      <c r="C1029" s="8" t="n">
        <v>2.42</v>
      </c>
      <c r="D1029" s="8" t="n">
        <v>0.91</v>
      </c>
      <c r="E1029" s="8" t="n">
        <v>109</v>
      </c>
      <c r="F1029" s="8" t="n">
        <v>87.27</v>
      </c>
      <c r="G1029" s="8" t="n">
        <v>22.79</v>
      </c>
      <c r="H1029" s="8" t="n">
        <v>121.540001</v>
      </c>
      <c r="I1029" s="8" t="n">
        <v>4067.360107</v>
      </c>
      <c r="J1029" s="8" t="n">
        <v>87.301064</v>
      </c>
      <c r="L1029" s="9">
        <f>LN(B1029/B1028)</f>
        <v/>
      </c>
      <c r="M1029" s="9">
        <f>$M$1*(C1029-C1028)</f>
        <v/>
      </c>
      <c r="N1029" s="9">
        <f>$N$1*(D1029-D1028)</f>
        <v/>
      </c>
      <c r="O1029" s="9">
        <f>$O$1*LN(E1029/E1028)</f>
        <v/>
      </c>
      <c r="P1029" s="9">
        <f>$P$1*LN(F1029/F1028)</f>
        <v/>
      </c>
      <c r="Q1029" s="9">
        <f>$Q$1*(G1029-G1028)</f>
        <v/>
      </c>
      <c r="R1029" s="9">
        <f>$R$1*(H1029-H1028)</f>
        <v/>
      </c>
      <c r="S1029" s="9">
        <f>$S$1*LN(I1029/I1028)</f>
        <v/>
      </c>
      <c r="T1029" s="9">
        <f>$T$1*LN(J1029/J1028)</f>
        <v/>
      </c>
      <c r="U1029" s="9">
        <f>$W$12+$W$4*M1029+$W$5*N1029+$W$6*O1029+$W$7*P1029+$W$8*Q1029+$W$9*R1029+$W$10*S1029+$W$11*T1029</f>
        <v/>
      </c>
      <c r="AA1029" s="10">
        <f>INDEX(LINEST(L770:L1029,M770:T1029,TRUE,TRUE),1,9)*52</f>
        <v/>
      </c>
      <c r="AB1029" s="9">
        <f>INDEX(LINEST(L770:L1029,M770:T1029,TRUE,TRUE),1,8)</f>
        <v/>
      </c>
      <c r="AC1029" s="9">
        <f>INDEX(LINEST(L770:L1029,M770:T1029,TRUE,TRUE),1,7)</f>
        <v/>
      </c>
      <c r="AD1029" s="9">
        <f>INDEX(LINEST(L770:L1029,M770:T1029,TRUE,TRUE),1,6)</f>
        <v/>
      </c>
      <c r="AE1029" s="9">
        <f>INDEX(LINEST(L770:L1029,M770:T1029,TRUE,TRUE),1,5)</f>
        <v/>
      </c>
      <c r="AF1029" s="9">
        <f>INDEX(LINEST(L770:L1029,M770:T1029,TRUE,TRUE),1,4)</f>
        <v/>
      </c>
      <c r="AG1029" s="9">
        <f>INDEX(LINEST(L770:L1029,M770:T1029,TRUE,TRUE),1,3)</f>
        <v/>
      </c>
      <c r="AH1029" s="9">
        <f>INDEX(LINEST(L770:L1029,M770:T1029,TRUE,TRUE),1,2)</f>
        <v/>
      </c>
      <c r="AI1029" s="9">
        <f>INDEX(LINEST(L770:L1029,M770:T1029,TRUE,TRUE),1,1)</f>
        <v/>
      </c>
      <c r="AJ1029" s="10">
        <f>INDEX(LINEST(L770:L1029,M770:T1029,TRUE,TRUE),3,1)</f>
        <v/>
      </c>
      <c r="AK1029" s="9">
        <f>AA1028/52+AB1028*M1029+AC1028*N1029+AD1028*O1029+AE1028*P1029+AF1028*Q1029+AG1028*R1029+AH1028*S1029+AI1028*T1029</f>
        <v/>
      </c>
      <c r="AL1029" s="9">
        <f>AVERAGE(L769:L1028)</f>
        <v/>
      </c>
    </row>
    <row r="1030">
      <c r="A1030" s="7" t="n">
        <v>44820</v>
      </c>
      <c r="B1030" s="8" t="n">
        <v>1664.65</v>
      </c>
      <c r="C1030" s="8" t="n">
        <v>2.38</v>
      </c>
      <c r="D1030" s="8" t="n">
        <v>1.07</v>
      </c>
      <c r="E1030" s="8" t="n">
        <v>109.760002</v>
      </c>
      <c r="F1030" s="8" t="n">
        <v>85.56999999999999</v>
      </c>
      <c r="G1030" s="8" t="n">
        <v>26.3</v>
      </c>
      <c r="H1030" s="8" t="n">
        <v>124.949997</v>
      </c>
      <c r="I1030" s="8" t="n">
        <v>3873.330078</v>
      </c>
      <c r="J1030" s="8" t="n">
        <v>86.46987900000001</v>
      </c>
      <c r="L1030" s="9">
        <f>LN(B1030/B1029)</f>
        <v/>
      </c>
      <c r="M1030" s="9">
        <f>$M$1*(C1030-C1029)</f>
        <v/>
      </c>
      <c r="N1030" s="9">
        <f>$N$1*(D1030-D1029)</f>
        <v/>
      </c>
      <c r="O1030" s="9">
        <f>$O$1*LN(E1030/E1029)</f>
        <v/>
      </c>
      <c r="P1030" s="9">
        <f>$P$1*LN(F1030/F1029)</f>
        <v/>
      </c>
      <c r="Q1030" s="9">
        <f>$Q$1*(G1030-G1029)</f>
        <v/>
      </c>
      <c r="R1030" s="9">
        <f>$R$1*(H1030-H1029)</f>
        <v/>
      </c>
      <c r="S1030" s="9">
        <f>$S$1*LN(I1030/I1029)</f>
        <v/>
      </c>
      <c r="T1030" s="9">
        <f>$T$1*LN(J1030/J1029)</f>
        <v/>
      </c>
      <c r="U1030" s="9">
        <f>$W$12+$W$4*M1030+$W$5*N1030+$W$6*O1030+$W$7*P1030+$W$8*Q1030+$W$9*R1030+$W$10*S1030+$W$11*T1030</f>
        <v/>
      </c>
      <c r="AA1030" s="10">
        <f>INDEX(LINEST(L771:L1030,M771:T1030,TRUE,TRUE),1,9)*52</f>
        <v/>
      </c>
      <c r="AB1030" s="9">
        <f>INDEX(LINEST(L771:L1030,M771:T1030,TRUE,TRUE),1,8)</f>
        <v/>
      </c>
      <c r="AC1030" s="9">
        <f>INDEX(LINEST(L771:L1030,M771:T1030,TRUE,TRUE),1,7)</f>
        <v/>
      </c>
      <c r="AD1030" s="9">
        <f>INDEX(LINEST(L771:L1030,M771:T1030,TRUE,TRUE),1,6)</f>
        <v/>
      </c>
      <c r="AE1030" s="9">
        <f>INDEX(LINEST(L771:L1030,M771:T1030,TRUE,TRUE),1,5)</f>
        <v/>
      </c>
      <c r="AF1030" s="9">
        <f>INDEX(LINEST(L771:L1030,M771:T1030,TRUE,TRUE),1,4)</f>
        <v/>
      </c>
      <c r="AG1030" s="9">
        <f>INDEX(LINEST(L771:L1030,M771:T1030,TRUE,TRUE),1,3)</f>
        <v/>
      </c>
      <c r="AH1030" s="9">
        <f>INDEX(LINEST(L771:L1030,M771:T1030,TRUE,TRUE),1,2)</f>
        <v/>
      </c>
      <c r="AI1030" s="9">
        <f>INDEX(LINEST(L771:L1030,M771:T1030,TRUE,TRUE),1,1)</f>
        <v/>
      </c>
      <c r="AJ1030" s="10">
        <f>INDEX(LINEST(L771:L1030,M771:T1030,TRUE,TRUE),3,1)</f>
        <v/>
      </c>
      <c r="AK1030" s="9">
        <f>AA1029/52+AB1029*M1030+AC1029*N1030+AD1029*O1030+AE1029*P1030+AF1029*Q1030+AG1029*R1030+AH1029*S1030+AI1029*T1030</f>
        <v/>
      </c>
      <c r="AL1030" s="9">
        <f>AVERAGE(L770:L1029)</f>
        <v/>
      </c>
    </row>
    <row r="1031">
      <c r="A1031" s="7" t="n">
        <v>44827</v>
      </c>
      <c r="B1031" s="8" t="n">
        <v>1643.55</v>
      </c>
      <c r="C1031" s="8" t="n">
        <v>2.37</v>
      </c>
      <c r="D1031" s="8" t="n">
        <v>1.32</v>
      </c>
      <c r="E1031" s="8" t="n">
        <v>113.190002</v>
      </c>
      <c r="F1031" s="8" t="n">
        <v>79.06999999999999</v>
      </c>
      <c r="G1031" s="8" t="n">
        <v>29.92</v>
      </c>
      <c r="H1031" s="8" t="n">
        <v>137.279999</v>
      </c>
      <c r="I1031" s="8" t="n">
        <v>3693.22998</v>
      </c>
      <c r="J1031" s="8" t="n">
        <v>85.04370900000001</v>
      </c>
      <c r="L1031" s="9">
        <f>LN(B1031/B1030)</f>
        <v/>
      </c>
      <c r="M1031" s="9">
        <f>$M$1*(C1031-C1030)</f>
        <v/>
      </c>
      <c r="N1031" s="9">
        <f>$N$1*(D1031-D1030)</f>
        <v/>
      </c>
      <c r="O1031" s="9">
        <f>$O$1*LN(E1031/E1030)</f>
        <v/>
      </c>
      <c r="P1031" s="9">
        <f>$P$1*LN(F1031/F1030)</f>
        <v/>
      </c>
      <c r="Q1031" s="9">
        <f>$Q$1*(G1031-G1030)</f>
        <v/>
      </c>
      <c r="R1031" s="9">
        <f>$R$1*(H1031-H1030)</f>
        <v/>
      </c>
      <c r="S1031" s="9">
        <f>$S$1*LN(I1031/I1030)</f>
        <v/>
      </c>
      <c r="T1031" s="9">
        <f>$T$1*LN(J1031/J1030)</f>
        <v/>
      </c>
      <c r="U1031" s="9">
        <f>$W$12+$W$4*M1031+$W$5*N1031+$W$6*O1031+$W$7*P1031+$W$8*Q1031+$W$9*R1031+$W$10*S1031+$W$11*T1031</f>
        <v/>
      </c>
      <c r="AA1031" s="10">
        <f>INDEX(LINEST(L772:L1031,M772:T1031,TRUE,TRUE),1,9)*52</f>
        <v/>
      </c>
      <c r="AB1031" s="9">
        <f>INDEX(LINEST(L772:L1031,M772:T1031,TRUE,TRUE),1,8)</f>
        <v/>
      </c>
      <c r="AC1031" s="9">
        <f>INDEX(LINEST(L772:L1031,M772:T1031,TRUE,TRUE),1,7)</f>
        <v/>
      </c>
      <c r="AD1031" s="9">
        <f>INDEX(LINEST(L772:L1031,M772:T1031,TRUE,TRUE),1,6)</f>
        <v/>
      </c>
      <c r="AE1031" s="9">
        <f>INDEX(LINEST(L772:L1031,M772:T1031,TRUE,TRUE),1,5)</f>
        <v/>
      </c>
      <c r="AF1031" s="9">
        <f>INDEX(LINEST(L772:L1031,M772:T1031,TRUE,TRUE),1,4)</f>
        <v/>
      </c>
      <c r="AG1031" s="9">
        <f>INDEX(LINEST(L772:L1031,M772:T1031,TRUE,TRUE),1,3)</f>
        <v/>
      </c>
      <c r="AH1031" s="9">
        <f>INDEX(LINEST(L772:L1031,M772:T1031,TRUE,TRUE),1,2)</f>
        <v/>
      </c>
      <c r="AI1031" s="9">
        <f>INDEX(LINEST(L772:L1031,M772:T1031,TRUE,TRUE),1,1)</f>
        <v/>
      </c>
      <c r="AJ1031" s="10">
        <f>INDEX(LINEST(L772:L1031,M772:T1031,TRUE,TRUE),3,1)</f>
        <v/>
      </c>
      <c r="AK1031" s="9">
        <f>AA1030/52+AB1030*M1031+AC1030*N1031+AD1030*O1031+AE1030*P1031+AF1030*Q1031+AG1030*R1031+AH1030*S1031+AI1030*T1031</f>
        <v/>
      </c>
      <c r="AL1031" s="9">
        <f>AVERAGE(L771:L1030)</f>
        <v/>
      </c>
    </row>
    <row r="1032">
      <c r="A1032" s="7" t="n">
        <v>44834</v>
      </c>
      <c r="B1032" s="8" t="n">
        <v>1671.75</v>
      </c>
      <c r="C1032" s="8" t="n">
        <v>2.15</v>
      </c>
      <c r="D1032" s="8" t="n">
        <v>1.68</v>
      </c>
      <c r="E1032" s="8" t="n">
        <v>112.120003</v>
      </c>
      <c r="F1032" s="8" t="n">
        <v>79.91</v>
      </c>
      <c r="G1032" s="8" t="n">
        <v>31.62</v>
      </c>
      <c r="H1032" s="8" t="n">
        <v>141.889999</v>
      </c>
      <c r="I1032" s="8" t="n">
        <v>3585.620117</v>
      </c>
      <c r="J1032" s="8" t="n">
        <v>84.29128300000001</v>
      </c>
      <c r="L1032" s="9">
        <f>LN(B1032/B1031)</f>
        <v/>
      </c>
      <c r="M1032" s="9">
        <f>$M$1*(C1032-C1031)</f>
        <v/>
      </c>
      <c r="N1032" s="9">
        <f>$N$1*(D1032-D1031)</f>
        <v/>
      </c>
      <c r="O1032" s="9">
        <f>$O$1*LN(E1032/E1031)</f>
        <v/>
      </c>
      <c r="P1032" s="9">
        <f>$P$1*LN(F1032/F1031)</f>
        <v/>
      </c>
      <c r="Q1032" s="9">
        <f>$Q$1*(G1032-G1031)</f>
        <v/>
      </c>
      <c r="R1032" s="9">
        <f>$R$1*(H1032-H1031)</f>
        <v/>
      </c>
      <c r="S1032" s="9">
        <f>$S$1*LN(I1032/I1031)</f>
        <v/>
      </c>
      <c r="T1032" s="9">
        <f>$T$1*LN(J1032/J1031)</f>
        <v/>
      </c>
      <c r="U1032" s="9">
        <f>$W$12+$W$4*M1032+$W$5*N1032+$W$6*O1032+$W$7*P1032+$W$8*Q1032+$W$9*R1032+$W$10*S1032+$W$11*T1032</f>
        <v/>
      </c>
      <c r="AA1032" s="10">
        <f>INDEX(LINEST(L773:L1032,M773:T1032,TRUE,TRUE),1,9)*52</f>
        <v/>
      </c>
      <c r="AB1032" s="9">
        <f>INDEX(LINEST(L773:L1032,M773:T1032,TRUE,TRUE),1,8)</f>
        <v/>
      </c>
      <c r="AC1032" s="9">
        <f>INDEX(LINEST(L773:L1032,M773:T1032,TRUE,TRUE),1,7)</f>
        <v/>
      </c>
      <c r="AD1032" s="9">
        <f>INDEX(LINEST(L773:L1032,M773:T1032,TRUE,TRUE),1,6)</f>
        <v/>
      </c>
      <c r="AE1032" s="9">
        <f>INDEX(LINEST(L773:L1032,M773:T1032,TRUE,TRUE),1,5)</f>
        <v/>
      </c>
      <c r="AF1032" s="9">
        <f>INDEX(LINEST(L773:L1032,M773:T1032,TRUE,TRUE),1,4)</f>
        <v/>
      </c>
      <c r="AG1032" s="9">
        <f>INDEX(LINEST(L773:L1032,M773:T1032,TRUE,TRUE),1,3)</f>
        <v/>
      </c>
      <c r="AH1032" s="9">
        <f>INDEX(LINEST(L773:L1032,M773:T1032,TRUE,TRUE),1,2)</f>
        <v/>
      </c>
      <c r="AI1032" s="9">
        <f>INDEX(LINEST(L773:L1032,M773:T1032,TRUE,TRUE),1,1)</f>
        <v/>
      </c>
      <c r="AJ1032" s="10">
        <f>INDEX(LINEST(L773:L1032,M773:T1032,TRUE,TRUE),3,1)</f>
        <v/>
      </c>
      <c r="AK1032" s="9">
        <f>AA1031/52+AB1031*M1032+AC1031*N1032+AD1031*O1032+AE1031*P1032+AF1031*Q1032+AG1031*R1032+AH1031*S1032+AI1031*T1032</f>
        <v/>
      </c>
      <c r="AL1032" s="9">
        <f>AVERAGE(L772:L1031)</f>
        <v/>
      </c>
    </row>
    <row r="1033">
      <c r="A1033" s="7" t="n">
        <v>44841</v>
      </c>
      <c r="B1033" s="8" t="n">
        <v>1696.15</v>
      </c>
      <c r="C1033" s="8" t="n">
        <v>2.27</v>
      </c>
      <c r="D1033" s="8" t="n">
        <v>1.62</v>
      </c>
      <c r="E1033" s="8" t="n">
        <v>112.800003</v>
      </c>
      <c r="F1033" s="8" t="n">
        <v>93.06999999999999</v>
      </c>
      <c r="G1033" s="8" t="n">
        <v>31.36</v>
      </c>
      <c r="H1033" s="8" t="n">
        <v>148.460007</v>
      </c>
      <c r="I1033" s="8" t="n">
        <v>3639.659912</v>
      </c>
      <c r="J1033" s="8" t="n">
        <v>83.97650899999999</v>
      </c>
      <c r="L1033" s="9">
        <f>LN(B1033/B1032)</f>
        <v/>
      </c>
      <c r="M1033" s="9">
        <f>$M$1*(C1033-C1032)</f>
        <v/>
      </c>
      <c r="N1033" s="9">
        <f>$N$1*(D1033-D1032)</f>
        <v/>
      </c>
      <c r="O1033" s="9">
        <f>$O$1*LN(E1033/E1032)</f>
        <v/>
      </c>
      <c r="P1033" s="9">
        <f>$P$1*LN(F1033/F1032)</f>
        <v/>
      </c>
      <c r="Q1033" s="9">
        <f>$Q$1*(G1033-G1032)</f>
        <v/>
      </c>
      <c r="R1033" s="9">
        <f>$R$1*(H1033-H1032)</f>
        <v/>
      </c>
      <c r="S1033" s="9">
        <f>$S$1*LN(I1033/I1032)</f>
        <v/>
      </c>
      <c r="T1033" s="9">
        <f>$T$1*LN(J1033/J1032)</f>
        <v/>
      </c>
      <c r="U1033" s="9">
        <f>$W$12+$W$4*M1033+$W$5*N1033+$W$6*O1033+$W$7*P1033+$W$8*Q1033+$W$9*R1033+$W$10*S1033+$W$11*T1033</f>
        <v/>
      </c>
      <c r="AA1033" s="10">
        <f>INDEX(LINEST(L774:L1033,M774:T1033,TRUE,TRUE),1,9)*52</f>
        <v/>
      </c>
      <c r="AB1033" s="9">
        <f>INDEX(LINEST(L774:L1033,M774:T1033,TRUE,TRUE),1,8)</f>
        <v/>
      </c>
      <c r="AC1033" s="9">
        <f>INDEX(LINEST(L774:L1033,M774:T1033,TRUE,TRUE),1,7)</f>
        <v/>
      </c>
      <c r="AD1033" s="9">
        <f>INDEX(LINEST(L774:L1033,M774:T1033,TRUE,TRUE),1,6)</f>
        <v/>
      </c>
      <c r="AE1033" s="9">
        <f>INDEX(LINEST(L774:L1033,M774:T1033,TRUE,TRUE),1,5)</f>
        <v/>
      </c>
      <c r="AF1033" s="9">
        <f>INDEX(LINEST(L774:L1033,M774:T1033,TRUE,TRUE),1,4)</f>
        <v/>
      </c>
      <c r="AG1033" s="9">
        <f>INDEX(LINEST(L774:L1033,M774:T1033,TRUE,TRUE),1,3)</f>
        <v/>
      </c>
      <c r="AH1033" s="9">
        <f>INDEX(LINEST(L774:L1033,M774:T1033,TRUE,TRUE),1,2)</f>
        <v/>
      </c>
      <c r="AI1033" s="9">
        <f>INDEX(LINEST(L774:L1033,M774:T1033,TRUE,TRUE),1,1)</f>
        <v/>
      </c>
      <c r="AJ1033" s="10">
        <f>INDEX(LINEST(L774:L1033,M774:T1033,TRUE,TRUE),3,1)</f>
        <v/>
      </c>
      <c r="AK1033" s="9">
        <f>AA1032/52+AB1032*M1033+AC1032*N1033+AD1032*O1033+AE1032*P1033+AF1032*Q1033+AG1032*R1033+AH1032*S1033+AI1032*T1033</f>
        <v/>
      </c>
      <c r="AL1033" s="9">
        <f>AVERAGE(L773:L1032)</f>
        <v/>
      </c>
    </row>
    <row r="1034">
      <c r="A1034" s="7" t="n">
        <v>44848</v>
      </c>
      <c r="B1034" s="8" t="n">
        <v>1649.3</v>
      </c>
      <c r="C1034" s="8" t="n">
        <v>2.41</v>
      </c>
      <c r="D1034" s="8" t="n">
        <v>1.59</v>
      </c>
      <c r="E1034" s="8" t="n">
        <v>113.309998</v>
      </c>
      <c r="F1034" s="8" t="n">
        <v>86.09999999999999</v>
      </c>
      <c r="G1034" s="8" t="n">
        <v>32.02</v>
      </c>
      <c r="H1034" s="8" t="n">
        <v>152.889999</v>
      </c>
      <c r="I1034" s="8" t="n">
        <v>3583.070068</v>
      </c>
      <c r="J1034" s="8" t="n">
        <v>83.003174</v>
      </c>
      <c r="L1034" s="9">
        <f>LN(B1034/B1033)</f>
        <v/>
      </c>
      <c r="M1034" s="9">
        <f>$M$1*(C1034-C1033)</f>
        <v/>
      </c>
      <c r="N1034" s="9">
        <f>$N$1*(D1034-D1033)</f>
        <v/>
      </c>
      <c r="O1034" s="9">
        <f>$O$1*LN(E1034/E1033)</f>
        <v/>
      </c>
      <c r="P1034" s="9">
        <f>$P$1*LN(F1034/F1033)</f>
        <v/>
      </c>
      <c r="Q1034" s="9">
        <f>$Q$1*(G1034-G1033)</f>
        <v/>
      </c>
      <c r="R1034" s="9">
        <f>$R$1*(H1034-H1033)</f>
        <v/>
      </c>
      <c r="S1034" s="9">
        <f>$S$1*LN(I1034/I1033)</f>
        <v/>
      </c>
      <c r="T1034" s="9">
        <f>$T$1*LN(J1034/J1033)</f>
        <v/>
      </c>
      <c r="U1034" s="9">
        <f>$W$12+$W$4*M1034+$W$5*N1034+$W$6*O1034+$W$7*P1034+$W$8*Q1034+$W$9*R1034+$W$10*S1034+$W$11*T1034</f>
        <v/>
      </c>
      <c r="AA1034" s="10">
        <f>INDEX(LINEST(L775:L1034,M775:T1034,TRUE,TRUE),1,9)*52</f>
        <v/>
      </c>
      <c r="AB1034" s="9">
        <f>INDEX(LINEST(L775:L1034,M775:T1034,TRUE,TRUE),1,8)</f>
        <v/>
      </c>
      <c r="AC1034" s="9">
        <f>INDEX(LINEST(L775:L1034,M775:T1034,TRUE,TRUE),1,7)</f>
        <v/>
      </c>
      <c r="AD1034" s="9">
        <f>INDEX(LINEST(L775:L1034,M775:T1034,TRUE,TRUE),1,6)</f>
        <v/>
      </c>
      <c r="AE1034" s="9">
        <f>INDEX(LINEST(L775:L1034,M775:T1034,TRUE,TRUE),1,5)</f>
        <v/>
      </c>
      <c r="AF1034" s="9">
        <f>INDEX(LINEST(L775:L1034,M775:T1034,TRUE,TRUE),1,4)</f>
        <v/>
      </c>
      <c r="AG1034" s="9">
        <f>INDEX(LINEST(L775:L1034,M775:T1034,TRUE,TRUE),1,3)</f>
        <v/>
      </c>
      <c r="AH1034" s="9">
        <f>INDEX(LINEST(L775:L1034,M775:T1034,TRUE,TRUE),1,2)</f>
        <v/>
      </c>
      <c r="AI1034" s="9">
        <f>INDEX(LINEST(L775:L1034,M775:T1034,TRUE,TRUE),1,1)</f>
        <v/>
      </c>
      <c r="AJ1034" s="10">
        <f>INDEX(LINEST(L775:L1034,M775:T1034,TRUE,TRUE),3,1)</f>
        <v/>
      </c>
      <c r="AK1034" s="9">
        <f>AA1033/52+AB1033*M1034+AC1033*N1034+AD1033*O1034+AE1033*P1034+AF1033*Q1034+AG1033*R1034+AH1033*S1034+AI1033*T1034</f>
        <v/>
      </c>
      <c r="AL1034" s="9">
        <f>AVERAGE(L774:L1033)</f>
        <v/>
      </c>
    </row>
    <row r="1035">
      <c r="A1035" s="7" t="n">
        <v>44855</v>
      </c>
      <c r="B1035" s="8" t="n">
        <v>1643.25</v>
      </c>
      <c r="C1035" s="8" t="n">
        <v>2.52</v>
      </c>
      <c r="D1035" s="8" t="n">
        <v>1.69</v>
      </c>
      <c r="E1035" s="8" t="n">
        <v>112.010002</v>
      </c>
      <c r="F1035" s="8" t="n">
        <v>85.47</v>
      </c>
      <c r="G1035" s="8" t="n">
        <v>29.69</v>
      </c>
      <c r="H1035" s="8" t="n">
        <v>156.949997</v>
      </c>
      <c r="I1035" s="8" t="n">
        <v>3752.75</v>
      </c>
      <c r="J1035" s="8" t="n">
        <v>82.222809</v>
      </c>
      <c r="L1035" s="9">
        <f>LN(B1035/B1034)</f>
        <v/>
      </c>
      <c r="M1035" s="9">
        <f>$M$1*(C1035-C1034)</f>
        <v/>
      </c>
      <c r="N1035" s="9">
        <f>$N$1*(D1035-D1034)</f>
        <v/>
      </c>
      <c r="O1035" s="9">
        <f>$O$1*LN(E1035/E1034)</f>
        <v/>
      </c>
      <c r="P1035" s="9">
        <f>$P$1*LN(F1035/F1034)</f>
        <v/>
      </c>
      <c r="Q1035" s="9">
        <f>$Q$1*(G1035-G1034)</f>
        <v/>
      </c>
      <c r="R1035" s="9">
        <f>$R$1*(H1035-H1034)</f>
        <v/>
      </c>
      <c r="S1035" s="9">
        <f>$S$1*LN(I1035/I1034)</f>
        <v/>
      </c>
      <c r="T1035" s="9">
        <f>$T$1*LN(J1035/J1034)</f>
        <v/>
      </c>
      <c r="U1035" s="9">
        <f>$W$12+$W$4*M1035+$W$5*N1035+$W$6*O1035+$W$7*P1035+$W$8*Q1035+$W$9*R1035+$W$10*S1035+$W$11*T1035</f>
        <v/>
      </c>
      <c r="AA1035" s="10">
        <f>INDEX(LINEST(L776:L1035,M776:T1035,TRUE,TRUE),1,9)*52</f>
        <v/>
      </c>
      <c r="AB1035" s="9">
        <f>INDEX(LINEST(L776:L1035,M776:T1035,TRUE,TRUE),1,8)</f>
        <v/>
      </c>
      <c r="AC1035" s="9">
        <f>INDEX(LINEST(L776:L1035,M776:T1035,TRUE,TRUE),1,7)</f>
        <v/>
      </c>
      <c r="AD1035" s="9">
        <f>INDEX(LINEST(L776:L1035,M776:T1035,TRUE,TRUE),1,6)</f>
        <v/>
      </c>
      <c r="AE1035" s="9">
        <f>INDEX(LINEST(L776:L1035,M776:T1035,TRUE,TRUE),1,5)</f>
        <v/>
      </c>
      <c r="AF1035" s="9">
        <f>INDEX(LINEST(L776:L1035,M776:T1035,TRUE,TRUE),1,4)</f>
        <v/>
      </c>
      <c r="AG1035" s="9">
        <f>INDEX(LINEST(L776:L1035,M776:T1035,TRUE,TRUE),1,3)</f>
        <v/>
      </c>
      <c r="AH1035" s="9">
        <f>INDEX(LINEST(L776:L1035,M776:T1035,TRUE,TRUE),1,2)</f>
        <v/>
      </c>
      <c r="AI1035" s="9">
        <f>INDEX(LINEST(L776:L1035,M776:T1035,TRUE,TRUE),1,1)</f>
        <v/>
      </c>
      <c r="AJ1035" s="10">
        <f>INDEX(LINEST(L776:L1035,M776:T1035,TRUE,TRUE),3,1)</f>
        <v/>
      </c>
      <c r="AK1035" s="9">
        <f>AA1034/52+AB1034*M1035+AC1034*N1035+AD1034*O1035+AE1034*P1035+AF1034*Q1035+AG1034*R1035+AH1034*S1035+AI1034*T1035</f>
        <v/>
      </c>
      <c r="AL1035" s="9">
        <f>AVERAGE(L775:L1034)</f>
        <v/>
      </c>
    </row>
    <row r="1036">
      <c r="A1036" s="7" t="n">
        <v>44862</v>
      </c>
      <c r="B1036" s="8" t="n">
        <v>1648.05</v>
      </c>
      <c r="C1036" s="8" t="n">
        <v>2.51</v>
      </c>
      <c r="D1036" s="8" t="n">
        <v>1.51</v>
      </c>
      <c r="E1036" s="8" t="n">
        <v>110.669998</v>
      </c>
      <c r="F1036" s="8" t="n">
        <v>87.84999999999999</v>
      </c>
      <c r="G1036" s="8" t="n">
        <v>25.75</v>
      </c>
      <c r="H1036" s="8" t="n">
        <v>144.600006</v>
      </c>
      <c r="I1036" s="8" t="n">
        <v>3901.060059</v>
      </c>
      <c r="J1036" s="8" t="n">
        <v>83.494202</v>
      </c>
      <c r="L1036" s="9">
        <f>LN(B1036/B1035)</f>
        <v/>
      </c>
      <c r="M1036" s="9">
        <f>$M$1*(C1036-C1035)</f>
        <v/>
      </c>
      <c r="N1036" s="9">
        <f>$N$1*(D1036-D1035)</f>
        <v/>
      </c>
      <c r="O1036" s="9">
        <f>$O$1*LN(E1036/E1035)</f>
        <v/>
      </c>
      <c r="P1036" s="9">
        <f>$P$1*LN(F1036/F1035)</f>
        <v/>
      </c>
      <c r="Q1036" s="9">
        <f>$Q$1*(G1036-G1035)</f>
        <v/>
      </c>
      <c r="R1036" s="9">
        <f>$R$1*(H1036-H1035)</f>
        <v/>
      </c>
      <c r="S1036" s="9">
        <f>$S$1*LN(I1036/I1035)</f>
        <v/>
      </c>
      <c r="T1036" s="9">
        <f>$T$1*LN(J1036/J1035)</f>
        <v/>
      </c>
      <c r="U1036" s="9">
        <f>$W$12+$W$4*M1036+$W$5*N1036+$W$6*O1036+$W$7*P1036+$W$8*Q1036+$W$9*R1036+$W$10*S1036+$W$11*T1036</f>
        <v/>
      </c>
      <c r="AA1036" s="10">
        <f>INDEX(LINEST(L777:L1036,M777:T1036,TRUE,TRUE),1,9)*52</f>
        <v/>
      </c>
      <c r="AB1036" s="9">
        <f>INDEX(LINEST(L777:L1036,M777:T1036,TRUE,TRUE),1,8)</f>
        <v/>
      </c>
      <c r="AC1036" s="9">
        <f>INDEX(LINEST(L777:L1036,M777:T1036,TRUE,TRUE),1,7)</f>
        <v/>
      </c>
      <c r="AD1036" s="9">
        <f>INDEX(LINEST(L777:L1036,M777:T1036,TRUE,TRUE),1,6)</f>
        <v/>
      </c>
      <c r="AE1036" s="9">
        <f>INDEX(LINEST(L777:L1036,M777:T1036,TRUE,TRUE),1,5)</f>
        <v/>
      </c>
      <c r="AF1036" s="9">
        <f>INDEX(LINEST(L777:L1036,M777:T1036,TRUE,TRUE),1,4)</f>
        <v/>
      </c>
      <c r="AG1036" s="9">
        <f>INDEX(LINEST(L777:L1036,M777:T1036,TRUE,TRUE),1,3)</f>
        <v/>
      </c>
      <c r="AH1036" s="9">
        <f>INDEX(LINEST(L777:L1036,M777:T1036,TRUE,TRUE),1,2)</f>
        <v/>
      </c>
      <c r="AI1036" s="9">
        <f>INDEX(LINEST(L777:L1036,M777:T1036,TRUE,TRUE),1,1)</f>
        <v/>
      </c>
      <c r="AJ1036" s="10">
        <f>INDEX(LINEST(L777:L1036,M777:T1036,TRUE,TRUE),3,1)</f>
        <v/>
      </c>
      <c r="AK1036" s="9">
        <f>AA1035/52+AB1035*M1036+AC1035*N1036+AD1035*O1036+AE1035*P1036+AF1035*Q1036+AG1035*R1036+AH1035*S1036+AI1035*T1036</f>
        <v/>
      </c>
      <c r="AL1036" s="9">
        <f>AVERAGE(L776:L1035)</f>
        <v/>
      </c>
    </row>
    <row r="1037">
      <c r="A1037" s="7" t="n">
        <v>44869</v>
      </c>
      <c r="B1037" s="8" t="n">
        <v>1674.4</v>
      </c>
      <c r="C1037" s="8" t="n">
        <v>2.48</v>
      </c>
      <c r="D1037" s="8" t="n">
        <v>1.69</v>
      </c>
      <c r="E1037" s="8" t="n">
        <v>110.879997</v>
      </c>
      <c r="F1037" s="8" t="n">
        <v>92.58</v>
      </c>
      <c r="G1037" s="8" t="n">
        <v>24.55</v>
      </c>
      <c r="H1037" s="8" t="n">
        <v>128.440002</v>
      </c>
      <c r="I1037" s="8" t="n">
        <v>3770.550049</v>
      </c>
      <c r="J1037" s="8" t="n">
        <v>82.911293</v>
      </c>
      <c r="L1037" s="9">
        <f>LN(B1037/B1036)</f>
        <v/>
      </c>
      <c r="M1037" s="9">
        <f>$M$1*(C1037-C1036)</f>
        <v/>
      </c>
      <c r="N1037" s="9">
        <f>$N$1*(D1037-D1036)</f>
        <v/>
      </c>
      <c r="O1037" s="9">
        <f>$O$1*LN(E1037/E1036)</f>
        <v/>
      </c>
      <c r="P1037" s="9">
        <f>$P$1*LN(F1037/F1036)</f>
        <v/>
      </c>
      <c r="Q1037" s="9">
        <f>$Q$1*(G1037-G1036)</f>
        <v/>
      </c>
      <c r="R1037" s="9">
        <f>$R$1*(H1037-H1036)</f>
        <v/>
      </c>
      <c r="S1037" s="9">
        <f>$S$1*LN(I1037/I1036)</f>
        <v/>
      </c>
      <c r="T1037" s="9">
        <f>$T$1*LN(J1037/J1036)</f>
        <v/>
      </c>
      <c r="U1037" s="9">
        <f>$W$12+$W$4*M1037+$W$5*N1037+$W$6*O1037+$W$7*P1037+$W$8*Q1037+$W$9*R1037+$W$10*S1037+$W$11*T1037</f>
        <v/>
      </c>
      <c r="AA1037" s="10">
        <f>INDEX(LINEST(L778:L1037,M778:T1037,TRUE,TRUE),1,9)*52</f>
        <v/>
      </c>
      <c r="AB1037" s="9">
        <f>INDEX(LINEST(L778:L1037,M778:T1037,TRUE,TRUE),1,8)</f>
        <v/>
      </c>
      <c r="AC1037" s="9">
        <f>INDEX(LINEST(L778:L1037,M778:T1037,TRUE,TRUE),1,7)</f>
        <v/>
      </c>
      <c r="AD1037" s="9">
        <f>INDEX(LINEST(L778:L1037,M778:T1037,TRUE,TRUE),1,6)</f>
        <v/>
      </c>
      <c r="AE1037" s="9">
        <f>INDEX(LINEST(L778:L1037,M778:T1037,TRUE,TRUE),1,5)</f>
        <v/>
      </c>
      <c r="AF1037" s="9">
        <f>INDEX(LINEST(L778:L1037,M778:T1037,TRUE,TRUE),1,4)</f>
        <v/>
      </c>
      <c r="AG1037" s="9">
        <f>INDEX(LINEST(L778:L1037,M778:T1037,TRUE,TRUE),1,3)</f>
        <v/>
      </c>
      <c r="AH1037" s="9">
        <f>INDEX(LINEST(L778:L1037,M778:T1037,TRUE,TRUE),1,2)</f>
        <v/>
      </c>
      <c r="AI1037" s="9">
        <f>INDEX(LINEST(L778:L1037,M778:T1037,TRUE,TRUE),1,1)</f>
        <v/>
      </c>
      <c r="AJ1037" s="10">
        <f>INDEX(LINEST(L778:L1037,M778:T1037,TRUE,TRUE),3,1)</f>
        <v/>
      </c>
      <c r="AK1037" s="9">
        <f>AA1036/52+AB1036*M1037+AC1036*N1037+AD1036*O1037+AE1036*P1037+AF1036*Q1037+AG1036*R1037+AH1036*S1037+AI1036*T1037</f>
        <v/>
      </c>
      <c r="AL1037" s="9">
        <f>AVERAGE(L777:L1036)</f>
        <v/>
      </c>
    </row>
    <row r="1038">
      <c r="A1038" s="7" t="n">
        <v>44876</v>
      </c>
      <c r="B1038" s="8" t="n">
        <v>1759.35</v>
      </c>
      <c r="C1038" s="8" t="n">
        <v>2.39</v>
      </c>
      <c r="D1038" s="8" t="n">
        <v>1.43</v>
      </c>
      <c r="E1038" s="8" t="n">
        <v>106.290001</v>
      </c>
      <c r="F1038" s="8" t="n">
        <v>89.14</v>
      </c>
      <c r="G1038" s="8" t="n">
        <v>22.52</v>
      </c>
      <c r="H1038" s="8" t="n">
        <v>111.690002</v>
      </c>
      <c r="I1038" s="8" t="n">
        <v>3992.929932</v>
      </c>
      <c r="J1038" s="8" t="n">
        <v>84.81842</v>
      </c>
      <c r="L1038" s="9">
        <f>LN(B1038/B1037)</f>
        <v/>
      </c>
      <c r="M1038" s="9">
        <f>$M$1*(C1038-C1037)</f>
        <v/>
      </c>
      <c r="N1038" s="9">
        <f>$N$1*(D1038-D1037)</f>
        <v/>
      </c>
      <c r="O1038" s="9">
        <f>$O$1*LN(E1038/E1037)</f>
        <v/>
      </c>
      <c r="P1038" s="9">
        <f>$P$1*LN(F1038/F1037)</f>
        <v/>
      </c>
      <c r="Q1038" s="9">
        <f>$Q$1*(G1038-G1037)</f>
        <v/>
      </c>
      <c r="R1038" s="9">
        <f>$R$1*(H1038-H1037)</f>
        <v/>
      </c>
      <c r="S1038" s="9">
        <f>$S$1*LN(I1038/I1037)</f>
        <v/>
      </c>
      <c r="T1038" s="9">
        <f>$T$1*LN(J1038/J1037)</f>
        <v/>
      </c>
      <c r="U1038" s="9">
        <f>$W$12+$W$4*M1038+$W$5*N1038+$W$6*O1038+$W$7*P1038+$W$8*Q1038+$W$9*R1038+$W$10*S1038+$W$11*T1038</f>
        <v/>
      </c>
      <c r="AA1038" s="10">
        <f>INDEX(LINEST(L779:L1038,M779:T1038,TRUE,TRUE),1,9)*52</f>
        <v/>
      </c>
      <c r="AB1038" s="9">
        <f>INDEX(LINEST(L779:L1038,M779:T1038,TRUE,TRUE),1,8)</f>
        <v/>
      </c>
      <c r="AC1038" s="9">
        <f>INDEX(LINEST(L779:L1038,M779:T1038,TRUE,TRUE),1,7)</f>
        <v/>
      </c>
      <c r="AD1038" s="9">
        <f>INDEX(LINEST(L779:L1038,M779:T1038,TRUE,TRUE),1,6)</f>
        <v/>
      </c>
      <c r="AE1038" s="9">
        <f>INDEX(LINEST(L779:L1038,M779:T1038,TRUE,TRUE),1,5)</f>
        <v/>
      </c>
      <c r="AF1038" s="9">
        <f>INDEX(LINEST(L779:L1038,M779:T1038,TRUE,TRUE),1,4)</f>
        <v/>
      </c>
      <c r="AG1038" s="9">
        <f>INDEX(LINEST(L779:L1038,M779:T1038,TRUE,TRUE),1,3)</f>
        <v/>
      </c>
      <c r="AH1038" s="9">
        <f>INDEX(LINEST(L779:L1038,M779:T1038,TRUE,TRUE),1,2)</f>
        <v/>
      </c>
      <c r="AI1038" s="9">
        <f>INDEX(LINEST(L779:L1038,M779:T1038,TRUE,TRUE),1,1)</f>
        <v/>
      </c>
      <c r="AJ1038" s="10">
        <f>INDEX(LINEST(L779:L1038,M779:T1038,TRUE,TRUE),3,1)</f>
        <v/>
      </c>
      <c r="AK1038" s="9">
        <f>AA1037/52+AB1037*M1038+AC1037*N1038+AD1037*O1038+AE1037*P1038+AF1037*Q1038+AG1037*R1038+AH1037*S1038+AI1037*T1038</f>
        <v/>
      </c>
      <c r="AL1038" s="9">
        <f>AVERAGE(L778:L1037)</f>
        <v/>
      </c>
    </row>
    <row r="1039">
      <c r="A1039" s="7" t="n">
        <v>44883</v>
      </c>
      <c r="B1039" s="8" t="n">
        <v>1751.6</v>
      </c>
      <c r="C1039" s="8" t="n">
        <v>2.25</v>
      </c>
      <c r="D1039" s="8" t="n">
        <v>1.57</v>
      </c>
      <c r="E1039" s="8" t="n">
        <v>106.93</v>
      </c>
      <c r="F1039" s="8" t="n">
        <v>80.06999999999999</v>
      </c>
      <c r="G1039" s="8" t="n">
        <v>23.12</v>
      </c>
      <c r="H1039" s="8" t="n">
        <v>129.330002</v>
      </c>
      <c r="I1039" s="8" t="n">
        <v>3965.340088</v>
      </c>
      <c r="J1039" s="8" t="n">
        <v>85.24906900000001</v>
      </c>
      <c r="L1039" s="9">
        <f>LN(B1039/B1038)</f>
        <v/>
      </c>
      <c r="M1039" s="9">
        <f>$M$1*(C1039-C1038)</f>
        <v/>
      </c>
      <c r="N1039" s="9">
        <f>$N$1*(D1039-D1038)</f>
        <v/>
      </c>
      <c r="O1039" s="9">
        <f>$O$1*LN(E1039/E1038)</f>
        <v/>
      </c>
      <c r="P1039" s="9">
        <f>$P$1*LN(F1039/F1038)</f>
        <v/>
      </c>
      <c r="Q1039" s="9">
        <f>$Q$1*(G1039-G1038)</f>
        <v/>
      </c>
      <c r="R1039" s="9">
        <f>$R$1*(H1039-H1038)</f>
        <v/>
      </c>
      <c r="S1039" s="9">
        <f>$S$1*LN(I1039/I1038)</f>
        <v/>
      </c>
      <c r="T1039" s="9">
        <f>$T$1*LN(J1039/J1038)</f>
        <v/>
      </c>
      <c r="U1039" s="9">
        <f>$W$12+$W$4*M1039+$W$5*N1039+$W$6*O1039+$W$7*P1039+$W$8*Q1039+$W$9*R1039+$W$10*S1039+$W$11*T1039</f>
        <v/>
      </c>
      <c r="AA1039" s="10">
        <f>INDEX(LINEST(L780:L1039,M780:T1039,TRUE,TRUE),1,9)*52</f>
        <v/>
      </c>
      <c r="AB1039" s="9">
        <f>INDEX(LINEST(L780:L1039,M780:T1039,TRUE,TRUE),1,8)</f>
        <v/>
      </c>
      <c r="AC1039" s="9">
        <f>INDEX(LINEST(L780:L1039,M780:T1039,TRUE,TRUE),1,7)</f>
        <v/>
      </c>
      <c r="AD1039" s="9">
        <f>INDEX(LINEST(L780:L1039,M780:T1039,TRUE,TRUE),1,6)</f>
        <v/>
      </c>
      <c r="AE1039" s="9">
        <f>INDEX(LINEST(L780:L1039,M780:T1039,TRUE,TRUE),1,5)</f>
        <v/>
      </c>
      <c r="AF1039" s="9">
        <f>INDEX(LINEST(L780:L1039,M780:T1039,TRUE,TRUE),1,4)</f>
        <v/>
      </c>
      <c r="AG1039" s="9">
        <f>INDEX(LINEST(L780:L1039,M780:T1039,TRUE,TRUE),1,3)</f>
        <v/>
      </c>
      <c r="AH1039" s="9">
        <f>INDEX(LINEST(L780:L1039,M780:T1039,TRUE,TRUE),1,2)</f>
        <v/>
      </c>
      <c r="AI1039" s="9">
        <f>INDEX(LINEST(L780:L1039,M780:T1039,TRUE,TRUE),1,1)</f>
        <v/>
      </c>
      <c r="AJ1039" s="10">
        <f>INDEX(LINEST(L780:L1039,M780:T1039,TRUE,TRUE),3,1)</f>
        <v/>
      </c>
      <c r="AK1039" s="9">
        <f>AA1038/52+AB1038*M1039+AC1038*N1039+AD1038*O1039+AE1038*P1039+AF1038*Q1039+AG1038*R1039+AH1038*S1039+AI1038*T1039</f>
        <v/>
      </c>
      <c r="AL1039" s="9">
        <f>AVERAGE(L779:L1038)</f>
        <v/>
      </c>
    </row>
    <row r="1040">
      <c r="A1040" s="7" t="n">
        <v>44890</v>
      </c>
      <c r="B1040" s="8" t="n">
        <v>1751.85</v>
      </c>
      <c r="C1040" s="8" t="n">
        <v>2.32</v>
      </c>
      <c r="D1040" s="8" t="n">
        <v>1.36</v>
      </c>
      <c r="E1040" s="8" t="n">
        <v>105.959999</v>
      </c>
      <c r="F1040" s="8" t="n">
        <v>76.45</v>
      </c>
      <c r="G1040" s="8" t="n">
        <v>20.5</v>
      </c>
      <c r="H1040" s="8" t="n">
        <v>129.600006</v>
      </c>
      <c r="I1040" s="8" t="n">
        <v>4026.120117</v>
      </c>
      <c r="J1040" s="8" t="n">
        <v>86.16308600000001</v>
      </c>
      <c r="L1040" s="9">
        <f>LN(B1040/B1039)</f>
        <v/>
      </c>
      <c r="M1040" s="9">
        <f>$M$1*(C1040-C1039)</f>
        <v/>
      </c>
      <c r="N1040" s="9">
        <f>$N$1*(D1040-D1039)</f>
        <v/>
      </c>
      <c r="O1040" s="9">
        <f>$O$1*LN(E1040/E1039)</f>
        <v/>
      </c>
      <c r="P1040" s="9">
        <f>$P$1*LN(F1040/F1039)</f>
        <v/>
      </c>
      <c r="Q1040" s="9">
        <f>$Q$1*(G1040-G1039)</f>
        <v/>
      </c>
      <c r="R1040" s="9">
        <f>$R$1*(H1040-H1039)</f>
        <v/>
      </c>
      <c r="S1040" s="9">
        <f>$S$1*LN(I1040/I1039)</f>
        <v/>
      </c>
      <c r="T1040" s="9">
        <f>$T$1*LN(J1040/J1039)</f>
        <v/>
      </c>
      <c r="U1040" s="9">
        <f>$W$12+$W$4*M1040+$W$5*N1040+$W$6*O1040+$W$7*P1040+$W$8*Q1040+$W$9*R1040+$W$10*S1040+$W$11*T1040</f>
        <v/>
      </c>
      <c r="AA1040" s="10">
        <f>INDEX(LINEST(L781:L1040,M781:T1040,TRUE,TRUE),1,9)*52</f>
        <v/>
      </c>
      <c r="AB1040" s="9">
        <f>INDEX(LINEST(L781:L1040,M781:T1040,TRUE,TRUE),1,8)</f>
        <v/>
      </c>
      <c r="AC1040" s="9">
        <f>INDEX(LINEST(L781:L1040,M781:T1040,TRUE,TRUE),1,7)</f>
        <v/>
      </c>
      <c r="AD1040" s="9">
        <f>INDEX(LINEST(L781:L1040,M781:T1040,TRUE,TRUE),1,6)</f>
        <v/>
      </c>
      <c r="AE1040" s="9">
        <f>INDEX(LINEST(L781:L1040,M781:T1040,TRUE,TRUE),1,5)</f>
        <v/>
      </c>
      <c r="AF1040" s="9">
        <f>INDEX(LINEST(L781:L1040,M781:T1040,TRUE,TRUE),1,4)</f>
        <v/>
      </c>
      <c r="AG1040" s="9">
        <f>INDEX(LINEST(L781:L1040,M781:T1040,TRUE,TRUE),1,3)</f>
        <v/>
      </c>
      <c r="AH1040" s="9">
        <f>INDEX(LINEST(L781:L1040,M781:T1040,TRUE,TRUE),1,2)</f>
        <v/>
      </c>
      <c r="AI1040" s="9">
        <f>INDEX(LINEST(L781:L1040,M781:T1040,TRUE,TRUE),1,1)</f>
        <v/>
      </c>
      <c r="AJ1040" s="10">
        <f>INDEX(LINEST(L781:L1040,M781:T1040,TRUE,TRUE),3,1)</f>
        <v/>
      </c>
      <c r="AK1040" s="9">
        <f>AA1039/52+AB1039*M1040+AC1039*N1040+AD1039*O1040+AE1039*P1040+AF1039*Q1040+AG1039*R1040+AH1039*S1040+AI1039*T1040</f>
        <v/>
      </c>
      <c r="AL1040" s="9">
        <f>AVERAGE(L780:L1039)</f>
        <v/>
      </c>
    </row>
    <row r="1041">
      <c r="A1041" s="7" t="n">
        <v>44897</v>
      </c>
      <c r="B1041" s="8" t="n">
        <v>1784.75</v>
      </c>
      <c r="C1041" s="8" t="n">
        <v>2.43</v>
      </c>
      <c r="D1041" s="8" t="n">
        <v>1.08</v>
      </c>
      <c r="E1041" s="8" t="n">
        <v>104.550003</v>
      </c>
      <c r="F1041" s="8" t="n">
        <v>79.86</v>
      </c>
      <c r="G1041" s="8" t="n">
        <v>19.06</v>
      </c>
      <c r="H1041" s="8" t="n">
        <v>118.620003</v>
      </c>
      <c r="I1041" s="8" t="n">
        <v>4071.699951</v>
      </c>
      <c r="J1041" s="8" t="n">
        <v>87.46272999999999</v>
      </c>
      <c r="L1041" s="9">
        <f>LN(B1041/B1040)</f>
        <v/>
      </c>
      <c r="M1041" s="9">
        <f>$M$1*(C1041-C1040)</f>
        <v/>
      </c>
      <c r="N1041" s="9">
        <f>$N$1*(D1041-D1040)</f>
        <v/>
      </c>
      <c r="O1041" s="9">
        <f>$O$1*LN(E1041/E1040)</f>
        <v/>
      </c>
      <c r="P1041" s="9">
        <f>$P$1*LN(F1041/F1040)</f>
        <v/>
      </c>
      <c r="Q1041" s="9">
        <f>$Q$1*(G1041-G1040)</f>
        <v/>
      </c>
      <c r="R1041" s="9">
        <f>$R$1*(H1041-H1040)</f>
        <v/>
      </c>
      <c r="S1041" s="9">
        <f>$S$1*LN(I1041/I1040)</f>
        <v/>
      </c>
      <c r="T1041" s="9">
        <f>$T$1*LN(J1041/J1040)</f>
        <v/>
      </c>
      <c r="U1041" s="9">
        <f>$W$12+$W$4*M1041+$W$5*N1041+$W$6*O1041+$W$7*P1041+$W$8*Q1041+$W$9*R1041+$W$10*S1041+$W$11*T1041</f>
        <v/>
      </c>
      <c r="AA1041" s="10">
        <f>INDEX(LINEST(L782:L1041,M782:T1041,TRUE,TRUE),1,9)*52</f>
        <v/>
      </c>
      <c r="AB1041" s="9">
        <f>INDEX(LINEST(L782:L1041,M782:T1041,TRUE,TRUE),1,8)</f>
        <v/>
      </c>
      <c r="AC1041" s="9">
        <f>INDEX(LINEST(L782:L1041,M782:T1041,TRUE,TRUE),1,7)</f>
        <v/>
      </c>
      <c r="AD1041" s="9">
        <f>INDEX(LINEST(L782:L1041,M782:T1041,TRUE,TRUE),1,6)</f>
        <v/>
      </c>
      <c r="AE1041" s="9">
        <f>INDEX(LINEST(L782:L1041,M782:T1041,TRUE,TRUE),1,5)</f>
        <v/>
      </c>
      <c r="AF1041" s="9">
        <f>INDEX(LINEST(L782:L1041,M782:T1041,TRUE,TRUE),1,4)</f>
        <v/>
      </c>
      <c r="AG1041" s="9">
        <f>INDEX(LINEST(L782:L1041,M782:T1041,TRUE,TRUE),1,3)</f>
        <v/>
      </c>
      <c r="AH1041" s="9">
        <f>INDEX(LINEST(L782:L1041,M782:T1041,TRUE,TRUE),1,2)</f>
        <v/>
      </c>
      <c r="AI1041" s="9">
        <f>INDEX(LINEST(L782:L1041,M782:T1041,TRUE,TRUE),1,1)</f>
        <v/>
      </c>
      <c r="AJ1041" s="10">
        <f>INDEX(LINEST(L782:L1041,M782:T1041,TRUE,TRUE),3,1)</f>
        <v/>
      </c>
      <c r="AK1041" s="9">
        <f>AA1040/52+AB1040*M1041+AC1040*N1041+AD1040*O1041+AE1040*P1041+AF1040*Q1041+AG1040*R1041+AH1040*S1041+AI1040*T1041</f>
        <v/>
      </c>
      <c r="AL1041" s="9">
        <f>AVERAGE(L781:L1040)</f>
        <v/>
      </c>
    </row>
    <row r="1042">
      <c r="A1042" s="7" t="n">
        <v>44904</v>
      </c>
      <c r="B1042" s="8" t="n">
        <v>1796.15</v>
      </c>
      <c r="C1042" s="8" t="n">
        <v>2.26</v>
      </c>
      <c r="D1042" s="8" t="n">
        <v>1.31</v>
      </c>
      <c r="E1042" s="8" t="n">
        <v>104.809998</v>
      </c>
      <c r="F1042" s="8" t="n">
        <v>71.05</v>
      </c>
      <c r="G1042" s="8" t="n">
        <v>22.83</v>
      </c>
      <c r="H1042" s="8" t="n">
        <v>132.789993</v>
      </c>
      <c r="I1042" s="8" t="n">
        <v>3934.379883</v>
      </c>
      <c r="J1042" s="8" t="n">
        <v>87.022324</v>
      </c>
      <c r="L1042" s="9">
        <f>LN(B1042/B1041)</f>
        <v/>
      </c>
      <c r="M1042" s="9">
        <f>$M$1*(C1042-C1041)</f>
        <v/>
      </c>
      <c r="N1042" s="9">
        <f>$N$1*(D1042-D1041)</f>
        <v/>
      </c>
      <c r="O1042" s="9">
        <f>$O$1*LN(E1042/E1041)</f>
        <v/>
      </c>
      <c r="P1042" s="9">
        <f>$P$1*LN(F1042/F1041)</f>
        <v/>
      </c>
      <c r="Q1042" s="9">
        <f>$Q$1*(G1042-G1041)</f>
        <v/>
      </c>
      <c r="R1042" s="9">
        <f>$R$1*(H1042-H1041)</f>
        <v/>
      </c>
      <c r="S1042" s="9">
        <f>$S$1*LN(I1042/I1041)</f>
        <v/>
      </c>
      <c r="T1042" s="9">
        <f>$T$1*LN(J1042/J1041)</f>
        <v/>
      </c>
      <c r="U1042" s="9">
        <f>$W$12+$W$4*M1042+$W$5*N1042+$W$6*O1042+$W$7*P1042+$W$8*Q1042+$W$9*R1042+$W$10*S1042+$W$11*T1042</f>
        <v/>
      </c>
      <c r="AA1042" s="10">
        <f>INDEX(LINEST(L783:L1042,M783:T1042,TRUE,TRUE),1,9)*52</f>
        <v/>
      </c>
      <c r="AB1042" s="9">
        <f>INDEX(LINEST(L783:L1042,M783:T1042,TRUE,TRUE),1,8)</f>
        <v/>
      </c>
      <c r="AC1042" s="9">
        <f>INDEX(LINEST(L783:L1042,M783:T1042,TRUE,TRUE),1,7)</f>
        <v/>
      </c>
      <c r="AD1042" s="9">
        <f>INDEX(LINEST(L783:L1042,M783:T1042,TRUE,TRUE),1,6)</f>
        <v/>
      </c>
      <c r="AE1042" s="9">
        <f>INDEX(LINEST(L783:L1042,M783:T1042,TRUE,TRUE),1,5)</f>
        <v/>
      </c>
      <c r="AF1042" s="9">
        <f>INDEX(LINEST(L783:L1042,M783:T1042,TRUE,TRUE),1,4)</f>
        <v/>
      </c>
      <c r="AG1042" s="9">
        <f>INDEX(LINEST(L783:L1042,M783:T1042,TRUE,TRUE),1,3)</f>
        <v/>
      </c>
      <c r="AH1042" s="9">
        <f>INDEX(LINEST(L783:L1042,M783:T1042,TRUE,TRUE),1,2)</f>
        <v/>
      </c>
      <c r="AI1042" s="9">
        <f>INDEX(LINEST(L783:L1042,M783:T1042,TRUE,TRUE),1,1)</f>
        <v/>
      </c>
      <c r="AJ1042" s="10">
        <f>INDEX(LINEST(L783:L1042,M783:T1042,TRUE,TRUE),3,1)</f>
        <v/>
      </c>
      <c r="AK1042" s="9">
        <f>AA1041/52+AB1041*M1042+AC1041*N1042+AD1041*O1042+AE1041*P1042+AF1041*Q1042+AG1041*R1042+AH1041*S1042+AI1041*T1042</f>
        <v/>
      </c>
      <c r="AL1042" s="9">
        <f>AVERAGE(L782:L1041)</f>
        <v/>
      </c>
    </row>
    <row r="1043">
      <c r="A1043" s="7" t="n">
        <v>44911</v>
      </c>
      <c r="B1043" s="8" t="n">
        <v>1792.55</v>
      </c>
      <c r="C1043" s="8" t="n">
        <v>2.13</v>
      </c>
      <c r="D1043" s="8" t="n">
        <v>1.35</v>
      </c>
      <c r="E1043" s="8" t="n">
        <v>104.699997</v>
      </c>
      <c r="F1043" s="8" t="n">
        <v>74.19</v>
      </c>
      <c r="G1043" s="8" t="n">
        <v>22.62</v>
      </c>
      <c r="H1043" s="8" t="n">
        <v>113.650002</v>
      </c>
      <c r="I1043" s="8" t="n">
        <v>3852.360107</v>
      </c>
      <c r="J1043" s="8" t="n">
        <v>87.71447000000001</v>
      </c>
      <c r="L1043" s="9">
        <f>LN(B1043/B1042)</f>
        <v/>
      </c>
      <c r="M1043" s="9">
        <f>$M$1*(C1043-C1042)</f>
        <v/>
      </c>
      <c r="N1043" s="9">
        <f>$N$1*(D1043-D1042)</f>
        <v/>
      </c>
      <c r="O1043" s="9">
        <f>$O$1*LN(E1043/E1042)</f>
        <v/>
      </c>
      <c r="P1043" s="9">
        <f>$P$1*LN(F1043/F1042)</f>
        <v/>
      </c>
      <c r="Q1043" s="9">
        <f>$Q$1*(G1043-G1042)</f>
        <v/>
      </c>
      <c r="R1043" s="9">
        <f>$R$1*(H1043-H1042)</f>
        <v/>
      </c>
      <c r="S1043" s="9">
        <f>$S$1*LN(I1043/I1042)</f>
        <v/>
      </c>
      <c r="T1043" s="9">
        <f>$T$1*LN(J1043/J1042)</f>
        <v/>
      </c>
      <c r="U1043" s="9">
        <f>$W$12+$W$4*M1043+$W$5*N1043+$W$6*O1043+$W$7*P1043+$W$8*Q1043+$W$9*R1043+$W$10*S1043+$W$11*T1043</f>
        <v/>
      </c>
      <c r="AA1043" s="10">
        <f>INDEX(LINEST(L784:L1043,M784:T1043,TRUE,TRUE),1,9)*52</f>
        <v/>
      </c>
      <c r="AB1043" s="9">
        <f>INDEX(LINEST(L784:L1043,M784:T1043,TRUE,TRUE),1,8)</f>
        <v/>
      </c>
      <c r="AC1043" s="9">
        <f>INDEX(LINEST(L784:L1043,M784:T1043,TRUE,TRUE),1,7)</f>
        <v/>
      </c>
      <c r="AD1043" s="9">
        <f>INDEX(LINEST(L784:L1043,M784:T1043,TRUE,TRUE),1,6)</f>
        <v/>
      </c>
      <c r="AE1043" s="9">
        <f>INDEX(LINEST(L784:L1043,M784:T1043,TRUE,TRUE),1,5)</f>
        <v/>
      </c>
      <c r="AF1043" s="9">
        <f>INDEX(LINEST(L784:L1043,M784:T1043,TRUE,TRUE),1,4)</f>
        <v/>
      </c>
      <c r="AG1043" s="9">
        <f>INDEX(LINEST(L784:L1043,M784:T1043,TRUE,TRUE),1,3)</f>
        <v/>
      </c>
      <c r="AH1043" s="9">
        <f>INDEX(LINEST(L784:L1043,M784:T1043,TRUE,TRUE),1,2)</f>
        <v/>
      </c>
      <c r="AI1043" s="9">
        <f>INDEX(LINEST(L784:L1043,M784:T1043,TRUE,TRUE),1,1)</f>
        <v/>
      </c>
      <c r="AJ1043" s="10">
        <f>INDEX(LINEST(L784:L1043,M784:T1043,TRUE,TRUE),3,1)</f>
        <v/>
      </c>
      <c r="AK1043" s="9">
        <f>AA1042/52+AB1042*M1043+AC1042*N1043+AD1042*O1043+AE1042*P1043+AF1042*Q1043+AG1042*R1043+AH1042*S1043+AI1042*T1043</f>
        <v/>
      </c>
      <c r="AL1043" s="9">
        <f>AVERAGE(L783:L1042)</f>
        <v/>
      </c>
    </row>
    <row r="1044">
      <c r="A1044" s="7" t="n">
        <v>44918</v>
      </c>
      <c r="B1044" s="8" t="n">
        <v>1800.7</v>
      </c>
      <c r="C1044" s="8" t="n">
        <v>2.2</v>
      </c>
      <c r="D1044" s="8" t="n">
        <v>1.55</v>
      </c>
      <c r="E1044" s="8" t="n">
        <v>104.309998</v>
      </c>
      <c r="F1044" s="8" t="n">
        <v>79.56999999999999</v>
      </c>
      <c r="G1044" s="8" t="n">
        <v>20.87</v>
      </c>
      <c r="H1044" s="8" t="n">
        <v>113.169998</v>
      </c>
      <c r="I1044" s="8" t="n">
        <v>3844.820068</v>
      </c>
      <c r="J1044" s="8" t="n">
        <v>86.496056</v>
      </c>
      <c r="L1044" s="9">
        <f>LN(B1044/B1043)</f>
        <v/>
      </c>
      <c r="M1044" s="9">
        <f>$M$1*(C1044-C1043)</f>
        <v/>
      </c>
      <c r="N1044" s="9">
        <f>$N$1*(D1044-D1043)</f>
        <v/>
      </c>
      <c r="O1044" s="9">
        <f>$O$1*LN(E1044/E1043)</f>
        <v/>
      </c>
      <c r="P1044" s="9">
        <f>$P$1*LN(F1044/F1043)</f>
        <v/>
      </c>
      <c r="Q1044" s="9">
        <f>$Q$1*(G1044-G1043)</f>
        <v/>
      </c>
      <c r="R1044" s="9">
        <f>$R$1*(H1044-H1043)</f>
        <v/>
      </c>
      <c r="S1044" s="9">
        <f>$S$1*LN(I1044/I1043)</f>
        <v/>
      </c>
      <c r="T1044" s="9">
        <f>$T$1*LN(J1044/J1043)</f>
        <v/>
      </c>
      <c r="U1044" s="9">
        <f>$W$12+$W$4*M1044+$W$5*N1044+$W$6*O1044+$W$7*P1044+$W$8*Q1044+$W$9*R1044+$W$10*S1044+$W$11*T1044</f>
        <v/>
      </c>
      <c r="AA1044" s="10">
        <f>INDEX(LINEST(L785:L1044,M785:T1044,TRUE,TRUE),1,9)*52</f>
        <v/>
      </c>
      <c r="AB1044" s="9">
        <f>INDEX(LINEST(L785:L1044,M785:T1044,TRUE,TRUE),1,8)</f>
        <v/>
      </c>
      <c r="AC1044" s="9">
        <f>INDEX(LINEST(L785:L1044,M785:T1044,TRUE,TRUE),1,7)</f>
        <v/>
      </c>
      <c r="AD1044" s="9">
        <f>INDEX(LINEST(L785:L1044,M785:T1044,TRUE,TRUE),1,6)</f>
        <v/>
      </c>
      <c r="AE1044" s="9">
        <f>INDEX(LINEST(L785:L1044,M785:T1044,TRUE,TRUE),1,5)</f>
        <v/>
      </c>
      <c r="AF1044" s="9">
        <f>INDEX(LINEST(L785:L1044,M785:T1044,TRUE,TRUE),1,4)</f>
        <v/>
      </c>
      <c r="AG1044" s="9">
        <f>INDEX(LINEST(L785:L1044,M785:T1044,TRUE,TRUE),1,3)</f>
        <v/>
      </c>
      <c r="AH1044" s="9">
        <f>INDEX(LINEST(L785:L1044,M785:T1044,TRUE,TRUE),1,2)</f>
        <v/>
      </c>
      <c r="AI1044" s="9">
        <f>INDEX(LINEST(L785:L1044,M785:T1044,TRUE,TRUE),1,1)</f>
        <v/>
      </c>
      <c r="AJ1044" s="10">
        <f>INDEX(LINEST(L785:L1044,M785:T1044,TRUE,TRUE),3,1)</f>
        <v/>
      </c>
      <c r="AK1044" s="9">
        <f>AA1043/52+AB1043*M1044+AC1043*N1044+AD1043*O1044+AE1043*P1044+AF1043*Q1044+AG1043*R1044+AH1043*S1044+AI1043*T1044</f>
        <v/>
      </c>
      <c r="AL1044" s="9">
        <f>AVERAGE(L784:L1043)</f>
        <v/>
      </c>
    </row>
    <row r="1045">
      <c r="A1045" s="7" t="n">
        <v>44925</v>
      </c>
      <c r="B1045" s="8" t="n">
        <v>1813.75</v>
      </c>
      <c r="C1045" s="8" t="n">
        <v>2.3</v>
      </c>
      <c r="D1045" s="8" t="n">
        <v>1.58</v>
      </c>
      <c r="E1045" s="8" t="n">
        <v>103.519997</v>
      </c>
      <c r="F1045" s="8" t="n">
        <v>80.16</v>
      </c>
      <c r="G1045" s="8" t="n">
        <v>21.67</v>
      </c>
      <c r="H1045" s="8" t="n">
        <v>121.610001</v>
      </c>
      <c r="I1045" s="8" t="n">
        <v>3839.5</v>
      </c>
      <c r="J1045" s="8" t="n">
        <v>85.63082900000001</v>
      </c>
      <c r="L1045" s="9">
        <f>LN(B1045/B1044)</f>
        <v/>
      </c>
      <c r="M1045" s="9">
        <f>$M$1*(C1045-C1044)</f>
        <v/>
      </c>
      <c r="N1045" s="9">
        <f>$N$1*(D1045-D1044)</f>
        <v/>
      </c>
      <c r="O1045" s="9">
        <f>$O$1*LN(E1045/E1044)</f>
        <v/>
      </c>
      <c r="P1045" s="9">
        <f>$P$1*LN(F1045/F1044)</f>
        <v/>
      </c>
      <c r="Q1045" s="9">
        <f>$Q$1*(G1045-G1044)</f>
        <v/>
      </c>
      <c r="R1045" s="9">
        <f>$R$1*(H1045-H1044)</f>
        <v/>
      </c>
      <c r="S1045" s="9">
        <f>$S$1*LN(I1045/I1044)</f>
        <v/>
      </c>
      <c r="T1045" s="9">
        <f>$T$1*LN(J1045/J1044)</f>
        <v/>
      </c>
      <c r="U1045" s="9">
        <f>$W$12+$W$4*M1045+$W$5*N1045+$W$6*O1045+$W$7*P1045+$W$8*Q1045+$W$9*R1045+$W$10*S1045+$W$11*T1045</f>
        <v/>
      </c>
      <c r="AA1045" s="10">
        <f>INDEX(LINEST(L786:L1045,M786:T1045,TRUE,TRUE),1,9)*52</f>
        <v/>
      </c>
      <c r="AB1045" s="9">
        <f>INDEX(LINEST(L786:L1045,M786:T1045,TRUE,TRUE),1,8)</f>
        <v/>
      </c>
      <c r="AC1045" s="9">
        <f>INDEX(LINEST(L786:L1045,M786:T1045,TRUE,TRUE),1,7)</f>
        <v/>
      </c>
      <c r="AD1045" s="9">
        <f>INDEX(LINEST(L786:L1045,M786:T1045,TRUE,TRUE),1,6)</f>
        <v/>
      </c>
      <c r="AE1045" s="9">
        <f>INDEX(LINEST(L786:L1045,M786:T1045,TRUE,TRUE),1,5)</f>
        <v/>
      </c>
      <c r="AF1045" s="9">
        <f>INDEX(LINEST(L786:L1045,M786:T1045,TRUE,TRUE),1,4)</f>
        <v/>
      </c>
      <c r="AG1045" s="9">
        <f>INDEX(LINEST(L786:L1045,M786:T1045,TRUE,TRUE),1,3)</f>
        <v/>
      </c>
      <c r="AH1045" s="9">
        <f>INDEX(LINEST(L786:L1045,M786:T1045,TRUE,TRUE),1,2)</f>
        <v/>
      </c>
      <c r="AI1045" s="9">
        <f>INDEX(LINEST(L786:L1045,M786:T1045,TRUE,TRUE),1,1)</f>
        <v/>
      </c>
      <c r="AJ1045" s="10">
        <f>INDEX(LINEST(L786:L1045,M786:T1045,TRUE,TRUE),3,1)</f>
        <v/>
      </c>
      <c r="AK1045" s="9">
        <f>AA1044/52+AB1044*M1045+AC1044*N1045+AD1044*O1045+AE1044*P1045+AF1044*Q1045+AG1044*R1045+AH1044*S1045+AI1044*T1045</f>
        <v/>
      </c>
      <c r="AL1045" s="9">
        <f>AVERAGE(L785:L1044)</f>
        <v/>
      </c>
    </row>
    <row r="1046">
      <c r="A1046" s="7" t="n">
        <v>44932</v>
      </c>
      <c r="B1046" s="8" t="n">
        <v>1852.2</v>
      </c>
      <c r="C1046" s="8" t="n">
        <v>2.21</v>
      </c>
      <c r="D1046" s="8" t="n">
        <v>1.34</v>
      </c>
      <c r="E1046" s="8" t="n">
        <v>103.879997</v>
      </c>
      <c r="F1046" s="8" t="n">
        <v>73.77</v>
      </c>
      <c r="G1046" s="8" t="n">
        <v>21.13</v>
      </c>
      <c r="H1046" s="8" t="n">
        <v>113.870003</v>
      </c>
      <c r="I1046" s="8" t="n">
        <v>3895.080078</v>
      </c>
      <c r="J1046" s="8" t="n">
        <v>87.484917</v>
      </c>
      <c r="L1046" s="9">
        <f>LN(B1046/B1045)</f>
        <v/>
      </c>
      <c r="M1046" s="9">
        <f>$M$1*(C1046-C1045)</f>
        <v/>
      </c>
      <c r="N1046" s="9">
        <f>$N$1*(D1046-D1045)</f>
        <v/>
      </c>
      <c r="O1046" s="9">
        <f>$O$1*LN(E1046/E1045)</f>
        <v/>
      </c>
      <c r="P1046" s="9">
        <f>$P$1*LN(F1046/F1045)</f>
        <v/>
      </c>
      <c r="Q1046" s="9">
        <f>$Q$1*(G1046-G1045)</f>
        <v/>
      </c>
      <c r="R1046" s="9">
        <f>$R$1*(H1046-H1045)</f>
        <v/>
      </c>
      <c r="S1046" s="9">
        <f>$S$1*LN(I1046/I1045)</f>
        <v/>
      </c>
      <c r="T1046" s="9">
        <f>$T$1*LN(J1046/J1045)</f>
        <v/>
      </c>
      <c r="U1046" s="9">
        <f>$W$12+$W$4*M1046+$W$5*N1046+$W$6*O1046+$W$7*P1046+$W$8*Q1046+$W$9*R1046+$W$10*S1046+$W$11*T1046</f>
        <v/>
      </c>
      <c r="AA1046" s="10">
        <f>INDEX(LINEST(L787:L1046,M787:T1046,TRUE,TRUE),1,9)*52</f>
        <v/>
      </c>
      <c r="AB1046" s="9">
        <f>INDEX(LINEST(L787:L1046,M787:T1046,TRUE,TRUE),1,8)</f>
        <v/>
      </c>
      <c r="AC1046" s="9">
        <f>INDEX(LINEST(L787:L1046,M787:T1046,TRUE,TRUE),1,7)</f>
        <v/>
      </c>
      <c r="AD1046" s="9">
        <f>INDEX(LINEST(L787:L1046,M787:T1046,TRUE,TRUE),1,6)</f>
        <v/>
      </c>
      <c r="AE1046" s="9">
        <f>INDEX(LINEST(L787:L1046,M787:T1046,TRUE,TRUE),1,5)</f>
        <v/>
      </c>
      <c r="AF1046" s="9">
        <f>INDEX(LINEST(L787:L1046,M787:T1046,TRUE,TRUE),1,4)</f>
        <v/>
      </c>
      <c r="AG1046" s="9">
        <f>INDEX(LINEST(L787:L1046,M787:T1046,TRUE,TRUE),1,3)</f>
        <v/>
      </c>
      <c r="AH1046" s="9">
        <f>INDEX(LINEST(L787:L1046,M787:T1046,TRUE,TRUE),1,2)</f>
        <v/>
      </c>
      <c r="AI1046" s="9">
        <f>INDEX(LINEST(L787:L1046,M787:T1046,TRUE,TRUE),1,1)</f>
        <v/>
      </c>
      <c r="AJ1046" s="10">
        <f>INDEX(LINEST(L787:L1046,M787:T1046,TRUE,TRUE),3,1)</f>
        <v/>
      </c>
      <c r="AK1046" s="9">
        <f>AA1045/52+AB1045*M1046+AC1045*N1046+AD1045*O1046+AE1045*P1046+AF1045*Q1046+AG1045*R1046+AH1045*S1046+AI1045*T1046</f>
        <v/>
      </c>
      <c r="AL1046" s="9">
        <f>AVERAGE(L786:L1045)</f>
        <v/>
      </c>
    </row>
    <row r="1047">
      <c r="A1047" s="7" t="n">
        <v>44939</v>
      </c>
      <c r="B1047" s="8" t="n">
        <v>1907.15</v>
      </c>
      <c r="C1047" s="8" t="n">
        <v>2.18</v>
      </c>
      <c r="D1047" s="8" t="n">
        <v>1.31</v>
      </c>
      <c r="E1047" s="8" t="n">
        <v>102.199997</v>
      </c>
      <c r="F1047" s="8" t="n">
        <v>79.90000000000001</v>
      </c>
      <c r="G1047" s="8" t="n">
        <v>18.35</v>
      </c>
      <c r="H1047" s="8" t="n">
        <v>113.550003</v>
      </c>
      <c r="I1047" s="8" t="n">
        <v>3999.090088</v>
      </c>
      <c r="J1047" s="8" t="n">
        <v>88.217674</v>
      </c>
      <c r="L1047" s="9">
        <f>LN(B1047/B1046)</f>
        <v/>
      </c>
      <c r="M1047" s="9">
        <f>$M$1*(C1047-C1046)</f>
        <v/>
      </c>
      <c r="N1047" s="9">
        <f>$N$1*(D1047-D1046)</f>
        <v/>
      </c>
      <c r="O1047" s="9">
        <f>$O$1*LN(E1047/E1046)</f>
        <v/>
      </c>
      <c r="P1047" s="9">
        <f>$P$1*LN(F1047/F1046)</f>
        <v/>
      </c>
      <c r="Q1047" s="9">
        <f>$Q$1*(G1047-G1046)</f>
        <v/>
      </c>
      <c r="R1047" s="9">
        <f>$R$1*(H1047-H1046)</f>
        <v/>
      </c>
      <c r="S1047" s="9">
        <f>$S$1*LN(I1047/I1046)</f>
        <v/>
      </c>
      <c r="T1047" s="9">
        <f>$T$1*LN(J1047/J1046)</f>
        <v/>
      </c>
      <c r="U1047" s="9">
        <f>$W$12+$W$4*M1047+$W$5*N1047+$W$6*O1047+$W$7*P1047+$W$8*Q1047+$W$9*R1047+$W$10*S1047+$W$11*T1047</f>
        <v/>
      </c>
      <c r="AA1047" s="10">
        <f>INDEX(LINEST(L788:L1047,M788:T1047,TRUE,TRUE),1,9)*52</f>
        <v/>
      </c>
      <c r="AB1047" s="9">
        <f>INDEX(LINEST(L788:L1047,M788:T1047,TRUE,TRUE),1,8)</f>
        <v/>
      </c>
      <c r="AC1047" s="9">
        <f>INDEX(LINEST(L788:L1047,M788:T1047,TRUE,TRUE),1,7)</f>
        <v/>
      </c>
      <c r="AD1047" s="9">
        <f>INDEX(LINEST(L788:L1047,M788:T1047,TRUE,TRUE),1,6)</f>
        <v/>
      </c>
      <c r="AE1047" s="9">
        <f>INDEX(LINEST(L788:L1047,M788:T1047,TRUE,TRUE),1,5)</f>
        <v/>
      </c>
      <c r="AF1047" s="9">
        <f>INDEX(LINEST(L788:L1047,M788:T1047,TRUE,TRUE),1,4)</f>
        <v/>
      </c>
      <c r="AG1047" s="9">
        <f>INDEX(LINEST(L788:L1047,M788:T1047,TRUE,TRUE),1,3)</f>
        <v/>
      </c>
      <c r="AH1047" s="9">
        <f>INDEX(LINEST(L788:L1047,M788:T1047,TRUE,TRUE),1,2)</f>
        <v/>
      </c>
      <c r="AI1047" s="9">
        <f>INDEX(LINEST(L788:L1047,M788:T1047,TRUE,TRUE),1,1)</f>
        <v/>
      </c>
      <c r="AJ1047" s="10">
        <f>INDEX(LINEST(L788:L1047,M788:T1047,TRUE,TRUE),3,1)</f>
        <v/>
      </c>
      <c r="AK1047" s="9">
        <f>AA1046/52+AB1046*M1047+AC1046*N1047+AD1046*O1047+AE1046*P1047+AF1046*Q1047+AG1046*R1047+AH1046*S1047+AI1046*T1047</f>
        <v/>
      </c>
      <c r="AL1047" s="9">
        <f>AVERAGE(L787:L1046)</f>
        <v/>
      </c>
    </row>
    <row r="1048">
      <c r="A1048" s="7" t="n">
        <v>44946</v>
      </c>
      <c r="B1048" s="8" t="n">
        <v>1924.9</v>
      </c>
      <c r="C1048" s="8" t="n">
        <v>2.23</v>
      </c>
      <c r="D1048" s="8" t="n">
        <v>1.25</v>
      </c>
      <c r="E1048" s="8" t="n">
        <v>102.010002</v>
      </c>
      <c r="F1048" s="8" t="n">
        <v>81.27</v>
      </c>
      <c r="G1048" s="8" t="n">
        <v>19.85</v>
      </c>
      <c r="H1048" s="8" t="n">
        <v>114.760002</v>
      </c>
      <c r="I1048" s="8" t="n">
        <v>3972.610107</v>
      </c>
      <c r="J1048" s="8" t="n">
        <v>88.36779</v>
      </c>
      <c r="L1048" s="9">
        <f>LN(B1048/B1047)</f>
        <v/>
      </c>
      <c r="M1048" s="9">
        <f>$M$1*(C1048-C1047)</f>
        <v/>
      </c>
      <c r="N1048" s="9">
        <f>$N$1*(D1048-D1047)</f>
        <v/>
      </c>
      <c r="O1048" s="9">
        <f>$O$1*LN(E1048/E1047)</f>
        <v/>
      </c>
      <c r="P1048" s="9">
        <f>$P$1*LN(F1048/F1047)</f>
        <v/>
      </c>
      <c r="Q1048" s="9">
        <f>$Q$1*(G1048-G1047)</f>
        <v/>
      </c>
      <c r="R1048" s="9">
        <f>$R$1*(H1048-H1047)</f>
        <v/>
      </c>
      <c r="S1048" s="9">
        <f>$S$1*LN(I1048/I1047)</f>
        <v/>
      </c>
      <c r="T1048" s="9">
        <f>$T$1*LN(J1048/J1047)</f>
        <v/>
      </c>
      <c r="U1048" s="9">
        <f>$W$12+$W$4*M1048+$W$5*N1048+$W$6*O1048+$W$7*P1048+$W$8*Q1048+$W$9*R1048+$W$10*S1048+$W$11*T1048</f>
        <v/>
      </c>
      <c r="AA1048" s="10">
        <f>INDEX(LINEST(L789:L1048,M789:T1048,TRUE,TRUE),1,9)*52</f>
        <v/>
      </c>
      <c r="AB1048" s="9">
        <f>INDEX(LINEST(L789:L1048,M789:T1048,TRUE,TRUE),1,8)</f>
        <v/>
      </c>
      <c r="AC1048" s="9">
        <f>INDEX(LINEST(L789:L1048,M789:T1048,TRUE,TRUE),1,7)</f>
        <v/>
      </c>
      <c r="AD1048" s="9">
        <f>INDEX(LINEST(L789:L1048,M789:T1048,TRUE,TRUE),1,6)</f>
        <v/>
      </c>
      <c r="AE1048" s="9">
        <f>INDEX(LINEST(L789:L1048,M789:T1048,TRUE,TRUE),1,5)</f>
        <v/>
      </c>
      <c r="AF1048" s="9">
        <f>INDEX(LINEST(L789:L1048,M789:T1048,TRUE,TRUE),1,4)</f>
        <v/>
      </c>
      <c r="AG1048" s="9">
        <f>INDEX(LINEST(L789:L1048,M789:T1048,TRUE,TRUE),1,3)</f>
        <v/>
      </c>
      <c r="AH1048" s="9">
        <f>INDEX(LINEST(L789:L1048,M789:T1048,TRUE,TRUE),1,2)</f>
        <v/>
      </c>
      <c r="AI1048" s="9">
        <f>INDEX(LINEST(L789:L1048,M789:T1048,TRUE,TRUE),1,1)</f>
        <v/>
      </c>
      <c r="AJ1048" s="10">
        <f>INDEX(LINEST(L789:L1048,M789:T1048,TRUE,TRUE),3,1)</f>
        <v/>
      </c>
      <c r="AK1048" s="9">
        <f>AA1047/52+AB1047*M1048+AC1047*N1048+AD1047*O1048+AE1047*P1048+AF1047*Q1048+AG1047*R1048+AH1047*S1048+AI1047*T1048</f>
        <v/>
      </c>
      <c r="AL1048" s="9">
        <f>AVERAGE(L788:L1047)</f>
        <v/>
      </c>
    </row>
    <row r="1049">
      <c r="A1049" s="7" t="n">
        <v>44953</v>
      </c>
      <c r="B1049" s="8" t="n">
        <v>1923.05</v>
      </c>
      <c r="C1049" s="8" t="n">
        <v>2.33</v>
      </c>
      <c r="D1049" s="8" t="n">
        <v>1.19</v>
      </c>
      <c r="E1049" s="8" t="n">
        <v>101.93</v>
      </c>
      <c r="F1049" s="8" t="n">
        <v>79.73</v>
      </c>
      <c r="G1049" s="8" t="n">
        <v>18.51</v>
      </c>
      <c r="H1049" s="8" t="n">
        <v>100.699997</v>
      </c>
      <c r="I1049" s="8" t="n">
        <v>4070.560059</v>
      </c>
      <c r="J1049" s="8" t="n">
        <v>88.358986</v>
      </c>
      <c r="L1049" s="9">
        <f>LN(B1049/B1048)</f>
        <v/>
      </c>
      <c r="M1049" s="9">
        <f>$M$1*(C1049-C1048)</f>
        <v/>
      </c>
      <c r="N1049" s="9">
        <f>$N$1*(D1049-D1048)</f>
        <v/>
      </c>
      <c r="O1049" s="9">
        <f>$O$1*LN(E1049/E1048)</f>
        <v/>
      </c>
      <c r="P1049" s="9">
        <f>$P$1*LN(F1049/F1048)</f>
        <v/>
      </c>
      <c r="Q1049" s="9">
        <f>$Q$1*(G1049-G1048)</f>
        <v/>
      </c>
      <c r="R1049" s="9">
        <f>$R$1*(H1049-H1048)</f>
        <v/>
      </c>
      <c r="S1049" s="9">
        <f>$S$1*LN(I1049/I1048)</f>
        <v/>
      </c>
      <c r="T1049" s="9">
        <f>$T$1*LN(J1049/J1048)</f>
        <v/>
      </c>
      <c r="U1049" s="9">
        <f>$W$12+$W$4*M1049+$W$5*N1049+$W$6*O1049+$W$7*P1049+$W$8*Q1049+$W$9*R1049+$W$10*S1049+$W$11*T1049</f>
        <v/>
      </c>
      <c r="AA1049" s="10">
        <f>INDEX(LINEST(L790:L1049,M790:T1049,TRUE,TRUE),1,9)*52</f>
        <v/>
      </c>
      <c r="AB1049" s="9">
        <f>INDEX(LINEST(L790:L1049,M790:T1049,TRUE,TRUE),1,8)</f>
        <v/>
      </c>
      <c r="AC1049" s="9">
        <f>INDEX(LINEST(L790:L1049,M790:T1049,TRUE,TRUE),1,7)</f>
        <v/>
      </c>
      <c r="AD1049" s="9">
        <f>INDEX(LINEST(L790:L1049,M790:T1049,TRUE,TRUE),1,6)</f>
        <v/>
      </c>
      <c r="AE1049" s="9">
        <f>INDEX(LINEST(L790:L1049,M790:T1049,TRUE,TRUE),1,5)</f>
        <v/>
      </c>
      <c r="AF1049" s="9">
        <f>INDEX(LINEST(L790:L1049,M790:T1049,TRUE,TRUE),1,4)</f>
        <v/>
      </c>
      <c r="AG1049" s="9">
        <f>INDEX(LINEST(L790:L1049,M790:T1049,TRUE,TRUE),1,3)</f>
        <v/>
      </c>
      <c r="AH1049" s="9">
        <f>INDEX(LINEST(L790:L1049,M790:T1049,TRUE,TRUE),1,2)</f>
        <v/>
      </c>
      <c r="AI1049" s="9">
        <f>INDEX(LINEST(L790:L1049,M790:T1049,TRUE,TRUE),1,1)</f>
        <v/>
      </c>
      <c r="AJ1049" s="10">
        <f>INDEX(LINEST(L790:L1049,M790:T1049,TRUE,TRUE),3,1)</f>
        <v/>
      </c>
      <c r="AK1049" s="9">
        <f>AA1048/52+AB1048*M1049+AC1048*N1049+AD1048*O1049+AE1048*P1049+AF1048*Q1049+AG1048*R1049+AH1048*S1049+AI1048*T1049</f>
        <v/>
      </c>
      <c r="AL1049" s="9">
        <f>AVERAGE(L789:L1048)</f>
        <v/>
      </c>
    </row>
    <row r="1050">
      <c r="A1050" s="7" t="n">
        <v>44960</v>
      </c>
      <c r="B1050" s="8" t="n">
        <v>1875.35</v>
      </c>
      <c r="C1050" s="8" t="n">
        <v>2.22</v>
      </c>
      <c r="D1050" s="8" t="n">
        <v>1.31</v>
      </c>
      <c r="E1050" s="8" t="n">
        <v>102.919998</v>
      </c>
      <c r="F1050" s="8" t="n">
        <v>73.40000000000001</v>
      </c>
      <c r="G1050" s="8" t="n">
        <v>18.33</v>
      </c>
      <c r="H1050" s="8" t="n">
        <v>98.989998</v>
      </c>
      <c r="I1050" s="8" t="n">
        <v>4136.47998</v>
      </c>
      <c r="J1050" s="8" t="n">
        <v>88.34536</v>
      </c>
      <c r="L1050" s="9">
        <f>LN(B1050/B1049)</f>
        <v/>
      </c>
      <c r="M1050" s="9">
        <f>$M$1*(C1050-C1049)</f>
        <v/>
      </c>
      <c r="N1050" s="9">
        <f>$N$1*(D1050-D1049)</f>
        <v/>
      </c>
      <c r="O1050" s="9">
        <f>$O$1*LN(E1050/E1049)</f>
        <v/>
      </c>
      <c r="P1050" s="9">
        <f>$P$1*LN(F1050/F1049)</f>
        <v/>
      </c>
      <c r="Q1050" s="9">
        <f>$Q$1*(G1050-G1049)</f>
        <v/>
      </c>
      <c r="R1050" s="9">
        <f>$R$1*(H1050-H1049)</f>
        <v/>
      </c>
      <c r="S1050" s="9">
        <f>$S$1*LN(I1050/I1049)</f>
        <v/>
      </c>
      <c r="T1050" s="9">
        <f>$T$1*LN(J1050/J1049)</f>
        <v/>
      </c>
      <c r="U1050" s="9">
        <f>$W$12+$W$4*M1050+$W$5*N1050+$W$6*O1050+$W$7*P1050+$W$8*Q1050+$W$9*R1050+$W$10*S1050+$W$11*T1050</f>
        <v/>
      </c>
      <c r="AA1050" s="10">
        <f>INDEX(LINEST(L791:L1050,M791:T1050,TRUE,TRUE),1,9)*52</f>
        <v/>
      </c>
      <c r="AB1050" s="9">
        <f>INDEX(LINEST(L791:L1050,M791:T1050,TRUE,TRUE),1,8)</f>
        <v/>
      </c>
      <c r="AC1050" s="9">
        <f>INDEX(LINEST(L791:L1050,M791:T1050,TRUE,TRUE),1,7)</f>
        <v/>
      </c>
      <c r="AD1050" s="9">
        <f>INDEX(LINEST(L791:L1050,M791:T1050,TRUE,TRUE),1,6)</f>
        <v/>
      </c>
      <c r="AE1050" s="9">
        <f>INDEX(LINEST(L791:L1050,M791:T1050,TRUE,TRUE),1,5)</f>
        <v/>
      </c>
      <c r="AF1050" s="9">
        <f>INDEX(LINEST(L791:L1050,M791:T1050,TRUE,TRUE),1,4)</f>
        <v/>
      </c>
      <c r="AG1050" s="9">
        <f>INDEX(LINEST(L791:L1050,M791:T1050,TRUE,TRUE),1,3)</f>
        <v/>
      </c>
      <c r="AH1050" s="9">
        <f>INDEX(LINEST(L791:L1050,M791:T1050,TRUE,TRUE),1,2)</f>
        <v/>
      </c>
      <c r="AI1050" s="9">
        <f>INDEX(LINEST(L791:L1050,M791:T1050,TRUE,TRUE),1,1)</f>
        <v/>
      </c>
      <c r="AJ1050" s="10">
        <f>INDEX(LINEST(L791:L1050,M791:T1050,TRUE,TRUE),3,1)</f>
        <v/>
      </c>
      <c r="AK1050" s="9">
        <f>AA1049/52+AB1049*M1050+AC1049*N1050+AD1049*O1050+AE1049*P1050+AF1049*Q1050+AG1049*R1050+AH1049*S1050+AI1049*T1050</f>
        <v/>
      </c>
      <c r="AL1050" s="9">
        <f>AVERAGE(L790:L1049)</f>
        <v/>
      </c>
    </row>
    <row r="1051">
      <c r="A1051" s="7" t="n">
        <v>44967</v>
      </c>
      <c r="B1051" s="8" t="n">
        <v>1859.7</v>
      </c>
      <c r="C1051" s="8" t="n">
        <v>2.33</v>
      </c>
      <c r="D1051" s="8" t="n">
        <v>1.41</v>
      </c>
      <c r="E1051" s="8" t="n">
        <v>103.629997</v>
      </c>
      <c r="F1051" s="8" t="n">
        <v>79.73999999999999</v>
      </c>
      <c r="G1051" s="8" t="n">
        <v>20.53</v>
      </c>
      <c r="H1051" s="8" t="n">
        <v>109.629997</v>
      </c>
      <c r="I1051" s="8" t="n">
        <v>4090.459961</v>
      </c>
      <c r="J1051" s="8" t="n">
        <v>87.10631600000001</v>
      </c>
      <c r="L1051" s="9">
        <f>LN(B1051/B1050)</f>
        <v/>
      </c>
      <c r="M1051" s="9">
        <f>$M$1*(C1051-C1050)</f>
        <v/>
      </c>
      <c r="N1051" s="9">
        <f>$N$1*(D1051-D1050)</f>
        <v/>
      </c>
      <c r="O1051" s="9">
        <f>$O$1*LN(E1051/E1050)</f>
        <v/>
      </c>
      <c r="P1051" s="9">
        <f>$P$1*LN(F1051/F1050)</f>
        <v/>
      </c>
      <c r="Q1051" s="9">
        <f>$Q$1*(G1051-G1050)</f>
        <v/>
      </c>
      <c r="R1051" s="9">
        <f>$R$1*(H1051-H1050)</f>
        <v/>
      </c>
      <c r="S1051" s="9">
        <f>$S$1*LN(I1051/I1050)</f>
        <v/>
      </c>
      <c r="T1051" s="9">
        <f>$T$1*LN(J1051/J1050)</f>
        <v/>
      </c>
      <c r="U1051" s="9">
        <f>$W$12+$W$4*M1051+$W$5*N1051+$W$6*O1051+$W$7*P1051+$W$8*Q1051+$W$9*R1051+$W$10*S1051+$W$11*T1051</f>
        <v/>
      </c>
      <c r="AA1051" s="10">
        <f>INDEX(LINEST(L792:L1051,M792:T1051,TRUE,TRUE),1,9)*52</f>
        <v/>
      </c>
      <c r="AB1051" s="9">
        <f>INDEX(LINEST(L792:L1051,M792:T1051,TRUE,TRUE),1,8)</f>
        <v/>
      </c>
      <c r="AC1051" s="9">
        <f>INDEX(LINEST(L792:L1051,M792:T1051,TRUE,TRUE),1,7)</f>
        <v/>
      </c>
      <c r="AD1051" s="9">
        <f>INDEX(LINEST(L792:L1051,M792:T1051,TRUE,TRUE),1,6)</f>
        <v/>
      </c>
      <c r="AE1051" s="9">
        <f>INDEX(LINEST(L792:L1051,M792:T1051,TRUE,TRUE),1,5)</f>
        <v/>
      </c>
      <c r="AF1051" s="9">
        <f>INDEX(LINEST(L792:L1051,M792:T1051,TRUE,TRUE),1,4)</f>
        <v/>
      </c>
      <c r="AG1051" s="9">
        <f>INDEX(LINEST(L792:L1051,M792:T1051,TRUE,TRUE),1,3)</f>
        <v/>
      </c>
      <c r="AH1051" s="9">
        <f>INDEX(LINEST(L792:L1051,M792:T1051,TRUE,TRUE),1,2)</f>
        <v/>
      </c>
      <c r="AI1051" s="9">
        <f>INDEX(LINEST(L792:L1051,M792:T1051,TRUE,TRUE),1,1)</f>
        <v/>
      </c>
      <c r="AJ1051" s="10">
        <f>INDEX(LINEST(L792:L1051,M792:T1051,TRUE,TRUE),3,1)</f>
        <v/>
      </c>
      <c r="AK1051" s="9">
        <f>AA1050/52+AB1050*M1051+AC1050*N1051+AD1050*O1051+AE1050*P1051+AF1050*Q1051+AG1050*R1051+AH1050*S1051+AI1050*T1051</f>
        <v/>
      </c>
      <c r="AL1051" s="9">
        <f>AVERAGE(L791:L1050)</f>
        <v/>
      </c>
    </row>
    <row r="1052">
      <c r="A1052" s="7" t="n">
        <v>44974</v>
      </c>
      <c r="B1052" s="8" t="n">
        <v>1833.95</v>
      </c>
      <c r="C1052" s="8" t="n">
        <v>2.36</v>
      </c>
      <c r="D1052" s="8" t="n">
        <v>1.46</v>
      </c>
      <c r="E1052" s="8" t="n">
        <v>103.860001</v>
      </c>
      <c r="F1052" s="8" t="n">
        <v>76.31</v>
      </c>
      <c r="G1052" s="8" t="n">
        <v>20.02</v>
      </c>
      <c r="H1052" s="8" t="n">
        <v>110.110001</v>
      </c>
      <c r="I1052" s="8" t="n">
        <v>4079.090088</v>
      </c>
      <c r="J1052" s="8" t="n">
        <v>86.734612</v>
      </c>
      <c r="L1052" s="9">
        <f>LN(B1052/B1051)</f>
        <v/>
      </c>
      <c r="M1052" s="9">
        <f>$M$1*(C1052-C1051)</f>
        <v/>
      </c>
      <c r="N1052" s="9">
        <f>$N$1*(D1052-D1051)</f>
        <v/>
      </c>
      <c r="O1052" s="9">
        <f>$O$1*LN(E1052/E1051)</f>
        <v/>
      </c>
      <c r="P1052" s="9">
        <f>$P$1*LN(F1052/F1051)</f>
        <v/>
      </c>
      <c r="Q1052" s="9">
        <f>$Q$1*(G1052-G1051)</f>
        <v/>
      </c>
      <c r="R1052" s="9">
        <f>$R$1*(H1052-H1051)</f>
        <v/>
      </c>
      <c r="S1052" s="9">
        <f>$S$1*LN(I1052/I1051)</f>
        <v/>
      </c>
      <c r="T1052" s="9">
        <f>$T$1*LN(J1052/J1051)</f>
        <v/>
      </c>
      <c r="U1052" s="9">
        <f>$W$12+$W$4*M1052+$W$5*N1052+$W$6*O1052+$W$7*P1052+$W$8*Q1052+$W$9*R1052+$W$10*S1052+$W$11*T1052</f>
        <v/>
      </c>
      <c r="AA1052" s="10">
        <f>INDEX(LINEST(L793:L1052,M793:T1052,TRUE,TRUE),1,9)*52</f>
        <v/>
      </c>
      <c r="AB1052" s="9">
        <f>INDEX(LINEST(L793:L1052,M793:T1052,TRUE,TRUE),1,8)</f>
        <v/>
      </c>
      <c r="AC1052" s="9">
        <f>INDEX(LINEST(L793:L1052,M793:T1052,TRUE,TRUE),1,7)</f>
        <v/>
      </c>
      <c r="AD1052" s="9">
        <f>INDEX(LINEST(L793:L1052,M793:T1052,TRUE,TRUE),1,6)</f>
        <v/>
      </c>
      <c r="AE1052" s="9">
        <f>INDEX(LINEST(L793:L1052,M793:T1052,TRUE,TRUE),1,5)</f>
        <v/>
      </c>
      <c r="AF1052" s="9">
        <f>INDEX(LINEST(L793:L1052,M793:T1052,TRUE,TRUE),1,4)</f>
        <v/>
      </c>
      <c r="AG1052" s="9">
        <f>INDEX(LINEST(L793:L1052,M793:T1052,TRUE,TRUE),1,3)</f>
        <v/>
      </c>
      <c r="AH1052" s="9">
        <f>INDEX(LINEST(L793:L1052,M793:T1052,TRUE,TRUE),1,2)</f>
        <v/>
      </c>
      <c r="AI1052" s="9">
        <f>INDEX(LINEST(L793:L1052,M793:T1052,TRUE,TRUE),1,1)</f>
        <v/>
      </c>
      <c r="AJ1052" s="10">
        <f>INDEX(LINEST(L793:L1052,M793:T1052,TRUE,TRUE),3,1)</f>
        <v/>
      </c>
      <c r="AK1052" s="9">
        <f>AA1051/52+AB1051*M1052+AC1051*N1052+AD1051*O1052+AE1051*P1052+AF1051*Q1052+AG1051*R1052+AH1051*S1052+AI1051*T1052</f>
        <v/>
      </c>
      <c r="AL1052" s="9">
        <f>AVERAGE(L792:L1051)</f>
        <v/>
      </c>
    </row>
    <row r="1053">
      <c r="A1053" s="7" t="n">
        <v>44981</v>
      </c>
      <c r="B1053" s="8" t="n">
        <v>1810.95</v>
      </c>
      <c r="C1053" s="8" t="n">
        <v>2.38</v>
      </c>
      <c r="D1053" s="8" t="n">
        <v>1.57</v>
      </c>
      <c r="E1053" s="8" t="n">
        <v>105.209999</v>
      </c>
      <c r="F1053" s="8" t="n">
        <v>76.19</v>
      </c>
      <c r="G1053" s="8" t="n">
        <v>21.67</v>
      </c>
      <c r="H1053" s="8" t="n">
        <v>122.839996</v>
      </c>
      <c r="I1053" s="8" t="n">
        <v>3970.040039</v>
      </c>
      <c r="J1053" s="8" t="n">
        <v>85.964584</v>
      </c>
      <c r="L1053" s="9">
        <f>LN(B1053/B1052)</f>
        <v/>
      </c>
      <c r="M1053" s="9">
        <f>$M$1*(C1053-C1052)</f>
        <v/>
      </c>
      <c r="N1053" s="9">
        <f>$N$1*(D1053-D1052)</f>
        <v/>
      </c>
      <c r="O1053" s="9">
        <f>$O$1*LN(E1053/E1052)</f>
        <v/>
      </c>
      <c r="P1053" s="9">
        <f>$P$1*LN(F1053/F1052)</f>
        <v/>
      </c>
      <c r="Q1053" s="9">
        <f>$Q$1*(G1053-G1052)</f>
        <v/>
      </c>
      <c r="R1053" s="9">
        <f>$R$1*(H1053-H1052)</f>
        <v/>
      </c>
      <c r="S1053" s="9">
        <f>$S$1*LN(I1053/I1052)</f>
        <v/>
      </c>
      <c r="T1053" s="9">
        <f>$T$1*LN(J1053/J1052)</f>
        <v/>
      </c>
      <c r="U1053" s="9">
        <f>$W$12+$W$4*M1053+$W$5*N1053+$W$6*O1053+$W$7*P1053+$W$8*Q1053+$W$9*R1053+$W$10*S1053+$W$11*T1053</f>
        <v/>
      </c>
      <c r="AA1053" s="10">
        <f>INDEX(LINEST(L794:L1053,M794:T1053,TRUE,TRUE),1,9)*52</f>
        <v/>
      </c>
      <c r="AB1053" s="9">
        <f>INDEX(LINEST(L794:L1053,M794:T1053,TRUE,TRUE),1,8)</f>
        <v/>
      </c>
      <c r="AC1053" s="9">
        <f>INDEX(LINEST(L794:L1053,M794:T1053,TRUE,TRUE),1,7)</f>
        <v/>
      </c>
      <c r="AD1053" s="9">
        <f>INDEX(LINEST(L794:L1053,M794:T1053,TRUE,TRUE),1,6)</f>
        <v/>
      </c>
      <c r="AE1053" s="9">
        <f>INDEX(LINEST(L794:L1053,M794:T1053,TRUE,TRUE),1,5)</f>
        <v/>
      </c>
      <c r="AF1053" s="9">
        <f>INDEX(LINEST(L794:L1053,M794:T1053,TRUE,TRUE),1,4)</f>
        <v/>
      </c>
      <c r="AG1053" s="9">
        <f>INDEX(LINEST(L794:L1053,M794:T1053,TRUE,TRUE),1,3)</f>
        <v/>
      </c>
      <c r="AH1053" s="9">
        <f>INDEX(LINEST(L794:L1053,M794:T1053,TRUE,TRUE),1,2)</f>
        <v/>
      </c>
      <c r="AI1053" s="9">
        <f>INDEX(LINEST(L794:L1053,M794:T1053,TRUE,TRUE),1,1)</f>
        <v/>
      </c>
      <c r="AJ1053" s="10">
        <f>INDEX(LINEST(L794:L1053,M794:T1053,TRUE,TRUE),3,1)</f>
        <v/>
      </c>
      <c r="AK1053" s="9">
        <f>AA1052/52+AB1052*M1053+AC1052*N1053+AD1052*O1053+AE1052*P1053+AF1052*Q1053+AG1052*R1053+AH1052*S1053+AI1052*T1053</f>
        <v/>
      </c>
      <c r="AL1053" s="9">
        <f>AVERAGE(L793:L1052)</f>
        <v/>
      </c>
    </row>
    <row r="1054">
      <c r="A1054" s="7" t="n">
        <v>44988</v>
      </c>
      <c r="B1054" s="8" t="n">
        <v>1841.15</v>
      </c>
      <c r="C1054" s="8" t="n">
        <v>2.52</v>
      </c>
      <c r="D1054" s="8" t="n">
        <v>1.45</v>
      </c>
      <c r="E1054" s="8" t="n">
        <v>104.519997</v>
      </c>
      <c r="F1054" s="8" t="n">
        <v>79.62</v>
      </c>
      <c r="G1054" s="8" t="n">
        <v>18.49</v>
      </c>
      <c r="H1054" s="8" t="n">
        <v>122.519997</v>
      </c>
      <c r="I1054" s="8" t="n">
        <v>4045.639893</v>
      </c>
      <c r="J1054" s="8" t="n">
        <v>86.127464</v>
      </c>
      <c r="L1054" s="9">
        <f>LN(B1054/B1053)</f>
        <v/>
      </c>
      <c r="M1054" s="9">
        <f>$M$1*(C1054-C1053)</f>
        <v/>
      </c>
      <c r="N1054" s="9">
        <f>$N$1*(D1054-D1053)</f>
        <v/>
      </c>
      <c r="O1054" s="9">
        <f>$O$1*LN(E1054/E1053)</f>
        <v/>
      </c>
      <c r="P1054" s="9">
        <f>$P$1*LN(F1054/F1053)</f>
        <v/>
      </c>
      <c r="Q1054" s="9">
        <f>$Q$1*(G1054-G1053)</f>
        <v/>
      </c>
      <c r="R1054" s="9">
        <f>$R$1*(H1054-H1053)</f>
        <v/>
      </c>
      <c r="S1054" s="9">
        <f>$S$1*LN(I1054/I1053)</f>
        <v/>
      </c>
      <c r="T1054" s="9">
        <f>$T$1*LN(J1054/J1053)</f>
        <v/>
      </c>
      <c r="U1054" s="9">
        <f>$W$12+$W$4*M1054+$W$5*N1054+$W$6*O1054+$W$7*P1054+$W$8*Q1054+$W$9*R1054+$W$10*S1054+$W$11*T1054</f>
        <v/>
      </c>
      <c r="AA1054" s="10">
        <f>INDEX(LINEST(L795:L1054,M795:T1054,TRUE,TRUE),1,9)*52</f>
        <v/>
      </c>
      <c r="AB1054" s="9">
        <f>INDEX(LINEST(L795:L1054,M795:T1054,TRUE,TRUE),1,8)</f>
        <v/>
      </c>
      <c r="AC1054" s="9">
        <f>INDEX(LINEST(L795:L1054,M795:T1054,TRUE,TRUE),1,7)</f>
        <v/>
      </c>
      <c r="AD1054" s="9">
        <f>INDEX(LINEST(L795:L1054,M795:T1054,TRUE,TRUE),1,6)</f>
        <v/>
      </c>
      <c r="AE1054" s="9">
        <f>INDEX(LINEST(L795:L1054,M795:T1054,TRUE,TRUE),1,5)</f>
        <v/>
      </c>
      <c r="AF1054" s="9">
        <f>INDEX(LINEST(L795:L1054,M795:T1054,TRUE,TRUE),1,4)</f>
        <v/>
      </c>
      <c r="AG1054" s="9">
        <f>INDEX(LINEST(L795:L1054,M795:T1054,TRUE,TRUE),1,3)</f>
        <v/>
      </c>
      <c r="AH1054" s="9">
        <f>INDEX(LINEST(L795:L1054,M795:T1054,TRUE,TRUE),1,2)</f>
        <v/>
      </c>
      <c r="AI1054" s="9">
        <f>INDEX(LINEST(L795:L1054,M795:T1054,TRUE,TRUE),1,1)</f>
        <v/>
      </c>
      <c r="AJ1054" s="10">
        <f>INDEX(LINEST(L795:L1054,M795:T1054,TRUE,TRUE),3,1)</f>
        <v/>
      </c>
      <c r="AK1054" s="9">
        <f>AA1053/52+AB1053*M1054+AC1053*N1054+AD1053*O1054+AE1053*P1054+AF1053*Q1054+AG1053*R1054+AH1053*S1054+AI1053*T1054</f>
        <v/>
      </c>
      <c r="AL1054" s="9">
        <f>AVERAGE(L794:L1053)</f>
        <v/>
      </c>
    </row>
    <row r="1055">
      <c r="A1055" s="7" t="n">
        <v>44995</v>
      </c>
      <c r="B1055" s="8" t="n">
        <v>1861.25</v>
      </c>
      <c r="C1055" s="8" t="n">
        <v>2.26</v>
      </c>
      <c r="D1055" s="8" t="n">
        <v>1.44</v>
      </c>
      <c r="E1055" s="8" t="n">
        <v>104.580002</v>
      </c>
      <c r="F1055" s="8" t="n">
        <v>76.55</v>
      </c>
      <c r="G1055" s="8" t="n">
        <v>24.8</v>
      </c>
      <c r="H1055" s="8" t="n">
        <v>140.059998</v>
      </c>
      <c r="I1055" s="8" t="n">
        <v>3861.590088</v>
      </c>
      <c r="J1055" s="8" t="n">
        <v>87.023506</v>
      </c>
      <c r="L1055" s="9">
        <f>LN(B1055/B1054)</f>
        <v/>
      </c>
      <c r="M1055" s="9">
        <f>$M$1*(C1055-C1054)</f>
        <v/>
      </c>
      <c r="N1055" s="9">
        <f>$N$1*(D1055-D1054)</f>
        <v/>
      </c>
      <c r="O1055" s="9">
        <f>$O$1*LN(E1055/E1054)</f>
        <v/>
      </c>
      <c r="P1055" s="9">
        <f>$P$1*LN(F1055/F1054)</f>
        <v/>
      </c>
      <c r="Q1055" s="9">
        <f>$Q$1*(G1055-G1054)</f>
        <v/>
      </c>
      <c r="R1055" s="9">
        <f>$R$1*(H1055-H1054)</f>
        <v/>
      </c>
      <c r="S1055" s="9">
        <f>$S$1*LN(I1055/I1054)</f>
        <v/>
      </c>
      <c r="T1055" s="9">
        <f>$T$1*LN(J1055/J1054)</f>
        <v/>
      </c>
      <c r="U1055" s="9">
        <f>$W$12+$W$4*M1055+$W$5*N1055+$W$6*O1055+$W$7*P1055+$W$8*Q1055+$W$9*R1055+$W$10*S1055+$W$11*T1055</f>
        <v/>
      </c>
      <c r="AA1055" s="10">
        <f>INDEX(LINEST(L796:L1055,M796:T1055,TRUE,TRUE),1,9)*52</f>
        <v/>
      </c>
      <c r="AB1055" s="9">
        <f>INDEX(LINEST(L796:L1055,M796:T1055,TRUE,TRUE),1,8)</f>
        <v/>
      </c>
      <c r="AC1055" s="9">
        <f>INDEX(LINEST(L796:L1055,M796:T1055,TRUE,TRUE),1,7)</f>
        <v/>
      </c>
      <c r="AD1055" s="9">
        <f>INDEX(LINEST(L796:L1055,M796:T1055,TRUE,TRUE),1,6)</f>
        <v/>
      </c>
      <c r="AE1055" s="9">
        <f>INDEX(LINEST(L796:L1055,M796:T1055,TRUE,TRUE),1,5)</f>
        <v/>
      </c>
      <c r="AF1055" s="9">
        <f>INDEX(LINEST(L796:L1055,M796:T1055,TRUE,TRUE),1,4)</f>
        <v/>
      </c>
      <c r="AG1055" s="9">
        <f>INDEX(LINEST(L796:L1055,M796:T1055,TRUE,TRUE),1,3)</f>
        <v/>
      </c>
      <c r="AH1055" s="9">
        <f>INDEX(LINEST(L796:L1055,M796:T1055,TRUE,TRUE),1,2)</f>
        <v/>
      </c>
      <c r="AI1055" s="9">
        <f>INDEX(LINEST(L796:L1055,M796:T1055,TRUE,TRUE),1,1)</f>
        <v/>
      </c>
      <c r="AJ1055" s="10">
        <f>INDEX(LINEST(L796:L1055,M796:T1055,TRUE,TRUE),3,1)</f>
        <v/>
      </c>
      <c r="AK1055" s="9">
        <f>AA1054/52+AB1054*M1055+AC1054*N1055+AD1054*O1055+AE1054*P1055+AF1054*Q1055+AG1054*R1055+AH1054*S1055+AI1054*T1055</f>
        <v/>
      </c>
      <c r="AL1055" s="9">
        <f>AVERAGE(L795:L1054)</f>
        <v/>
      </c>
    </row>
    <row r="1056">
      <c r="A1056" s="7" t="n">
        <v>45002</v>
      </c>
      <c r="B1056" s="8" t="n">
        <v>1962.1</v>
      </c>
      <c r="C1056" s="8" t="n">
        <v>2.1</v>
      </c>
      <c r="D1056" s="8" t="n">
        <v>1.29</v>
      </c>
      <c r="E1056" s="8" t="n">
        <v>103.709999</v>
      </c>
      <c r="F1056" s="8" t="n">
        <v>66.61</v>
      </c>
      <c r="G1056" s="8" t="n">
        <v>25.51</v>
      </c>
      <c r="H1056" s="8" t="n">
        <v>180.110001</v>
      </c>
      <c r="I1056" s="8" t="n">
        <v>3916.639893</v>
      </c>
      <c r="J1056" s="8" t="n">
        <v>88.274429</v>
      </c>
      <c r="L1056" s="9">
        <f>LN(B1056/B1055)</f>
        <v/>
      </c>
      <c r="M1056" s="9">
        <f>$M$1*(C1056-C1055)</f>
        <v/>
      </c>
      <c r="N1056" s="9">
        <f>$N$1*(D1056-D1055)</f>
        <v/>
      </c>
      <c r="O1056" s="9">
        <f>$O$1*LN(E1056/E1055)</f>
        <v/>
      </c>
      <c r="P1056" s="9">
        <f>$P$1*LN(F1056/F1055)</f>
        <v/>
      </c>
      <c r="Q1056" s="9">
        <f>$Q$1*(G1056-G1055)</f>
        <v/>
      </c>
      <c r="R1056" s="9">
        <f>$R$1*(H1056-H1055)</f>
        <v/>
      </c>
      <c r="S1056" s="9">
        <f>$S$1*LN(I1056/I1055)</f>
        <v/>
      </c>
      <c r="T1056" s="9">
        <f>$T$1*LN(J1056/J1055)</f>
        <v/>
      </c>
      <c r="U1056" s="9">
        <f>$W$12+$W$4*M1056+$W$5*N1056+$W$6*O1056+$W$7*P1056+$W$8*Q1056+$W$9*R1056+$W$10*S1056+$W$11*T1056</f>
        <v/>
      </c>
      <c r="AA1056" s="10">
        <f>INDEX(LINEST(L797:L1056,M797:T1056,TRUE,TRUE),1,9)*52</f>
        <v/>
      </c>
      <c r="AB1056" s="9">
        <f>INDEX(LINEST(L797:L1056,M797:T1056,TRUE,TRUE),1,8)</f>
        <v/>
      </c>
      <c r="AC1056" s="9">
        <f>INDEX(LINEST(L797:L1056,M797:T1056,TRUE,TRUE),1,7)</f>
        <v/>
      </c>
      <c r="AD1056" s="9">
        <f>INDEX(LINEST(L797:L1056,M797:T1056,TRUE,TRUE),1,6)</f>
        <v/>
      </c>
      <c r="AE1056" s="9">
        <f>INDEX(LINEST(L797:L1056,M797:T1056,TRUE,TRUE),1,5)</f>
        <v/>
      </c>
      <c r="AF1056" s="9">
        <f>INDEX(LINEST(L797:L1056,M797:T1056,TRUE,TRUE),1,4)</f>
        <v/>
      </c>
      <c r="AG1056" s="9">
        <f>INDEX(LINEST(L797:L1056,M797:T1056,TRUE,TRUE),1,3)</f>
        <v/>
      </c>
      <c r="AH1056" s="9">
        <f>INDEX(LINEST(L797:L1056,M797:T1056,TRUE,TRUE),1,2)</f>
        <v/>
      </c>
      <c r="AI1056" s="9">
        <f>INDEX(LINEST(L797:L1056,M797:T1056,TRUE,TRUE),1,1)</f>
        <v/>
      </c>
      <c r="AJ1056" s="10">
        <f>INDEX(LINEST(L797:L1056,M797:T1056,TRUE,TRUE),3,1)</f>
        <v/>
      </c>
      <c r="AK1056" s="9">
        <f>AA1055/52+AB1055*M1056+AC1055*N1056+AD1055*O1056+AE1055*P1056+AF1055*Q1056+AG1055*R1056+AH1055*S1056+AI1055*T1056</f>
        <v/>
      </c>
      <c r="AL1056" s="9">
        <f>AVERAGE(L796:L1055)</f>
        <v/>
      </c>
    </row>
    <row r="1057">
      <c r="A1057" s="7" t="n">
        <v>45009</v>
      </c>
      <c r="B1057" s="8" t="n">
        <v>1993.8</v>
      </c>
      <c r="C1057" s="8" t="n">
        <v>2.22</v>
      </c>
      <c r="D1057" s="8" t="n">
        <v>1.16</v>
      </c>
      <c r="E1057" s="8" t="n">
        <v>103.120003</v>
      </c>
      <c r="F1057" s="8" t="n">
        <v>69.22</v>
      </c>
      <c r="G1057" s="8" t="n">
        <v>21.74</v>
      </c>
      <c r="H1057" s="8" t="n">
        <v>173.660004</v>
      </c>
      <c r="I1057" s="8" t="n">
        <v>3970.98999</v>
      </c>
      <c r="J1057" s="8" t="n">
        <v>88.85998499999999</v>
      </c>
      <c r="L1057" s="9">
        <f>LN(B1057/B1056)</f>
        <v/>
      </c>
      <c r="M1057" s="9">
        <f>$M$1*(C1057-C1056)</f>
        <v/>
      </c>
      <c r="N1057" s="9">
        <f>$N$1*(D1057-D1056)</f>
        <v/>
      </c>
      <c r="O1057" s="9">
        <f>$O$1*LN(E1057/E1056)</f>
        <v/>
      </c>
      <c r="P1057" s="9">
        <f>$P$1*LN(F1057/F1056)</f>
        <v/>
      </c>
      <c r="Q1057" s="9">
        <f>$Q$1*(G1057-G1056)</f>
        <v/>
      </c>
      <c r="R1057" s="9">
        <f>$R$1*(H1057-H1056)</f>
        <v/>
      </c>
      <c r="S1057" s="9">
        <f>$S$1*LN(I1057/I1056)</f>
        <v/>
      </c>
      <c r="T1057" s="9">
        <f>$T$1*LN(J1057/J1056)</f>
        <v/>
      </c>
      <c r="U1057" s="9">
        <f>$W$12+$W$4*M1057+$W$5*N1057+$W$6*O1057+$W$7*P1057+$W$8*Q1057+$W$9*R1057+$W$10*S1057+$W$11*T1057</f>
        <v/>
      </c>
      <c r="AA1057" s="10">
        <f>INDEX(LINEST(L798:L1057,M798:T1057,TRUE,TRUE),1,9)*52</f>
        <v/>
      </c>
      <c r="AB1057" s="9">
        <f>INDEX(LINEST(L798:L1057,M798:T1057,TRUE,TRUE),1,8)</f>
        <v/>
      </c>
      <c r="AC1057" s="9">
        <f>INDEX(LINEST(L798:L1057,M798:T1057,TRUE,TRUE),1,7)</f>
        <v/>
      </c>
      <c r="AD1057" s="9">
        <f>INDEX(LINEST(L798:L1057,M798:T1057,TRUE,TRUE),1,6)</f>
        <v/>
      </c>
      <c r="AE1057" s="9">
        <f>INDEX(LINEST(L798:L1057,M798:T1057,TRUE,TRUE),1,5)</f>
        <v/>
      </c>
      <c r="AF1057" s="9">
        <f>INDEX(LINEST(L798:L1057,M798:T1057,TRUE,TRUE),1,4)</f>
        <v/>
      </c>
      <c r="AG1057" s="9">
        <f>INDEX(LINEST(L798:L1057,M798:T1057,TRUE,TRUE),1,3)</f>
        <v/>
      </c>
      <c r="AH1057" s="9">
        <f>INDEX(LINEST(L798:L1057,M798:T1057,TRUE,TRUE),1,2)</f>
        <v/>
      </c>
      <c r="AI1057" s="9">
        <f>INDEX(LINEST(L798:L1057,M798:T1057,TRUE,TRUE),1,1)</f>
        <v/>
      </c>
      <c r="AJ1057" s="10">
        <f>INDEX(LINEST(L798:L1057,M798:T1057,TRUE,TRUE),3,1)</f>
        <v/>
      </c>
      <c r="AK1057" s="9">
        <f>AA1056/52+AB1056*M1057+AC1056*N1057+AD1056*O1057+AE1056*P1057+AF1056*Q1057+AG1056*R1057+AH1056*S1057+AI1056*T1057</f>
        <v/>
      </c>
      <c r="AL1057" s="9">
        <f>AVERAGE(L797:L1056)</f>
        <v/>
      </c>
    </row>
    <row r="1058">
      <c r="A1058" s="7" t="n">
        <v>45016</v>
      </c>
      <c r="B1058" s="8" t="n">
        <v>1979.7</v>
      </c>
      <c r="C1058" s="8" t="n">
        <v>2.32</v>
      </c>
      <c r="D1058" s="8" t="n">
        <v>1.16</v>
      </c>
      <c r="E1058" s="8" t="n">
        <v>102.510002</v>
      </c>
      <c r="F1058" s="8" t="n">
        <v>75.68000000000001</v>
      </c>
      <c r="G1058" s="8" t="n">
        <v>18.7</v>
      </c>
      <c r="H1058" s="8" t="n">
        <v>135.929993</v>
      </c>
      <c r="I1058" s="8" t="n">
        <v>4109.310059</v>
      </c>
      <c r="J1058" s="8" t="n">
        <v>88.39864300000001</v>
      </c>
      <c r="L1058" s="9">
        <f>LN(B1058/B1057)</f>
        <v/>
      </c>
      <c r="M1058" s="9">
        <f>$M$1*(C1058-C1057)</f>
        <v/>
      </c>
      <c r="N1058" s="9">
        <f>$N$1*(D1058-D1057)</f>
        <v/>
      </c>
      <c r="O1058" s="9">
        <f>$O$1*LN(E1058/E1057)</f>
        <v/>
      </c>
      <c r="P1058" s="9">
        <f>$P$1*LN(F1058/F1057)</f>
        <v/>
      </c>
      <c r="Q1058" s="9">
        <f>$Q$1*(G1058-G1057)</f>
        <v/>
      </c>
      <c r="R1058" s="9">
        <f>$R$1*(H1058-H1057)</f>
        <v/>
      </c>
      <c r="S1058" s="9">
        <f>$S$1*LN(I1058/I1057)</f>
        <v/>
      </c>
      <c r="T1058" s="9">
        <f>$T$1*LN(J1058/J1057)</f>
        <v/>
      </c>
      <c r="U1058" s="9">
        <f>$W$12+$W$4*M1058+$W$5*N1058+$W$6*O1058+$W$7*P1058+$W$8*Q1058+$W$9*R1058+$W$10*S1058+$W$11*T1058</f>
        <v/>
      </c>
      <c r="AA1058" s="10">
        <f>INDEX(LINEST(L799:L1058,M799:T1058,TRUE,TRUE),1,9)*52</f>
        <v/>
      </c>
      <c r="AB1058" s="9">
        <f>INDEX(LINEST(L799:L1058,M799:T1058,TRUE,TRUE),1,8)</f>
        <v/>
      </c>
      <c r="AC1058" s="9">
        <f>INDEX(LINEST(L799:L1058,M799:T1058,TRUE,TRUE),1,7)</f>
        <v/>
      </c>
      <c r="AD1058" s="9">
        <f>INDEX(LINEST(L799:L1058,M799:T1058,TRUE,TRUE),1,6)</f>
        <v/>
      </c>
      <c r="AE1058" s="9">
        <f>INDEX(LINEST(L799:L1058,M799:T1058,TRUE,TRUE),1,5)</f>
        <v/>
      </c>
      <c r="AF1058" s="9">
        <f>INDEX(LINEST(L799:L1058,M799:T1058,TRUE,TRUE),1,4)</f>
        <v/>
      </c>
      <c r="AG1058" s="9">
        <f>INDEX(LINEST(L799:L1058,M799:T1058,TRUE,TRUE),1,3)</f>
        <v/>
      </c>
      <c r="AH1058" s="9">
        <f>INDEX(LINEST(L799:L1058,M799:T1058,TRUE,TRUE),1,2)</f>
        <v/>
      </c>
      <c r="AI1058" s="9">
        <f>INDEX(LINEST(L799:L1058,M799:T1058,TRUE,TRUE),1,1)</f>
        <v/>
      </c>
      <c r="AJ1058" s="10">
        <f>INDEX(LINEST(L799:L1058,M799:T1058,TRUE,TRUE),3,1)</f>
        <v/>
      </c>
      <c r="AK1058" s="9">
        <f>AA1057/52+AB1057*M1058+AC1057*N1058+AD1057*O1058+AE1057*P1058+AF1057*Q1058+AG1057*R1058+AH1057*S1058+AI1057*T1058</f>
        <v/>
      </c>
      <c r="AL1058" s="9">
        <f>AVERAGE(L798:L1057)</f>
        <v/>
      </c>
    </row>
    <row r="1059">
      <c r="A1059" s="7" t="n">
        <v>45023</v>
      </c>
      <c r="B1059" s="8" t="n">
        <v>2001.9</v>
      </c>
      <c r="C1059" s="8" t="n">
        <v>2.25</v>
      </c>
      <c r="D1059" s="8" t="n">
        <v>1.14</v>
      </c>
      <c r="E1059" s="8" t="n">
        <v>101.82</v>
      </c>
      <c r="F1059" s="8" t="n">
        <v>80.7</v>
      </c>
      <c r="G1059" s="8" t="n">
        <v>18.4</v>
      </c>
      <c r="H1059" s="8" t="n">
        <v>147.729996</v>
      </c>
      <c r="I1059" s="8" t="n">
        <v>4105.02002</v>
      </c>
      <c r="J1059" s="8" t="n">
        <v>89.33432000000001</v>
      </c>
      <c r="L1059" s="9">
        <f>LN(B1059/B1058)</f>
        <v/>
      </c>
      <c r="M1059" s="9">
        <f>$M$1*(C1059-C1058)</f>
        <v/>
      </c>
      <c r="N1059" s="9">
        <f>$N$1*(D1059-D1058)</f>
        <v/>
      </c>
      <c r="O1059" s="9">
        <f>$O$1*LN(E1059/E1058)</f>
        <v/>
      </c>
      <c r="P1059" s="9">
        <f>$P$1*LN(F1059/F1058)</f>
        <v/>
      </c>
      <c r="Q1059" s="9">
        <f>$Q$1*(G1059-G1058)</f>
        <v/>
      </c>
      <c r="R1059" s="9">
        <f>$R$1*(H1059-H1058)</f>
        <v/>
      </c>
      <c r="S1059" s="9">
        <f>$S$1*LN(I1059/I1058)</f>
        <v/>
      </c>
      <c r="T1059" s="9">
        <f>$T$1*LN(J1059/J1058)</f>
        <v/>
      </c>
      <c r="U1059" s="9">
        <f>$W$12+$W$4*M1059+$W$5*N1059+$W$6*O1059+$W$7*P1059+$W$8*Q1059+$W$9*R1059+$W$10*S1059+$W$11*T1059</f>
        <v/>
      </c>
      <c r="AA1059" s="10">
        <f>INDEX(LINEST(L800:L1059,M800:T1059,TRUE,TRUE),1,9)*52</f>
        <v/>
      </c>
      <c r="AB1059" s="9">
        <f>INDEX(LINEST(L800:L1059,M800:T1059,TRUE,TRUE),1,8)</f>
        <v/>
      </c>
      <c r="AC1059" s="9">
        <f>INDEX(LINEST(L800:L1059,M800:T1059,TRUE,TRUE),1,7)</f>
        <v/>
      </c>
      <c r="AD1059" s="9">
        <f>INDEX(LINEST(L800:L1059,M800:T1059,TRUE,TRUE),1,6)</f>
        <v/>
      </c>
      <c r="AE1059" s="9">
        <f>INDEX(LINEST(L800:L1059,M800:T1059,TRUE,TRUE),1,5)</f>
        <v/>
      </c>
      <c r="AF1059" s="9">
        <f>INDEX(LINEST(L800:L1059,M800:T1059,TRUE,TRUE),1,4)</f>
        <v/>
      </c>
      <c r="AG1059" s="9">
        <f>INDEX(LINEST(L800:L1059,M800:T1059,TRUE,TRUE),1,3)</f>
        <v/>
      </c>
      <c r="AH1059" s="9">
        <f>INDEX(LINEST(L800:L1059,M800:T1059,TRUE,TRUE),1,2)</f>
        <v/>
      </c>
      <c r="AI1059" s="9">
        <f>INDEX(LINEST(L800:L1059,M800:T1059,TRUE,TRUE),1,1)</f>
        <v/>
      </c>
      <c r="AJ1059" s="10">
        <f>INDEX(LINEST(L800:L1059,M800:T1059,TRUE,TRUE),3,1)</f>
        <v/>
      </c>
      <c r="AK1059" s="9">
        <f>AA1058/52+AB1058*M1059+AC1058*N1059+AD1058*O1059+AE1058*P1059+AF1058*Q1059+AG1058*R1059+AH1058*S1059+AI1058*T1059</f>
        <v/>
      </c>
      <c r="AL1059" s="9">
        <f>AVERAGE(L799:L1058)</f>
        <v/>
      </c>
    </row>
    <row r="1060">
      <c r="A1060" s="7" t="n">
        <v>45030</v>
      </c>
      <c r="B1060" s="8" t="n">
        <v>2019.4</v>
      </c>
      <c r="C1060" s="8" t="n">
        <v>2.3</v>
      </c>
      <c r="D1060" s="8" t="n">
        <v>1.22</v>
      </c>
      <c r="E1060" s="8" t="n">
        <v>101.550003</v>
      </c>
      <c r="F1060" s="8" t="n">
        <v>82.58</v>
      </c>
      <c r="G1060" s="8" t="n">
        <v>17.07</v>
      </c>
      <c r="H1060" s="8" t="n">
        <v>118.839996</v>
      </c>
      <c r="I1060" s="8" t="n">
        <v>4137.640137</v>
      </c>
      <c r="J1060" s="8" t="n">
        <v>88.40930899999999</v>
      </c>
      <c r="L1060" s="9">
        <f>LN(B1060/B1059)</f>
        <v/>
      </c>
      <c r="M1060" s="9">
        <f>$M$1*(C1060-C1059)</f>
        <v/>
      </c>
      <c r="N1060" s="9">
        <f>$N$1*(D1060-D1059)</f>
        <v/>
      </c>
      <c r="O1060" s="9">
        <f>$O$1*LN(E1060/E1059)</f>
        <v/>
      </c>
      <c r="P1060" s="9">
        <f>$P$1*LN(F1060/F1059)</f>
        <v/>
      </c>
      <c r="Q1060" s="9">
        <f>$Q$1*(G1060-G1059)</f>
        <v/>
      </c>
      <c r="R1060" s="9">
        <f>$R$1*(H1060-H1059)</f>
        <v/>
      </c>
      <c r="S1060" s="9">
        <f>$S$1*LN(I1060/I1059)</f>
        <v/>
      </c>
      <c r="T1060" s="9">
        <f>$T$1*LN(J1060/J1059)</f>
        <v/>
      </c>
      <c r="U1060" s="9">
        <f>$W$12+$W$4*M1060+$W$5*N1060+$W$6*O1060+$W$7*P1060+$W$8*Q1060+$W$9*R1060+$W$10*S1060+$W$11*T1060</f>
        <v/>
      </c>
      <c r="AA1060" s="10">
        <f>INDEX(LINEST(L801:L1060,M801:T1060,TRUE,TRUE),1,9)*52</f>
        <v/>
      </c>
      <c r="AB1060" s="9">
        <f>INDEX(LINEST(L801:L1060,M801:T1060,TRUE,TRUE),1,8)</f>
        <v/>
      </c>
      <c r="AC1060" s="9">
        <f>INDEX(LINEST(L801:L1060,M801:T1060,TRUE,TRUE),1,7)</f>
        <v/>
      </c>
      <c r="AD1060" s="9">
        <f>INDEX(LINEST(L801:L1060,M801:T1060,TRUE,TRUE),1,6)</f>
        <v/>
      </c>
      <c r="AE1060" s="9">
        <f>INDEX(LINEST(L801:L1060,M801:T1060,TRUE,TRUE),1,5)</f>
        <v/>
      </c>
      <c r="AF1060" s="9">
        <f>INDEX(LINEST(L801:L1060,M801:T1060,TRUE,TRUE),1,4)</f>
        <v/>
      </c>
      <c r="AG1060" s="9">
        <f>INDEX(LINEST(L801:L1060,M801:T1060,TRUE,TRUE),1,3)</f>
        <v/>
      </c>
      <c r="AH1060" s="9">
        <f>INDEX(LINEST(L801:L1060,M801:T1060,TRUE,TRUE),1,2)</f>
        <v/>
      </c>
      <c r="AI1060" s="9">
        <f>INDEX(LINEST(L801:L1060,M801:T1060,TRUE,TRUE),1,1)</f>
        <v/>
      </c>
      <c r="AJ1060" s="10">
        <f>INDEX(LINEST(L801:L1060,M801:T1060,TRUE,TRUE),3,1)</f>
        <v/>
      </c>
      <c r="AK1060" s="9">
        <f>AA1059/52+AB1059*M1060+AC1059*N1060+AD1059*O1060+AE1059*P1060+AF1059*Q1060+AG1059*R1060+AH1059*S1060+AI1059*T1060</f>
        <v/>
      </c>
      <c r="AL1060" s="9">
        <f>AVERAGE(L800:L1059)</f>
        <v/>
      </c>
    </row>
    <row r="1061">
      <c r="A1061" s="7" t="n">
        <v>45037</v>
      </c>
      <c r="B1061" s="8" t="n">
        <v>1973.65</v>
      </c>
      <c r="C1061" s="8" t="n">
        <v>2.28</v>
      </c>
      <c r="D1061" s="8" t="n">
        <v>1.29</v>
      </c>
      <c r="E1061" s="8" t="n">
        <v>101.82</v>
      </c>
      <c r="F1061" s="8" t="n">
        <v>77.86</v>
      </c>
      <c r="G1061" s="8" t="n">
        <v>16.77</v>
      </c>
      <c r="H1061" s="8" t="n">
        <v>120.839996</v>
      </c>
      <c r="I1061" s="8" t="n">
        <v>4133.52002</v>
      </c>
      <c r="J1061" s="8" t="n">
        <v>88.204735</v>
      </c>
      <c r="L1061" s="9">
        <f>LN(B1061/B1060)</f>
        <v/>
      </c>
      <c r="M1061" s="9">
        <f>$M$1*(C1061-C1060)</f>
        <v/>
      </c>
      <c r="N1061" s="9">
        <f>$N$1*(D1061-D1060)</f>
        <v/>
      </c>
      <c r="O1061" s="9">
        <f>$O$1*LN(E1061/E1060)</f>
        <v/>
      </c>
      <c r="P1061" s="9">
        <f>$P$1*LN(F1061/F1060)</f>
        <v/>
      </c>
      <c r="Q1061" s="9">
        <f>$Q$1*(G1061-G1060)</f>
        <v/>
      </c>
      <c r="R1061" s="9">
        <f>$R$1*(H1061-H1060)</f>
        <v/>
      </c>
      <c r="S1061" s="9">
        <f>$S$1*LN(I1061/I1060)</f>
        <v/>
      </c>
      <c r="T1061" s="9">
        <f>$T$1*LN(J1061/J1060)</f>
        <v/>
      </c>
      <c r="U1061" s="9">
        <f>$W$12+$W$4*M1061+$W$5*N1061+$W$6*O1061+$W$7*P1061+$W$8*Q1061+$W$9*R1061+$W$10*S1061+$W$11*T1061</f>
        <v/>
      </c>
      <c r="AA1061" s="10">
        <f>INDEX(LINEST(L802:L1061,M802:T1061,TRUE,TRUE),1,9)*52</f>
        <v/>
      </c>
      <c r="AB1061" s="9">
        <f>INDEX(LINEST(L802:L1061,M802:T1061,TRUE,TRUE),1,8)</f>
        <v/>
      </c>
      <c r="AC1061" s="9">
        <f>INDEX(LINEST(L802:L1061,M802:T1061,TRUE,TRUE),1,7)</f>
        <v/>
      </c>
      <c r="AD1061" s="9">
        <f>INDEX(LINEST(L802:L1061,M802:T1061,TRUE,TRUE),1,6)</f>
        <v/>
      </c>
      <c r="AE1061" s="9">
        <f>INDEX(LINEST(L802:L1061,M802:T1061,TRUE,TRUE),1,5)</f>
        <v/>
      </c>
      <c r="AF1061" s="9">
        <f>INDEX(LINEST(L802:L1061,M802:T1061,TRUE,TRUE),1,4)</f>
        <v/>
      </c>
      <c r="AG1061" s="9">
        <f>INDEX(LINEST(L802:L1061,M802:T1061,TRUE,TRUE),1,3)</f>
        <v/>
      </c>
      <c r="AH1061" s="9">
        <f>INDEX(LINEST(L802:L1061,M802:T1061,TRUE,TRUE),1,2)</f>
        <v/>
      </c>
      <c r="AI1061" s="9">
        <f>INDEX(LINEST(L802:L1061,M802:T1061,TRUE,TRUE),1,1)</f>
        <v/>
      </c>
      <c r="AJ1061" s="10">
        <f>INDEX(LINEST(L802:L1061,M802:T1061,TRUE,TRUE),3,1)</f>
        <v/>
      </c>
      <c r="AK1061" s="9">
        <f>AA1060/52+AB1060*M1061+AC1060*N1061+AD1060*O1061+AE1060*P1061+AF1060*Q1061+AG1060*R1061+AH1060*S1061+AI1060*T1061</f>
        <v/>
      </c>
      <c r="AL1061" s="9">
        <f>AVERAGE(L801:L1060)</f>
        <v/>
      </c>
    </row>
    <row r="1062">
      <c r="A1062" s="7" t="n">
        <v>45044</v>
      </c>
      <c r="B1062" s="8" t="n">
        <v>1982.55</v>
      </c>
      <c r="C1062" s="8" t="n">
        <v>2.18</v>
      </c>
      <c r="D1062" s="8" t="n">
        <v>1.26</v>
      </c>
      <c r="E1062" s="8" t="n">
        <v>101.669998</v>
      </c>
      <c r="F1062" s="8" t="n">
        <v>76.78</v>
      </c>
      <c r="G1062" s="8" t="n">
        <v>15.78</v>
      </c>
      <c r="H1062" s="8" t="n">
        <v>122.459999</v>
      </c>
      <c r="I1062" s="8" t="n">
        <v>4169.47998</v>
      </c>
      <c r="J1062" s="8" t="n">
        <v>88.90741</v>
      </c>
      <c r="L1062" s="9">
        <f>LN(B1062/B1061)</f>
        <v/>
      </c>
      <c r="M1062" s="9">
        <f>$M$1*(C1062-C1061)</f>
        <v/>
      </c>
      <c r="N1062" s="9">
        <f>$N$1*(D1062-D1061)</f>
        <v/>
      </c>
      <c r="O1062" s="9">
        <f>$O$1*LN(E1062/E1061)</f>
        <v/>
      </c>
      <c r="P1062" s="9">
        <f>$P$1*LN(F1062/F1061)</f>
        <v/>
      </c>
      <c r="Q1062" s="9">
        <f>$Q$1*(G1062-G1061)</f>
        <v/>
      </c>
      <c r="R1062" s="9">
        <f>$R$1*(H1062-H1061)</f>
        <v/>
      </c>
      <c r="S1062" s="9">
        <f>$S$1*LN(I1062/I1061)</f>
        <v/>
      </c>
      <c r="T1062" s="9">
        <f>$T$1*LN(J1062/J1061)</f>
        <v/>
      </c>
      <c r="U1062" s="9">
        <f>$W$12+$W$4*M1062+$W$5*N1062+$W$6*O1062+$W$7*P1062+$W$8*Q1062+$W$9*R1062+$W$10*S1062+$W$11*T1062</f>
        <v/>
      </c>
      <c r="AA1062" s="10">
        <f>INDEX(LINEST(L803:L1062,M803:T1062,TRUE,TRUE),1,9)*52</f>
        <v/>
      </c>
      <c r="AB1062" s="9">
        <f>INDEX(LINEST(L803:L1062,M803:T1062,TRUE,TRUE),1,8)</f>
        <v/>
      </c>
      <c r="AC1062" s="9">
        <f>INDEX(LINEST(L803:L1062,M803:T1062,TRUE,TRUE),1,7)</f>
        <v/>
      </c>
      <c r="AD1062" s="9">
        <f>INDEX(LINEST(L803:L1062,M803:T1062,TRUE,TRUE),1,6)</f>
        <v/>
      </c>
      <c r="AE1062" s="9">
        <f>INDEX(LINEST(L803:L1062,M803:T1062,TRUE,TRUE),1,5)</f>
        <v/>
      </c>
      <c r="AF1062" s="9">
        <f>INDEX(LINEST(L803:L1062,M803:T1062,TRUE,TRUE),1,4)</f>
        <v/>
      </c>
      <c r="AG1062" s="9">
        <f>INDEX(LINEST(L803:L1062,M803:T1062,TRUE,TRUE),1,3)</f>
        <v/>
      </c>
      <c r="AH1062" s="9">
        <f>INDEX(LINEST(L803:L1062,M803:T1062,TRUE,TRUE),1,2)</f>
        <v/>
      </c>
      <c r="AI1062" s="9">
        <f>INDEX(LINEST(L803:L1062,M803:T1062,TRUE,TRUE),1,1)</f>
        <v/>
      </c>
      <c r="AJ1062" s="10">
        <f>INDEX(LINEST(L803:L1062,M803:T1062,TRUE,TRUE),3,1)</f>
        <v/>
      </c>
      <c r="AK1062" s="9">
        <f>AA1061/52+AB1061*M1062+AC1061*N1062+AD1061*O1062+AE1061*P1062+AF1061*Q1062+AG1061*R1062+AH1061*S1062+AI1061*T1062</f>
        <v/>
      </c>
      <c r="AL1062" s="9">
        <f>AVERAGE(L802:L1061)</f>
        <v/>
      </c>
    </row>
    <row r="1063">
      <c r="A1063" s="7" t="n">
        <v>45051</v>
      </c>
      <c r="B1063" s="8" t="n">
        <v>2000.95</v>
      </c>
      <c r="C1063" s="8" t="n">
        <v>2.21</v>
      </c>
      <c r="D1063" s="8" t="n">
        <v>1.23</v>
      </c>
      <c r="E1063" s="8" t="n">
        <v>101.209999</v>
      </c>
      <c r="F1063" s="8" t="n">
        <v>71.31999999999999</v>
      </c>
      <c r="G1063" s="8" t="n">
        <v>17.19</v>
      </c>
      <c r="H1063" s="8" t="n">
        <v>130.210007</v>
      </c>
      <c r="I1063" s="8" t="n">
        <v>4136.25</v>
      </c>
      <c r="J1063" s="8" t="n">
        <v>88.85298899999999</v>
      </c>
      <c r="L1063" s="9">
        <f>LN(B1063/B1062)</f>
        <v/>
      </c>
      <c r="M1063" s="9">
        <f>$M$1*(C1063-C1062)</f>
        <v/>
      </c>
      <c r="N1063" s="9">
        <f>$N$1*(D1063-D1062)</f>
        <v/>
      </c>
      <c r="O1063" s="9">
        <f>$O$1*LN(E1063/E1062)</f>
        <v/>
      </c>
      <c r="P1063" s="9">
        <f>$P$1*LN(F1063/F1062)</f>
        <v/>
      </c>
      <c r="Q1063" s="9">
        <f>$Q$1*(G1063-G1062)</f>
        <v/>
      </c>
      <c r="R1063" s="9">
        <f>$R$1*(H1063-H1062)</f>
        <v/>
      </c>
      <c r="S1063" s="9">
        <f>$S$1*LN(I1063/I1062)</f>
        <v/>
      </c>
      <c r="T1063" s="9">
        <f>$T$1*LN(J1063/J1062)</f>
        <v/>
      </c>
      <c r="U1063" s="9">
        <f>$W$12+$W$4*M1063+$W$5*N1063+$W$6*O1063+$W$7*P1063+$W$8*Q1063+$W$9*R1063+$W$10*S1063+$W$11*T1063</f>
        <v/>
      </c>
      <c r="AA1063" s="10">
        <f>INDEX(LINEST(L804:L1063,M804:T1063,TRUE,TRUE),1,9)*52</f>
        <v/>
      </c>
      <c r="AB1063" s="9">
        <f>INDEX(LINEST(L804:L1063,M804:T1063,TRUE,TRUE),1,8)</f>
        <v/>
      </c>
      <c r="AC1063" s="9">
        <f>INDEX(LINEST(L804:L1063,M804:T1063,TRUE,TRUE),1,7)</f>
        <v/>
      </c>
      <c r="AD1063" s="9">
        <f>INDEX(LINEST(L804:L1063,M804:T1063,TRUE,TRUE),1,6)</f>
        <v/>
      </c>
      <c r="AE1063" s="9">
        <f>INDEX(LINEST(L804:L1063,M804:T1063,TRUE,TRUE),1,5)</f>
        <v/>
      </c>
      <c r="AF1063" s="9">
        <f>INDEX(LINEST(L804:L1063,M804:T1063,TRUE,TRUE),1,4)</f>
        <v/>
      </c>
      <c r="AG1063" s="9">
        <f>INDEX(LINEST(L804:L1063,M804:T1063,TRUE,TRUE),1,3)</f>
        <v/>
      </c>
      <c r="AH1063" s="9">
        <f>INDEX(LINEST(L804:L1063,M804:T1063,TRUE,TRUE),1,2)</f>
        <v/>
      </c>
      <c r="AI1063" s="9">
        <f>INDEX(LINEST(L804:L1063,M804:T1063,TRUE,TRUE),1,1)</f>
        <v/>
      </c>
      <c r="AJ1063" s="10">
        <f>INDEX(LINEST(L804:L1063,M804:T1063,TRUE,TRUE),3,1)</f>
        <v/>
      </c>
      <c r="AK1063" s="9">
        <f>AA1062/52+AB1062*M1063+AC1062*N1063+AD1062*O1063+AE1062*P1063+AF1062*Q1063+AG1062*R1063+AH1062*S1063+AI1062*T1063</f>
        <v/>
      </c>
      <c r="AL1063" s="9">
        <f>AVERAGE(L803:L1062)</f>
        <v/>
      </c>
    </row>
    <row r="1064">
      <c r="A1064" s="7" t="n">
        <v>45058</v>
      </c>
      <c r="B1064" s="8" t="n">
        <v>2019.9</v>
      </c>
      <c r="C1064" s="8" t="n">
        <v>2.18</v>
      </c>
      <c r="D1064" s="8" t="n">
        <v>1.28</v>
      </c>
      <c r="E1064" s="8" t="n">
        <v>102.68</v>
      </c>
      <c r="F1064" s="8" t="n">
        <v>70.02</v>
      </c>
      <c r="G1064" s="8" t="n">
        <v>17.03</v>
      </c>
      <c r="H1064" s="8" t="n">
        <v>120.519997</v>
      </c>
      <c r="I1064" s="8" t="n">
        <v>4124.080078</v>
      </c>
      <c r="J1064" s="8" t="n">
        <v>88.621185</v>
      </c>
      <c r="L1064" s="9">
        <f>LN(B1064/B1063)</f>
        <v/>
      </c>
      <c r="M1064" s="9">
        <f>$M$1*(C1064-C1063)</f>
        <v/>
      </c>
      <c r="N1064" s="9">
        <f>$N$1*(D1064-D1063)</f>
        <v/>
      </c>
      <c r="O1064" s="9">
        <f>$O$1*LN(E1064/E1063)</f>
        <v/>
      </c>
      <c r="P1064" s="9">
        <f>$P$1*LN(F1064/F1063)</f>
        <v/>
      </c>
      <c r="Q1064" s="9">
        <f>$Q$1*(G1064-G1063)</f>
        <v/>
      </c>
      <c r="R1064" s="9">
        <f>$R$1*(H1064-H1063)</f>
        <v/>
      </c>
      <c r="S1064" s="9">
        <f>$S$1*LN(I1064/I1063)</f>
        <v/>
      </c>
      <c r="T1064" s="9">
        <f>$T$1*LN(J1064/J1063)</f>
        <v/>
      </c>
      <c r="U1064" s="9">
        <f>$W$12+$W$4*M1064+$W$5*N1064+$W$6*O1064+$W$7*P1064+$W$8*Q1064+$W$9*R1064+$W$10*S1064+$W$11*T1064</f>
        <v/>
      </c>
      <c r="AA1064" s="10">
        <f>INDEX(LINEST(L805:L1064,M805:T1064,TRUE,TRUE),1,9)*52</f>
        <v/>
      </c>
      <c r="AB1064" s="9">
        <f>INDEX(LINEST(L805:L1064,M805:T1064,TRUE,TRUE),1,8)</f>
        <v/>
      </c>
      <c r="AC1064" s="9">
        <f>INDEX(LINEST(L805:L1064,M805:T1064,TRUE,TRUE),1,7)</f>
        <v/>
      </c>
      <c r="AD1064" s="9">
        <f>INDEX(LINEST(L805:L1064,M805:T1064,TRUE,TRUE),1,6)</f>
        <v/>
      </c>
      <c r="AE1064" s="9">
        <f>INDEX(LINEST(L805:L1064,M805:T1064,TRUE,TRUE),1,5)</f>
        <v/>
      </c>
      <c r="AF1064" s="9">
        <f>INDEX(LINEST(L805:L1064,M805:T1064,TRUE,TRUE),1,4)</f>
        <v/>
      </c>
      <c r="AG1064" s="9">
        <f>INDEX(LINEST(L805:L1064,M805:T1064,TRUE,TRUE),1,3)</f>
        <v/>
      </c>
      <c r="AH1064" s="9">
        <f>INDEX(LINEST(L805:L1064,M805:T1064,TRUE,TRUE),1,2)</f>
        <v/>
      </c>
      <c r="AI1064" s="9">
        <f>INDEX(LINEST(L805:L1064,M805:T1064,TRUE,TRUE),1,1)</f>
        <v/>
      </c>
      <c r="AJ1064" s="10">
        <f>INDEX(LINEST(L805:L1064,M805:T1064,TRUE,TRUE),3,1)</f>
        <v/>
      </c>
      <c r="AK1064" s="9">
        <f>AA1063/52+AB1063*M1064+AC1063*N1064+AD1063*O1064+AE1063*P1064+AF1063*Q1064+AG1063*R1064+AH1063*S1064+AI1063*T1064</f>
        <v/>
      </c>
      <c r="AL1064" s="9">
        <f>AVERAGE(L804:L1063)</f>
        <v/>
      </c>
    </row>
    <row r="1065">
      <c r="A1065" s="7" t="n">
        <v>45065</v>
      </c>
      <c r="B1065" s="8" t="n">
        <v>1961.6</v>
      </c>
      <c r="C1065" s="8" t="n">
        <v>2.24</v>
      </c>
      <c r="D1065" s="8" t="n">
        <v>1.46</v>
      </c>
      <c r="E1065" s="8" t="n">
        <v>103.199997</v>
      </c>
      <c r="F1065" s="8" t="n">
        <v>71.56999999999999</v>
      </c>
      <c r="G1065" s="8" t="n">
        <v>16.81</v>
      </c>
      <c r="H1065" s="8" t="n">
        <v>127.510002</v>
      </c>
      <c r="I1065" s="8" t="n">
        <v>4191.97998</v>
      </c>
      <c r="J1065" s="8" t="n">
        <v>87.453079</v>
      </c>
      <c r="L1065" s="9">
        <f>LN(B1065/B1064)</f>
        <v/>
      </c>
      <c r="M1065" s="9">
        <f>$M$1*(C1065-C1064)</f>
        <v/>
      </c>
      <c r="N1065" s="9">
        <f>$N$1*(D1065-D1064)</f>
        <v/>
      </c>
      <c r="O1065" s="9">
        <f>$O$1*LN(E1065/E1064)</f>
        <v/>
      </c>
      <c r="P1065" s="9">
        <f>$P$1*LN(F1065/F1064)</f>
        <v/>
      </c>
      <c r="Q1065" s="9">
        <f>$Q$1*(G1065-G1064)</f>
        <v/>
      </c>
      <c r="R1065" s="9">
        <f>$R$1*(H1065-H1064)</f>
        <v/>
      </c>
      <c r="S1065" s="9">
        <f>$S$1*LN(I1065/I1064)</f>
        <v/>
      </c>
      <c r="T1065" s="9">
        <f>$T$1*LN(J1065/J1064)</f>
        <v/>
      </c>
      <c r="U1065" s="9">
        <f>$W$12+$W$4*M1065+$W$5*N1065+$W$6*O1065+$W$7*P1065+$W$8*Q1065+$W$9*R1065+$W$10*S1065+$W$11*T1065</f>
        <v/>
      </c>
      <c r="AA1065" s="10">
        <f>INDEX(LINEST(L806:L1065,M806:T1065,TRUE,TRUE),1,9)*52</f>
        <v/>
      </c>
      <c r="AB1065" s="9">
        <f>INDEX(LINEST(L806:L1065,M806:T1065,TRUE,TRUE),1,8)</f>
        <v/>
      </c>
      <c r="AC1065" s="9">
        <f>INDEX(LINEST(L806:L1065,M806:T1065,TRUE,TRUE),1,7)</f>
        <v/>
      </c>
      <c r="AD1065" s="9">
        <f>INDEX(LINEST(L806:L1065,M806:T1065,TRUE,TRUE),1,6)</f>
        <v/>
      </c>
      <c r="AE1065" s="9">
        <f>INDEX(LINEST(L806:L1065,M806:T1065,TRUE,TRUE),1,5)</f>
        <v/>
      </c>
      <c r="AF1065" s="9">
        <f>INDEX(LINEST(L806:L1065,M806:T1065,TRUE,TRUE),1,4)</f>
        <v/>
      </c>
      <c r="AG1065" s="9">
        <f>INDEX(LINEST(L806:L1065,M806:T1065,TRUE,TRUE),1,3)</f>
        <v/>
      </c>
      <c r="AH1065" s="9">
        <f>INDEX(LINEST(L806:L1065,M806:T1065,TRUE,TRUE),1,2)</f>
        <v/>
      </c>
      <c r="AI1065" s="9">
        <f>INDEX(LINEST(L806:L1065,M806:T1065,TRUE,TRUE),1,1)</f>
        <v/>
      </c>
      <c r="AJ1065" s="10">
        <f>INDEX(LINEST(L806:L1065,M806:T1065,TRUE,TRUE),3,1)</f>
        <v/>
      </c>
      <c r="AK1065" s="9">
        <f>AA1064/52+AB1064*M1065+AC1064*N1065+AD1064*O1065+AE1064*P1065+AF1064*Q1065+AG1064*R1065+AH1064*S1065+AI1064*T1065</f>
        <v/>
      </c>
      <c r="AL1065" s="9">
        <f>AVERAGE(L805:L1064)</f>
        <v/>
      </c>
    </row>
    <row r="1066">
      <c r="A1066" s="7" t="n">
        <v>45072</v>
      </c>
      <c r="B1066" s="8" t="n">
        <v>1947.9</v>
      </c>
      <c r="C1066" s="8" t="n">
        <v>2.23</v>
      </c>
      <c r="D1066" s="8" t="n">
        <v>1.57</v>
      </c>
      <c r="E1066" s="8" t="n">
        <v>104.209999</v>
      </c>
      <c r="F1066" s="8" t="n">
        <v>72.34999999999999</v>
      </c>
      <c r="G1066" s="8" t="n">
        <v>17.95</v>
      </c>
      <c r="H1066" s="8" t="n">
        <v>145.369995</v>
      </c>
      <c r="I1066" s="8" t="n">
        <v>4205.450195</v>
      </c>
      <c r="J1066" s="8" t="n">
        <v>86.998375</v>
      </c>
      <c r="L1066" s="9">
        <f>LN(B1066/B1065)</f>
        <v/>
      </c>
      <c r="M1066" s="9">
        <f>$M$1*(C1066-C1065)</f>
        <v/>
      </c>
      <c r="N1066" s="9">
        <f>$N$1*(D1066-D1065)</f>
        <v/>
      </c>
      <c r="O1066" s="9">
        <f>$O$1*LN(E1066/E1065)</f>
        <v/>
      </c>
      <c r="P1066" s="9">
        <f>$P$1*LN(F1066/F1065)</f>
        <v/>
      </c>
      <c r="Q1066" s="9">
        <f>$Q$1*(G1066-G1065)</f>
        <v/>
      </c>
      <c r="R1066" s="9">
        <f>$R$1*(H1066-H1065)</f>
        <v/>
      </c>
      <c r="S1066" s="9">
        <f>$S$1*LN(I1066/I1065)</f>
        <v/>
      </c>
      <c r="T1066" s="9">
        <f>$T$1*LN(J1066/J1065)</f>
        <v/>
      </c>
      <c r="U1066" s="9">
        <f>$W$12+$W$4*M1066+$W$5*N1066+$W$6*O1066+$W$7*P1066+$W$8*Q1066+$W$9*R1066+$W$10*S1066+$W$11*T1066</f>
        <v/>
      </c>
      <c r="AA1066" s="10">
        <f>INDEX(LINEST(L807:L1066,M807:T1066,TRUE,TRUE),1,9)*52</f>
        <v/>
      </c>
      <c r="AB1066" s="9">
        <f>INDEX(LINEST(L807:L1066,M807:T1066,TRUE,TRUE),1,8)</f>
        <v/>
      </c>
      <c r="AC1066" s="9">
        <f>INDEX(LINEST(L807:L1066,M807:T1066,TRUE,TRUE),1,7)</f>
        <v/>
      </c>
      <c r="AD1066" s="9">
        <f>INDEX(LINEST(L807:L1066,M807:T1066,TRUE,TRUE),1,6)</f>
        <v/>
      </c>
      <c r="AE1066" s="9">
        <f>INDEX(LINEST(L807:L1066,M807:T1066,TRUE,TRUE),1,5)</f>
        <v/>
      </c>
      <c r="AF1066" s="9">
        <f>INDEX(LINEST(L807:L1066,M807:T1066,TRUE,TRUE),1,4)</f>
        <v/>
      </c>
      <c r="AG1066" s="9">
        <f>INDEX(LINEST(L807:L1066,M807:T1066,TRUE,TRUE),1,3)</f>
        <v/>
      </c>
      <c r="AH1066" s="9">
        <f>INDEX(LINEST(L807:L1066,M807:T1066,TRUE,TRUE),1,2)</f>
        <v/>
      </c>
      <c r="AI1066" s="9">
        <f>INDEX(LINEST(L807:L1066,M807:T1066,TRUE,TRUE),1,1)</f>
        <v/>
      </c>
      <c r="AJ1066" s="10">
        <f>INDEX(LINEST(L807:L1066,M807:T1066,TRUE,TRUE),3,1)</f>
        <v/>
      </c>
      <c r="AK1066" s="9">
        <f>AA1065/52+AB1065*M1066+AC1065*N1066+AD1065*O1066+AE1065*P1066+AF1065*Q1066+AG1065*R1066+AH1065*S1066+AI1065*T1066</f>
        <v/>
      </c>
      <c r="AL1066" s="9">
        <f>AVERAGE(L806:L1065)</f>
        <v/>
      </c>
    </row>
    <row r="1067">
      <c r="A1067" s="7" t="n">
        <v>45079</v>
      </c>
      <c r="B1067" s="8" t="n">
        <v>1963.25</v>
      </c>
      <c r="C1067" s="8" t="n">
        <v>2.18</v>
      </c>
      <c r="D1067" s="8" t="n">
        <v>1.51</v>
      </c>
      <c r="E1067" s="8" t="n">
        <v>104.019997</v>
      </c>
      <c r="F1067" s="8" t="n">
        <v>71.76000000000001</v>
      </c>
      <c r="G1067" s="8" t="n">
        <v>14.6</v>
      </c>
      <c r="H1067" s="8" t="n">
        <v>120.949997</v>
      </c>
      <c r="I1067" s="8" t="n">
        <v>4282.370117</v>
      </c>
      <c r="J1067" s="8" t="n">
        <v>87.69154399999999</v>
      </c>
      <c r="L1067" s="9">
        <f>LN(B1067/B1066)</f>
        <v/>
      </c>
      <c r="M1067" s="9">
        <f>$M$1*(C1067-C1066)</f>
        <v/>
      </c>
      <c r="N1067" s="9">
        <f>$N$1*(D1067-D1066)</f>
        <v/>
      </c>
      <c r="O1067" s="9">
        <f>$O$1*LN(E1067/E1066)</f>
        <v/>
      </c>
      <c r="P1067" s="9">
        <f>$P$1*LN(F1067/F1066)</f>
        <v/>
      </c>
      <c r="Q1067" s="9">
        <f>$Q$1*(G1067-G1066)</f>
        <v/>
      </c>
      <c r="R1067" s="9">
        <f>$R$1*(H1067-H1066)</f>
        <v/>
      </c>
      <c r="S1067" s="9">
        <f>$S$1*LN(I1067/I1066)</f>
        <v/>
      </c>
      <c r="T1067" s="9">
        <f>$T$1*LN(J1067/J1066)</f>
        <v/>
      </c>
      <c r="U1067" s="9">
        <f>$W$12+$W$4*M1067+$W$5*N1067+$W$6*O1067+$W$7*P1067+$W$8*Q1067+$W$9*R1067+$W$10*S1067+$W$11*T1067</f>
        <v/>
      </c>
      <c r="AA1067" s="10">
        <f>INDEX(LINEST(L808:L1067,M808:T1067,TRUE,TRUE),1,9)*52</f>
        <v/>
      </c>
      <c r="AB1067" s="9">
        <f>INDEX(LINEST(L808:L1067,M808:T1067,TRUE,TRUE),1,8)</f>
        <v/>
      </c>
      <c r="AC1067" s="9">
        <f>INDEX(LINEST(L808:L1067,M808:T1067,TRUE,TRUE),1,7)</f>
        <v/>
      </c>
      <c r="AD1067" s="9">
        <f>INDEX(LINEST(L808:L1067,M808:T1067,TRUE,TRUE),1,6)</f>
        <v/>
      </c>
      <c r="AE1067" s="9">
        <f>INDEX(LINEST(L808:L1067,M808:T1067,TRUE,TRUE),1,5)</f>
        <v/>
      </c>
      <c r="AF1067" s="9">
        <f>INDEX(LINEST(L808:L1067,M808:T1067,TRUE,TRUE),1,4)</f>
        <v/>
      </c>
      <c r="AG1067" s="9">
        <f>INDEX(LINEST(L808:L1067,M808:T1067,TRUE,TRUE),1,3)</f>
        <v/>
      </c>
      <c r="AH1067" s="9">
        <f>INDEX(LINEST(L808:L1067,M808:T1067,TRUE,TRUE),1,2)</f>
        <v/>
      </c>
      <c r="AI1067" s="9">
        <f>INDEX(LINEST(L808:L1067,M808:T1067,TRUE,TRUE),1,1)</f>
        <v/>
      </c>
      <c r="AJ1067" s="10">
        <f>INDEX(LINEST(L808:L1067,M808:T1067,TRUE,TRUE),3,1)</f>
        <v/>
      </c>
      <c r="AK1067" s="9">
        <f>AA1066/52+AB1066*M1067+AC1066*N1067+AD1066*O1067+AE1066*P1067+AF1066*Q1067+AG1066*R1067+AH1066*S1067+AI1066*T1067</f>
        <v/>
      </c>
      <c r="AL1067" s="9">
        <f>AVERAGE(L807:L1066)</f>
        <v/>
      </c>
    </row>
    <row r="1068">
      <c r="A1068" s="7" t="n">
        <v>45086</v>
      </c>
      <c r="B1068" s="8" t="n">
        <v>1960.3</v>
      </c>
      <c r="C1068" s="8" t="n">
        <v>2.2</v>
      </c>
      <c r="D1068" s="8" t="n">
        <v>1.55</v>
      </c>
      <c r="E1068" s="8" t="n">
        <v>103.559998</v>
      </c>
      <c r="F1068" s="8" t="n">
        <v>70.16</v>
      </c>
      <c r="G1068" s="8" t="n">
        <v>13.83</v>
      </c>
      <c r="H1068" s="8" t="n">
        <v>115.769997</v>
      </c>
      <c r="I1068" s="8" t="n">
        <v>4298.859863</v>
      </c>
      <c r="J1068" s="8" t="n">
        <v>87.584267</v>
      </c>
      <c r="L1068" s="9">
        <f>LN(B1068/B1067)</f>
        <v/>
      </c>
      <c r="M1068" s="9">
        <f>$M$1*(C1068-C1067)</f>
        <v/>
      </c>
      <c r="N1068" s="9">
        <f>$N$1*(D1068-D1067)</f>
        <v/>
      </c>
      <c r="O1068" s="9">
        <f>$O$1*LN(E1068/E1067)</f>
        <v/>
      </c>
      <c r="P1068" s="9">
        <f>$P$1*LN(F1068/F1067)</f>
        <v/>
      </c>
      <c r="Q1068" s="9">
        <f>$Q$1*(G1068-G1067)</f>
        <v/>
      </c>
      <c r="R1068" s="9">
        <f>$R$1*(H1068-H1067)</f>
        <v/>
      </c>
      <c r="S1068" s="9">
        <f>$S$1*LN(I1068/I1067)</f>
        <v/>
      </c>
      <c r="T1068" s="9">
        <f>$T$1*LN(J1068/J1067)</f>
        <v/>
      </c>
      <c r="U1068" s="9">
        <f>$W$12+$W$4*M1068+$W$5*N1068+$W$6*O1068+$W$7*P1068+$W$8*Q1068+$W$9*R1068+$W$10*S1068+$W$11*T1068</f>
        <v/>
      </c>
      <c r="AA1068" s="10">
        <f>INDEX(LINEST(L809:L1068,M809:T1068,TRUE,TRUE),1,9)*52</f>
        <v/>
      </c>
      <c r="AB1068" s="9">
        <f>INDEX(LINEST(L809:L1068,M809:T1068,TRUE,TRUE),1,8)</f>
        <v/>
      </c>
      <c r="AC1068" s="9">
        <f>INDEX(LINEST(L809:L1068,M809:T1068,TRUE,TRUE),1,7)</f>
        <v/>
      </c>
      <c r="AD1068" s="9">
        <f>INDEX(LINEST(L809:L1068,M809:T1068,TRUE,TRUE),1,6)</f>
        <v/>
      </c>
      <c r="AE1068" s="9">
        <f>INDEX(LINEST(L809:L1068,M809:T1068,TRUE,TRUE),1,5)</f>
        <v/>
      </c>
      <c r="AF1068" s="9">
        <f>INDEX(LINEST(L809:L1068,M809:T1068,TRUE,TRUE),1,4)</f>
        <v/>
      </c>
      <c r="AG1068" s="9">
        <f>INDEX(LINEST(L809:L1068,M809:T1068,TRUE,TRUE),1,3)</f>
        <v/>
      </c>
      <c r="AH1068" s="9">
        <f>INDEX(LINEST(L809:L1068,M809:T1068,TRUE,TRUE),1,2)</f>
        <v/>
      </c>
      <c r="AI1068" s="9">
        <f>INDEX(LINEST(L809:L1068,M809:T1068,TRUE,TRUE),1,1)</f>
        <v/>
      </c>
      <c r="AJ1068" s="10">
        <f>INDEX(LINEST(L809:L1068,M809:T1068,TRUE,TRUE),3,1)</f>
        <v/>
      </c>
      <c r="AK1068" s="9">
        <f>AA1067/52+AB1067*M1068+AC1067*N1068+AD1067*O1068+AE1067*P1068+AF1067*Q1068+AG1067*R1068+AH1067*S1068+AI1067*T1068</f>
        <v/>
      </c>
      <c r="AL1068" s="9">
        <f>AVERAGE(L808:L1067)</f>
        <v/>
      </c>
    </row>
    <row r="1069">
      <c r="A1069" s="7" t="n">
        <v>45093</v>
      </c>
      <c r="B1069" s="8" t="n">
        <v>1959.75</v>
      </c>
      <c r="C1069" s="8" t="n">
        <v>2.22</v>
      </c>
      <c r="D1069" s="8" t="n">
        <v>1.55</v>
      </c>
      <c r="E1069" s="8" t="n">
        <v>102.300003</v>
      </c>
      <c r="F1069" s="8" t="n">
        <v>71.81</v>
      </c>
      <c r="G1069" s="8" t="n">
        <v>13.54</v>
      </c>
      <c r="H1069" s="8" t="n">
        <v>104.43</v>
      </c>
      <c r="I1069" s="8" t="n">
        <v>4409.589844</v>
      </c>
      <c r="J1069" s="8" t="n">
        <v>87.73625199999999</v>
      </c>
      <c r="L1069" s="9">
        <f>LN(B1069/B1068)</f>
        <v/>
      </c>
      <c r="M1069" s="9">
        <f>$M$1*(C1069-C1068)</f>
        <v/>
      </c>
      <c r="N1069" s="9">
        <f>$N$1*(D1069-D1068)</f>
        <v/>
      </c>
      <c r="O1069" s="9">
        <f>$O$1*LN(E1069/E1068)</f>
        <v/>
      </c>
      <c r="P1069" s="9">
        <f>$P$1*LN(F1069/F1068)</f>
        <v/>
      </c>
      <c r="Q1069" s="9">
        <f>$Q$1*(G1069-G1068)</f>
        <v/>
      </c>
      <c r="R1069" s="9">
        <f>$R$1*(H1069-H1068)</f>
        <v/>
      </c>
      <c r="S1069" s="9">
        <f>$S$1*LN(I1069/I1068)</f>
        <v/>
      </c>
      <c r="T1069" s="9">
        <f>$T$1*LN(J1069/J1068)</f>
        <v/>
      </c>
      <c r="U1069" s="9">
        <f>$W$12+$W$4*M1069+$W$5*N1069+$W$6*O1069+$W$7*P1069+$W$8*Q1069+$W$9*R1069+$W$10*S1069+$W$11*T1069</f>
        <v/>
      </c>
      <c r="AA1069" s="10">
        <f>INDEX(LINEST(L810:L1069,M810:T1069,TRUE,TRUE),1,9)*52</f>
        <v/>
      </c>
      <c r="AB1069" s="9">
        <f>INDEX(LINEST(L810:L1069,M810:T1069,TRUE,TRUE),1,8)</f>
        <v/>
      </c>
      <c r="AC1069" s="9">
        <f>INDEX(LINEST(L810:L1069,M810:T1069,TRUE,TRUE),1,7)</f>
        <v/>
      </c>
      <c r="AD1069" s="9">
        <f>INDEX(LINEST(L810:L1069,M810:T1069,TRUE,TRUE),1,6)</f>
        <v/>
      </c>
      <c r="AE1069" s="9">
        <f>INDEX(LINEST(L810:L1069,M810:T1069,TRUE,TRUE),1,5)</f>
        <v/>
      </c>
      <c r="AF1069" s="9">
        <f>INDEX(LINEST(L810:L1069,M810:T1069,TRUE,TRUE),1,4)</f>
        <v/>
      </c>
      <c r="AG1069" s="9">
        <f>INDEX(LINEST(L810:L1069,M810:T1069,TRUE,TRUE),1,3)</f>
        <v/>
      </c>
      <c r="AH1069" s="9">
        <f>INDEX(LINEST(L810:L1069,M810:T1069,TRUE,TRUE),1,2)</f>
        <v/>
      </c>
      <c r="AI1069" s="9">
        <f>INDEX(LINEST(L810:L1069,M810:T1069,TRUE,TRUE),1,1)</f>
        <v/>
      </c>
      <c r="AJ1069" s="10">
        <f>INDEX(LINEST(L810:L1069,M810:T1069,TRUE,TRUE),3,1)</f>
        <v/>
      </c>
      <c r="AK1069" s="9">
        <f>AA1068/52+AB1068*M1069+AC1068*N1069+AD1068*O1069+AE1068*P1069+AF1068*Q1069+AG1068*R1069+AH1068*S1069+AI1068*T1069</f>
        <v/>
      </c>
      <c r="AL1069" s="9">
        <f>AVERAGE(L809:L1068)</f>
        <v/>
      </c>
    </row>
    <row r="1070">
      <c r="A1070" s="7" t="n">
        <v>45100</v>
      </c>
      <c r="B1070" s="8" t="n">
        <v>1930.7</v>
      </c>
      <c r="C1070" s="8" t="n">
        <v>2.21</v>
      </c>
      <c r="D1070" s="8" t="n">
        <v>1.53</v>
      </c>
      <c r="E1070" s="8" t="n">
        <v>102.900002</v>
      </c>
      <c r="F1070" s="8" t="n">
        <v>68.91</v>
      </c>
      <c r="G1070" s="8" t="n">
        <v>13.44</v>
      </c>
      <c r="H1070" s="8" t="n">
        <v>105.739998</v>
      </c>
      <c r="I1070" s="8" t="n">
        <v>4348.330078</v>
      </c>
      <c r="J1070" s="8" t="n">
        <v>87.843536</v>
      </c>
      <c r="L1070" s="9">
        <f>LN(B1070/B1069)</f>
        <v/>
      </c>
      <c r="M1070" s="9">
        <f>$M$1*(C1070-C1069)</f>
        <v/>
      </c>
      <c r="N1070" s="9">
        <f>$N$1*(D1070-D1069)</f>
        <v/>
      </c>
      <c r="O1070" s="9">
        <f>$O$1*LN(E1070/E1069)</f>
        <v/>
      </c>
      <c r="P1070" s="9">
        <f>$P$1*LN(F1070/F1069)</f>
        <v/>
      </c>
      <c r="Q1070" s="9">
        <f>$Q$1*(G1070-G1069)</f>
        <v/>
      </c>
      <c r="R1070" s="9">
        <f>$R$1*(H1070-H1069)</f>
        <v/>
      </c>
      <c r="S1070" s="9">
        <f>$S$1*LN(I1070/I1069)</f>
        <v/>
      </c>
      <c r="T1070" s="9">
        <f>$T$1*LN(J1070/J1069)</f>
        <v/>
      </c>
      <c r="U1070" s="9">
        <f>$W$12+$W$4*M1070+$W$5*N1070+$W$6*O1070+$W$7*P1070+$W$8*Q1070+$W$9*R1070+$W$10*S1070+$W$11*T1070</f>
        <v/>
      </c>
      <c r="AA1070" s="10">
        <f>INDEX(LINEST(L811:L1070,M811:T1070,TRUE,TRUE),1,9)*52</f>
        <v/>
      </c>
      <c r="AB1070" s="9">
        <f>INDEX(LINEST(L811:L1070,M811:T1070,TRUE,TRUE),1,8)</f>
        <v/>
      </c>
      <c r="AC1070" s="9">
        <f>INDEX(LINEST(L811:L1070,M811:T1070,TRUE,TRUE),1,7)</f>
        <v/>
      </c>
      <c r="AD1070" s="9">
        <f>INDEX(LINEST(L811:L1070,M811:T1070,TRUE,TRUE),1,6)</f>
        <v/>
      </c>
      <c r="AE1070" s="9">
        <f>INDEX(LINEST(L811:L1070,M811:T1070,TRUE,TRUE),1,5)</f>
        <v/>
      </c>
      <c r="AF1070" s="9">
        <f>INDEX(LINEST(L811:L1070,M811:T1070,TRUE,TRUE),1,4)</f>
        <v/>
      </c>
      <c r="AG1070" s="9">
        <f>INDEX(LINEST(L811:L1070,M811:T1070,TRUE,TRUE),1,3)</f>
        <v/>
      </c>
      <c r="AH1070" s="9">
        <f>INDEX(LINEST(L811:L1070,M811:T1070,TRUE,TRUE),1,2)</f>
        <v/>
      </c>
      <c r="AI1070" s="9">
        <f>INDEX(LINEST(L811:L1070,M811:T1070,TRUE,TRUE),1,1)</f>
        <v/>
      </c>
      <c r="AJ1070" s="10">
        <f>INDEX(LINEST(L811:L1070,M811:T1070,TRUE,TRUE),3,1)</f>
        <v/>
      </c>
      <c r="AK1070" s="9">
        <f>AA1069/52+AB1069*M1070+AC1069*N1070+AD1069*O1070+AE1069*P1070+AF1069*Q1070+AG1069*R1070+AH1069*S1070+AI1069*T1070</f>
        <v/>
      </c>
      <c r="AL1070" s="9">
        <f>AVERAGE(L810:L1069)</f>
        <v/>
      </c>
    </row>
    <row r="1071">
      <c r="A1071" s="7" t="n">
        <v>45107</v>
      </c>
      <c r="B1071" s="8" t="n">
        <v>1912.25</v>
      </c>
      <c r="C1071" s="8" t="n">
        <v>2.22</v>
      </c>
      <c r="D1071" s="8" t="n">
        <v>1.59</v>
      </c>
      <c r="E1071" s="8" t="n">
        <v>102.910004</v>
      </c>
      <c r="F1071" s="8" t="n">
        <v>70.66</v>
      </c>
      <c r="G1071" s="8" t="n">
        <v>13.59</v>
      </c>
      <c r="H1071" s="8" t="n">
        <v>110.639999</v>
      </c>
      <c r="I1071" s="8" t="n">
        <v>4450.379883</v>
      </c>
      <c r="J1071" s="8" t="n">
        <v>87.566383</v>
      </c>
      <c r="L1071" s="9">
        <f>LN(B1071/B1070)</f>
        <v/>
      </c>
      <c r="M1071" s="9">
        <f>$M$1*(C1071-C1070)</f>
        <v/>
      </c>
      <c r="N1071" s="9">
        <f>$N$1*(D1071-D1070)</f>
        <v/>
      </c>
      <c r="O1071" s="9">
        <f>$O$1*LN(E1071/E1070)</f>
        <v/>
      </c>
      <c r="P1071" s="9">
        <f>$P$1*LN(F1071/F1070)</f>
        <v/>
      </c>
      <c r="Q1071" s="9">
        <f>$Q$1*(G1071-G1070)</f>
        <v/>
      </c>
      <c r="R1071" s="9">
        <f>$R$1*(H1071-H1070)</f>
        <v/>
      </c>
      <c r="S1071" s="9">
        <f>$S$1*LN(I1071/I1070)</f>
        <v/>
      </c>
      <c r="T1071" s="9">
        <f>$T$1*LN(J1071/J1070)</f>
        <v/>
      </c>
      <c r="U1071" s="9">
        <f>$W$12+$W$4*M1071+$W$5*N1071+$W$6*O1071+$W$7*P1071+$W$8*Q1071+$W$9*R1071+$W$10*S1071+$W$11*T1071</f>
        <v/>
      </c>
      <c r="AA1071" s="10">
        <f>INDEX(LINEST(L812:L1071,M812:T1071,TRUE,TRUE),1,9)*52</f>
        <v/>
      </c>
      <c r="AB1071" s="9">
        <f>INDEX(LINEST(L812:L1071,M812:T1071,TRUE,TRUE),1,8)</f>
        <v/>
      </c>
      <c r="AC1071" s="9">
        <f>INDEX(LINEST(L812:L1071,M812:T1071,TRUE,TRUE),1,7)</f>
        <v/>
      </c>
      <c r="AD1071" s="9">
        <f>INDEX(LINEST(L812:L1071,M812:T1071,TRUE,TRUE),1,6)</f>
        <v/>
      </c>
      <c r="AE1071" s="9">
        <f>INDEX(LINEST(L812:L1071,M812:T1071,TRUE,TRUE),1,5)</f>
        <v/>
      </c>
      <c r="AF1071" s="9">
        <f>INDEX(LINEST(L812:L1071,M812:T1071,TRUE,TRUE),1,4)</f>
        <v/>
      </c>
      <c r="AG1071" s="9">
        <f>INDEX(LINEST(L812:L1071,M812:T1071,TRUE,TRUE),1,3)</f>
        <v/>
      </c>
      <c r="AH1071" s="9">
        <f>INDEX(LINEST(L812:L1071,M812:T1071,TRUE,TRUE),1,2)</f>
        <v/>
      </c>
      <c r="AI1071" s="9">
        <f>INDEX(LINEST(L812:L1071,M812:T1071,TRUE,TRUE),1,1)</f>
        <v/>
      </c>
      <c r="AJ1071" s="10">
        <f>INDEX(LINEST(L812:L1071,M812:T1071,TRUE,TRUE),3,1)</f>
        <v/>
      </c>
      <c r="AK1071" s="9">
        <f>AA1070/52+AB1070*M1071+AC1070*N1071+AD1070*O1071+AE1070*P1071+AF1070*Q1071+AG1070*R1071+AH1070*S1071+AI1070*T1071</f>
        <v/>
      </c>
      <c r="AL1071" s="9">
        <f>AVERAGE(L811:L1070)</f>
        <v/>
      </c>
    </row>
    <row r="1072">
      <c r="A1072" s="7" t="n">
        <v>45114</v>
      </c>
      <c r="B1072" s="8" t="n">
        <v>1922.3</v>
      </c>
      <c r="C1072" s="8" t="n">
        <v>2.27</v>
      </c>
      <c r="D1072" s="8" t="n">
        <v>1.79</v>
      </c>
      <c r="E1072" s="8" t="n">
        <v>102.269997</v>
      </c>
      <c r="F1072" s="8" t="n">
        <v>73.91</v>
      </c>
      <c r="G1072" s="8" t="n">
        <v>14.83</v>
      </c>
      <c r="H1072" s="8" t="n">
        <v>130.410004</v>
      </c>
      <c r="I1072" s="8" t="n">
        <v>4398.950195</v>
      </c>
      <c r="J1072" s="8" t="n">
        <v>86.522171</v>
      </c>
      <c r="L1072" s="9">
        <f>LN(B1072/B1071)</f>
        <v/>
      </c>
      <c r="M1072" s="9">
        <f>$M$1*(C1072-C1071)</f>
        <v/>
      </c>
      <c r="N1072" s="9">
        <f>$N$1*(D1072-D1071)</f>
        <v/>
      </c>
      <c r="O1072" s="9">
        <f>$O$1*LN(E1072/E1071)</f>
        <v/>
      </c>
      <c r="P1072" s="9">
        <f>$P$1*LN(F1072/F1071)</f>
        <v/>
      </c>
      <c r="Q1072" s="9">
        <f>$Q$1*(G1072-G1071)</f>
        <v/>
      </c>
      <c r="R1072" s="9">
        <f>$R$1*(H1072-H1071)</f>
        <v/>
      </c>
      <c r="S1072" s="9">
        <f>$S$1*LN(I1072/I1071)</f>
        <v/>
      </c>
      <c r="T1072" s="9">
        <f>$T$1*LN(J1072/J1071)</f>
        <v/>
      </c>
      <c r="U1072" s="9">
        <f>$W$12+$W$4*M1072+$W$5*N1072+$W$6*O1072+$W$7*P1072+$W$8*Q1072+$W$9*R1072+$W$10*S1072+$W$11*T1072</f>
        <v/>
      </c>
      <c r="AA1072" s="10">
        <f>INDEX(LINEST(L813:L1072,M813:T1072,TRUE,TRUE),1,9)*52</f>
        <v/>
      </c>
      <c r="AB1072" s="9">
        <f>INDEX(LINEST(L813:L1072,M813:T1072,TRUE,TRUE),1,8)</f>
        <v/>
      </c>
      <c r="AC1072" s="9">
        <f>INDEX(LINEST(L813:L1072,M813:T1072,TRUE,TRUE),1,7)</f>
        <v/>
      </c>
      <c r="AD1072" s="9">
        <f>INDEX(LINEST(L813:L1072,M813:T1072,TRUE,TRUE),1,6)</f>
        <v/>
      </c>
      <c r="AE1072" s="9">
        <f>INDEX(LINEST(L813:L1072,M813:T1072,TRUE,TRUE),1,5)</f>
        <v/>
      </c>
      <c r="AF1072" s="9">
        <f>INDEX(LINEST(L813:L1072,M813:T1072,TRUE,TRUE),1,4)</f>
        <v/>
      </c>
      <c r="AG1072" s="9">
        <f>INDEX(LINEST(L813:L1072,M813:T1072,TRUE,TRUE),1,3)</f>
        <v/>
      </c>
      <c r="AH1072" s="9">
        <f>INDEX(LINEST(L813:L1072,M813:T1072,TRUE,TRUE),1,2)</f>
        <v/>
      </c>
      <c r="AI1072" s="9">
        <f>INDEX(LINEST(L813:L1072,M813:T1072,TRUE,TRUE),1,1)</f>
        <v/>
      </c>
      <c r="AJ1072" s="10">
        <f>INDEX(LINEST(L813:L1072,M813:T1072,TRUE,TRUE),3,1)</f>
        <v/>
      </c>
      <c r="AK1072" s="9">
        <f>AA1071/52+AB1071*M1072+AC1071*N1072+AD1071*O1072+AE1071*P1072+AF1071*Q1072+AG1071*R1072+AH1071*S1072+AI1071*T1072</f>
        <v/>
      </c>
      <c r="AL1072" s="9">
        <f>AVERAGE(L812:L1071)</f>
        <v/>
      </c>
    </row>
    <row r="1073">
      <c r="A1073" s="7" t="n">
        <v>45121</v>
      </c>
      <c r="B1073" s="8" t="n">
        <v>1953.7</v>
      </c>
      <c r="C1073" s="8" t="n">
        <v>2.24</v>
      </c>
      <c r="D1073" s="8" t="n">
        <v>1.59</v>
      </c>
      <c r="E1073" s="8" t="n">
        <v>99.910004</v>
      </c>
      <c r="F1073" s="8" t="n">
        <v>75.44</v>
      </c>
      <c r="G1073" s="8" t="n">
        <v>13.34</v>
      </c>
      <c r="H1073" s="8" t="n">
        <v>112.480003</v>
      </c>
      <c r="I1073" s="8" t="n">
        <v>4505.419922</v>
      </c>
      <c r="J1073" s="8" t="n">
        <v>87.785995</v>
      </c>
      <c r="L1073" s="9">
        <f>LN(B1073/B1072)</f>
        <v/>
      </c>
      <c r="M1073" s="9">
        <f>$M$1*(C1073-C1072)</f>
        <v/>
      </c>
      <c r="N1073" s="9">
        <f>$N$1*(D1073-D1072)</f>
        <v/>
      </c>
      <c r="O1073" s="9">
        <f>$O$1*LN(E1073/E1072)</f>
        <v/>
      </c>
      <c r="P1073" s="9">
        <f>$P$1*LN(F1073/F1072)</f>
        <v/>
      </c>
      <c r="Q1073" s="9">
        <f>$Q$1*(G1073-G1072)</f>
        <v/>
      </c>
      <c r="R1073" s="9">
        <f>$R$1*(H1073-H1072)</f>
        <v/>
      </c>
      <c r="S1073" s="9">
        <f>$S$1*LN(I1073/I1072)</f>
        <v/>
      </c>
      <c r="T1073" s="9">
        <f>$T$1*LN(J1073/J1072)</f>
        <v/>
      </c>
      <c r="U1073" s="9">
        <f>$W$12+$W$4*M1073+$W$5*N1073+$W$6*O1073+$W$7*P1073+$W$8*Q1073+$W$9*R1073+$W$10*S1073+$W$11*T1073</f>
        <v/>
      </c>
      <c r="AA1073" s="10">
        <f>INDEX(LINEST(L814:L1073,M814:T1073,TRUE,TRUE),1,9)*52</f>
        <v/>
      </c>
      <c r="AB1073" s="9">
        <f>INDEX(LINEST(L814:L1073,M814:T1073,TRUE,TRUE),1,8)</f>
        <v/>
      </c>
      <c r="AC1073" s="9">
        <f>INDEX(LINEST(L814:L1073,M814:T1073,TRUE,TRUE),1,7)</f>
        <v/>
      </c>
      <c r="AD1073" s="9">
        <f>INDEX(LINEST(L814:L1073,M814:T1073,TRUE,TRUE),1,6)</f>
        <v/>
      </c>
      <c r="AE1073" s="9">
        <f>INDEX(LINEST(L814:L1073,M814:T1073,TRUE,TRUE),1,5)</f>
        <v/>
      </c>
      <c r="AF1073" s="9">
        <f>INDEX(LINEST(L814:L1073,M814:T1073,TRUE,TRUE),1,4)</f>
        <v/>
      </c>
      <c r="AG1073" s="9">
        <f>INDEX(LINEST(L814:L1073,M814:T1073,TRUE,TRUE),1,3)</f>
        <v/>
      </c>
      <c r="AH1073" s="9">
        <f>INDEX(LINEST(L814:L1073,M814:T1073,TRUE,TRUE),1,2)</f>
        <v/>
      </c>
      <c r="AI1073" s="9">
        <f>INDEX(LINEST(L814:L1073,M814:T1073,TRUE,TRUE),1,1)</f>
        <v/>
      </c>
      <c r="AJ1073" s="10">
        <f>INDEX(LINEST(L814:L1073,M814:T1073,TRUE,TRUE),3,1)</f>
        <v/>
      </c>
      <c r="AK1073" s="9">
        <f>AA1072/52+AB1072*M1073+AC1072*N1073+AD1072*O1073+AE1072*P1073+AF1072*Q1073+AG1072*R1073+AH1072*S1073+AI1072*T1073</f>
        <v/>
      </c>
      <c r="AL1073" s="9">
        <f>AVERAGE(L813:L1072)</f>
        <v/>
      </c>
    </row>
    <row r="1074">
      <c r="A1074" s="7" t="n">
        <v>45128</v>
      </c>
      <c r="B1074" s="8" t="n">
        <v>1960.6</v>
      </c>
      <c r="C1074" s="8" t="n">
        <v>2.35</v>
      </c>
      <c r="D1074" s="8" t="n">
        <v>1.49</v>
      </c>
      <c r="E1074" s="8" t="n">
        <v>101.07</v>
      </c>
      <c r="F1074" s="8" t="n">
        <v>77.06</v>
      </c>
      <c r="G1074" s="8" t="n">
        <v>13.6</v>
      </c>
      <c r="H1074" s="8" t="n">
        <v>106.660004</v>
      </c>
      <c r="I1074" s="8" t="n">
        <v>4536.339844</v>
      </c>
      <c r="J1074" s="8" t="n">
        <v>87.830826</v>
      </c>
      <c r="L1074" s="9">
        <f>LN(B1074/B1073)</f>
        <v/>
      </c>
      <c r="M1074" s="9">
        <f>$M$1*(C1074-C1073)</f>
        <v/>
      </c>
      <c r="N1074" s="9">
        <f>$N$1*(D1074-D1073)</f>
        <v/>
      </c>
      <c r="O1074" s="9">
        <f>$O$1*LN(E1074/E1073)</f>
        <v/>
      </c>
      <c r="P1074" s="9">
        <f>$P$1*LN(F1074/F1073)</f>
        <v/>
      </c>
      <c r="Q1074" s="9">
        <f>$Q$1*(G1074-G1073)</f>
        <v/>
      </c>
      <c r="R1074" s="9">
        <f>$R$1*(H1074-H1073)</f>
        <v/>
      </c>
      <c r="S1074" s="9">
        <f>$S$1*LN(I1074/I1073)</f>
        <v/>
      </c>
      <c r="T1074" s="9">
        <f>$T$1*LN(J1074/J1073)</f>
        <v/>
      </c>
      <c r="U1074" s="9">
        <f>$W$12+$W$4*M1074+$W$5*N1074+$W$6*O1074+$W$7*P1074+$W$8*Q1074+$W$9*R1074+$W$10*S1074+$W$11*T1074</f>
        <v/>
      </c>
      <c r="AA1074" s="10">
        <f>INDEX(LINEST(L815:L1074,M815:T1074,TRUE,TRUE),1,9)*52</f>
        <v/>
      </c>
      <c r="AB1074" s="9">
        <f>INDEX(LINEST(L815:L1074,M815:T1074,TRUE,TRUE),1,8)</f>
        <v/>
      </c>
      <c r="AC1074" s="9">
        <f>INDEX(LINEST(L815:L1074,M815:T1074,TRUE,TRUE),1,7)</f>
        <v/>
      </c>
      <c r="AD1074" s="9">
        <f>INDEX(LINEST(L815:L1074,M815:T1074,TRUE,TRUE),1,6)</f>
        <v/>
      </c>
      <c r="AE1074" s="9">
        <f>INDEX(LINEST(L815:L1074,M815:T1074,TRUE,TRUE),1,5)</f>
        <v/>
      </c>
      <c r="AF1074" s="9">
        <f>INDEX(LINEST(L815:L1074,M815:T1074,TRUE,TRUE),1,4)</f>
        <v/>
      </c>
      <c r="AG1074" s="9">
        <f>INDEX(LINEST(L815:L1074,M815:T1074,TRUE,TRUE),1,3)</f>
        <v/>
      </c>
      <c r="AH1074" s="9">
        <f>INDEX(LINEST(L815:L1074,M815:T1074,TRUE,TRUE),1,2)</f>
        <v/>
      </c>
      <c r="AI1074" s="9">
        <f>INDEX(LINEST(L815:L1074,M815:T1074,TRUE,TRUE),1,1)</f>
        <v/>
      </c>
      <c r="AJ1074" s="10">
        <f>INDEX(LINEST(L815:L1074,M815:T1074,TRUE,TRUE),3,1)</f>
        <v/>
      </c>
      <c r="AK1074" s="9">
        <f>AA1073/52+AB1073*M1074+AC1073*N1074+AD1073*O1074+AE1073*P1074+AF1073*Q1074+AG1073*R1074+AH1073*S1074+AI1073*T1074</f>
        <v/>
      </c>
      <c r="AL1074" s="9">
        <f>AVERAGE(L814:L1073)</f>
        <v/>
      </c>
    </row>
    <row r="1075">
      <c r="A1075" s="7" t="n">
        <v>45135</v>
      </c>
      <c r="B1075" s="8" t="n">
        <v>1954.25</v>
      </c>
      <c r="C1075" s="8" t="n">
        <v>2.38</v>
      </c>
      <c r="D1075" s="8" t="n">
        <v>1.58</v>
      </c>
      <c r="E1075" s="8" t="n">
        <v>101.620003</v>
      </c>
      <c r="F1075" s="8" t="n">
        <v>80.55</v>
      </c>
      <c r="G1075" s="8" t="n">
        <v>13.33</v>
      </c>
      <c r="H1075" s="8" t="n">
        <v>109.760002</v>
      </c>
      <c r="I1075" s="8" t="n">
        <v>4582.22998</v>
      </c>
      <c r="J1075" s="8" t="n">
        <v>87.44538900000001</v>
      </c>
      <c r="L1075" s="9">
        <f>LN(B1075/B1074)</f>
        <v/>
      </c>
      <c r="M1075" s="9">
        <f>$M$1*(C1075-C1074)</f>
        <v/>
      </c>
      <c r="N1075" s="9">
        <f>$N$1*(D1075-D1074)</f>
        <v/>
      </c>
      <c r="O1075" s="9">
        <f>$O$1*LN(E1075/E1074)</f>
        <v/>
      </c>
      <c r="P1075" s="9">
        <f>$P$1*LN(F1075/F1074)</f>
        <v/>
      </c>
      <c r="Q1075" s="9">
        <f>$Q$1*(G1075-G1074)</f>
        <v/>
      </c>
      <c r="R1075" s="9">
        <f>$R$1*(H1075-H1074)</f>
        <v/>
      </c>
      <c r="S1075" s="9">
        <f>$S$1*LN(I1075/I1074)</f>
        <v/>
      </c>
      <c r="T1075" s="9">
        <f>$T$1*LN(J1075/J1074)</f>
        <v/>
      </c>
      <c r="U1075" s="9">
        <f>$W$12+$W$4*M1075+$W$5*N1075+$W$6*O1075+$W$7*P1075+$W$8*Q1075+$W$9*R1075+$W$10*S1075+$W$11*T1075</f>
        <v/>
      </c>
      <c r="AA1075" s="10">
        <f>INDEX(LINEST(L816:L1075,M816:T1075,TRUE,TRUE),1,9)*52</f>
        <v/>
      </c>
      <c r="AB1075" s="9">
        <f>INDEX(LINEST(L816:L1075,M816:T1075,TRUE,TRUE),1,8)</f>
        <v/>
      </c>
      <c r="AC1075" s="9">
        <f>INDEX(LINEST(L816:L1075,M816:T1075,TRUE,TRUE),1,7)</f>
        <v/>
      </c>
      <c r="AD1075" s="9">
        <f>INDEX(LINEST(L816:L1075,M816:T1075,TRUE,TRUE),1,6)</f>
        <v/>
      </c>
      <c r="AE1075" s="9">
        <f>INDEX(LINEST(L816:L1075,M816:T1075,TRUE,TRUE),1,5)</f>
        <v/>
      </c>
      <c r="AF1075" s="9">
        <f>INDEX(LINEST(L816:L1075,M816:T1075,TRUE,TRUE),1,4)</f>
        <v/>
      </c>
      <c r="AG1075" s="9">
        <f>INDEX(LINEST(L816:L1075,M816:T1075,TRUE,TRUE),1,3)</f>
        <v/>
      </c>
      <c r="AH1075" s="9">
        <f>INDEX(LINEST(L816:L1075,M816:T1075,TRUE,TRUE),1,2)</f>
        <v/>
      </c>
      <c r="AI1075" s="9">
        <f>INDEX(LINEST(L816:L1075,M816:T1075,TRUE,TRUE),1,1)</f>
        <v/>
      </c>
      <c r="AJ1075" s="10">
        <f>INDEX(LINEST(L816:L1075,M816:T1075,TRUE,TRUE),3,1)</f>
        <v/>
      </c>
      <c r="AK1075" s="9">
        <f>AA1074/52+AB1074*M1075+AC1074*N1075+AD1074*O1075+AE1074*P1075+AF1074*Q1075+AG1074*R1075+AH1074*S1075+AI1074*T1075</f>
        <v/>
      </c>
      <c r="AL1075" s="9">
        <f>AVERAGE(L815:L1074)</f>
        <v/>
      </c>
    </row>
    <row r="1076">
      <c r="A1076" s="7" t="n">
        <v>45142</v>
      </c>
      <c r="B1076" s="8" t="n">
        <v>1942.45</v>
      </c>
      <c r="C1076" s="8" t="n">
        <v>2.38</v>
      </c>
      <c r="D1076" s="8" t="n">
        <v>1.67</v>
      </c>
      <c r="E1076" s="8" t="n">
        <v>102.019997</v>
      </c>
      <c r="F1076" s="8" t="n">
        <v>82.76000000000001</v>
      </c>
      <c r="G1076" s="8" t="n">
        <v>17.1</v>
      </c>
      <c r="H1076" s="8" t="n">
        <v>115.910004</v>
      </c>
      <c r="I1076" s="8" t="n">
        <v>4478.029785</v>
      </c>
      <c r="J1076" s="8" t="n">
        <v>86.892357</v>
      </c>
      <c r="L1076" s="9">
        <f>LN(B1076/B1075)</f>
        <v/>
      </c>
      <c r="M1076" s="9">
        <f>$M$1*(C1076-C1075)</f>
        <v/>
      </c>
      <c r="N1076" s="9">
        <f>$N$1*(D1076-D1075)</f>
        <v/>
      </c>
      <c r="O1076" s="9">
        <f>$O$1*LN(E1076/E1075)</f>
        <v/>
      </c>
      <c r="P1076" s="9">
        <f>$P$1*LN(F1076/F1075)</f>
        <v/>
      </c>
      <c r="Q1076" s="9">
        <f>$Q$1*(G1076-G1075)</f>
        <v/>
      </c>
      <c r="R1076" s="9">
        <f>$R$1*(H1076-H1075)</f>
        <v/>
      </c>
      <c r="S1076" s="9">
        <f>$S$1*LN(I1076/I1075)</f>
        <v/>
      </c>
      <c r="T1076" s="9">
        <f>$T$1*LN(J1076/J1075)</f>
        <v/>
      </c>
      <c r="U1076" s="9">
        <f>$W$12+$W$4*M1076+$W$5*N1076+$W$6*O1076+$W$7*P1076+$W$8*Q1076+$W$9*R1076+$W$10*S1076+$W$11*T1076</f>
        <v/>
      </c>
      <c r="AA1076" s="10">
        <f>INDEX(LINEST(L817:L1076,M817:T1076,TRUE,TRUE),1,9)*52</f>
        <v/>
      </c>
      <c r="AB1076" s="9">
        <f>INDEX(LINEST(L817:L1076,M817:T1076,TRUE,TRUE),1,8)</f>
        <v/>
      </c>
      <c r="AC1076" s="9">
        <f>INDEX(LINEST(L817:L1076,M817:T1076,TRUE,TRUE),1,7)</f>
        <v/>
      </c>
      <c r="AD1076" s="9">
        <f>INDEX(LINEST(L817:L1076,M817:T1076,TRUE,TRUE),1,6)</f>
        <v/>
      </c>
      <c r="AE1076" s="9">
        <f>INDEX(LINEST(L817:L1076,M817:T1076,TRUE,TRUE),1,5)</f>
        <v/>
      </c>
      <c r="AF1076" s="9">
        <f>INDEX(LINEST(L817:L1076,M817:T1076,TRUE,TRUE),1,4)</f>
        <v/>
      </c>
      <c r="AG1076" s="9">
        <f>INDEX(LINEST(L817:L1076,M817:T1076,TRUE,TRUE),1,3)</f>
        <v/>
      </c>
      <c r="AH1076" s="9">
        <f>INDEX(LINEST(L817:L1076,M817:T1076,TRUE,TRUE),1,2)</f>
        <v/>
      </c>
      <c r="AI1076" s="9">
        <f>INDEX(LINEST(L817:L1076,M817:T1076,TRUE,TRUE),1,1)</f>
        <v/>
      </c>
      <c r="AJ1076" s="10">
        <f>INDEX(LINEST(L817:L1076,M817:T1076,TRUE,TRUE),3,1)</f>
        <v/>
      </c>
      <c r="AK1076" s="9">
        <f>AA1075/52+AB1075*M1076+AC1075*N1076+AD1075*O1076+AE1075*P1076+AF1075*Q1076+AG1075*R1076+AH1075*S1076+AI1075*T1076</f>
        <v/>
      </c>
      <c r="AL1076" s="9">
        <f>AVERAGE(L816:L1075)</f>
        <v/>
      </c>
    </row>
    <row r="1077">
      <c r="A1077" s="7" t="n">
        <v>45149</v>
      </c>
      <c r="B1077" s="8" t="n">
        <v>1915.8</v>
      </c>
      <c r="C1077" s="8" t="n">
        <v>2.36</v>
      </c>
      <c r="D1077" s="8" t="n">
        <v>1.8</v>
      </c>
      <c r="E1077" s="8" t="n">
        <v>102.839996</v>
      </c>
      <c r="F1077" s="8" t="n">
        <v>83.17</v>
      </c>
      <c r="G1077" s="8" t="n">
        <v>14.84</v>
      </c>
      <c r="H1077" s="8" t="n">
        <v>112.129997</v>
      </c>
      <c r="I1077" s="8" t="n">
        <v>4464.049805</v>
      </c>
      <c r="J1077" s="8" t="n">
        <v>86.344116</v>
      </c>
      <c r="L1077" s="9">
        <f>LN(B1077/B1076)</f>
        <v/>
      </c>
      <c r="M1077" s="9">
        <f>$M$1*(C1077-C1076)</f>
        <v/>
      </c>
      <c r="N1077" s="9">
        <f>$N$1*(D1077-D1076)</f>
        <v/>
      </c>
      <c r="O1077" s="9">
        <f>$O$1*LN(E1077/E1076)</f>
        <v/>
      </c>
      <c r="P1077" s="9">
        <f>$P$1*LN(F1077/F1076)</f>
        <v/>
      </c>
      <c r="Q1077" s="9">
        <f>$Q$1*(G1077-G1076)</f>
        <v/>
      </c>
      <c r="R1077" s="9">
        <f>$R$1*(H1077-H1076)</f>
        <v/>
      </c>
      <c r="S1077" s="9">
        <f>$S$1*LN(I1077/I1076)</f>
        <v/>
      </c>
      <c r="T1077" s="9">
        <f>$T$1*LN(J1077/J1076)</f>
        <v/>
      </c>
      <c r="U1077" s="9">
        <f>$W$12+$W$4*M1077+$W$5*N1077+$W$6*O1077+$W$7*P1077+$W$8*Q1077+$W$9*R1077+$W$10*S1077+$W$11*T1077</f>
        <v/>
      </c>
      <c r="AA1077" s="10">
        <f>INDEX(LINEST(L818:L1077,M818:T1077,TRUE,TRUE),1,9)*52</f>
        <v/>
      </c>
      <c r="AB1077" s="9">
        <f>INDEX(LINEST(L818:L1077,M818:T1077,TRUE,TRUE),1,8)</f>
        <v/>
      </c>
      <c r="AC1077" s="9">
        <f>INDEX(LINEST(L818:L1077,M818:T1077,TRUE,TRUE),1,7)</f>
        <v/>
      </c>
      <c r="AD1077" s="9">
        <f>INDEX(LINEST(L818:L1077,M818:T1077,TRUE,TRUE),1,6)</f>
        <v/>
      </c>
      <c r="AE1077" s="9">
        <f>INDEX(LINEST(L818:L1077,M818:T1077,TRUE,TRUE),1,5)</f>
        <v/>
      </c>
      <c r="AF1077" s="9">
        <f>INDEX(LINEST(L818:L1077,M818:T1077,TRUE,TRUE),1,4)</f>
        <v/>
      </c>
      <c r="AG1077" s="9">
        <f>INDEX(LINEST(L818:L1077,M818:T1077,TRUE,TRUE),1,3)</f>
        <v/>
      </c>
      <c r="AH1077" s="9">
        <f>INDEX(LINEST(L818:L1077,M818:T1077,TRUE,TRUE),1,2)</f>
        <v/>
      </c>
      <c r="AI1077" s="9">
        <f>INDEX(LINEST(L818:L1077,M818:T1077,TRUE,TRUE),1,1)</f>
        <v/>
      </c>
      <c r="AJ1077" s="10">
        <f>INDEX(LINEST(L818:L1077,M818:T1077,TRUE,TRUE),3,1)</f>
        <v/>
      </c>
      <c r="AK1077" s="9">
        <f>AA1076/52+AB1076*M1077+AC1076*N1077+AD1076*O1077+AE1076*P1077+AF1076*Q1077+AG1076*R1077+AH1076*S1077+AI1076*T1077</f>
        <v/>
      </c>
      <c r="AL1077" s="9">
        <f>AVERAGE(L817:L1076)</f>
        <v/>
      </c>
    </row>
    <row r="1078">
      <c r="A1078" s="7" t="n">
        <v>45156</v>
      </c>
      <c r="B1078" s="8" t="n">
        <v>1893.7</v>
      </c>
      <c r="C1078" s="8" t="n">
        <v>2.32</v>
      </c>
      <c r="D1078" s="8" t="n">
        <v>1.94</v>
      </c>
      <c r="E1078" s="8" t="n">
        <v>103.379997</v>
      </c>
      <c r="F1078" s="8" t="n">
        <v>81.25</v>
      </c>
      <c r="G1078" s="8" t="n">
        <v>17.3</v>
      </c>
      <c r="H1078" s="8" t="n">
        <v>120.510002</v>
      </c>
      <c r="I1078" s="8" t="n">
        <v>4369.709961</v>
      </c>
      <c r="J1078" s="8" t="n">
        <v>85.939682</v>
      </c>
      <c r="L1078" s="9">
        <f>LN(B1078/B1077)</f>
        <v/>
      </c>
      <c r="M1078" s="9">
        <f>$M$1*(C1078-C1077)</f>
        <v/>
      </c>
      <c r="N1078" s="9">
        <f>$N$1*(D1078-D1077)</f>
        <v/>
      </c>
      <c r="O1078" s="9">
        <f>$O$1*LN(E1078/E1077)</f>
        <v/>
      </c>
      <c r="P1078" s="9">
        <f>$P$1*LN(F1078/F1077)</f>
        <v/>
      </c>
      <c r="Q1078" s="9">
        <f>$Q$1*(G1078-G1077)</f>
        <v/>
      </c>
      <c r="R1078" s="9">
        <f>$R$1*(H1078-H1077)</f>
        <v/>
      </c>
      <c r="S1078" s="9">
        <f>$S$1*LN(I1078/I1077)</f>
        <v/>
      </c>
      <c r="T1078" s="9">
        <f>$T$1*LN(J1078/J1077)</f>
        <v/>
      </c>
      <c r="U1078" s="9">
        <f>$W$12+$W$4*M1078+$W$5*N1078+$W$6*O1078+$W$7*P1078+$W$8*Q1078+$W$9*R1078+$W$10*S1078+$W$11*T1078</f>
        <v/>
      </c>
      <c r="AA1078" s="10">
        <f>INDEX(LINEST(L819:L1078,M819:T1078,TRUE,TRUE),1,9)*52</f>
        <v/>
      </c>
      <c r="AB1078" s="9">
        <f>INDEX(LINEST(L819:L1078,M819:T1078,TRUE,TRUE),1,8)</f>
        <v/>
      </c>
      <c r="AC1078" s="9">
        <f>INDEX(LINEST(L819:L1078,M819:T1078,TRUE,TRUE),1,7)</f>
        <v/>
      </c>
      <c r="AD1078" s="9">
        <f>INDEX(LINEST(L819:L1078,M819:T1078,TRUE,TRUE),1,6)</f>
        <v/>
      </c>
      <c r="AE1078" s="9">
        <f>INDEX(LINEST(L819:L1078,M819:T1078,TRUE,TRUE),1,5)</f>
        <v/>
      </c>
      <c r="AF1078" s="9">
        <f>INDEX(LINEST(L819:L1078,M819:T1078,TRUE,TRUE),1,4)</f>
        <v/>
      </c>
      <c r="AG1078" s="9">
        <f>INDEX(LINEST(L819:L1078,M819:T1078,TRUE,TRUE),1,3)</f>
        <v/>
      </c>
      <c r="AH1078" s="9">
        <f>INDEX(LINEST(L819:L1078,M819:T1078,TRUE,TRUE),1,2)</f>
        <v/>
      </c>
      <c r="AI1078" s="9">
        <f>INDEX(LINEST(L819:L1078,M819:T1078,TRUE,TRUE),1,1)</f>
        <v/>
      </c>
      <c r="AJ1078" s="10">
        <f>INDEX(LINEST(L819:L1078,M819:T1078,TRUE,TRUE),3,1)</f>
        <v/>
      </c>
      <c r="AK1078" s="9">
        <f>AA1077/52+AB1077*M1078+AC1077*N1078+AD1077*O1078+AE1077*P1078+AF1077*Q1078+AG1077*R1078+AH1077*S1078+AI1077*T1078</f>
        <v/>
      </c>
      <c r="AL1078" s="9">
        <f>AVERAGE(L818:L1077)</f>
        <v/>
      </c>
    </row>
    <row r="1079">
      <c r="A1079" s="7" t="n">
        <v>45163</v>
      </c>
      <c r="B1079" s="8" t="n">
        <v>1915.5</v>
      </c>
      <c r="C1079" s="8" t="n">
        <v>2.33</v>
      </c>
      <c r="D1079" s="8" t="n">
        <v>1.92</v>
      </c>
      <c r="E1079" s="8" t="n">
        <v>104.080002</v>
      </c>
      <c r="F1079" s="8" t="n">
        <v>80.47</v>
      </c>
      <c r="G1079" s="8" t="n">
        <v>15.68</v>
      </c>
      <c r="H1079" s="8" t="n">
        <v>110.370003</v>
      </c>
      <c r="I1079" s="8" t="n">
        <v>4405.709961</v>
      </c>
      <c r="J1079" s="8" t="n">
        <v>86.16436</v>
      </c>
      <c r="L1079" s="9">
        <f>LN(B1079/B1078)</f>
        <v/>
      </c>
      <c r="M1079" s="9">
        <f>$M$1*(C1079-C1078)</f>
        <v/>
      </c>
      <c r="N1079" s="9">
        <f>$N$1*(D1079-D1078)</f>
        <v/>
      </c>
      <c r="O1079" s="9">
        <f>$O$1*LN(E1079/E1078)</f>
        <v/>
      </c>
      <c r="P1079" s="9">
        <f>$P$1*LN(F1079/F1078)</f>
        <v/>
      </c>
      <c r="Q1079" s="9">
        <f>$Q$1*(G1079-G1078)</f>
        <v/>
      </c>
      <c r="R1079" s="9">
        <f>$R$1*(H1079-H1078)</f>
        <v/>
      </c>
      <c r="S1079" s="9">
        <f>$S$1*LN(I1079/I1078)</f>
        <v/>
      </c>
      <c r="T1079" s="9">
        <f>$T$1*LN(J1079/J1078)</f>
        <v/>
      </c>
      <c r="U1079" s="9">
        <f>$W$12+$W$4*M1079+$W$5*N1079+$W$6*O1079+$W$7*P1079+$W$8*Q1079+$W$9*R1079+$W$10*S1079+$W$11*T1079</f>
        <v/>
      </c>
      <c r="AA1079" s="10">
        <f>INDEX(LINEST(L820:L1079,M820:T1079,TRUE,TRUE),1,9)*52</f>
        <v/>
      </c>
      <c r="AB1079" s="9">
        <f>INDEX(LINEST(L820:L1079,M820:T1079,TRUE,TRUE),1,8)</f>
        <v/>
      </c>
      <c r="AC1079" s="9">
        <f>INDEX(LINEST(L820:L1079,M820:T1079,TRUE,TRUE),1,7)</f>
        <v/>
      </c>
      <c r="AD1079" s="9">
        <f>INDEX(LINEST(L820:L1079,M820:T1079,TRUE,TRUE),1,6)</f>
        <v/>
      </c>
      <c r="AE1079" s="9">
        <f>INDEX(LINEST(L820:L1079,M820:T1079,TRUE,TRUE),1,5)</f>
        <v/>
      </c>
      <c r="AF1079" s="9">
        <f>INDEX(LINEST(L820:L1079,M820:T1079,TRUE,TRUE),1,4)</f>
        <v/>
      </c>
      <c r="AG1079" s="9">
        <f>INDEX(LINEST(L820:L1079,M820:T1079,TRUE,TRUE),1,3)</f>
        <v/>
      </c>
      <c r="AH1079" s="9">
        <f>INDEX(LINEST(L820:L1079,M820:T1079,TRUE,TRUE),1,2)</f>
        <v/>
      </c>
      <c r="AI1079" s="9">
        <f>INDEX(LINEST(L820:L1079,M820:T1079,TRUE,TRUE),1,1)</f>
        <v/>
      </c>
      <c r="AJ1079" s="10">
        <f>INDEX(LINEST(L820:L1079,M820:T1079,TRUE,TRUE),3,1)</f>
        <v/>
      </c>
      <c r="AK1079" s="9">
        <f>AA1078/52+AB1078*M1079+AC1078*N1079+AD1078*O1079+AE1078*P1079+AF1078*Q1079+AG1078*R1079+AH1078*S1079+AI1078*T1079</f>
        <v/>
      </c>
      <c r="AL1079" s="9">
        <f>AVERAGE(L819:L1078)</f>
        <v/>
      </c>
    </row>
    <row r="1080">
      <c r="A1080" s="7" t="n">
        <v>45170</v>
      </c>
      <c r="B1080" s="8" t="n">
        <v>1940.55</v>
      </c>
      <c r="C1080" s="8" t="n">
        <v>2.26</v>
      </c>
      <c r="D1080" s="8" t="n">
        <v>1.92</v>
      </c>
      <c r="E1080" s="8" t="n">
        <v>104.239998</v>
      </c>
      <c r="F1080" s="8" t="n">
        <v>85.52</v>
      </c>
      <c r="G1080" s="8" t="n">
        <v>13.09</v>
      </c>
      <c r="H1080" s="8" t="n">
        <v>102.919998</v>
      </c>
      <c r="I1080" s="8" t="n">
        <v>4515.77002</v>
      </c>
      <c r="J1080" s="8" t="n">
        <v>86.549622</v>
      </c>
      <c r="L1080" s="9">
        <f>LN(B1080/B1079)</f>
        <v/>
      </c>
      <c r="M1080" s="9">
        <f>$M$1*(C1080-C1079)</f>
        <v/>
      </c>
      <c r="N1080" s="9">
        <f>$N$1*(D1080-D1079)</f>
        <v/>
      </c>
      <c r="O1080" s="9">
        <f>$O$1*LN(E1080/E1079)</f>
        <v/>
      </c>
      <c r="P1080" s="9">
        <f>$P$1*LN(F1080/F1079)</f>
        <v/>
      </c>
      <c r="Q1080" s="9">
        <f>$Q$1*(G1080-G1079)</f>
        <v/>
      </c>
      <c r="R1080" s="9">
        <f>$R$1*(H1080-H1079)</f>
        <v/>
      </c>
      <c r="S1080" s="9">
        <f>$S$1*LN(I1080/I1079)</f>
        <v/>
      </c>
      <c r="T1080" s="9">
        <f>$T$1*LN(J1080/J1079)</f>
        <v/>
      </c>
      <c r="U1080" s="9">
        <f>$W$12+$W$4*M1080+$W$5*N1080+$W$6*O1080+$W$7*P1080+$W$8*Q1080+$W$9*R1080+$W$10*S1080+$W$11*T1080</f>
        <v/>
      </c>
      <c r="AA1080" s="10">
        <f>INDEX(LINEST(L821:L1080,M821:T1080,TRUE,TRUE),1,9)*52</f>
        <v/>
      </c>
      <c r="AB1080" s="9">
        <f>INDEX(LINEST(L821:L1080,M821:T1080,TRUE,TRUE),1,8)</f>
        <v/>
      </c>
      <c r="AC1080" s="9">
        <f>INDEX(LINEST(L821:L1080,M821:T1080,TRUE,TRUE),1,7)</f>
        <v/>
      </c>
      <c r="AD1080" s="9">
        <f>INDEX(LINEST(L821:L1080,M821:T1080,TRUE,TRUE),1,6)</f>
        <v/>
      </c>
      <c r="AE1080" s="9">
        <f>INDEX(LINEST(L821:L1080,M821:T1080,TRUE,TRUE),1,5)</f>
        <v/>
      </c>
      <c r="AF1080" s="9">
        <f>INDEX(LINEST(L821:L1080,M821:T1080,TRUE,TRUE),1,4)</f>
        <v/>
      </c>
      <c r="AG1080" s="9">
        <f>INDEX(LINEST(L821:L1080,M821:T1080,TRUE,TRUE),1,3)</f>
        <v/>
      </c>
      <c r="AH1080" s="9">
        <f>INDEX(LINEST(L821:L1080,M821:T1080,TRUE,TRUE),1,2)</f>
        <v/>
      </c>
      <c r="AI1080" s="9">
        <f>INDEX(LINEST(L821:L1080,M821:T1080,TRUE,TRUE),1,1)</f>
        <v/>
      </c>
      <c r="AJ1080" s="10">
        <f>INDEX(LINEST(L821:L1080,M821:T1080,TRUE,TRUE),3,1)</f>
        <v/>
      </c>
      <c r="AK1080" s="9">
        <f>AA1079/52+AB1079*M1080+AC1079*N1080+AD1079*O1080+AE1079*P1080+AF1079*Q1080+AG1079*R1080+AH1079*S1080+AI1079*T1080</f>
        <v/>
      </c>
      <c r="AL1080" s="9">
        <f>AVERAGE(L820:L1079)</f>
        <v/>
      </c>
    </row>
    <row r="1081">
      <c r="A1081" s="7" t="n">
        <v>45177</v>
      </c>
      <c r="B1081" s="8" t="n">
        <v>1927.8</v>
      </c>
      <c r="C1081" s="8" t="n">
        <v>2.33</v>
      </c>
      <c r="D1081" s="8" t="n">
        <v>1.93</v>
      </c>
      <c r="E1081" s="8" t="n">
        <v>105.089996</v>
      </c>
      <c r="F1081" s="8" t="n">
        <v>87.51000000000001</v>
      </c>
      <c r="G1081" s="8" t="n">
        <v>13.84</v>
      </c>
      <c r="H1081" s="8" t="n">
        <v>104.339996</v>
      </c>
      <c r="I1081" s="8" t="n">
        <v>4457.490234</v>
      </c>
      <c r="J1081" s="8" t="n">
        <v>86.315315</v>
      </c>
      <c r="L1081" s="9">
        <f>LN(B1081/B1080)</f>
        <v/>
      </c>
      <c r="M1081" s="9">
        <f>$M$1*(C1081-C1080)</f>
        <v/>
      </c>
      <c r="N1081" s="9">
        <f>$N$1*(D1081-D1080)</f>
        <v/>
      </c>
      <c r="O1081" s="9">
        <f>$O$1*LN(E1081/E1080)</f>
        <v/>
      </c>
      <c r="P1081" s="9">
        <f>$P$1*LN(F1081/F1080)</f>
        <v/>
      </c>
      <c r="Q1081" s="9">
        <f>$Q$1*(G1081-G1080)</f>
        <v/>
      </c>
      <c r="R1081" s="9">
        <f>$R$1*(H1081-H1080)</f>
        <v/>
      </c>
      <c r="S1081" s="9">
        <f>$S$1*LN(I1081/I1080)</f>
        <v/>
      </c>
      <c r="T1081" s="9">
        <f>$T$1*LN(J1081/J1080)</f>
        <v/>
      </c>
      <c r="U1081" s="9">
        <f>$W$12+$W$4*M1081+$W$5*N1081+$W$6*O1081+$W$7*P1081+$W$8*Q1081+$W$9*R1081+$W$10*S1081+$W$11*T1081</f>
        <v/>
      </c>
      <c r="AA1081" s="10">
        <f>INDEX(LINEST(L822:L1081,M822:T1081,TRUE,TRUE),1,9)*52</f>
        <v/>
      </c>
      <c r="AB1081" s="9">
        <f>INDEX(LINEST(L822:L1081,M822:T1081,TRUE,TRUE),1,8)</f>
        <v/>
      </c>
      <c r="AC1081" s="9">
        <f>INDEX(LINEST(L822:L1081,M822:T1081,TRUE,TRUE),1,7)</f>
        <v/>
      </c>
      <c r="AD1081" s="9">
        <f>INDEX(LINEST(L822:L1081,M822:T1081,TRUE,TRUE),1,6)</f>
        <v/>
      </c>
      <c r="AE1081" s="9">
        <f>INDEX(LINEST(L822:L1081,M822:T1081,TRUE,TRUE),1,5)</f>
        <v/>
      </c>
      <c r="AF1081" s="9">
        <f>INDEX(LINEST(L822:L1081,M822:T1081,TRUE,TRUE),1,4)</f>
        <v/>
      </c>
      <c r="AG1081" s="9">
        <f>INDEX(LINEST(L822:L1081,M822:T1081,TRUE,TRUE),1,3)</f>
        <v/>
      </c>
      <c r="AH1081" s="9">
        <f>INDEX(LINEST(L822:L1081,M822:T1081,TRUE,TRUE),1,2)</f>
        <v/>
      </c>
      <c r="AI1081" s="9">
        <f>INDEX(LINEST(L822:L1081,M822:T1081,TRUE,TRUE),1,1)</f>
        <v/>
      </c>
      <c r="AJ1081" s="10">
        <f>INDEX(LINEST(L822:L1081,M822:T1081,TRUE,TRUE),3,1)</f>
        <v/>
      </c>
      <c r="AK1081" s="9">
        <f>AA1080/52+AB1080*M1081+AC1080*N1081+AD1080*O1081+AE1080*P1081+AF1080*Q1081+AG1080*R1081+AH1080*S1081+AI1080*T1081</f>
        <v/>
      </c>
      <c r="AL1081" s="9">
        <f>AVERAGE(L821:L1080)</f>
        <v/>
      </c>
    </row>
    <row r="1082">
      <c r="A1082" s="7" t="n">
        <v>45184</v>
      </c>
      <c r="B1082" s="8" t="n">
        <v>1927.7</v>
      </c>
      <c r="C1082" s="8" t="n">
        <v>2.35</v>
      </c>
      <c r="D1082" s="8" t="n">
        <v>1.98</v>
      </c>
      <c r="E1082" s="8" t="n">
        <v>105.32</v>
      </c>
      <c r="F1082" s="8" t="n">
        <v>90.83</v>
      </c>
      <c r="G1082" s="8" t="n">
        <v>13.79</v>
      </c>
      <c r="H1082" s="8" t="n">
        <v>96.610001</v>
      </c>
      <c r="I1082" s="8" t="n">
        <v>4450.319824</v>
      </c>
      <c r="J1082" s="8" t="n">
        <v>86.053978</v>
      </c>
      <c r="L1082" s="9">
        <f>LN(B1082/B1081)</f>
        <v/>
      </c>
      <c r="M1082" s="9">
        <f>$M$1*(C1082-C1081)</f>
        <v/>
      </c>
      <c r="N1082" s="9">
        <f>$N$1*(D1082-D1081)</f>
        <v/>
      </c>
      <c r="O1082" s="9">
        <f>$O$1*LN(E1082/E1081)</f>
        <v/>
      </c>
      <c r="P1082" s="9">
        <f>$P$1*LN(F1082/F1081)</f>
        <v/>
      </c>
      <c r="Q1082" s="9">
        <f>$Q$1*(G1082-G1081)</f>
        <v/>
      </c>
      <c r="R1082" s="9">
        <f>$R$1*(H1082-H1081)</f>
        <v/>
      </c>
      <c r="S1082" s="9">
        <f>$S$1*LN(I1082/I1081)</f>
        <v/>
      </c>
      <c r="T1082" s="9">
        <f>$T$1*LN(J1082/J1081)</f>
        <v/>
      </c>
      <c r="U1082" s="9">
        <f>$W$12+$W$4*M1082+$W$5*N1082+$W$6*O1082+$W$7*P1082+$W$8*Q1082+$W$9*R1082+$W$10*S1082+$W$11*T1082</f>
        <v/>
      </c>
      <c r="AA1082" s="10">
        <f>INDEX(LINEST(L823:L1082,M823:T1082,TRUE,TRUE),1,9)*52</f>
        <v/>
      </c>
      <c r="AB1082" s="9">
        <f>INDEX(LINEST(L823:L1082,M823:T1082,TRUE,TRUE),1,8)</f>
        <v/>
      </c>
      <c r="AC1082" s="9">
        <f>INDEX(LINEST(L823:L1082,M823:T1082,TRUE,TRUE),1,7)</f>
        <v/>
      </c>
      <c r="AD1082" s="9">
        <f>INDEX(LINEST(L823:L1082,M823:T1082,TRUE,TRUE),1,6)</f>
        <v/>
      </c>
      <c r="AE1082" s="9">
        <f>INDEX(LINEST(L823:L1082,M823:T1082,TRUE,TRUE),1,5)</f>
        <v/>
      </c>
      <c r="AF1082" s="9">
        <f>INDEX(LINEST(L823:L1082,M823:T1082,TRUE,TRUE),1,4)</f>
        <v/>
      </c>
      <c r="AG1082" s="9">
        <f>INDEX(LINEST(L823:L1082,M823:T1082,TRUE,TRUE),1,3)</f>
        <v/>
      </c>
      <c r="AH1082" s="9">
        <f>INDEX(LINEST(L823:L1082,M823:T1082,TRUE,TRUE),1,2)</f>
        <v/>
      </c>
      <c r="AI1082" s="9">
        <f>INDEX(LINEST(L823:L1082,M823:T1082,TRUE,TRUE),1,1)</f>
        <v/>
      </c>
      <c r="AJ1082" s="10">
        <f>INDEX(LINEST(L823:L1082,M823:T1082,TRUE,TRUE),3,1)</f>
        <v/>
      </c>
      <c r="AK1082" s="9">
        <f>AA1081/52+AB1081*M1082+AC1081*N1082+AD1081*O1082+AE1081*P1082+AF1081*Q1082+AG1081*R1082+AH1081*S1082+AI1081*T1082</f>
        <v/>
      </c>
      <c r="AL1082" s="9">
        <f>AVERAGE(L822:L1081)</f>
        <v/>
      </c>
    </row>
    <row r="1083">
      <c r="A1083" s="7" t="n">
        <v>45191</v>
      </c>
      <c r="B1083" s="8" t="n">
        <v>1927.35</v>
      </c>
      <c r="C1083" s="8" t="n">
        <v>2.37</v>
      </c>
      <c r="D1083" s="8" t="n">
        <v>2.07</v>
      </c>
      <c r="E1083" s="8" t="n">
        <v>105.580002</v>
      </c>
      <c r="F1083" s="8" t="n">
        <v>90</v>
      </c>
      <c r="G1083" s="8" t="n">
        <v>17.2</v>
      </c>
      <c r="H1083" s="8" t="n">
        <v>101.110001</v>
      </c>
      <c r="I1083" s="8" t="n">
        <v>4320.060059</v>
      </c>
      <c r="J1083" s="8" t="n">
        <v>85.657433</v>
      </c>
      <c r="L1083" s="9">
        <f>LN(B1083/B1082)</f>
        <v/>
      </c>
      <c r="M1083" s="9">
        <f>$M$1*(C1083-C1082)</f>
        <v/>
      </c>
      <c r="N1083" s="9">
        <f>$N$1*(D1083-D1082)</f>
        <v/>
      </c>
      <c r="O1083" s="9">
        <f>$O$1*LN(E1083/E1082)</f>
        <v/>
      </c>
      <c r="P1083" s="9">
        <f>$P$1*LN(F1083/F1082)</f>
        <v/>
      </c>
      <c r="Q1083" s="9">
        <f>$Q$1*(G1083-G1082)</f>
        <v/>
      </c>
      <c r="R1083" s="9">
        <f>$R$1*(H1083-H1082)</f>
        <v/>
      </c>
      <c r="S1083" s="9">
        <f>$S$1*LN(I1083/I1082)</f>
        <v/>
      </c>
      <c r="T1083" s="9">
        <f>$T$1*LN(J1083/J1082)</f>
        <v/>
      </c>
      <c r="U1083" s="9">
        <f>$W$12+$W$4*M1083+$W$5*N1083+$W$6*O1083+$W$7*P1083+$W$8*Q1083+$W$9*R1083+$W$10*S1083+$W$11*T1083</f>
        <v/>
      </c>
      <c r="AA1083" s="10">
        <f>INDEX(LINEST(L824:L1083,M824:T1083,TRUE,TRUE),1,9)*52</f>
        <v/>
      </c>
      <c r="AB1083" s="9">
        <f>INDEX(LINEST(L824:L1083,M824:T1083,TRUE,TRUE),1,8)</f>
        <v/>
      </c>
      <c r="AC1083" s="9">
        <f>INDEX(LINEST(L824:L1083,M824:T1083,TRUE,TRUE),1,7)</f>
        <v/>
      </c>
      <c r="AD1083" s="9">
        <f>INDEX(LINEST(L824:L1083,M824:T1083,TRUE,TRUE),1,6)</f>
        <v/>
      </c>
      <c r="AE1083" s="9">
        <f>INDEX(LINEST(L824:L1083,M824:T1083,TRUE,TRUE),1,5)</f>
        <v/>
      </c>
      <c r="AF1083" s="9">
        <f>INDEX(LINEST(L824:L1083,M824:T1083,TRUE,TRUE),1,4)</f>
        <v/>
      </c>
      <c r="AG1083" s="9">
        <f>INDEX(LINEST(L824:L1083,M824:T1083,TRUE,TRUE),1,3)</f>
        <v/>
      </c>
      <c r="AH1083" s="9">
        <f>INDEX(LINEST(L824:L1083,M824:T1083,TRUE,TRUE),1,2)</f>
        <v/>
      </c>
      <c r="AI1083" s="9">
        <f>INDEX(LINEST(L824:L1083,M824:T1083,TRUE,TRUE),1,1)</f>
        <v/>
      </c>
      <c r="AJ1083" s="10">
        <f>INDEX(LINEST(L824:L1083,M824:T1083,TRUE,TRUE),3,1)</f>
        <v/>
      </c>
      <c r="AK1083" s="9">
        <f>AA1082/52+AB1082*M1083+AC1082*N1083+AD1082*O1083+AE1082*P1083+AF1082*Q1083+AG1082*R1083+AH1082*S1083+AI1082*T1083</f>
        <v/>
      </c>
      <c r="AL1083" s="9">
        <f>AVERAGE(L823:L1082)</f>
        <v/>
      </c>
    </row>
    <row r="1084">
      <c r="A1084" s="7" t="n">
        <v>45198</v>
      </c>
      <c r="B1084" s="8" t="n">
        <v>1870.5</v>
      </c>
      <c r="C1084" s="8" t="n">
        <v>2.35</v>
      </c>
      <c r="D1084" s="8" t="n">
        <v>2.24</v>
      </c>
      <c r="E1084" s="8" t="n">
        <v>106.169998</v>
      </c>
      <c r="F1084" s="8" t="n">
        <v>90.77</v>
      </c>
      <c r="G1084" s="8" t="n">
        <v>17.52</v>
      </c>
      <c r="H1084" s="8" t="n">
        <v>113.550003</v>
      </c>
      <c r="I1084" s="8" t="n">
        <v>4288.049805</v>
      </c>
      <c r="J1084" s="8" t="n">
        <v>84.747246</v>
      </c>
      <c r="L1084" s="9">
        <f>LN(B1084/B1083)</f>
        <v/>
      </c>
      <c r="M1084" s="9">
        <f>$M$1*(C1084-C1083)</f>
        <v/>
      </c>
      <c r="N1084" s="9">
        <f>$N$1*(D1084-D1083)</f>
        <v/>
      </c>
      <c r="O1084" s="9">
        <f>$O$1*LN(E1084/E1083)</f>
        <v/>
      </c>
      <c r="P1084" s="9">
        <f>$P$1*LN(F1084/F1083)</f>
        <v/>
      </c>
      <c r="Q1084" s="9">
        <f>$Q$1*(G1084-G1083)</f>
        <v/>
      </c>
      <c r="R1084" s="9">
        <f>$R$1*(H1084-H1083)</f>
        <v/>
      </c>
      <c r="S1084" s="9">
        <f>$S$1*LN(I1084/I1083)</f>
        <v/>
      </c>
      <c r="T1084" s="9">
        <f>$T$1*LN(J1084/J1083)</f>
        <v/>
      </c>
      <c r="U1084" s="9">
        <f>$W$12+$W$4*M1084+$W$5*N1084+$W$6*O1084+$W$7*P1084+$W$8*Q1084+$W$9*R1084+$W$10*S1084+$W$11*T1084</f>
        <v/>
      </c>
      <c r="AA1084" s="10">
        <f>INDEX(LINEST(L825:L1084,M825:T1084,TRUE,TRUE),1,9)*52</f>
        <v/>
      </c>
      <c r="AB1084" s="9">
        <f>INDEX(LINEST(L825:L1084,M825:T1084,TRUE,TRUE),1,8)</f>
        <v/>
      </c>
      <c r="AC1084" s="9">
        <f>INDEX(LINEST(L825:L1084,M825:T1084,TRUE,TRUE),1,7)</f>
        <v/>
      </c>
      <c r="AD1084" s="9">
        <f>INDEX(LINEST(L825:L1084,M825:T1084,TRUE,TRUE),1,6)</f>
        <v/>
      </c>
      <c r="AE1084" s="9">
        <f>INDEX(LINEST(L825:L1084,M825:T1084,TRUE,TRUE),1,5)</f>
        <v/>
      </c>
      <c r="AF1084" s="9">
        <f>INDEX(LINEST(L825:L1084,M825:T1084,TRUE,TRUE),1,4)</f>
        <v/>
      </c>
      <c r="AG1084" s="9">
        <f>INDEX(LINEST(L825:L1084,M825:T1084,TRUE,TRUE),1,3)</f>
        <v/>
      </c>
      <c r="AH1084" s="9">
        <f>INDEX(LINEST(L825:L1084,M825:T1084,TRUE,TRUE),1,2)</f>
        <v/>
      </c>
      <c r="AI1084" s="9">
        <f>INDEX(LINEST(L825:L1084,M825:T1084,TRUE,TRUE),1,1)</f>
        <v/>
      </c>
      <c r="AJ1084" s="10">
        <f>INDEX(LINEST(L825:L1084,M825:T1084,TRUE,TRUE),3,1)</f>
        <v/>
      </c>
      <c r="AK1084" s="9">
        <f>AA1083/52+AB1083*M1084+AC1083*N1084+AD1083*O1084+AE1083*P1084+AF1083*Q1084+AG1083*R1084+AH1083*S1084+AI1083*T1084</f>
        <v/>
      </c>
      <c r="AL1084" s="9">
        <f>AVERAGE(L824:L1083)</f>
        <v/>
      </c>
    </row>
    <row r="1085">
      <c r="A1085" s="7" t="n">
        <v>45205</v>
      </c>
      <c r="B1085" s="8" t="n">
        <v>1819.6</v>
      </c>
      <c r="C1085" s="8" t="n">
        <v>2.31</v>
      </c>
      <c r="D1085" s="8" t="n">
        <v>2.47</v>
      </c>
      <c r="E1085" s="8" t="n">
        <v>106.040001</v>
      </c>
      <c r="F1085" s="8" t="n">
        <v>82.83</v>
      </c>
      <c r="G1085" s="8" t="n">
        <v>17.45</v>
      </c>
      <c r="H1085" s="8" t="n">
        <v>126.639999</v>
      </c>
      <c r="I1085" s="8" t="n">
        <v>4308.5</v>
      </c>
      <c r="J1085" s="8" t="n">
        <v>83.813782</v>
      </c>
      <c r="L1085" s="9">
        <f>LN(B1085/B1084)</f>
        <v/>
      </c>
      <c r="M1085" s="9">
        <f>$M$1*(C1085-C1084)</f>
        <v/>
      </c>
      <c r="N1085" s="9">
        <f>$N$1*(D1085-D1084)</f>
        <v/>
      </c>
      <c r="O1085" s="9">
        <f>$O$1*LN(E1085/E1084)</f>
        <v/>
      </c>
      <c r="P1085" s="9">
        <f>$P$1*LN(F1085/F1084)</f>
        <v/>
      </c>
      <c r="Q1085" s="9">
        <f>$Q$1*(G1085-G1084)</f>
        <v/>
      </c>
      <c r="R1085" s="9">
        <f>$R$1*(H1085-H1084)</f>
        <v/>
      </c>
      <c r="S1085" s="9">
        <f>$S$1*LN(I1085/I1084)</f>
        <v/>
      </c>
      <c r="T1085" s="9">
        <f>$T$1*LN(J1085/J1084)</f>
        <v/>
      </c>
      <c r="U1085" s="9">
        <f>$W$12+$W$4*M1085+$W$5*N1085+$W$6*O1085+$W$7*P1085+$W$8*Q1085+$W$9*R1085+$W$10*S1085+$W$11*T1085</f>
        <v/>
      </c>
      <c r="AA1085" s="10">
        <f>INDEX(LINEST(L826:L1085,M826:T1085,TRUE,TRUE),1,9)*52</f>
        <v/>
      </c>
      <c r="AB1085" s="9">
        <f>INDEX(LINEST(L826:L1085,M826:T1085,TRUE,TRUE),1,8)</f>
        <v/>
      </c>
      <c r="AC1085" s="9">
        <f>INDEX(LINEST(L826:L1085,M826:T1085,TRUE,TRUE),1,7)</f>
        <v/>
      </c>
      <c r="AD1085" s="9">
        <f>INDEX(LINEST(L826:L1085,M826:T1085,TRUE,TRUE),1,6)</f>
        <v/>
      </c>
      <c r="AE1085" s="9">
        <f>INDEX(LINEST(L826:L1085,M826:T1085,TRUE,TRUE),1,5)</f>
        <v/>
      </c>
      <c r="AF1085" s="9">
        <f>INDEX(LINEST(L826:L1085,M826:T1085,TRUE,TRUE),1,4)</f>
        <v/>
      </c>
      <c r="AG1085" s="9">
        <f>INDEX(LINEST(L826:L1085,M826:T1085,TRUE,TRUE),1,3)</f>
        <v/>
      </c>
      <c r="AH1085" s="9">
        <f>INDEX(LINEST(L826:L1085,M826:T1085,TRUE,TRUE),1,2)</f>
        <v/>
      </c>
      <c r="AI1085" s="9">
        <f>INDEX(LINEST(L826:L1085,M826:T1085,TRUE,TRUE),1,1)</f>
        <v/>
      </c>
      <c r="AJ1085" s="10">
        <f>INDEX(LINEST(L826:L1085,M826:T1085,TRUE,TRUE),3,1)</f>
        <v/>
      </c>
      <c r="AK1085" s="9">
        <f>AA1084/52+AB1084*M1085+AC1084*N1085+AD1084*O1085+AE1084*P1085+AF1084*Q1085+AG1084*R1085+AH1084*S1085+AI1084*T1085</f>
        <v/>
      </c>
      <c r="AL1085" s="9">
        <f>AVERAGE(L825:L1084)</f>
        <v/>
      </c>
    </row>
    <row r="1086">
      <c r="A1086" s="7" t="n">
        <v>45212</v>
      </c>
      <c r="B1086" s="8" t="n">
        <v>1909.2</v>
      </c>
      <c r="C1086" s="8" t="n">
        <v>2.34</v>
      </c>
      <c r="D1086" s="8" t="n">
        <v>2.29</v>
      </c>
      <c r="E1086" s="8" t="n">
        <v>106.650002</v>
      </c>
      <c r="F1086" s="8" t="n">
        <v>87.67</v>
      </c>
      <c r="G1086" s="8" t="n">
        <v>19.32</v>
      </c>
      <c r="H1086" s="8" t="n">
        <v>128.330002</v>
      </c>
      <c r="I1086" s="8" t="n">
        <v>4327.779785</v>
      </c>
      <c r="J1086" s="8" t="n">
        <v>84.61803399999999</v>
      </c>
      <c r="L1086" s="9">
        <f>LN(B1086/B1085)</f>
        <v/>
      </c>
      <c r="M1086" s="9">
        <f>$M$1*(C1086-C1085)</f>
        <v/>
      </c>
      <c r="N1086" s="9">
        <f>$N$1*(D1086-D1085)</f>
        <v/>
      </c>
      <c r="O1086" s="9">
        <f>$O$1*LN(E1086/E1085)</f>
        <v/>
      </c>
      <c r="P1086" s="9">
        <f>$P$1*LN(F1086/F1085)</f>
        <v/>
      </c>
      <c r="Q1086" s="9">
        <f>$Q$1*(G1086-G1085)</f>
        <v/>
      </c>
      <c r="R1086" s="9">
        <f>$R$1*(H1086-H1085)</f>
        <v/>
      </c>
      <c r="S1086" s="9">
        <f>$S$1*LN(I1086/I1085)</f>
        <v/>
      </c>
      <c r="T1086" s="9">
        <f>$T$1*LN(J1086/J1085)</f>
        <v/>
      </c>
      <c r="U1086" s="9">
        <f>$W$12+$W$4*M1086+$W$5*N1086+$W$6*O1086+$W$7*P1086+$W$8*Q1086+$W$9*R1086+$W$10*S1086+$W$11*T1086</f>
        <v/>
      </c>
      <c r="AA1086" s="10">
        <f>INDEX(LINEST(L827:L1086,M827:T1086,TRUE,TRUE),1,9)*52</f>
        <v/>
      </c>
      <c r="AB1086" s="9">
        <f>INDEX(LINEST(L827:L1086,M827:T1086,TRUE,TRUE),1,8)</f>
        <v/>
      </c>
      <c r="AC1086" s="9">
        <f>INDEX(LINEST(L827:L1086,M827:T1086,TRUE,TRUE),1,7)</f>
        <v/>
      </c>
      <c r="AD1086" s="9">
        <f>INDEX(LINEST(L827:L1086,M827:T1086,TRUE,TRUE),1,6)</f>
        <v/>
      </c>
      <c r="AE1086" s="9">
        <f>INDEX(LINEST(L827:L1086,M827:T1086,TRUE,TRUE),1,5)</f>
        <v/>
      </c>
      <c r="AF1086" s="9">
        <f>INDEX(LINEST(L827:L1086,M827:T1086,TRUE,TRUE),1,4)</f>
        <v/>
      </c>
      <c r="AG1086" s="9">
        <f>INDEX(LINEST(L827:L1086,M827:T1086,TRUE,TRUE),1,3)</f>
        <v/>
      </c>
      <c r="AH1086" s="9">
        <f>INDEX(LINEST(L827:L1086,M827:T1086,TRUE,TRUE),1,2)</f>
        <v/>
      </c>
      <c r="AI1086" s="9">
        <f>INDEX(LINEST(L827:L1086,M827:T1086,TRUE,TRUE),1,1)</f>
        <v/>
      </c>
      <c r="AJ1086" s="10">
        <f>INDEX(LINEST(L827:L1086,M827:T1086,TRUE,TRUE),3,1)</f>
        <v/>
      </c>
      <c r="AK1086" s="9">
        <f>AA1085/52+AB1085*M1086+AC1085*N1086+AD1085*O1086+AE1085*P1086+AF1085*Q1086+AG1085*R1086+AH1085*S1086+AI1085*T1086</f>
        <v/>
      </c>
      <c r="AL1086" s="9">
        <f>AVERAGE(L826:L1085)</f>
        <v/>
      </c>
    </row>
    <row r="1087">
      <c r="A1087" s="7" t="n">
        <v>45219</v>
      </c>
      <c r="B1087" s="8" t="n">
        <v>1988.5</v>
      </c>
      <c r="C1087" s="8" t="n">
        <v>2.47</v>
      </c>
      <c r="D1087" s="8" t="n">
        <v>2.46</v>
      </c>
      <c r="E1087" s="8" t="n">
        <v>106.160004</v>
      </c>
      <c r="F1087" s="8" t="n">
        <v>89.12</v>
      </c>
      <c r="G1087" s="8" t="n">
        <v>21.71</v>
      </c>
      <c r="H1087" s="8" t="n">
        <v>135.449997</v>
      </c>
      <c r="I1087" s="8" t="n">
        <v>4224.160156</v>
      </c>
      <c r="J1087" s="8" t="n">
        <v>83.136047</v>
      </c>
      <c r="L1087" s="9">
        <f>LN(B1087/B1086)</f>
        <v/>
      </c>
      <c r="M1087" s="9">
        <f>$M$1*(C1087-C1086)</f>
        <v/>
      </c>
      <c r="N1087" s="9">
        <f>$N$1*(D1087-D1086)</f>
        <v/>
      </c>
      <c r="O1087" s="9">
        <f>$O$1*LN(E1087/E1086)</f>
        <v/>
      </c>
      <c r="P1087" s="9">
        <f>$P$1*LN(F1087/F1086)</f>
        <v/>
      </c>
      <c r="Q1087" s="9">
        <f>$Q$1*(G1087-G1086)</f>
        <v/>
      </c>
      <c r="R1087" s="9">
        <f>$R$1*(H1087-H1086)</f>
        <v/>
      </c>
      <c r="S1087" s="9">
        <f>$S$1*LN(I1087/I1086)</f>
        <v/>
      </c>
      <c r="T1087" s="9">
        <f>$T$1*LN(J1087/J1086)</f>
        <v/>
      </c>
      <c r="U1087" s="9">
        <f>$W$12+$W$4*M1087+$W$5*N1087+$W$6*O1087+$W$7*P1087+$W$8*Q1087+$W$9*R1087+$W$10*S1087+$W$11*T1087</f>
        <v/>
      </c>
      <c r="AA1087" s="10">
        <f>INDEX(LINEST(L828:L1087,M828:T1087,TRUE,TRUE),1,9)*52</f>
        <v/>
      </c>
      <c r="AB1087" s="9">
        <f>INDEX(LINEST(L828:L1087,M828:T1087,TRUE,TRUE),1,8)</f>
        <v/>
      </c>
      <c r="AC1087" s="9">
        <f>INDEX(LINEST(L828:L1087,M828:T1087,TRUE,TRUE),1,7)</f>
        <v/>
      </c>
      <c r="AD1087" s="9">
        <f>INDEX(LINEST(L828:L1087,M828:T1087,TRUE,TRUE),1,6)</f>
        <v/>
      </c>
      <c r="AE1087" s="9">
        <f>INDEX(LINEST(L828:L1087,M828:T1087,TRUE,TRUE),1,5)</f>
        <v/>
      </c>
      <c r="AF1087" s="9">
        <f>INDEX(LINEST(L828:L1087,M828:T1087,TRUE,TRUE),1,4)</f>
        <v/>
      </c>
      <c r="AG1087" s="9">
        <f>INDEX(LINEST(L828:L1087,M828:T1087,TRUE,TRUE),1,3)</f>
        <v/>
      </c>
      <c r="AH1087" s="9">
        <f>INDEX(LINEST(L828:L1087,M828:T1087,TRUE,TRUE),1,2)</f>
        <v/>
      </c>
      <c r="AI1087" s="9">
        <f>INDEX(LINEST(L828:L1087,M828:T1087,TRUE,TRUE),1,1)</f>
        <v/>
      </c>
      <c r="AJ1087" s="10">
        <f>INDEX(LINEST(L828:L1087,M828:T1087,TRUE,TRUE),3,1)</f>
        <v/>
      </c>
      <c r="AK1087" s="9">
        <f>AA1086/52+AB1086*M1087+AC1086*N1087+AD1086*O1087+AE1086*P1087+AF1086*Q1087+AG1086*R1087+AH1086*S1087+AI1086*T1087</f>
        <v/>
      </c>
      <c r="AL1087" s="9">
        <f>AVERAGE(L827:L1086)</f>
        <v/>
      </c>
    </row>
    <row r="1088">
      <c r="A1088" s="7" t="n">
        <v>45226</v>
      </c>
      <c r="B1088" s="8" t="n">
        <v>1982.9</v>
      </c>
      <c r="C1088" s="8" t="n">
        <v>2.42</v>
      </c>
      <c r="D1088" s="8" t="n">
        <v>2.42</v>
      </c>
      <c r="E1088" s="8" t="n">
        <v>106.559998</v>
      </c>
      <c r="F1088" s="8" t="n">
        <v>86.04000000000001</v>
      </c>
      <c r="G1088" s="8" t="n">
        <v>21.27</v>
      </c>
      <c r="H1088" s="8" t="n">
        <v>129.160004</v>
      </c>
      <c r="I1088" s="8" t="n">
        <v>4117.370117</v>
      </c>
      <c r="J1088" s="8" t="n">
        <v>83.66918200000001</v>
      </c>
      <c r="L1088" s="9">
        <f>LN(B1088/B1087)</f>
        <v/>
      </c>
      <c r="M1088" s="9">
        <f>$M$1*(C1088-C1087)</f>
        <v/>
      </c>
      <c r="N1088" s="9">
        <f>$N$1*(D1088-D1087)</f>
        <v/>
      </c>
      <c r="O1088" s="9">
        <f>$O$1*LN(E1088/E1087)</f>
        <v/>
      </c>
      <c r="P1088" s="9">
        <f>$P$1*LN(F1088/F1087)</f>
        <v/>
      </c>
      <c r="Q1088" s="9">
        <f>$Q$1*(G1088-G1087)</f>
        <v/>
      </c>
      <c r="R1088" s="9">
        <f>$R$1*(H1088-H1087)</f>
        <v/>
      </c>
      <c r="S1088" s="9">
        <f>$S$1*LN(I1088/I1087)</f>
        <v/>
      </c>
      <c r="T1088" s="9">
        <f>$T$1*LN(J1088/J1087)</f>
        <v/>
      </c>
      <c r="U1088" s="9">
        <f>$W$12+$W$4*M1088+$W$5*N1088+$W$6*O1088+$W$7*P1088+$W$8*Q1088+$W$9*R1088+$W$10*S1088+$W$11*T1088</f>
        <v/>
      </c>
      <c r="AA1088" s="10">
        <f>INDEX(LINEST(L829:L1088,M829:T1088,TRUE,TRUE),1,9)*52</f>
        <v/>
      </c>
      <c r="AB1088" s="9">
        <f>INDEX(LINEST(L829:L1088,M829:T1088,TRUE,TRUE),1,8)</f>
        <v/>
      </c>
      <c r="AC1088" s="9">
        <f>INDEX(LINEST(L829:L1088,M829:T1088,TRUE,TRUE),1,7)</f>
        <v/>
      </c>
      <c r="AD1088" s="9">
        <f>INDEX(LINEST(L829:L1088,M829:T1088,TRUE,TRUE),1,6)</f>
        <v/>
      </c>
      <c r="AE1088" s="9">
        <f>INDEX(LINEST(L829:L1088,M829:T1088,TRUE,TRUE),1,5)</f>
        <v/>
      </c>
      <c r="AF1088" s="9">
        <f>INDEX(LINEST(L829:L1088,M829:T1088,TRUE,TRUE),1,4)</f>
        <v/>
      </c>
      <c r="AG1088" s="9">
        <f>INDEX(LINEST(L829:L1088,M829:T1088,TRUE,TRUE),1,3)</f>
        <v/>
      </c>
      <c r="AH1088" s="9">
        <f>INDEX(LINEST(L829:L1088,M829:T1088,TRUE,TRUE),1,2)</f>
        <v/>
      </c>
      <c r="AI1088" s="9">
        <f>INDEX(LINEST(L829:L1088,M829:T1088,TRUE,TRUE),1,1)</f>
        <v/>
      </c>
      <c r="AJ1088" s="10">
        <f>INDEX(LINEST(L829:L1088,M829:T1088,TRUE,TRUE),3,1)</f>
        <v/>
      </c>
      <c r="AK1088" s="9">
        <f>AA1087/52+AB1087*M1088+AC1087*N1088+AD1087*O1088+AE1087*P1088+AF1087*Q1088+AG1087*R1088+AH1087*S1088+AI1087*T1088</f>
        <v/>
      </c>
      <c r="AL1088" s="9">
        <f>AVERAGE(L828:L1087)</f>
        <v/>
      </c>
    </row>
    <row r="1089">
      <c r="A1089" s="7" t="n">
        <v>45233</v>
      </c>
      <c r="B1089" s="8" t="n">
        <v>1994.45</v>
      </c>
      <c r="C1089" s="8" t="n">
        <v>2.39</v>
      </c>
      <c r="D1089" s="8" t="n">
        <v>2.18</v>
      </c>
      <c r="E1089" s="8" t="n">
        <v>105.019997</v>
      </c>
      <c r="F1089" s="8" t="n">
        <v>81.19</v>
      </c>
      <c r="G1089" s="8" t="n">
        <v>14.91</v>
      </c>
      <c r="H1089" s="8" t="n">
        <v>118.739998</v>
      </c>
      <c r="I1089" s="8" t="n">
        <v>4358.339844</v>
      </c>
      <c r="J1089" s="8" t="n">
        <v>85.36216</v>
      </c>
      <c r="L1089" s="9">
        <f>LN(B1089/B1088)</f>
        <v/>
      </c>
      <c r="M1089" s="9">
        <f>$M$1*(C1089-C1088)</f>
        <v/>
      </c>
      <c r="N1089" s="9">
        <f>$N$1*(D1089-D1088)</f>
        <v/>
      </c>
      <c r="O1089" s="9">
        <f>$O$1*LN(E1089/E1088)</f>
        <v/>
      </c>
      <c r="P1089" s="9">
        <f>$P$1*LN(F1089/F1088)</f>
        <v/>
      </c>
      <c r="Q1089" s="9">
        <f>$Q$1*(G1089-G1088)</f>
        <v/>
      </c>
      <c r="R1089" s="9">
        <f>$R$1*(H1089-H1088)</f>
        <v/>
      </c>
      <c r="S1089" s="9">
        <f>$S$1*LN(I1089/I1088)</f>
        <v/>
      </c>
      <c r="T1089" s="9">
        <f>$T$1*LN(J1089/J1088)</f>
        <v/>
      </c>
      <c r="U1089" s="9">
        <f>$W$12+$W$4*M1089+$W$5*N1089+$W$6*O1089+$W$7*P1089+$W$8*Q1089+$W$9*R1089+$W$10*S1089+$W$11*T1089</f>
        <v/>
      </c>
      <c r="AA1089" s="10">
        <f>INDEX(LINEST(L830:L1089,M830:T1089,TRUE,TRUE),1,9)*52</f>
        <v/>
      </c>
      <c r="AB1089" s="9">
        <f>INDEX(LINEST(L830:L1089,M830:T1089,TRUE,TRUE),1,8)</f>
        <v/>
      </c>
      <c r="AC1089" s="9">
        <f>INDEX(LINEST(L830:L1089,M830:T1089,TRUE,TRUE),1,7)</f>
        <v/>
      </c>
      <c r="AD1089" s="9">
        <f>INDEX(LINEST(L830:L1089,M830:T1089,TRUE,TRUE),1,6)</f>
        <v/>
      </c>
      <c r="AE1089" s="9">
        <f>INDEX(LINEST(L830:L1089,M830:T1089,TRUE,TRUE),1,5)</f>
        <v/>
      </c>
      <c r="AF1089" s="9">
        <f>INDEX(LINEST(L830:L1089,M830:T1089,TRUE,TRUE),1,4)</f>
        <v/>
      </c>
      <c r="AG1089" s="9">
        <f>INDEX(LINEST(L830:L1089,M830:T1089,TRUE,TRUE),1,3)</f>
        <v/>
      </c>
      <c r="AH1089" s="9">
        <f>INDEX(LINEST(L830:L1089,M830:T1089,TRUE,TRUE),1,2)</f>
        <v/>
      </c>
      <c r="AI1089" s="9">
        <f>INDEX(LINEST(L830:L1089,M830:T1089,TRUE,TRUE),1,1)</f>
        <v/>
      </c>
      <c r="AJ1089" s="10">
        <f>INDEX(LINEST(L830:L1089,M830:T1089,TRUE,TRUE),3,1)</f>
        <v/>
      </c>
      <c r="AK1089" s="9">
        <f>AA1088/52+AB1088*M1089+AC1088*N1089+AD1088*O1089+AE1088*P1089+AF1088*Q1089+AG1088*R1089+AH1088*S1089+AI1088*T1089</f>
        <v/>
      </c>
      <c r="AL1089" s="9">
        <f>AVERAGE(L829:L1088)</f>
        <v/>
      </c>
    </row>
    <row r="1090">
      <c r="A1090" s="7" t="n">
        <v>45240</v>
      </c>
      <c r="B1090" s="8" t="n">
        <v>1941.65</v>
      </c>
      <c r="C1090" s="8" t="n">
        <v>2.32</v>
      </c>
      <c r="D1090" s="8" t="n">
        <v>2.29</v>
      </c>
      <c r="E1090" s="8" t="n">
        <v>105.860001</v>
      </c>
      <c r="F1090" s="8" t="n">
        <v>76.34</v>
      </c>
      <c r="G1090" s="8" t="n">
        <v>14.17</v>
      </c>
      <c r="H1090" s="8" t="n">
        <v>116.790001</v>
      </c>
      <c r="I1090" s="8" t="n">
        <v>4415.240234</v>
      </c>
      <c r="J1090" s="8" t="n">
        <v>85.16274300000001</v>
      </c>
      <c r="L1090" s="9">
        <f>LN(B1090/B1089)</f>
        <v/>
      </c>
      <c r="M1090" s="9">
        <f>$M$1*(C1090-C1089)</f>
        <v/>
      </c>
      <c r="N1090" s="9">
        <f>$N$1*(D1090-D1089)</f>
        <v/>
      </c>
      <c r="O1090" s="9">
        <f>$O$1*LN(E1090/E1089)</f>
        <v/>
      </c>
      <c r="P1090" s="9">
        <f>$P$1*LN(F1090/F1089)</f>
        <v/>
      </c>
      <c r="Q1090" s="9">
        <f>$Q$1*(G1090-G1089)</f>
        <v/>
      </c>
      <c r="R1090" s="9">
        <f>$R$1*(H1090-H1089)</f>
        <v/>
      </c>
      <c r="S1090" s="9">
        <f>$S$1*LN(I1090/I1089)</f>
        <v/>
      </c>
      <c r="T1090" s="9">
        <f>$T$1*LN(J1090/J1089)</f>
        <v/>
      </c>
      <c r="U1090" s="9">
        <f>$W$12+$W$4*M1090+$W$5*N1090+$W$6*O1090+$W$7*P1090+$W$8*Q1090+$W$9*R1090+$W$10*S1090+$W$11*T1090</f>
        <v/>
      </c>
      <c r="AA1090" s="10">
        <f>INDEX(LINEST(L831:L1090,M831:T1090,TRUE,TRUE),1,9)*52</f>
        <v/>
      </c>
      <c r="AB1090" s="9">
        <f>INDEX(LINEST(L831:L1090,M831:T1090,TRUE,TRUE),1,8)</f>
        <v/>
      </c>
      <c r="AC1090" s="9">
        <f>INDEX(LINEST(L831:L1090,M831:T1090,TRUE,TRUE),1,7)</f>
        <v/>
      </c>
      <c r="AD1090" s="9">
        <f>INDEX(LINEST(L831:L1090,M831:T1090,TRUE,TRUE),1,6)</f>
        <v/>
      </c>
      <c r="AE1090" s="9">
        <f>INDEX(LINEST(L831:L1090,M831:T1090,TRUE,TRUE),1,5)</f>
        <v/>
      </c>
      <c r="AF1090" s="9">
        <f>INDEX(LINEST(L831:L1090,M831:T1090,TRUE,TRUE),1,4)</f>
        <v/>
      </c>
      <c r="AG1090" s="9">
        <f>INDEX(LINEST(L831:L1090,M831:T1090,TRUE,TRUE),1,3)</f>
        <v/>
      </c>
      <c r="AH1090" s="9">
        <f>INDEX(LINEST(L831:L1090,M831:T1090,TRUE,TRUE),1,2)</f>
        <v/>
      </c>
      <c r="AI1090" s="9">
        <f>INDEX(LINEST(L831:L1090,M831:T1090,TRUE,TRUE),1,1)</f>
        <v/>
      </c>
      <c r="AJ1090" s="10">
        <f>INDEX(LINEST(L831:L1090,M831:T1090,TRUE,TRUE),3,1)</f>
        <v/>
      </c>
      <c r="AK1090" s="9">
        <f>AA1089/52+AB1089*M1090+AC1089*N1090+AD1089*O1090+AE1089*P1090+AF1089*Q1090+AG1089*R1090+AH1089*S1090+AI1089*T1090</f>
        <v/>
      </c>
      <c r="AL1090" s="9">
        <f>AVERAGE(L830:L1089)</f>
        <v/>
      </c>
    </row>
    <row r="1091">
      <c r="A1091" s="7" t="n">
        <v>45247</v>
      </c>
      <c r="B1091" s="8" t="n">
        <v>1981.05</v>
      </c>
      <c r="C1091" s="8" t="n">
        <v>2.28</v>
      </c>
      <c r="D1091" s="8" t="n">
        <v>2.16</v>
      </c>
      <c r="E1091" s="8" t="n">
        <v>103.82</v>
      </c>
      <c r="F1091" s="8" t="n">
        <v>76.47</v>
      </c>
      <c r="G1091" s="8" t="n">
        <v>13.8</v>
      </c>
      <c r="H1091" s="8" t="n">
        <v>113.110001</v>
      </c>
      <c r="I1091" s="8" t="n">
        <v>4514.02002</v>
      </c>
      <c r="J1091" s="8" t="n">
        <v>86.33197800000001</v>
      </c>
      <c r="L1091" s="9">
        <f>LN(B1091/B1090)</f>
        <v/>
      </c>
      <c r="M1091" s="9">
        <f>$M$1*(C1091-C1090)</f>
        <v/>
      </c>
      <c r="N1091" s="9">
        <f>$N$1*(D1091-D1090)</f>
        <v/>
      </c>
      <c r="O1091" s="9">
        <f>$O$1*LN(E1091/E1090)</f>
        <v/>
      </c>
      <c r="P1091" s="9">
        <f>$P$1*LN(F1091/F1090)</f>
        <v/>
      </c>
      <c r="Q1091" s="9">
        <f>$Q$1*(G1091-G1090)</f>
        <v/>
      </c>
      <c r="R1091" s="9">
        <f>$R$1*(H1091-H1090)</f>
        <v/>
      </c>
      <c r="S1091" s="9">
        <f>$S$1*LN(I1091/I1090)</f>
        <v/>
      </c>
      <c r="T1091" s="9">
        <f>$T$1*LN(J1091/J1090)</f>
        <v/>
      </c>
      <c r="U1091" s="9">
        <f>$W$12+$W$4*M1091+$W$5*N1091+$W$6*O1091+$W$7*P1091+$W$8*Q1091+$W$9*R1091+$W$10*S1091+$W$11*T1091</f>
        <v/>
      </c>
      <c r="AA1091" s="10">
        <f>INDEX(LINEST(L832:L1091,M832:T1091,TRUE,TRUE),1,9)*52</f>
        <v/>
      </c>
      <c r="AB1091" s="9">
        <f>INDEX(LINEST(L832:L1091,M832:T1091,TRUE,TRUE),1,8)</f>
        <v/>
      </c>
      <c r="AC1091" s="9">
        <f>INDEX(LINEST(L832:L1091,M832:T1091,TRUE,TRUE),1,7)</f>
        <v/>
      </c>
      <c r="AD1091" s="9">
        <f>INDEX(LINEST(L832:L1091,M832:T1091,TRUE,TRUE),1,6)</f>
        <v/>
      </c>
      <c r="AE1091" s="9">
        <f>INDEX(LINEST(L832:L1091,M832:T1091,TRUE,TRUE),1,5)</f>
        <v/>
      </c>
      <c r="AF1091" s="9">
        <f>INDEX(LINEST(L832:L1091,M832:T1091,TRUE,TRUE),1,4)</f>
        <v/>
      </c>
      <c r="AG1091" s="9">
        <f>INDEX(LINEST(L832:L1091,M832:T1091,TRUE,TRUE),1,3)</f>
        <v/>
      </c>
      <c r="AH1091" s="9">
        <f>INDEX(LINEST(L832:L1091,M832:T1091,TRUE,TRUE),1,2)</f>
        <v/>
      </c>
      <c r="AI1091" s="9">
        <f>INDEX(LINEST(L832:L1091,M832:T1091,TRUE,TRUE),1,1)</f>
        <v/>
      </c>
      <c r="AJ1091" s="10">
        <f>INDEX(LINEST(L832:L1091,M832:T1091,TRUE,TRUE),3,1)</f>
        <v/>
      </c>
      <c r="AK1091" s="9">
        <f>AA1090/52+AB1090*M1091+AC1090*N1091+AD1090*O1091+AE1090*P1091+AF1090*Q1091+AG1090*R1091+AH1090*S1091+AI1090*T1091</f>
        <v/>
      </c>
      <c r="AL1091" s="9">
        <f>AVERAGE(L831:L1090)</f>
        <v/>
      </c>
    </row>
    <row r="1092">
      <c r="A1092" s="7" t="n">
        <v>45254</v>
      </c>
      <c r="B1092" s="8" t="n">
        <v>2000.85</v>
      </c>
      <c r="C1092" s="8" t="n">
        <v>2.26</v>
      </c>
      <c r="D1092" s="8" t="n">
        <v>2.21</v>
      </c>
      <c r="E1092" s="8" t="n">
        <v>103.400002</v>
      </c>
      <c r="F1092" s="8" t="n">
        <v>74.83</v>
      </c>
      <c r="G1092" s="8" t="n">
        <v>12.46</v>
      </c>
      <c r="H1092" s="8" t="n">
        <v>107.43</v>
      </c>
      <c r="I1092" s="8" t="n">
        <v>4559.339844</v>
      </c>
      <c r="J1092" s="8" t="n">
        <v>86.241325</v>
      </c>
      <c r="L1092" s="9">
        <f>LN(B1092/B1091)</f>
        <v/>
      </c>
      <c r="M1092" s="9">
        <f>$M$1*(C1092-C1091)</f>
        <v/>
      </c>
      <c r="N1092" s="9">
        <f>$N$1*(D1092-D1091)</f>
        <v/>
      </c>
      <c r="O1092" s="9">
        <f>$O$1*LN(E1092/E1091)</f>
        <v/>
      </c>
      <c r="P1092" s="9">
        <f>$P$1*LN(F1092/F1091)</f>
        <v/>
      </c>
      <c r="Q1092" s="9">
        <f>$Q$1*(G1092-G1091)</f>
        <v/>
      </c>
      <c r="R1092" s="9">
        <f>$R$1*(H1092-H1091)</f>
        <v/>
      </c>
      <c r="S1092" s="9">
        <f>$S$1*LN(I1092/I1091)</f>
        <v/>
      </c>
      <c r="T1092" s="9">
        <f>$T$1*LN(J1092/J1091)</f>
        <v/>
      </c>
      <c r="U1092" s="9">
        <f>$W$12+$W$4*M1092+$W$5*N1092+$W$6*O1092+$W$7*P1092+$W$8*Q1092+$W$9*R1092+$W$10*S1092+$W$11*T1092</f>
        <v/>
      </c>
      <c r="AA1092" s="10">
        <f>INDEX(LINEST(L833:L1092,M833:T1092,TRUE,TRUE),1,9)*52</f>
        <v/>
      </c>
      <c r="AB1092" s="9">
        <f>INDEX(LINEST(L833:L1092,M833:T1092,TRUE,TRUE),1,8)</f>
        <v/>
      </c>
      <c r="AC1092" s="9">
        <f>INDEX(LINEST(L833:L1092,M833:T1092,TRUE,TRUE),1,7)</f>
        <v/>
      </c>
      <c r="AD1092" s="9">
        <f>INDEX(LINEST(L833:L1092,M833:T1092,TRUE,TRUE),1,6)</f>
        <v/>
      </c>
      <c r="AE1092" s="9">
        <f>INDEX(LINEST(L833:L1092,M833:T1092,TRUE,TRUE),1,5)</f>
        <v/>
      </c>
      <c r="AF1092" s="9">
        <f>INDEX(LINEST(L833:L1092,M833:T1092,TRUE,TRUE),1,4)</f>
        <v/>
      </c>
      <c r="AG1092" s="9">
        <f>INDEX(LINEST(L833:L1092,M833:T1092,TRUE,TRUE),1,3)</f>
        <v/>
      </c>
      <c r="AH1092" s="9">
        <f>INDEX(LINEST(L833:L1092,M833:T1092,TRUE,TRUE),1,2)</f>
        <v/>
      </c>
      <c r="AI1092" s="9">
        <f>INDEX(LINEST(L833:L1092,M833:T1092,TRUE,TRUE),1,1)</f>
        <v/>
      </c>
      <c r="AJ1092" s="10">
        <f>INDEX(LINEST(L833:L1092,M833:T1092,TRUE,TRUE),3,1)</f>
        <v/>
      </c>
      <c r="AK1092" s="9">
        <f>AA1091/52+AB1091*M1092+AC1091*N1092+AD1091*O1092+AE1091*P1092+AF1091*Q1092+AG1091*R1092+AH1091*S1092+AI1091*T1092</f>
        <v/>
      </c>
      <c r="AL1092" s="9">
        <f>AVERAGE(L832:L1091)</f>
        <v/>
      </c>
    </row>
    <row r="1093">
      <c r="A1093" s="7" t="n">
        <v>45261</v>
      </c>
      <c r="B1093" s="8" t="n">
        <v>2045.4</v>
      </c>
      <c r="C1093" s="8" t="n">
        <v>2.22</v>
      </c>
      <c r="D1093" s="8" t="n">
        <v>2</v>
      </c>
      <c r="E1093" s="8" t="n">
        <v>103.269997</v>
      </c>
      <c r="F1093" s="8" t="n">
        <v>73.7</v>
      </c>
      <c r="G1093" s="8" t="n">
        <v>12.63</v>
      </c>
      <c r="H1093" s="8" t="n">
        <v>111.510002</v>
      </c>
      <c r="I1093" s="8" t="n">
        <v>4594.629883</v>
      </c>
      <c r="J1093" s="8" t="n">
        <v>88.01458</v>
      </c>
      <c r="L1093" s="9">
        <f>LN(B1093/B1092)</f>
        <v/>
      </c>
      <c r="M1093" s="9">
        <f>$M$1*(C1093-C1092)</f>
        <v/>
      </c>
      <c r="N1093" s="9">
        <f>$N$1*(D1093-D1092)</f>
        <v/>
      </c>
      <c r="O1093" s="9">
        <f>$O$1*LN(E1093/E1092)</f>
        <v/>
      </c>
      <c r="P1093" s="9">
        <f>$P$1*LN(F1093/F1092)</f>
        <v/>
      </c>
      <c r="Q1093" s="9">
        <f>$Q$1*(G1093-G1092)</f>
        <v/>
      </c>
      <c r="R1093" s="9">
        <f>$R$1*(H1093-H1092)</f>
        <v/>
      </c>
      <c r="S1093" s="9">
        <f>$S$1*LN(I1093/I1092)</f>
        <v/>
      </c>
      <c r="T1093" s="9">
        <f>$T$1*LN(J1093/J1092)</f>
        <v/>
      </c>
      <c r="U1093" s="9">
        <f>$W$12+$W$4*M1093+$W$5*N1093+$W$6*O1093+$W$7*P1093+$W$8*Q1093+$W$9*R1093+$W$10*S1093+$W$11*T1093</f>
        <v/>
      </c>
      <c r="AA1093" s="10">
        <f>INDEX(LINEST(L834:L1093,M834:T1093,TRUE,TRUE),1,9)*52</f>
        <v/>
      </c>
      <c r="AB1093" s="9">
        <f>INDEX(LINEST(L834:L1093,M834:T1093,TRUE,TRUE),1,8)</f>
        <v/>
      </c>
      <c r="AC1093" s="9">
        <f>INDEX(LINEST(L834:L1093,M834:T1093,TRUE,TRUE),1,7)</f>
        <v/>
      </c>
      <c r="AD1093" s="9">
        <f>INDEX(LINEST(L834:L1093,M834:T1093,TRUE,TRUE),1,6)</f>
        <v/>
      </c>
      <c r="AE1093" s="9">
        <f>INDEX(LINEST(L834:L1093,M834:T1093,TRUE,TRUE),1,5)</f>
        <v/>
      </c>
      <c r="AF1093" s="9">
        <f>INDEX(LINEST(L834:L1093,M834:T1093,TRUE,TRUE),1,4)</f>
        <v/>
      </c>
      <c r="AG1093" s="9">
        <f>INDEX(LINEST(L834:L1093,M834:T1093,TRUE,TRUE),1,3)</f>
        <v/>
      </c>
      <c r="AH1093" s="9">
        <f>INDEX(LINEST(L834:L1093,M834:T1093,TRUE,TRUE),1,2)</f>
        <v/>
      </c>
      <c r="AI1093" s="9">
        <f>INDEX(LINEST(L834:L1093,M834:T1093,TRUE,TRUE),1,1)</f>
        <v/>
      </c>
      <c r="AJ1093" s="10">
        <f>INDEX(LINEST(L834:L1093,M834:T1093,TRUE,TRUE),3,1)</f>
        <v/>
      </c>
      <c r="AK1093" s="9">
        <f>AA1092/52+AB1092*M1093+AC1092*N1093+AD1092*O1093+AE1092*P1093+AF1092*Q1093+AG1092*R1093+AH1092*S1093+AI1092*T1093</f>
        <v/>
      </c>
      <c r="AL1093" s="9">
        <f>AVERAGE(L833:L1092)</f>
        <v/>
      </c>
    </row>
    <row r="1094">
      <c r="A1094" s="7" t="n">
        <v>45268</v>
      </c>
      <c r="B1094" s="8" t="n">
        <v>2008.1</v>
      </c>
      <c r="C1094" s="8" t="n">
        <v>2.21</v>
      </c>
      <c r="D1094" s="8" t="n">
        <v>2.02</v>
      </c>
      <c r="E1094" s="8" t="n">
        <v>104.010002</v>
      </c>
      <c r="F1094" s="8" t="n">
        <v>70.87</v>
      </c>
      <c r="G1094" s="8" t="n">
        <v>12.35</v>
      </c>
      <c r="H1094" s="8" t="n">
        <v>121.650002</v>
      </c>
      <c r="I1094" s="8" t="n">
        <v>4604.370117</v>
      </c>
      <c r="J1094" s="8" t="n">
        <v>88.069115</v>
      </c>
      <c r="L1094" s="9">
        <f>LN(B1094/B1093)</f>
        <v/>
      </c>
      <c r="M1094" s="9">
        <f>$M$1*(C1094-C1093)</f>
        <v/>
      </c>
      <c r="N1094" s="9">
        <f>$N$1*(D1094-D1093)</f>
        <v/>
      </c>
      <c r="O1094" s="9">
        <f>$O$1*LN(E1094/E1093)</f>
        <v/>
      </c>
      <c r="P1094" s="9">
        <f>$P$1*LN(F1094/F1093)</f>
        <v/>
      </c>
      <c r="Q1094" s="9">
        <f>$Q$1*(G1094-G1093)</f>
        <v/>
      </c>
      <c r="R1094" s="9">
        <f>$R$1*(H1094-H1093)</f>
        <v/>
      </c>
      <c r="S1094" s="9">
        <f>$S$1*LN(I1094/I1093)</f>
        <v/>
      </c>
      <c r="T1094" s="9">
        <f>$T$1*LN(J1094/J1093)</f>
        <v/>
      </c>
      <c r="U1094" s="9">
        <f>$W$12+$W$4*M1094+$W$5*N1094+$W$6*O1094+$W$7*P1094+$W$8*Q1094+$W$9*R1094+$W$10*S1094+$W$11*T1094</f>
        <v/>
      </c>
      <c r="AA1094" s="10">
        <f>INDEX(LINEST(L835:L1094,M835:T1094,TRUE,TRUE),1,9)*52</f>
        <v/>
      </c>
      <c r="AB1094" s="9">
        <f>INDEX(LINEST(L835:L1094,M835:T1094,TRUE,TRUE),1,8)</f>
        <v/>
      </c>
      <c r="AC1094" s="9">
        <f>INDEX(LINEST(L835:L1094,M835:T1094,TRUE,TRUE),1,7)</f>
        <v/>
      </c>
      <c r="AD1094" s="9">
        <f>INDEX(LINEST(L835:L1094,M835:T1094,TRUE,TRUE),1,6)</f>
        <v/>
      </c>
      <c r="AE1094" s="9">
        <f>INDEX(LINEST(L835:L1094,M835:T1094,TRUE,TRUE),1,5)</f>
        <v/>
      </c>
      <c r="AF1094" s="9">
        <f>INDEX(LINEST(L835:L1094,M835:T1094,TRUE,TRUE),1,4)</f>
        <v/>
      </c>
      <c r="AG1094" s="9">
        <f>INDEX(LINEST(L835:L1094,M835:T1094,TRUE,TRUE),1,3)</f>
        <v/>
      </c>
      <c r="AH1094" s="9">
        <f>INDEX(LINEST(L835:L1094,M835:T1094,TRUE,TRUE),1,2)</f>
        <v/>
      </c>
      <c r="AI1094" s="9">
        <f>INDEX(LINEST(L835:L1094,M835:T1094,TRUE,TRUE),1,1)</f>
        <v/>
      </c>
      <c r="AJ1094" s="10">
        <f>INDEX(LINEST(L835:L1094,M835:T1094,TRUE,TRUE),3,1)</f>
        <v/>
      </c>
      <c r="AK1094" s="9">
        <f>AA1093/52+AB1093*M1094+AC1093*N1094+AD1093*O1094+AE1093*P1094+AF1093*Q1094+AG1093*R1094+AH1093*S1094+AI1093*T1094</f>
        <v/>
      </c>
      <c r="AL1094" s="9">
        <f>AVERAGE(L834:L1093)</f>
        <v/>
      </c>
    </row>
    <row r="1095">
      <c r="A1095" s="7" t="n">
        <v>45275</v>
      </c>
      <c r="B1095" s="8" t="n">
        <v>2032.3</v>
      </c>
      <c r="C1095" s="8" t="n">
        <v>2.22</v>
      </c>
      <c r="D1095" s="8" t="n">
        <v>1.69</v>
      </c>
      <c r="E1095" s="8" t="n">
        <v>102.550003</v>
      </c>
      <c r="F1095" s="8" t="n">
        <v>71.05</v>
      </c>
      <c r="G1095" s="8" t="n">
        <v>12.28</v>
      </c>
      <c r="H1095" s="8" t="n">
        <v>115.75</v>
      </c>
      <c r="I1095" s="8" t="n">
        <v>4719.189941</v>
      </c>
      <c r="J1095" s="8" t="n">
        <v>89.96302799999999</v>
      </c>
      <c r="L1095" s="9">
        <f>LN(B1095/B1094)</f>
        <v/>
      </c>
      <c r="M1095" s="9">
        <f>$M$1*(C1095-C1094)</f>
        <v/>
      </c>
      <c r="N1095" s="9">
        <f>$N$1*(D1095-D1094)</f>
        <v/>
      </c>
      <c r="O1095" s="9">
        <f>$O$1*LN(E1095/E1094)</f>
        <v/>
      </c>
      <c r="P1095" s="9">
        <f>$P$1*LN(F1095/F1094)</f>
        <v/>
      </c>
      <c r="Q1095" s="9">
        <f>$Q$1*(G1095-G1094)</f>
        <v/>
      </c>
      <c r="R1095" s="9">
        <f>$R$1*(H1095-H1094)</f>
        <v/>
      </c>
      <c r="S1095" s="9">
        <f>$S$1*LN(I1095/I1094)</f>
        <v/>
      </c>
      <c r="T1095" s="9">
        <f>$T$1*LN(J1095/J1094)</f>
        <v/>
      </c>
      <c r="U1095" s="9">
        <f>$W$12+$W$4*M1095+$W$5*N1095+$W$6*O1095+$W$7*P1095+$W$8*Q1095+$W$9*R1095+$W$10*S1095+$W$11*T1095</f>
        <v/>
      </c>
      <c r="AA1095" s="10">
        <f>INDEX(LINEST(L836:L1095,M836:T1095,TRUE,TRUE),1,9)*52</f>
        <v/>
      </c>
      <c r="AB1095" s="9">
        <f>INDEX(LINEST(L836:L1095,M836:T1095,TRUE,TRUE),1,8)</f>
        <v/>
      </c>
      <c r="AC1095" s="9">
        <f>INDEX(LINEST(L836:L1095,M836:T1095,TRUE,TRUE),1,7)</f>
        <v/>
      </c>
      <c r="AD1095" s="9">
        <f>INDEX(LINEST(L836:L1095,M836:T1095,TRUE,TRUE),1,6)</f>
        <v/>
      </c>
      <c r="AE1095" s="9">
        <f>INDEX(LINEST(L836:L1095,M836:T1095,TRUE,TRUE),1,5)</f>
        <v/>
      </c>
      <c r="AF1095" s="9">
        <f>INDEX(LINEST(L836:L1095,M836:T1095,TRUE,TRUE),1,4)</f>
        <v/>
      </c>
      <c r="AG1095" s="9">
        <f>INDEX(LINEST(L836:L1095,M836:T1095,TRUE,TRUE),1,3)</f>
        <v/>
      </c>
      <c r="AH1095" s="9">
        <f>INDEX(LINEST(L836:L1095,M836:T1095,TRUE,TRUE),1,2)</f>
        <v/>
      </c>
      <c r="AI1095" s="9">
        <f>INDEX(LINEST(L836:L1095,M836:T1095,TRUE,TRUE),1,1)</f>
        <v/>
      </c>
      <c r="AJ1095" s="10">
        <f>INDEX(LINEST(L836:L1095,M836:T1095,TRUE,TRUE),3,1)</f>
        <v/>
      </c>
      <c r="AK1095" s="9">
        <f>AA1094/52+AB1094*M1095+AC1094*N1095+AD1094*O1095+AE1094*P1095+AF1094*Q1095+AG1094*R1095+AH1094*S1095+AI1094*T1095</f>
        <v/>
      </c>
      <c r="AL1095" s="9">
        <f>AVERAGE(L835:L1094)</f>
        <v/>
      </c>
    </row>
    <row r="1096">
      <c r="A1096" s="7" t="n">
        <v>45282</v>
      </c>
      <c r="B1096" s="8" t="n">
        <v>2041.7</v>
      </c>
      <c r="C1096" s="8" t="n">
        <v>2.19</v>
      </c>
      <c r="D1096" s="8" t="n">
        <v>1.71</v>
      </c>
      <c r="E1096" s="8" t="n">
        <v>101.699997</v>
      </c>
      <c r="F1096" s="8" t="n">
        <v>73.29000000000001</v>
      </c>
      <c r="G1096" s="8" t="n">
        <v>13.03</v>
      </c>
      <c r="H1096" s="8" t="n">
        <v>111.379997</v>
      </c>
      <c r="I1096" s="8" t="n">
        <v>4754.629883</v>
      </c>
      <c r="J1096" s="8" t="n">
        <v>90.09065200000001</v>
      </c>
      <c r="L1096" s="9">
        <f>LN(B1096/B1095)</f>
        <v/>
      </c>
      <c r="M1096" s="9">
        <f>$M$1*(C1096-C1095)</f>
        <v/>
      </c>
      <c r="N1096" s="9">
        <f>$N$1*(D1096-D1095)</f>
        <v/>
      </c>
      <c r="O1096" s="9">
        <f>$O$1*LN(E1096/E1095)</f>
        <v/>
      </c>
      <c r="P1096" s="9">
        <f>$P$1*LN(F1096/F1095)</f>
        <v/>
      </c>
      <c r="Q1096" s="9">
        <f>$Q$1*(G1096-G1095)</f>
        <v/>
      </c>
      <c r="R1096" s="9">
        <f>$R$1*(H1096-H1095)</f>
        <v/>
      </c>
      <c r="S1096" s="9">
        <f>$S$1*LN(I1096/I1095)</f>
        <v/>
      </c>
      <c r="T1096" s="9">
        <f>$T$1*LN(J1096/J1095)</f>
        <v/>
      </c>
      <c r="U1096" s="9">
        <f>$W$12+$W$4*M1096+$W$5*N1096+$W$6*O1096+$W$7*P1096+$W$8*Q1096+$W$9*R1096+$W$10*S1096+$W$11*T1096</f>
        <v/>
      </c>
      <c r="AA1096" s="10">
        <f>INDEX(LINEST(L837:L1096,M837:T1096,TRUE,TRUE),1,9)*52</f>
        <v/>
      </c>
      <c r="AB1096" s="9">
        <f>INDEX(LINEST(L837:L1096,M837:T1096,TRUE,TRUE),1,8)</f>
        <v/>
      </c>
      <c r="AC1096" s="9">
        <f>INDEX(LINEST(L837:L1096,M837:T1096,TRUE,TRUE),1,7)</f>
        <v/>
      </c>
      <c r="AD1096" s="9">
        <f>INDEX(LINEST(L837:L1096,M837:T1096,TRUE,TRUE),1,6)</f>
        <v/>
      </c>
      <c r="AE1096" s="9">
        <f>INDEX(LINEST(L837:L1096,M837:T1096,TRUE,TRUE),1,5)</f>
        <v/>
      </c>
      <c r="AF1096" s="9">
        <f>INDEX(LINEST(L837:L1096,M837:T1096,TRUE,TRUE),1,4)</f>
        <v/>
      </c>
      <c r="AG1096" s="9">
        <f>INDEX(LINEST(L837:L1096,M837:T1096,TRUE,TRUE),1,3)</f>
        <v/>
      </c>
      <c r="AH1096" s="9">
        <f>INDEX(LINEST(L837:L1096,M837:T1096,TRUE,TRUE),1,2)</f>
        <v/>
      </c>
      <c r="AI1096" s="9">
        <f>INDEX(LINEST(L837:L1096,M837:T1096,TRUE,TRUE),1,1)</f>
        <v/>
      </c>
      <c r="AJ1096" s="10">
        <f>INDEX(LINEST(L837:L1096,M837:T1096,TRUE,TRUE),3,1)</f>
        <v/>
      </c>
      <c r="AK1096" s="9">
        <f>AA1095/52+AB1095*M1096+AC1095*N1096+AD1095*O1096+AE1095*P1096+AF1095*Q1096+AG1095*R1096+AH1095*S1096+AI1095*T1096</f>
        <v/>
      </c>
      <c r="AL1096" s="9">
        <f>AVERAGE(L836:L1095)</f>
        <v/>
      </c>
    </row>
    <row r="1097">
      <c r="A1097" s="7" t="n">
        <v>45289</v>
      </c>
      <c r="B1097" s="8" t="n">
        <v>2078.4</v>
      </c>
      <c r="C1097" s="8" t="n">
        <v>2.16</v>
      </c>
      <c r="D1097" s="8" t="n">
        <v>1.72</v>
      </c>
      <c r="E1097" s="8" t="n">
        <v>101.330002</v>
      </c>
      <c r="F1097" s="8" t="n">
        <v>71.89</v>
      </c>
      <c r="G1097" s="8" t="n">
        <v>12.45</v>
      </c>
      <c r="H1097" s="8" t="n">
        <v>114.620003</v>
      </c>
      <c r="I1097" s="8" t="n">
        <v>4769.830078</v>
      </c>
      <c r="J1097" s="8" t="n">
        <v>90.473488</v>
      </c>
      <c r="L1097" s="9">
        <f>LN(B1097/B1096)</f>
        <v/>
      </c>
      <c r="M1097" s="9">
        <f>$M$1*(C1097-C1096)</f>
        <v/>
      </c>
      <c r="N1097" s="9">
        <f>$N$1*(D1097-D1096)</f>
        <v/>
      </c>
      <c r="O1097" s="9">
        <f>$O$1*LN(E1097/E1096)</f>
        <v/>
      </c>
      <c r="P1097" s="9">
        <f>$P$1*LN(F1097/F1096)</f>
        <v/>
      </c>
      <c r="Q1097" s="9">
        <f>$Q$1*(G1097-G1096)</f>
        <v/>
      </c>
      <c r="R1097" s="9">
        <f>$R$1*(H1097-H1096)</f>
        <v/>
      </c>
      <c r="S1097" s="9">
        <f>$S$1*LN(I1097/I1096)</f>
        <v/>
      </c>
      <c r="T1097" s="9">
        <f>$T$1*LN(J1097/J1096)</f>
        <v/>
      </c>
      <c r="U1097" s="9">
        <f>$W$12+$W$4*M1097+$W$5*N1097+$W$6*O1097+$W$7*P1097+$W$8*Q1097+$W$9*R1097+$W$10*S1097+$W$11*T1097</f>
        <v/>
      </c>
      <c r="AA1097" s="10">
        <f>INDEX(LINEST(L838:L1097,M838:T1097,TRUE,TRUE),1,9)*52</f>
        <v/>
      </c>
      <c r="AB1097" s="9">
        <f>INDEX(LINEST(L838:L1097,M838:T1097,TRUE,TRUE),1,8)</f>
        <v/>
      </c>
      <c r="AC1097" s="9">
        <f>INDEX(LINEST(L838:L1097,M838:T1097,TRUE,TRUE),1,7)</f>
        <v/>
      </c>
      <c r="AD1097" s="9">
        <f>INDEX(LINEST(L838:L1097,M838:T1097,TRUE,TRUE),1,6)</f>
        <v/>
      </c>
      <c r="AE1097" s="9">
        <f>INDEX(LINEST(L838:L1097,M838:T1097,TRUE,TRUE),1,5)</f>
        <v/>
      </c>
      <c r="AF1097" s="9">
        <f>INDEX(LINEST(L838:L1097,M838:T1097,TRUE,TRUE),1,4)</f>
        <v/>
      </c>
      <c r="AG1097" s="9">
        <f>INDEX(LINEST(L838:L1097,M838:T1097,TRUE,TRUE),1,3)</f>
        <v/>
      </c>
      <c r="AH1097" s="9">
        <f>INDEX(LINEST(L838:L1097,M838:T1097,TRUE,TRUE),1,2)</f>
        <v/>
      </c>
      <c r="AI1097" s="9">
        <f>INDEX(LINEST(L838:L1097,M838:T1097,TRUE,TRUE),1,1)</f>
        <v/>
      </c>
      <c r="AJ1097" s="10">
        <f>INDEX(LINEST(L838:L1097,M838:T1097,TRUE,TRUE),3,1)</f>
        <v/>
      </c>
      <c r="AK1097" s="9">
        <f>AA1096/52+AB1096*M1097+AC1096*N1097+AD1096*O1097+AE1096*P1097+AF1096*Q1097+AG1096*R1097+AH1096*S1097+AI1096*T1097</f>
        <v/>
      </c>
      <c r="AL1097" s="9">
        <f>AVERAGE(L837:L1096)</f>
        <v/>
      </c>
    </row>
    <row r="1098">
      <c r="A1098" s="7" t="n">
        <v>45296</v>
      </c>
      <c r="B1098" s="8" t="n">
        <v>2056.35</v>
      </c>
      <c r="C1098" s="8" t="n">
        <v>2.22</v>
      </c>
      <c r="D1098" s="8" t="n">
        <v>1.83</v>
      </c>
      <c r="E1098" s="8" t="n">
        <v>102.410004</v>
      </c>
      <c r="F1098" s="8" t="n">
        <v>74</v>
      </c>
      <c r="G1098" s="8" t="n">
        <v>13.35</v>
      </c>
      <c r="H1098" s="8" t="n">
        <v>116.190002</v>
      </c>
      <c r="I1098" s="8" t="n">
        <v>4697.240234</v>
      </c>
      <c r="J1098" s="8" t="n">
        <v>89.516357</v>
      </c>
      <c r="L1098" s="9">
        <f>LN(B1098/B1097)</f>
        <v/>
      </c>
      <c r="M1098" s="9">
        <f>$M$1*(C1098-C1097)</f>
        <v/>
      </c>
      <c r="N1098" s="9">
        <f>$N$1*(D1098-D1097)</f>
        <v/>
      </c>
      <c r="O1098" s="9">
        <f>$O$1*LN(E1098/E1097)</f>
        <v/>
      </c>
      <c r="P1098" s="9">
        <f>$P$1*LN(F1098/F1097)</f>
        <v/>
      </c>
      <c r="Q1098" s="9">
        <f>$Q$1*(G1098-G1097)</f>
        <v/>
      </c>
      <c r="R1098" s="9">
        <f>$R$1*(H1098-H1097)</f>
        <v/>
      </c>
      <c r="S1098" s="9">
        <f>$S$1*LN(I1098/I1097)</f>
        <v/>
      </c>
      <c r="T1098" s="9">
        <f>$T$1*LN(J1098/J1097)</f>
        <v/>
      </c>
      <c r="U1098" s="9">
        <f>$W$12+$W$4*M1098+$W$5*N1098+$W$6*O1098+$W$7*P1098+$W$8*Q1098+$W$9*R1098+$W$10*S1098+$W$11*T1098</f>
        <v/>
      </c>
      <c r="AA1098" s="10">
        <f>INDEX(LINEST(L839:L1098,M839:T1098,TRUE,TRUE),1,9)*52</f>
        <v/>
      </c>
      <c r="AB1098" s="9">
        <f>INDEX(LINEST(L839:L1098,M839:T1098,TRUE,TRUE),1,8)</f>
        <v/>
      </c>
      <c r="AC1098" s="9">
        <f>INDEX(LINEST(L839:L1098,M839:T1098,TRUE,TRUE),1,7)</f>
        <v/>
      </c>
      <c r="AD1098" s="9">
        <f>INDEX(LINEST(L839:L1098,M839:T1098,TRUE,TRUE),1,6)</f>
        <v/>
      </c>
      <c r="AE1098" s="9">
        <f>INDEX(LINEST(L839:L1098,M839:T1098,TRUE,TRUE),1,5)</f>
        <v/>
      </c>
      <c r="AF1098" s="9">
        <f>INDEX(LINEST(L839:L1098,M839:T1098,TRUE,TRUE),1,4)</f>
        <v/>
      </c>
      <c r="AG1098" s="9">
        <f>INDEX(LINEST(L839:L1098,M839:T1098,TRUE,TRUE),1,3)</f>
        <v/>
      </c>
      <c r="AH1098" s="9">
        <f>INDEX(LINEST(L839:L1098,M839:T1098,TRUE,TRUE),1,2)</f>
        <v/>
      </c>
      <c r="AI1098" s="9">
        <f>INDEX(LINEST(L839:L1098,M839:T1098,TRUE,TRUE),1,1)</f>
        <v/>
      </c>
      <c r="AJ1098" s="10">
        <f>INDEX(LINEST(L839:L1098,M839:T1098,TRUE,TRUE),3,1)</f>
        <v/>
      </c>
      <c r="AK1098" s="9">
        <f>AA1097/52+AB1097*M1098+AC1097*N1098+AD1097*O1098+AE1097*P1098+AF1097*Q1098+AG1097*R1098+AH1097*S1098+AI1097*T1098</f>
        <v/>
      </c>
      <c r="AL1098" s="9">
        <f>AVERAGE(L838:L1097)</f>
        <v/>
      </c>
    </row>
    <row r="1099">
      <c r="A1099" s="7" t="n">
        <v>45303</v>
      </c>
      <c r="B1099" s="8" t="n">
        <v>2055.65</v>
      </c>
      <c r="C1099" s="8" t="n">
        <v>2.27</v>
      </c>
      <c r="D1099" s="8" t="n">
        <v>1.69</v>
      </c>
      <c r="E1099" s="8" t="n">
        <v>102.400002</v>
      </c>
      <c r="F1099" s="8" t="n">
        <v>72.94</v>
      </c>
      <c r="G1099" s="8" t="n">
        <v>12.7</v>
      </c>
      <c r="H1099" s="8" t="n">
        <v>106.510002</v>
      </c>
      <c r="I1099" s="8" t="n">
        <v>4783.830078</v>
      </c>
      <c r="J1099" s="8" t="n">
        <v>90.33678399999999</v>
      </c>
      <c r="L1099" s="9">
        <f>LN(B1099/B1098)</f>
        <v/>
      </c>
      <c r="M1099" s="9">
        <f>$M$1*(C1099-C1098)</f>
        <v/>
      </c>
      <c r="N1099" s="9">
        <f>$N$1*(D1099-D1098)</f>
        <v/>
      </c>
      <c r="O1099" s="9">
        <f>$O$1*LN(E1099/E1098)</f>
        <v/>
      </c>
      <c r="P1099" s="9">
        <f>$P$1*LN(F1099/F1098)</f>
        <v/>
      </c>
      <c r="Q1099" s="9">
        <f>$Q$1*(G1099-G1098)</f>
        <v/>
      </c>
      <c r="R1099" s="9">
        <f>$R$1*(H1099-H1098)</f>
        <v/>
      </c>
      <c r="S1099" s="9">
        <f>$S$1*LN(I1099/I1098)</f>
        <v/>
      </c>
      <c r="T1099" s="9">
        <f>$T$1*LN(J1099/J1098)</f>
        <v/>
      </c>
      <c r="U1099" s="9">
        <f>$W$12+$W$4*M1099+$W$5*N1099+$W$6*O1099+$W$7*P1099+$W$8*Q1099+$W$9*R1099+$W$10*S1099+$W$11*T1099</f>
        <v/>
      </c>
      <c r="AA1099" s="10">
        <f>INDEX(LINEST(L840:L1099,M840:T1099,TRUE,TRUE),1,9)*52</f>
        <v/>
      </c>
      <c r="AB1099" s="9">
        <f>INDEX(LINEST(L840:L1099,M840:T1099,TRUE,TRUE),1,8)</f>
        <v/>
      </c>
      <c r="AC1099" s="9">
        <f>INDEX(LINEST(L840:L1099,M840:T1099,TRUE,TRUE),1,7)</f>
        <v/>
      </c>
      <c r="AD1099" s="9">
        <f>INDEX(LINEST(L840:L1099,M840:T1099,TRUE,TRUE),1,6)</f>
        <v/>
      </c>
      <c r="AE1099" s="9">
        <f>INDEX(LINEST(L840:L1099,M840:T1099,TRUE,TRUE),1,5)</f>
        <v/>
      </c>
      <c r="AF1099" s="9">
        <f>INDEX(LINEST(L840:L1099,M840:T1099,TRUE,TRUE),1,4)</f>
        <v/>
      </c>
      <c r="AG1099" s="9">
        <f>INDEX(LINEST(L840:L1099,M840:T1099,TRUE,TRUE),1,3)</f>
        <v/>
      </c>
      <c r="AH1099" s="9">
        <f>INDEX(LINEST(L840:L1099,M840:T1099,TRUE,TRUE),1,2)</f>
        <v/>
      </c>
      <c r="AI1099" s="9">
        <f>INDEX(LINEST(L840:L1099,M840:T1099,TRUE,TRUE),1,1)</f>
        <v/>
      </c>
      <c r="AJ1099" s="10">
        <f>INDEX(LINEST(L840:L1099,M840:T1099,TRUE,TRUE),3,1)</f>
        <v/>
      </c>
      <c r="AK1099" s="9">
        <f>AA1098/52+AB1098*M1099+AC1098*N1099+AD1098*O1099+AE1098*P1099+AF1098*Q1099+AG1098*R1099+AH1098*S1099+AI1098*T1099</f>
        <v/>
      </c>
      <c r="AL1099" s="9">
        <f>AVERAGE(L839:L1098)</f>
        <v/>
      </c>
    </row>
    <row r="1100">
      <c r="A1100" s="7" t="n">
        <v>45310</v>
      </c>
      <c r="B1100" s="8" t="n">
        <v>2028.55</v>
      </c>
      <c r="C1100" s="8" t="n">
        <v>2.34</v>
      </c>
      <c r="D1100" s="8" t="n">
        <v>1.81</v>
      </c>
      <c r="E1100" s="8" t="n">
        <v>103.290001</v>
      </c>
      <c r="F1100" s="8" t="n">
        <v>73.69</v>
      </c>
      <c r="G1100" s="8" t="n">
        <v>13.3</v>
      </c>
      <c r="H1100" s="8" t="n">
        <v>104.970001</v>
      </c>
      <c r="I1100" s="8" t="n">
        <v>4839.810059</v>
      </c>
      <c r="J1100" s="8" t="n">
        <v>89.352272</v>
      </c>
      <c r="L1100" s="9">
        <f>LN(B1100/B1099)</f>
        <v/>
      </c>
      <c r="M1100" s="9">
        <f>$M$1*(C1100-C1099)</f>
        <v/>
      </c>
      <c r="N1100" s="9">
        <f>$N$1*(D1100-D1099)</f>
        <v/>
      </c>
      <c r="O1100" s="9">
        <f>$O$1*LN(E1100/E1099)</f>
        <v/>
      </c>
      <c r="P1100" s="9">
        <f>$P$1*LN(F1100/F1099)</f>
        <v/>
      </c>
      <c r="Q1100" s="9">
        <f>$Q$1*(G1100-G1099)</f>
        <v/>
      </c>
      <c r="R1100" s="9">
        <f>$R$1*(H1100-H1099)</f>
        <v/>
      </c>
      <c r="S1100" s="9">
        <f>$S$1*LN(I1100/I1099)</f>
        <v/>
      </c>
      <c r="T1100" s="9">
        <f>$T$1*LN(J1100/J1099)</f>
        <v/>
      </c>
      <c r="U1100" s="9">
        <f>$W$12+$W$4*M1100+$W$5*N1100+$W$6*O1100+$W$7*P1100+$W$8*Q1100+$W$9*R1100+$W$10*S1100+$W$11*T1100</f>
        <v/>
      </c>
      <c r="AA1100" s="10">
        <f>INDEX(LINEST(L841:L1100,M841:T1100,TRUE,TRUE),1,9)*52</f>
        <v/>
      </c>
      <c r="AB1100" s="9">
        <f>INDEX(LINEST(L841:L1100,M841:T1100,TRUE,TRUE),1,8)</f>
        <v/>
      </c>
      <c r="AC1100" s="9">
        <f>INDEX(LINEST(L841:L1100,M841:T1100,TRUE,TRUE),1,7)</f>
        <v/>
      </c>
      <c r="AD1100" s="9">
        <f>INDEX(LINEST(L841:L1100,M841:T1100,TRUE,TRUE),1,6)</f>
        <v/>
      </c>
      <c r="AE1100" s="9">
        <f>INDEX(LINEST(L841:L1100,M841:T1100,TRUE,TRUE),1,5)</f>
        <v/>
      </c>
      <c r="AF1100" s="9">
        <f>INDEX(LINEST(L841:L1100,M841:T1100,TRUE,TRUE),1,4)</f>
        <v/>
      </c>
      <c r="AG1100" s="9">
        <f>INDEX(LINEST(L841:L1100,M841:T1100,TRUE,TRUE),1,3)</f>
        <v/>
      </c>
      <c r="AH1100" s="9">
        <f>INDEX(LINEST(L841:L1100,M841:T1100,TRUE,TRUE),1,2)</f>
        <v/>
      </c>
      <c r="AI1100" s="9">
        <f>INDEX(LINEST(L841:L1100,M841:T1100,TRUE,TRUE),1,1)</f>
        <v/>
      </c>
      <c r="AJ1100" s="10">
        <f>INDEX(LINEST(L841:L1100,M841:T1100,TRUE,TRUE),3,1)</f>
        <v/>
      </c>
      <c r="AK1100" s="9">
        <f>AA1099/52+AB1099*M1100+AC1099*N1100+AD1099*O1100+AE1099*P1100+AF1099*Q1100+AG1099*R1100+AH1099*S1100+AI1099*T1100</f>
        <v/>
      </c>
      <c r="AL1100" s="9">
        <f>AVERAGE(L840:L1099)</f>
        <v/>
      </c>
    </row>
    <row r="1101">
      <c r="A1101" s="7" t="n">
        <v>45317</v>
      </c>
      <c r="B1101" s="8" t="n">
        <v>2018.45</v>
      </c>
      <c r="C1101" s="8" t="n">
        <v>2.3</v>
      </c>
      <c r="D1101" s="8" t="n">
        <v>1.85</v>
      </c>
      <c r="E1101" s="8" t="n">
        <v>103.470001</v>
      </c>
      <c r="F1101" s="8" t="n">
        <v>78.45</v>
      </c>
      <c r="G1101" s="8" t="n">
        <v>13.26</v>
      </c>
      <c r="H1101" s="8" t="n">
        <v>100.230003</v>
      </c>
      <c r="I1101" s="8" t="n">
        <v>4890.970215</v>
      </c>
      <c r="J1101" s="8" t="n">
        <v>89.397842</v>
      </c>
      <c r="L1101" s="9">
        <f>LN(B1101/B1100)</f>
        <v/>
      </c>
      <c r="M1101" s="9">
        <f>$M$1*(C1101-C1100)</f>
        <v/>
      </c>
      <c r="N1101" s="9">
        <f>$N$1*(D1101-D1100)</f>
        <v/>
      </c>
      <c r="O1101" s="9">
        <f>$O$1*LN(E1101/E1100)</f>
        <v/>
      </c>
      <c r="P1101" s="9">
        <f>$P$1*LN(F1101/F1100)</f>
        <v/>
      </c>
      <c r="Q1101" s="9">
        <f>$Q$1*(G1101-G1100)</f>
        <v/>
      </c>
      <c r="R1101" s="9">
        <f>$R$1*(H1101-H1100)</f>
        <v/>
      </c>
      <c r="S1101" s="9">
        <f>$S$1*LN(I1101/I1100)</f>
        <v/>
      </c>
      <c r="T1101" s="9">
        <f>$T$1*LN(J1101/J1100)</f>
        <v/>
      </c>
      <c r="U1101" s="9">
        <f>$W$12+$W$4*M1101+$W$5*N1101+$W$6*O1101+$W$7*P1101+$W$8*Q1101+$W$9*R1101+$W$10*S1101+$W$11*T1101</f>
        <v/>
      </c>
      <c r="AA1101" s="10">
        <f>INDEX(LINEST(L842:L1101,M842:T1101,TRUE,TRUE),1,9)*52</f>
        <v/>
      </c>
      <c r="AB1101" s="9">
        <f>INDEX(LINEST(L842:L1101,M842:T1101,TRUE,TRUE),1,8)</f>
        <v/>
      </c>
      <c r="AC1101" s="9">
        <f>INDEX(LINEST(L842:L1101,M842:T1101,TRUE,TRUE),1,7)</f>
        <v/>
      </c>
      <c r="AD1101" s="9">
        <f>INDEX(LINEST(L842:L1101,M842:T1101,TRUE,TRUE),1,6)</f>
        <v/>
      </c>
      <c r="AE1101" s="9">
        <f>INDEX(LINEST(L842:L1101,M842:T1101,TRUE,TRUE),1,5)</f>
        <v/>
      </c>
      <c r="AF1101" s="9">
        <f>INDEX(LINEST(L842:L1101,M842:T1101,TRUE,TRUE),1,4)</f>
        <v/>
      </c>
      <c r="AG1101" s="9">
        <f>INDEX(LINEST(L842:L1101,M842:T1101,TRUE,TRUE),1,3)</f>
        <v/>
      </c>
      <c r="AH1101" s="9">
        <f>INDEX(LINEST(L842:L1101,M842:T1101,TRUE,TRUE),1,2)</f>
        <v/>
      </c>
      <c r="AI1101" s="9">
        <f>INDEX(LINEST(L842:L1101,M842:T1101,TRUE,TRUE),1,1)</f>
        <v/>
      </c>
      <c r="AJ1101" s="10">
        <f>INDEX(LINEST(L842:L1101,M842:T1101,TRUE,TRUE),3,1)</f>
        <v/>
      </c>
      <c r="AK1101" s="9">
        <f>AA1100/52+AB1100*M1101+AC1100*N1101+AD1100*O1101+AE1100*P1101+AF1100*Q1101+AG1100*R1101+AH1100*S1101+AI1100*T1101</f>
        <v/>
      </c>
      <c r="AL1101" s="9">
        <f>AVERAGE(L841:L1100)</f>
        <v/>
      </c>
    </row>
    <row r="1102">
      <c r="A1102" s="7" t="n">
        <v>45324</v>
      </c>
      <c r="B1102" s="8" t="n">
        <v>2034.15</v>
      </c>
      <c r="C1102" s="8" t="n">
        <v>2.21</v>
      </c>
      <c r="D1102" s="8" t="n">
        <v>1.82</v>
      </c>
      <c r="E1102" s="8" t="n">
        <v>103.919998</v>
      </c>
      <c r="F1102" s="8" t="n">
        <v>72.72</v>
      </c>
      <c r="G1102" s="8" t="n">
        <v>13.85</v>
      </c>
      <c r="H1102" s="8" t="n">
        <v>106.720001</v>
      </c>
      <c r="I1102" s="8" t="n">
        <v>4958.609863</v>
      </c>
      <c r="J1102" s="8" t="n">
        <v>90.019508</v>
      </c>
      <c r="L1102" s="9">
        <f>LN(B1102/B1101)</f>
        <v/>
      </c>
      <c r="M1102" s="9">
        <f>$M$1*(C1102-C1101)</f>
        <v/>
      </c>
      <c r="N1102" s="9">
        <f>$N$1*(D1102-D1101)</f>
        <v/>
      </c>
      <c r="O1102" s="9">
        <f>$O$1*LN(E1102/E1101)</f>
        <v/>
      </c>
      <c r="P1102" s="9">
        <f>$P$1*LN(F1102/F1101)</f>
        <v/>
      </c>
      <c r="Q1102" s="9">
        <f>$Q$1*(G1102-G1101)</f>
        <v/>
      </c>
      <c r="R1102" s="9">
        <f>$R$1*(H1102-H1101)</f>
        <v/>
      </c>
      <c r="S1102" s="9">
        <f>$S$1*LN(I1102/I1101)</f>
        <v/>
      </c>
      <c r="T1102" s="9">
        <f>$T$1*LN(J1102/J1101)</f>
        <v/>
      </c>
      <c r="U1102" s="9">
        <f>$W$12+$W$4*M1102+$W$5*N1102+$W$6*O1102+$W$7*P1102+$W$8*Q1102+$W$9*R1102+$W$10*S1102+$W$11*T1102</f>
        <v/>
      </c>
      <c r="AA1102" s="10">
        <f>INDEX(LINEST(L843:L1102,M843:T1102,TRUE,TRUE),1,9)*52</f>
        <v/>
      </c>
      <c r="AB1102" s="9">
        <f>INDEX(LINEST(L843:L1102,M843:T1102,TRUE,TRUE),1,8)</f>
        <v/>
      </c>
      <c r="AC1102" s="9">
        <f>INDEX(LINEST(L843:L1102,M843:T1102,TRUE,TRUE),1,7)</f>
        <v/>
      </c>
      <c r="AD1102" s="9">
        <f>INDEX(LINEST(L843:L1102,M843:T1102,TRUE,TRUE),1,6)</f>
        <v/>
      </c>
      <c r="AE1102" s="9">
        <f>INDEX(LINEST(L843:L1102,M843:T1102,TRUE,TRUE),1,5)</f>
        <v/>
      </c>
      <c r="AF1102" s="9">
        <f>INDEX(LINEST(L843:L1102,M843:T1102,TRUE,TRUE),1,4)</f>
        <v/>
      </c>
      <c r="AG1102" s="9">
        <f>INDEX(LINEST(L843:L1102,M843:T1102,TRUE,TRUE),1,3)</f>
        <v/>
      </c>
      <c r="AH1102" s="9">
        <f>INDEX(LINEST(L843:L1102,M843:T1102,TRUE,TRUE),1,2)</f>
        <v/>
      </c>
      <c r="AI1102" s="9">
        <f>INDEX(LINEST(L843:L1102,M843:T1102,TRUE,TRUE),1,1)</f>
        <v/>
      </c>
      <c r="AJ1102" s="10">
        <f>INDEX(LINEST(L843:L1102,M843:T1102,TRUE,TRUE),3,1)</f>
        <v/>
      </c>
      <c r="AK1102" s="9">
        <f>AA1101/52+AB1101*M1102+AC1101*N1102+AD1101*O1102+AE1101*P1102+AF1101*Q1102+AG1101*R1102+AH1101*S1102+AI1101*T1102</f>
        <v/>
      </c>
      <c r="AL1102" s="9">
        <f>AVERAGE(L842:L1101)</f>
        <v/>
      </c>
    </row>
    <row r="1103">
      <c r="A1103" s="7" t="n">
        <v>45331</v>
      </c>
      <c r="B1103" s="8" t="n">
        <v>2023.5</v>
      </c>
      <c r="C1103" s="8" t="n">
        <v>2.25</v>
      </c>
      <c r="D1103" s="8" t="n">
        <v>1.92</v>
      </c>
      <c r="E1103" s="8" t="n">
        <v>104.080002</v>
      </c>
      <c r="F1103" s="8" t="n">
        <v>77.26000000000001</v>
      </c>
      <c r="G1103" s="8" t="n">
        <v>12.93</v>
      </c>
      <c r="H1103" s="8" t="n">
        <v>106.209999</v>
      </c>
      <c r="I1103" s="8" t="n">
        <v>5026.609863</v>
      </c>
      <c r="J1103" s="8" t="n">
        <v>89.260666</v>
      </c>
      <c r="L1103" s="9">
        <f>LN(B1103/B1102)</f>
        <v/>
      </c>
      <c r="M1103" s="9">
        <f>$M$1*(C1103-C1102)</f>
        <v/>
      </c>
      <c r="N1103" s="9">
        <f>$N$1*(D1103-D1102)</f>
        <v/>
      </c>
      <c r="O1103" s="9">
        <f>$O$1*LN(E1103/E1102)</f>
        <v/>
      </c>
      <c r="P1103" s="9">
        <f>$P$1*LN(F1103/F1102)</f>
        <v/>
      </c>
      <c r="Q1103" s="9">
        <f>$Q$1*(G1103-G1102)</f>
        <v/>
      </c>
      <c r="R1103" s="9">
        <f>$R$1*(H1103-H1102)</f>
        <v/>
      </c>
      <c r="S1103" s="9">
        <f>$S$1*LN(I1103/I1102)</f>
        <v/>
      </c>
      <c r="T1103" s="9">
        <f>$T$1*LN(J1103/J1102)</f>
        <v/>
      </c>
      <c r="U1103" s="9">
        <f>$W$12+$W$4*M1103+$W$5*N1103+$W$6*O1103+$W$7*P1103+$W$8*Q1103+$W$9*R1103+$W$10*S1103+$W$11*T1103</f>
        <v/>
      </c>
      <c r="AA1103" s="10">
        <f>INDEX(LINEST(L844:L1103,M844:T1103,TRUE,TRUE),1,9)*52</f>
        <v/>
      </c>
      <c r="AB1103" s="9">
        <f>INDEX(LINEST(L844:L1103,M844:T1103,TRUE,TRUE),1,8)</f>
        <v/>
      </c>
      <c r="AC1103" s="9">
        <f>INDEX(LINEST(L844:L1103,M844:T1103,TRUE,TRUE),1,7)</f>
        <v/>
      </c>
      <c r="AD1103" s="9">
        <f>INDEX(LINEST(L844:L1103,M844:T1103,TRUE,TRUE),1,6)</f>
        <v/>
      </c>
      <c r="AE1103" s="9">
        <f>INDEX(LINEST(L844:L1103,M844:T1103,TRUE,TRUE),1,5)</f>
        <v/>
      </c>
      <c r="AF1103" s="9">
        <f>INDEX(LINEST(L844:L1103,M844:T1103,TRUE,TRUE),1,4)</f>
        <v/>
      </c>
      <c r="AG1103" s="9">
        <f>INDEX(LINEST(L844:L1103,M844:T1103,TRUE,TRUE),1,3)</f>
        <v/>
      </c>
      <c r="AH1103" s="9">
        <f>INDEX(LINEST(L844:L1103,M844:T1103,TRUE,TRUE),1,2)</f>
        <v/>
      </c>
      <c r="AI1103" s="9">
        <f>INDEX(LINEST(L844:L1103,M844:T1103,TRUE,TRUE),1,1)</f>
        <v/>
      </c>
      <c r="AJ1103" s="10">
        <f>INDEX(LINEST(L844:L1103,M844:T1103,TRUE,TRUE),3,1)</f>
        <v/>
      </c>
      <c r="AK1103" s="9">
        <f>AA1102/52+AB1102*M1103+AC1102*N1103+AD1102*O1103+AE1102*P1103+AF1102*Q1103+AG1102*R1103+AH1102*S1103+AI1102*T1103</f>
        <v/>
      </c>
      <c r="AL1103" s="9">
        <f>AVERAGE(L843:L1102)</f>
        <v/>
      </c>
    </row>
    <row r="1104">
      <c r="A1104" s="7" t="n">
        <v>45338</v>
      </c>
      <c r="B1104" s="8" t="n">
        <v>1997.9</v>
      </c>
      <c r="C1104" s="8" t="n">
        <v>2.33</v>
      </c>
      <c r="D1104" s="8" t="n">
        <v>1.97</v>
      </c>
      <c r="E1104" s="8" t="n">
        <v>104.279999</v>
      </c>
      <c r="F1104" s="8" t="n">
        <v>79.65000000000001</v>
      </c>
      <c r="G1104" s="8" t="n">
        <v>14.24</v>
      </c>
      <c r="H1104" s="8" t="n">
        <v>109.199997</v>
      </c>
      <c r="I1104" s="8" t="n">
        <v>5005.569824</v>
      </c>
      <c r="J1104" s="8" t="n">
        <v>88.776123</v>
      </c>
      <c r="L1104" s="9">
        <f>LN(B1104/B1103)</f>
        <v/>
      </c>
      <c r="M1104" s="9">
        <f>$M$1*(C1104-C1103)</f>
        <v/>
      </c>
      <c r="N1104" s="9">
        <f>$N$1*(D1104-D1103)</f>
        <v/>
      </c>
      <c r="O1104" s="9">
        <f>$O$1*LN(E1104/E1103)</f>
        <v/>
      </c>
      <c r="P1104" s="9">
        <f>$P$1*LN(F1104/F1103)</f>
        <v/>
      </c>
      <c r="Q1104" s="9">
        <f>$Q$1*(G1104-G1103)</f>
        <v/>
      </c>
      <c r="R1104" s="9">
        <f>$R$1*(H1104-H1103)</f>
        <v/>
      </c>
      <c r="S1104" s="9">
        <f>$S$1*LN(I1104/I1103)</f>
        <v/>
      </c>
      <c r="T1104" s="9">
        <f>$T$1*LN(J1104/J1103)</f>
        <v/>
      </c>
      <c r="U1104" s="9">
        <f>$W$12+$W$4*M1104+$W$5*N1104+$W$6*O1104+$W$7*P1104+$W$8*Q1104+$W$9*R1104+$W$10*S1104+$W$11*T1104</f>
        <v/>
      </c>
      <c r="AA1104" s="10">
        <f>INDEX(LINEST(L845:L1104,M845:T1104,TRUE,TRUE),1,9)*52</f>
        <v/>
      </c>
      <c r="AB1104" s="9">
        <f>INDEX(LINEST(L845:L1104,M845:T1104,TRUE,TRUE),1,8)</f>
        <v/>
      </c>
      <c r="AC1104" s="9">
        <f>INDEX(LINEST(L845:L1104,M845:T1104,TRUE,TRUE),1,7)</f>
        <v/>
      </c>
      <c r="AD1104" s="9">
        <f>INDEX(LINEST(L845:L1104,M845:T1104,TRUE,TRUE),1,6)</f>
        <v/>
      </c>
      <c r="AE1104" s="9">
        <f>INDEX(LINEST(L845:L1104,M845:T1104,TRUE,TRUE),1,5)</f>
        <v/>
      </c>
      <c r="AF1104" s="9">
        <f>INDEX(LINEST(L845:L1104,M845:T1104,TRUE,TRUE),1,4)</f>
        <v/>
      </c>
      <c r="AG1104" s="9">
        <f>INDEX(LINEST(L845:L1104,M845:T1104,TRUE,TRUE),1,3)</f>
        <v/>
      </c>
      <c r="AH1104" s="9">
        <f>INDEX(LINEST(L845:L1104,M845:T1104,TRUE,TRUE),1,2)</f>
        <v/>
      </c>
      <c r="AI1104" s="9">
        <f>INDEX(LINEST(L845:L1104,M845:T1104,TRUE,TRUE),1,1)</f>
        <v/>
      </c>
      <c r="AJ1104" s="10">
        <f>INDEX(LINEST(L845:L1104,M845:T1104,TRUE,TRUE),3,1)</f>
        <v/>
      </c>
      <c r="AK1104" s="9">
        <f>AA1103/52+AB1103*M1104+AC1103*N1104+AD1103*O1104+AE1103*P1104+AF1103*Q1104+AG1103*R1104+AH1103*S1104+AI1103*T1104</f>
        <v/>
      </c>
      <c r="AL1104" s="9">
        <f>AVERAGE(L844:L1103)</f>
        <v/>
      </c>
    </row>
    <row r="1105">
      <c r="A1105" s="7" t="n">
        <v>45345</v>
      </c>
      <c r="B1105" s="8" t="n">
        <v>2027.45</v>
      </c>
      <c r="C1105" s="8" t="n">
        <v>2.3</v>
      </c>
      <c r="D1105" s="8" t="n">
        <v>1.96</v>
      </c>
      <c r="E1105" s="8" t="n">
        <v>103.940002</v>
      </c>
      <c r="F1105" s="8" t="n">
        <v>77.59999999999999</v>
      </c>
      <c r="G1105" s="8" t="n">
        <v>13.75</v>
      </c>
      <c r="H1105" s="8" t="n">
        <v>108.309998</v>
      </c>
      <c r="I1105" s="8" t="n">
        <v>5088.799805</v>
      </c>
      <c r="J1105" s="8" t="n">
        <v>88.995544</v>
      </c>
      <c r="L1105" s="9">
        <f>LN(B1105/B1104)</f>
        <v/>
      </c>
      <c r="M1105" s="9">
        <f>$M$1*(C1105-C1104)</f>
        <v/>
      </c>
      <c r="N1105" s="9">
        <f>$N$1*(D1105-D1104)</f>
        <v/>
      </c>
      <c r="O1105" s="9">
        <f>$O$1*LN(E1105/E1104)</f>
        <v/>
      </c>
      <c r="P1105" s="9">
        <f>$P$1*LN(F1105/F1104)</f>
        <v/>
      </c>
      <c r="Q1105" s="9">
        <f>$Q$1*(G1105-G1104)</f>
        <v/>
      </c>
      <c r="R1105" s="9">
        <f>$R$1*(H1105-H1104)</f>
        <v/>
      </c>
      <c r="S1105" s="9">
        <f>$S$1*LN(I1105/I1104)</f>
        <v/>
      </c>
      <c r="T1105" s="9">
        <f>$T$1*LN(J1105/J1104)</f>
        <v/>
      </c>
      <c r="U1105" s="9">
        <f>$W$12+$W$4*M1105+$W$5*N1105+$W$6*O1105+$W$7*P1105+$W$8*Q1105+$W$9*R1105+$W$10*S1105+$W$11*T1105</f>
        <v/>
      </c>
      <c r="AA1105" s="10">
        <f>INDEX(LINEST(L846:L1105,M846:T1105,TRUE,TRUE),1,9)*52</f>
        <v/>
      </c>
      <c r="AB1105" s="9">
        <f>INDEX(LINEST(L846:L1105,M846:T1105,TRUE,TRUE),1,8)</f>
        <v/>
      </c>
      <c r="AC1105" s="9">
        <f>INDEX(LINEST(L846:L1105,M846:T1105,TRUE,TRUE),1,7)</f>
        <v/>
      </c>
      <c r="AD1105" s="9">
        <f>INDEX(LINEST(L846:L1105,M846:T1105,TRUE,TRUE),1,6)</f>
        <v/>
      </c>
      <c r="AE1105" s="9">
        <f>INDEX(LINEST(L846:L1105,M846:T1105,TRUE,TRUE),1,5)</f>
        <v/>
      </c>
      <c r="AF1105" s="9">
        <f>INDEX(LINEST(L846:L1105,M846:T1105,TRUE,TRUE),1,4)</f>
        <v/>
      </c>
      <c r="AG1105" s="9">
        <f>INDEX(LINEST(L846:L1105,M846:T1105,TRUE,TRUE),1,3)</f>
        <v/>
      </c>
      <c r="AH1105" s="9">
        <f>INDEX(LINEST(L846:L1105,M846:T1105,TRUE,TRUE),1,2)</f>
        <v/>
      </c>
      <c r="AI1105" s="9">
        <f>INDEX(LINEST(L846:L1105,M846:T1105,TRUE,TRUE),1,1)</f>
        <v/>
      </c>
      <c r="AJ1105" s="10">
        <f>INDEX(LINEST(L846:L1105,M846:T1105,TRUE,TRUE),3,1)</f>
        <v/>
      </c>
      <c r="AK1105" s="9">
        <f>AA1104/52+AB1104*M1105+AC1104*N1105+AD1104*O1105+AE1104*P1105+AF1104*Q1105+AG1104*R1105+AH1104*S1105+AI1104*T1105</f>
        <v/>
      </c>
      <c r="AL1105" s="9">
        <f>AVERAGE(L845:L1104)</f>
        <v/>
      </c>
    </row>
    <row r="1106">
      <c r="A1106" s="7" t="n">
        <v>45352</v>
      </c>
      <c r="B1106" s="8" t="n">
        <v>2049.8</v>
      </c>
      <c r="C1106" s="8" t="n">
        <v>2.32</v>
      </c>
      <c r="D1106" s="8" t="n">
        <v>1.87</v>
      </c>
      <c r="E1106" s="8" t="n">
        <v>103.860001</v>
      </c>
      <c r="F1106" s="8" t="n">
        <v>80.90000000000001</v>
      </c>
      <c r="G1106" s="8" t="n">
        <v>13.11</v>
      </c>
      <c r="H1106" s="8" t="n">
        <v>106.480003</v>
      </c>
      <c r="I1106" s="8" t="n">
        <v>5137.080078</v>
      </c>
      <c r="J1106" s="8" t="n">
        <v>89.431999</v>
      </c>
      <c r="L1106" s="9">
        <f>LN(B1106/B1105)</f>
        <v/>
      </c>
      <c r="M1106" s="9">
        <f>$M$1*(C1106-C1105)</f>
        <v/>
      </c>
      <c r="N1106" s="9">
        <f>$N$1*(D1106-D1105)</f>
        <v/>
      </c>
      <c r="O1106" s="9">
        <f>$O$1*LN(E1106/E1105)</f>
        <v/>
      </c>
      <c r="P1106" s="9">
        <f>$P$1*LN(F1106/F1105)</f>
        <v/>
      </c>
      <c r="Q1106" s="9">
        <f>$Q$1*(G1106-G1105)</f>
        <v/>
      </c>
      <c r="R1106" s="9">
        <f>$R$1*(H1106-H1105)</f>
        <v/>
      </c>
      <c r="S1106" s="9">
        <f>$S$1*LN(I1106/I1105)</f>
        <v/>
      </c>
      <c r="T1106" s="9">
        <f>$T$1*LN(J1106/J1105)</f>
        <v/>
      </c>
      <c r="U1106" s="9">
        <f>$W$12+$W$4*M1106+$W$5*N1106+$W$6*O1106+$W$7*P1106+$W$8*Q1106+$W$9*R1106+$W$10*S1106+$W$11*T1106</f>
        <v/>
      </c>
      <c r="AA1106" s="10">
        <f>INDEX(LINEST(L847:L1106,M847:T1106,TRUE,TRUE),1,9)*52</f>
        <v/>
      </c>
      <c r="AB1106" s="9">
        <f>INDEX(LINEST(L847:L1106,M847:T1106,TRUE,TRUE),1,8)</f>
        <v/>
      </c>
      <c r="AC1106" s="9">
        <f>INDEX(LINEST(L847:L1106,M847:T1106,TRUE,TRUE),1,7)</f>
        <v/>
      </c>
      <c r="AD1106" s="9">
        <f>INDEX(LINEST(L847:L1106,M847:T1106,TRUE,TRUE),1,6)</f>
        <v/>
      </c>
      <c r="AE1106" s="9">
        <f>INDEX(LINEST(L847:L1106,M847:T1106,TRUE,TRUE),1,5)</f>
        <v/>
      </c>
      <c r="AF1106" s="9">
        <f>INDEX(LINEST(L847:L1106,M847:T1106,TRUE,TRUE),1,4)</f>
        <v/>
      </c>
      <c r="AG1106" s="9">
        <f>INDEX(LINEST(L847:L1106,M847:T1106,TRUE,TRUE),1,3)</f>
        <v/>
      </c>
      <c r="AH1106" s="9">
        <f>INDEX(LINEST(L847:L1106,M847:T1106,TRUE,TRUE),1,2)</f>
        <v/>
      </c>
      <c r="AI1106" s="9">
        <f>INDEX(LINEST(L847:L1106,M847:T1106,TRUE,TRUE),1,1)</f>
        <v/>
      </c>
      <c r="AJ1106" s="10">
        <f>INDEX(LINEST(L847:L1106,M847:T1106,TRUE,TRUE),3,1)</f>
        <v/>
      </c>
      <c r="AK1106" s="9">
        <f>AA1105/52+AB1105*M1106+AC1105*N1106+AD1105*O1106+AE1105*P1106+AF1105*Q1106+AG1105*R1106+AH1105*S1106+AI1105*T1106</f>
        <v/>
      </c>
      <c r="AL1106" s="9">
        <f>AVERAGE(L846:L1105)</f>
        <v/>
      </c>
    </row>
    <row r="1107">
      <c r="A1107" s="7" t="n">
        <v>45359</v>
      </c>
      <c r="B1107" s="8" t="n">
        <v>2171.2</v>
      </c>
      <c r="C1107" s="8" t="n">
        <v>2.28</v>
      </c>
      <c r="D1107" s="8" t="n">
        <v>1.81</v>
      </c>
      <c r="E1107" s="8" t="n">
        <v>102.739998</v>
      </c>
      <c r="F1107" s="8" t="n">
        <v>78.95999999999999</v>
      </c>
      <c r="G1107" s="8" t="n">
        <v>14.74</v>
      </c>
      <c r="H1107" s="8" t="n">
        <v>100.879997</v>
      </c>
      <c r="I1107" s="8" t="n">
        <v>5123.689941</v>
      </c>
      <c r="J1107" s="8" t="n">
        <v>90.11055</v>
      </c>
      <c r="L1107" s="9">
        <f>LN(B1107/B1106)</f>
        <v/>
      </c>
      <c r="M1107" s="9">
        <f>$M$1*(C1107-C1106)</f>
        <v/>
      </c>
      <c r="N1107" s="9">
        <f>$N$1*(D1107-D1106)</f>
        <v/>
      </c>
      <c r="O1107" s="9">
        <f>$O$1*LN(E1107/E1106)</f>
        <v/>
      </c>
      <c r="P1107" s="9">
        <f>$P$1*LN(F1107/F1106)</f>
        <v/>
      </c>
      <c r="Q1107" s="9">
        <f>$Q$1*(G1107-G1106)</f>
        <v/>
      </c>
      <c r="R1107" s="9">
        <f>$R$1*(H1107-H1106)</f>
        <v/>
      </c>
      <c r="S1107" s="9">
        <f>$S$1*LN(I1107/I1106)</f>
        <v/>
      </c>
      <c r="T1107" s="9">
        <f>$T$1*LN(J1107/J1106)</f>
        <v/>
      </c>
      <c r="U1107" s="9">
        <f>$W$12+$W$4*M1107+$W$5*N1107+$W$6*O1107+$W$7*P1107+$W$8*Q1107+$W$9*R1107+$W$10*S1107+$W$11*T1107</f>
        <v/>
      </c>
      <c r="AA1107" s="10">
        <f>INDEX(LINEST(L848:L1107,M848:T1107,TRUE,TRUE),1,9)*52</f>
        <v/>
      </c>
      <c r="AB1107" s="9">
        <f>INDEX(LINEST(L848:L1107,M848:T1107,TRUE,TRUE),1,8)</f>
        <v/>
      </c>
      <c r="AC1107" s="9">
        <f>INDEX(LINEST(L848:L1107,M848:T1107,TRUE,TRUE),1,7)</f>
        <v/>
      </c>
      <c r="AD1107" s="9">
        <f>INDEX(LINEST(L848:L1107,M848:T1107,TRUE,TRUE),1,6)</f>
        <v/>
      </c>
      <c r="AE1107" s="9">
        <f>INDEX(LINEST(L848:L1107,M848:T1107,TRUE,TRUE),1,5)</f>
        <v/>
      </c>
      <c r="AF1107" s="9">
        <f>INDEX(LINEST(L848:L1107,M848:T1107,TRUE,TRUE),1,4)</f>
        <v/>
      </c>
      <c r="AG1107" s="9">
        <f>INDEX(LINEST(L848:L1107,M848:T1107,TRUE,TRUE),1,3)</f>
        <v/>
      </c>
      <c r="AH1107" s="9">
        <f>INDEX(LINEST(L848:L1107,M848:T1107,TRUE,TRUE),1,2)</f>
        <v/>
      </c>
      <c r="AI1107" s="9">
        <f>INDEX(LINEST(L848:L1107,M848:T1107,TRUE,TRUE),1,1)</f>
        <v/>
      </c>
      <c r="AJ1107" s="10">
        <f>INDEX(LINEST(L848:L1107,M848:T1107,TRUE,TRUE),3,1)</f>
        <v/>
      </c>
      <c r="AK1107" s="9">
        <f>AA1106/52+AB1106*M1107+AC1106*N1107+AD1106*O1107+AE1106*P1107+AF1106*Q1107+AG1106*R1107+AH1106*S1107+AI1106*T1107</f>
        <v/>
      </c>
      <c r="AL1107" s="9">
        <f>AVERAGE(L847:L1106)</f>
        <v/>
      </c>
    </row>
    <row r="1108">
      <c r="A1108" s="7" t="n">
        <v>45366</v>
      </c>
      <c r="B1108" s="8" t="n">
        <v>2163.45</v>
      </c>
      <c r="C1108" s="8" t="n">
        <v>2.32</v>
      </c>
      <c r="D1108" s="8" t="n">
        <v>1.99</v>
      </c>
      <c r="E1108" s="8" t="n">
        <v>103.43</v>
      </c>
      <c r="F1108" s="8" t="n">
        <v>81.94</v>
      </c>
      <c r="G1108" s="8" t="n">
        <v>14.41</v>
      </c>
      <c r="H1108" s="8" t="n">
        <v>97.81999999999999</v>
      </c>
      <c r="I1108" s="8" t="n">
        <v>5117.089844</v>
      </c>
      <c r="J1108" s="8" t="n">
        <v>89.037689</v>
      </c>
      <c r="L1108" s="9">
        <f>LN(B1108/B1107)</f>
        <v/>
      </c>
      <c r="M1108" s="9">
        <f>$M$1*(C1108-C1107)</f>
        <v/>
      </c>
      <c r="N1108" s="9">
        <f>$N$1*(D1108-D1107)</f>
        <v/>
      </c>
      <c r="O1108" s="9">
        <f>$O$1*LN(E1108/E1107)</f>
        <v/>
      </c>
      <c r="P1108" s="9">
        <f>$P$1*LN(F1108/F1107)</f>
        <v/>
      </c>
      <c r="Q1108" s="9">
        <f>$Q$1*(G1108-G1107)</f>
        <v/>
      </c>
      <c r="R1108" s="9">
        <f>$R$1*(H1108-H1107)</f>
        <v/>
      </c>
      <c r="S1108" s="9">
        <f>$S$1*LN(I1108/I1107)</f>
        <v/>
      </c>
      <c r="T1108" s="9">
        <f>$T$1*LN(J1108/J1107)</f>
        <v/>
      </c>
      <c r="U1108" s="9">
        <f>$W$12+$W$4*M1108+$W$5*N1108+$W$6*O1108+$W$7*P1108+$W$8*Q1108+$W$9*R1108+$W$10*S1108+$W$11*T1108</f>
        <v/>
      </c>
      <c r="AA1108" s="10">
        <f>INDEX(LINEST(L849:L1108,M849:T1108,TRUE,TRUE),1,9)*52</f>
        <v/>
      </c>
      <c r="AB1108" s="9">
        <f>INDEX(LINEST(L849:L1108,M849:T1108,TRUE,TRUE),1,8)</f>
        <v/>
      </c>
      <c r="AC1108" s="9">
        <f>INDEX(LINEST(L849:L1108,M849:T1108,TRUE,TRUE),1,7)</f>
        <v/>
      </c>
      <c r="AD1108" s="9">
        <f>INDEX(LINEST(L849:L1108,M849:T1108,TRUE,TRUE),1,6)</f>
        <v/>
      </c>
      <c r="AE1108" s="9">
        <f>INDEX(LINEST(L849:L1108,M849:T1108,TRUE,TRUE),1,5)</f>
        <v/>
      </c>
      <c r="AF1108" s="9">
        <f>INDEX(LINEST(L849:L1108,M849:T1108,TRUE,TRUE),1,4)</f>
        <v/>
      </c>
      <c r="AG1108" s="9">
        <f>INDEX(LINEST(L849:L1108,M849:T1108,TRUE,TRUE),1,3)</f>
        <v/>
      </c>
      <c r="AH1108" s="9">
        <f>INDEX(LINEST(L849:L1108,M849:T1108,TRUE,TRUE),1,2)</f>
        <v/>
      </c>
      <c r="AI1108" s="9">
        <f>INDEX(LINEST(L849:L1108,M849:T1108,TRUE,TRUE),1,1)</f>
        <v/>
      </c>
      <c r="AJ1108" s="10">
        <f>INDEX(LINEST(L849:L1108,M849:T1108,TRUE,TRUE),3,1)</f>
        <v/>
      </c>
      <c r="AK1108" s="9">
        <f>AA1107/52+AB1107*M1108+AC1107*N1108+AD1107*O1108+AE1107*P1108+AF1107*Q1108+AG1107*R1108+AH1107*S1108+AI1107*T1108</f>
        <v/>
      </c>
      <c r="AL1108" s="9">
        <f>AVERAGE(L848:L1107)</f>
        <v/>
      </c>
    </row>
    <row r="1109">
      <c r="A1109" s="7" t="n">
        <v>45373</v>
      </c>
      <c r="B1109" s="8" t="n">
        <v>2171.6</v>
      </c>
      <c r="C1109" s="8" t="n">
        <v>2.35</v>
      </c>
      <c r="D1109" s="8" t="n">
        <v>1.87</v>
      </c>
      <c r="E1109" s="8" t="n">
        <v>104.43</v>
      </c>
      <c r="F1109" s="8" t="n">
        <v>81.09999999999999</v>
      </c>
      <c r="G1109" s="8" t="n">
        <v>13.06</v>
      </c>
      <c r="H1109" s="8" t="n">
        <v>91.040001</v>
      </c>
      <c r="I1109" s="8" t="n">
        <v>5234.180176</v>
      </c>
      <c r="J1109" s="8" t="n">
        <v>89.697906</v>
      </c>
      <c r="L1109" s="9">
        <f>LN(B1109/B1108)</f>
        <v/>
      </c>
      <c r="M1109" s="9">
        <f>$M$1*(C1109-C1108)</f>
        <v/>
      </c>
      <c r="N1109" s="9">
        <f>$N$1*(D1109-D1108)</f>
        <v/>
      </c>
      <c r="O1109" s="9">
        <f>$O$1*LN(E1109/E1108)</f>
        <v/>
      </c>
      <c r="P1109" s="9">
        <f>$P$1*LN(F1109/F1108)</f>
        <v/>
      </c>
      <c r="Q1109" s="9">
        <f>$Q$1*(G1109-G1108)</f>
        <v/>
      </c>
      <c r="R1109" s="9">
        <f>$R$1*(H1109-H1108)</f>
        <v/>
      </c>
      <c r="S1109" s="9">
        <f>$S$1*LN(I1109/I1108)</f>
        <v/>
      </c>
      <c r="T1109" s="9">
        <f>$T$1*LN(J1109/J1108)</f>
        <v/>
      </c>
      <c r="U1109" s="9">
        <f>$W$12+$W$4*M1109+$W$5*N1109+$W$6*O1109+$W$7*P1109+$W$8*Q1109+$W$9*R1109+$W$10*S1109+$W$11*T1109</f>
        <v/>
      </c>
      <c r="AA1109" s="10">
        <f>INDEX(LINEST(L850:L1109,M850:T1109,TRUE,TRUE),1,9)*52</f>
        <v/>
      </c>
      <c r="AB1109" s="9">
        <f>INDEX(LINEST(L850:L1109,M850:T1109,TRUE,TRUE),1,8)</f>
        <v/>
      </c>
      <c r="AC1109" s="9">
        <f>INDEX(LINEST(L850:L1109,M850:T1109,TRUE,TRUE),1,7)</f>
        <v/>
      </c>
      <c r="AD1109" s="9">
        <f>INDEX(LINEST(L850:L1109,M850:T1109,TRUE,TRUE),1,6)</f>
        <v/>
      </c>
      <c r="AE1109" s="9">
        <f>INDEX(LINEST(L850:L1109,M850:T1109,TRUE,TRUE),1,5)</f>
        <v/>
      </c>
      <c r="AF1109" s="9">
        <f>INDEX(LINEST(L850:L1109,M850:T1109,TRUE,TRUE),1,4)</f>
        <v/>
      </c>
      <c r="AG1109" s="9">
        <f>INDEX(LINEST(L850:L1109,M850:T1109,TRUE,TRUE),1,3)</f>
        <v/>
      </c>
      <c r="AH1109" s="9">
        <f>INDEX(LINEST(L850:L1109,M850:T1109,TRUE,TRUE),1,2)</f>
        <v/>
      </c>
      <c r="AI1109" s="9">
        <f>INDEX(LINEST(L850:L1109,M850:T1109,TRUE,TRUE),1,1)</f>
        <v/>
      </c>
      <c r="AJ1109" s="10">
        <f>INDEX(LINEST(L850:L1109,M850:T1109,TRUE,TRUE),3,1)</f>
        <v/>
      </c>
      <c r="AK1109" s="9">
        <f>AA1108/52+AB1108*M1109+AC1108*N1109+AD1108*O1109+AE1108*P1109+AF1108*Q1109+AG1108*R1109+AH1108*S1109+AI1108*T1109</f>
        <v/>
      </c>
      <c r="AL1109" s="9">
        <f>AVERAGE(L849:L1108)</f>
        <v/>
      </c>
    </row>
    <row r="1110">
      <c r="A1110" s="7" t="n">
        <v>45380</v>
      </c>
      <c r="B1110" s="8" t="n">
        <v>2214.35</v>
      </c>
      <c r="C1110" s="8" t="n">
        <v>2.32</v>
      </c>
      <c r="D1110" s="8" t="n">
        <v>1.88</v>
      </c>
      <c r="E1110" s="8" t="n">
        <v>104.550003</v>
      </c>
      <c r="F1110" s="8" t="n">
        <v>83.95999999999999</v>
      </c>
      <c r="G1110" s="8" t="n">
        <v>13.01</v>
      </c>
      <c r="H1110" s="8" t="n">
        <v>86.379997</v>
      </c>
      <c r="I1110" s="8" t="n">
        <v>5254.350098</v>
      </c>
      <c r="J1110" s="8" t="n">
        <v>89.807922</v>
      </c>
      <c r="L1110" s="9">
        <f>LN(B1110/B1109)</f>
        <v/>
      </c>
      <c r="M1110" s="9">
        <f>$M$1*(C1110-C1109)</f>
        <v/>
      </c>
      <c r="N1110" s="9">
        <f>$N$1*(D1110-D1109)</f>
        <v/>
      </c>
      <c r="O1110" s="9">
        <f>$O$1*LN(E1110/E1109)</f>
        <v/>
      </c>
      <c r="P1110" s="9">
        <f>$P$1*LN(F1110/F1109)</f>
        <v/>
      </c>
      <c r="Q1110" s="9">
        <f>$Q$1*(G1110-G1109)</f>
        <v/>
      </c>
      <c r="R1110" s="9">
        <f>$R$1*(H1110-H1109)</f>
        <v/>
      </c>
      <c r="S1110" s="9">
        <f>$S$1*LN(I1110/I1109)</f>
        <v/>
      </c>
      <c r="T1110" s="9">
        <f>$T$1*LN(J1110/J1109)</f>
        <v/>
      </c>
      <c r="U1110" s="9">
        <f>$W$12+$W$4*M1110+$W$5*N1110+$W$6*O1110+$W$7*P1110+$W$8*Q1110+$W$9*R1110+$W$10*S1110+$W$11*T1110</f>
        <v/>
      </c>
      <c r="AA1110" s="10">
        <f>INDEX(LINEST(L851:L1110,M851:T1110,TRUE,TRUE),1,9)*52</f>
        <v/>
      </c>
      <c r="AB1110" s="9">
        <f>INDEX(LINEST(L851:L1110,M851:T1110,TRUE,TRUE),1,8)</f>
        <v/>
      </c>
      <c r="AC1110" s="9">
        <f>INDEX(LINEST(L851:L1110,M851:T1110,TRUE,TRUE),1,7)</f>
        <v/>
      </c>
      <c r="AD1110" s="9">
        <f>INDEX(LINEST(L851:L1110,M851:T1110,TRUE,TRUE),1,6)</f>
        <v/>
      </c>
      <c r="AE1110" s="9">
        <f>INDEX(LINEST(L851:L1110,M851:T1110,TRUE,TRUE),1,5)</f>
        <v/>
      </c>
      <c r="AF1110" s="9">
        <f>INDEX(LINEST(L851:L1110,M851:T1110,TRUE,TRUE),1,4)</f>
        <v/>
      </c>
      <c r="AG1110" s="9">
        <f>INDEX(LINEST(L851:L1110,M851:T1110,TRUE,TRUE),1,3)</f>
        <v/>
      </c>
      <c r="AH1110" s="9">
        <f>INDEX(LINEST(L851:L1110,M851:T1110,TRUE,TRUE),1,2)</f>
        <v/>
      </c>
      <c r="AI1110" s="9">
        <f>INDEX(LINEST(L851:L1110,M851:T1110,TRUE,TRUE),1,1)</f>
        <v/>
      </c>
      <c r="AJ1110" s="10">
        <f>INDEX(LINEST(L851:L1110,M851:T1110,TRUE,TRUE),3,1)</f>
        <v/>
      </c>
      <c r="AK1110" s="9">
        <f>AA1109/52+AB1109*M1110+AC1109*N1110+AD1109*O1110+AE1109*P1110+AF1109*Q1110+AG1109*R1110+AH1109*S1110+AI1109*T1110</f>
        <v/>
      </c>
      <c r="AL1110" s="9">
        <f>AVERAGE(L850:L1109)</f>
        <v/>
      </c>
    </row>
    <row r="1111">
      <c r="A1111" s="7" t="n">
        <v>45387</v>
      </c>
      <c r="B1111" s="8" t="n">
        <v>2298.55</v>
      </c>
      <c r="C1111" s="8" t="n">
        <v>2.37</v>
      </c>
      <c r="D1111" s="8" t="n">
        <v>2.02</v>
      </c>
      <c r="E1111" s="8" t="n">
        <v>104.300003</v>
      </c>
      <c r="F1111" s="8" t="n">
        <v>87.69</v>
      </c>
      <c r="G1111" s="8" t="n">
        <v>16.03</v>
      </c>
      <c r="H1111" s="8" t="n">
        <v>94.30999799999999</v>
      </c>
      <c r="I1111" s="8" t="n">
        <v>5204.339844</v>
      </c>
      <c r="J1111" s="8" t="n">
        <v>88.915817</v>
      </c>
      <c r="L1111" s="9">
        <f>LN(B1111/B1110)</f>
        <v/>
      </c>
      <c r="M1111" s="9">
        <f>$M$1*(C1111-C1110)</f>
        <v/>
      </c>
      <c r="N1111" s="9">
        <f>$N$1*(D1111-D1110)</f>
        <v/>
      </c>
      <c r="O1111" s="9">
        <f>$O$1*LN(E1111/E1110)</f>
        <v/>
      </c>
      <c r="P1111" s="9">
        <f>$P$1*LN(F1111/F1110)</f>
        <v/>
      </c>
      <c r="Q1111" s="9">
        <f>$Q$1*(G1111-G1110)</f>
        <v/>
      </c>
      <c r="R1111" s="9">
        <f>$R$1*(H1111-H1110)</f>
        <v/>
      </c>
      <c r="S1111" s="9">
        <f>$S$1*LN(I1111/I1110)</f>
        <v/>
      </c>
      <c r="T1111" s="9">
        <f>$T$1*LN(J1111/J1110)</f>
        <v/>
      </c>
      <c r="U1111" s="9">
        <f>$W$12+$W$4*M1111+$W$5*N1111+$W$6*O1111+$W$7*P1111+$W$8*Q1111+$W$9*R1111+$W$10*S1111+$W$11*T1111</f>
        <v/>
      </c>
      <c r="AA1111" s="10">
        <f>INDEX(LINEST(L852:L1111,M852:T1111,TRUE,TRUE),1,9)*52</f>
        <v/>
      </c>
      <c r="AB1111" s="9">
        <f>INDEX(LINEST(L852:L1111,M852:T1111,TRUE,TRUE),1,8)</f>
        <v/>
      </c>
      <c r="AC1111" s="9">
        <f>INDEX(LINEST(L852:L1111,M852:T1111,TRUE,TRUE),1,7)</f>
        <v/>
      </c>
      <c r="AD1111" s="9">
        <f>INDEX(LINEST(L852:L1111,M852:T1111,TRUE,TRUE),1,6)</f>
        <v/>
      </c>
      <c r="AE1111" s="9">
        <f>INDEX(LINEST(L852:L1111,M852:T1111,TRUE,TRUE),1,5)</f>
        <v/>
      </c>
      <c r="AF1111" s="9">
        <f>INDEX(LINEST(L852:L1111,M852:T1111,TRUE,TRUE),1,4)</f>
        <v/>
      </c>
      <c r="AG1111" s="9">
        <f>INDEX(LINEST(L852:L1111,M852:T1111,TRUE,TRUE),1,3)</f>
        <v/>
      </c>
      <c r="AH1111" s="9">
        <f>INDEX(LINEST(L852:L1111,M852:T1111,TRUE,TRUE),1,2)</f>
        <v/>
      </c>
      <c r="AI1111" s="9">
        <f>INDEX(LINEST(L852:L1111,M852:T1111,TRUE,TRUE),1,1)</f>
        <v/>
      </c>
      <c r="AJ1111" s="10">
        <f>INDEX(LINEST(L852:L1111,M852:T1111,TRUE,TRUE),3,1)</f>
        <v/>
      </c>
      <c r="AK1111" s="9">
        <f>AA1110/52+AB1110*M1111+AC1110*N1111+AD1110*O1111+AE1110*P1111+AF1110*Q1111+AG1110*R1111+AH1110*S1111+AI1110*T1111</f>
        <v/>
      </c>
      <c r="AL1111" s="9">
        <f>AVERAGE(L851:L1110)</f>
        <v/>
      </c>
    </row>
    <row r="1112">
      <c r="A1112" s="7" t="n">
        <v>45394</v>
      </c>
      <c r="B1112" s="8" t="n">
        <v>2401.5</v>
      </c>
      <c r="C1112" s="8" t="n">
        <v>2.39</v>
      </c>
      <c r="D1112" s="8" t="n">
        <v>2.11</v>
      </c>
      <c r="E1112" s="8" t="n">
        <v>106.040001</v>
      </c>
      <c r="F1112" s="8" t="n">
        <v>86.45999999999999</v>
      </c>
      <c r="G1112" s="8" t="n">
        <v>17.31</v>
      </c>
      <c r="H1112" s="8" t="n">
        <v>112.82</v>
      </c>
      <c r="I1112" s="8" t="n">
        <v>5123.410156</v>
      </c>
      <c r="J1112" s="8" t="n">
        <v>88.25367</v>
      </c>
      <c r="L1112" s="9">
        <f>LN(B1112/B1111)</f>
        <v/>
      </c>
      <c r="M1112" s="9">
        <f>$M$1*(C1112-C1111)</f>
        <v/>
      </c>
      <c r="N1112" s="9">
        <f>$N$1*(D1112-D1111)</f>
        <v/>
      </c>
      <c r="O1112" s="9">
        <f>$O$1*LN(E1112/E1111)</f>
        <v/>
      </c>
      <c r="P1112" s="9">
        <f>$P$1*LN(F1112/F1111)</f>
        <v/>
      </c>
      <c r="Q1112" s="9">
        <f>$Q$1*(G1112-G1111)</f>
        <v/>
      </c>
      <c r="R1112" s="9">
        <f>$R$1*(H1112-H1111)</f>
        <v/>
      </c>
      <c r="S1112" s="9">
        <f>$S$1*LN(I1112/I1111)</f>
        <v/>
      </c>
      <c r="T1112" s="9">
        <f>$T$1*LN(J1112/J1111)</f>
        <v/>
      </c>
      <c r="U1112" s="9">
        <f>$W$12+$W$4*M1112+$W$5*N1112+$W$6*O1112+$W$7*P1112+$W$8*Q1112+$W$9*R1112+$W$10*S1112+$W$11*T1112</f>
        <v/>
      </c>
      <c r="AA1112" s="10">
        <f>INDEX(LINEST(L853:L1112,M853:T1112,TRUE,TRUE),1,9)*52</f>
        <v/>
      </c>
      <c r="AB1112" s="9">
        <f>INDEX(LINEST(L853:L1112,M853:T1112,TRUE,TRUE),1,8)</f>
        <v/>
      </c>
      <c r="AC1112" s="9">
        <f>INDEX(LINEST(L853:L1112,M853:T1112,TRUE,TRUE),1,7)</f>
        <v/>
      </c>
      <c r="AD1112" s="9">
        <f>INDEX(LINEST(L853:L1112,M853:T1112,TRUE,TRUE),1,6)</f>
        <v/>
      </c>
      <c r="AE1112" s="9">
        <f>INDEX(LINEST(L853:L1112,M853:T1112,TRUE,TRUE),1,5)</f>
        <v/>
      </c>
      <c r="AF1112" s="9">
        <f>INDEX(LINEST(L853:L1112,M853:T1112,TRUE,TRUE),1,4)</f>
        <v/>
      </c>
      <c r="AG1112" s="9">
        <f>INDEX(LINEST(L853:L1112,M853:T1112,TRUE,TRUE),1,3)</f>
        <v/>
      </c>
      <c r="AH1112" s="9">
        <f>INDEX(LINEST(L853:L1112,M853:T1112,TRUE,TRUE),1,2)</f>
        <v/>
      </c>
      <c r="AI1112" s="9">
        <f>INDEX(LINEST(L853:L1112,M853:T1112,TRUE,TRUE),1,1)</f>
        <v/>
      </c>
      <c r="AJ1112" s="10">
        <f>INDEX(LINEST(L853:L1112,M853:T1112,TRUE,TRUE),3,1)</f>
        <v/>
      </c>
      <c r="AK1112" s="9">
        <f>AA1111/52+AB1111*M1112+AC1111*N1112+AD1111*O1112+AE1111*P1112+AF1111*Q1112+AG1111*R1112+AH1111*S1112+AI1111*T1112</f>
        <v/>
      </c>
      <c r="AL1112" s="9">
        <f>AVERAGE(L852:L1111)</f>
        <v/>
      </c>
    </row>
    <row r="1113">
      <c r="A1113" s="7" t="n">
        <v>45401</v>
      </c>
      <c r="B1113" s="8" t="n">
        <v>2379.7</v>
      </c>
      <c r="C1113" s="8" t="n">
        <v>2.41</v>
      </c>
      <c r="D1113" s="8" t="n">
        <v>2.21</v>
      </c>
      <c r="E1113" s="8" t="n">
        <v>106.150002</v>
      </c>
      <c r="F1113" s="8" t="n">
        <v>83.79000000000001</v>
      </c>
      <c r="G1113" s="8" t="n">
        <v>18.71</v>
      </c>
      <c r="H1113" s="8" t="n">
        <v>111.260002</v>
      </c>
      <c r="I1113" s="8" t="n">
        <v>4967.22998</v>
      </c>
      <c r="J1113" s="8" t="n">
        <v>87.72024500000001</v>
      </c>
      <c r="L1113" s="9">
        <f>LN(B1113/B1112)</f>
        <v/>
      </c>
      <c r="M1113" s="9">
        <f>$M$1*(C1113-C1112)</f>
        <v/>
      </c>
      <c r="N1113" s="9">
        <f>$N$1*(D1113-D1112)</f>
        <v/>
      </c>
      <c r="O1113" s="9">
        <f>$O$1*LN(E1113/E1112)</f>
        <v/>
      </c>
      <c r="P1113" s="9">
        <f>$P$1*LN(F1113/F1112)</f>
        <v/>
      </c>
      <c r="Q1113" s="9">
        <f>$Q$1*(G1113-G1112)</f>
        <v/>
      </c>
      <c r="R1113" s="9">
        <f>$R$1*(H1113-H1112)</f>
        <v/>
      </c>
      <c r="S1113" s="9">
        <f>$S$1*LN(I1113/I1112)</f>
        <v/>
      </c>
      <c r="T1113" s="9">
        <f>$T$1*LN(J1113/J1112)</f>
        <v/>
      </c>
      <c r="U1113" s="9">
        <f>$W$12+$W$4*M1113+$W$5*N1113+$W$6*O1113+$W$7*P1113+$W$8*Q1113+$W$9*R1113+$W$10*S1113+$W$11*T1113</f>
        <v/>
      </c>
      <c r="AA1113" s="10">
        <f>INDEX(LINEST(L854:L1113,M854:T1113,TRUE,TRUE),1,9)*52</f>
        <v/>
      </c>
      <c r="AB1113" s="9">
        <f>INDEX(LINEST(L854:L1113,M854:T1113,TRUE,TRUE),1,8)</f>
        <v/>
      </c>
      <c r="AC1113" s="9">
        <f>INDEX(LINEST(L854:L1113,M854:T1113,TRUE,TRUE),1,7)</f>
        <v/>
      </c>
      <c r="AD1113" s="9">
        <f>INDEX(LINEST(L854:L1113,M854:T1113,TRUE,TRUE),1,6)</f>
        <v/>
      </c>
      <c r="AE1113" s="9">
        <f>INDEX(LINEST(L854:L1113,M854:T1113,TRUE,TRUE),1,5)</f>
        <v/>
      </c>
      <c r="AF1113" s="9">
        <f>INDEX(LINEST(L854:L1113,M854:T1113,TRUE,TRUE),1,4)</f>
        <v/>
      </c>
      <c r="AG1113" s="9">
        <f>INDEX(LINEST(L854:L1113,M854:T1113,TRUE,TRUE),1,3)</f>
        <v/>
      </c>
      <c r="AH1113" s="9">
        <f>INDEX(LINEST(L854:L1113,M854:T1113,TRUE,TRUE),1,2)</f>
        <v/>
      </c>
      <c r="AI1113" s="9">
        <f>INDEX(LINEST(L854:L1113,M854:T1113,TRUE,TRUE),1,1)</f>
        <v/>
      </c>
      <c r="AJ1113" s="10">
        <f>INDEX(LINEST(L854:L1113,M854:T1113,TRUE,TRUE),3,1)</f>
        <v/>
      </c>
      <c r="AK1113" s="9">
        <f>AA1112/52+AB1112*M1113+AC1112*N1113+AD1112*O1113+AE1112*P1113+AF1112*Q1113+AG1112*R1113+AH1112*S1113+AI1112*T1113</f>
        <v/>
      </c>
      <c r="AL1113" s="9">
        <f>AVERAGE(L853:L1112)</f>
        <v/>
      </c>
    </row>
    <row r="1114">
      <c r="A1114" s="7" t="n">
        <v>45408</v>
      </c>
      <c r="B1114" s="8" t="n">
        <v>2343.1</v>
      </c>
      <c r="C1114" s="8" t="n">
        <v>2.43</v>
      </c>
      <c r="D1114" s="8" t="n">
        <v>2.24</v>
      </c>
      <c r="E1114" s="8" t="n">
        <v>105.940002</v>
      </c>
      <c r="F1114" s="8" t="n">
        <v>85.38</v>
      </c>
      <c r="G1114" s="8" t="n">
        <v>15.03</v>
      </c>
      <c r="H1114" s="8" t="n">
        <v>104.400002</v>
      </c>
      <c r="I1114" s="8" t="n">
        <v>5099.959961</v>
      </c>
      <c r="J1114" s="8" t="n">
        <v>87.674271</v>
      </c>
      <c r="L1114" s="9">
        <f>LN(B1114/B1113)</f>
        <v/>
      </c>
      <c r="M1114" s="9">
        <f>$M$1*(C1114-C1113)</f>
        <v/>
      </c>
      <c r="N1114" s="9">
        <f>$N$1*(D1114-D1113)</f>
        <v/>
      </c>
      <c r="O1114" s="9">
        <f>$O$1*LN(E1114/E1113)</f>
        <v/>
      </c>
      <c r="P1114" s="9">
        <f>$P$1*LN(F1114/F1113)</f>
        <v/>
      </c>
      <c r="Q1114" s="9">
        <f>$Q$1*(G1114-G1113)</f>
        <v/>
      </c>
      <c r="R1114" s="9">
        <f>$R$1*(H1114-H1113)</f>
        <v/>
      </c>
      <c r="S1114" s="9">
        <f>$S$1*LN(I1114/I1113)</f>
        <v/>
      </c>
      <c r="T1114" s="9">
        <f>$T$1*LN(J1114/J1113)</f>
        <v/>
      </c>
      <c r="U1114" s="9">
        <f>$W$12+$W$4*M1114+$W$5*N1114+$W$6*O1114+$W$7*P1114+$W$8*Q1114+$W$9*R1114+$W$10*S1114+$W$11*T1114</f>
        <v/>
      </c>
      <c r="AA1114" s="10">
        <f>INDEX(LINEST(L855:L1114,M855:T1114,TRUE,TRUE),1,9)*52</f>
        <v/>
      </c>
      <c r="AB1114" s="9">
        <f>INDEX(LINEST(L855:L1114,M855:T1114,TRUE,TRUE),1,8)</f>
        <v/>
      </c>
      <c r="AC1114" s="9">
        <f>INDEX(LINEST(L855:L1114,M855:T1114,TRUE,TRUE),1,7)</f>
        <v/>
      </c>
      <c r="AD1114" s="9">
        <f>INDEX(LINEST(L855:L1114,M855:T1114,TRUE,TRUE),1,6)</f>
        <v/>
      </c>
      <c r="AE1114" s="9">
        <f>INDEX(LINEST(L855:L1114,M855:T1114,TRUE,TRUE),1,5)</f>
        <v/>
      </c>
      <c r="AF1114" s="9">
        <f>INDEX(LINEST(L855:L1114,M855:T1114,TRUE,TRUE),1,4)</f>
        <v/>
      </c>
      <c r="AG1114" s="9">
        <f>INDEX(LINEST(L855:L1114,M855:T1114,TRUE,TRUE),1,3)</f>
        <v/>
      </c>
      <c r="AH1114" s="9">
        <f>INDEX(LINEST(L855:L1114,M855:T1114,TRUE,TRUE),1,2)</f>
        <v/>
      </c>
      <c r="AI1114" s="9">
        <f>INDEX(LINEST(L855:L1114,M855:T1114,TRUE,TRUE),1,1)</f>
        <v/>
      </c>
      <c r="AJ1114" s="10">
        <f>INDEX(LINEST(L855:L1114,M855:T1114,TRUE,TRUE),3,1)</f>
        <v/>
      </c>
      <c r="AK1114" s="9">
        <f>AA1113/52+AB1113*M1114+AC1113*N1114+AD1113*O1114+AE1113*P1114+AF1113*Q1114+AG1113*R1114+AH1113*S1114+AI1113*T1114</f>
        <v/>
      </c>
      <c r="AL1114" s="9">
        <f>AVERAGE(L854:L1113)</f>
        <v/>
      </c>
    </row>
    <row r="1115">
      <c r="A1115" s="7" t="n">
        <v>45415</v>
      </c>
      <c r="B1115" s="8" t="n">
        <v>2294.45</v>
      </c>
      <c r="C1115" s="8" t="n">
        <v>2.35</v>
      </c>
      <c r="D1115" s="8" t="n">
        <v>2.15</v>
      </c>
      <c r="E1115" s="8" t="n">
        <v>105.029999</v>
      </c>
      <c r="F1115" s="8" t="n">
        <v>79.65000000000001</v>
      </c>
      <c r="G1115" s="8" t="n">
        <v>13.49</v>
      </c>
      <c r="H1115" s="8" t="n">
        <v>95.959999</v>
      </c>
      <c r="I1115" s="8" t="n">
        <v>5127.790039</v>
      </c>
      <c r="J1115" s="8" t="n">
        <v>88.74009700000001</v>
      </c>
      <c r="L1115" s="9">
        <f>LN(B1115/B1114)</f>
        <v/>
      </c>
      <c r="M1115" s="9">
        <f>$M$1*(C1115-C1114)</f>
        <v/>
      </c>
      <c r="N1115" s="9">
        <f>$N$1*(D1115-D1114)</f>
        <v/>
      </c>
      <c r="O1115" s="9">
        <f>$O$1*LN(E1115/E1114)</f>
        <v/>
      </c>
      <c r="P1115" s="9">
        <f>$P$1*LN(F1115/F1114)</f>
        <v/>
      </c>
      <c r="Q1115" s="9">
        <f>$Q$1*(G1115-G1114)</f>
        <v/>
      </c>
      <c r="R1115" s="9">
        <f>$R$1*(H1115-H1114)</f>
        <v/>
      </c>
      <c r="S1115" s="9">
        <f>$S$1*LN(I1115/I1114)</f>
        <v/>
      </c>
      <c r="T1115" s="9">
        <f>$T$1*LN(J1115/J1114)</f>
        <v/>
      </c>
      <c r="U1115" s="9">
        <f>$W$12+$W$4*M1115+$W$5*N1115+$W$6*O1115+$W$7*P1115+$W$8*Q1115+$W$9*R1115+$W$10*S1115+$W$11*T1115</f>
        <v/>
      </c>
      <c r="AA1115" s="10">
        <f>INDEX(LINEST(L856:L1115,M856:T1115,TRUE,TRUE),1,9)*52</f>
        <v/>
      </c>
      <c r="AB1115" s="9">
        <f>INDEX(LINEST(L856:L1115,M856:T1115,TRUE,TRUE),1,8)</f>
        <v/>
      </c>
      <c r="AC1115" s="9">
        <f>INDEX(LINEST(L856:L1115,M856:T1115,TRUE,TRUE),1,7)</f>
        <v/>
      </c>
      <c r="AD1115" s="9">
        <f>INDEX(LINEST(L856:L1115,M856:T1115,TRUE,TRUE),1,6)</f>
        <v/>
      </c>
      <c r="AE1115" s="9">
        <f>INDEX(LINEST(L856:L1115,M856:T1115,TRUE,TRUE),1,5)</f>
        <v/>
      </c>
      <c r="AF1115" s="9">
        <f>INDEX(LINEST(L856:L1115,M856:T1115,TRUE,TRUE),1,4)</f>
        <v/>
      </c>
      <c r="AG1115" s="9">
        <f>INDEX(LINEST(L856:L1115,M856:T1115,TRUE,TRUE),1,3)</f>
        <v/>
      </c>
      <c r="AH1115" s="9">
        <f>INDEX(LINEST(L856:L1115,M856:T1115,TRUE,TRUE),1,2)</f>
        <v/>
      </c>
      <c r="AI1115" s="9">
        <f>INDEX(LINEST(L856:L1115,M856:T1115,TRUE,TRUE),1,1)</f>
        <v/>
      </c>
      <c r="AJ1115" s="10">
        <f>INDEX(LINEST(L856:L1115,M856:T1115,TRUE,TRUE),3,1)</f>
        <v/>
      </c>
      <c r="AK1115" s="9">
        <f>AA1114/52+AB1114*M1115+AC1114*N1115+AD1114*O1115+AE1114*P1115+AF1114*Q1115+AG1114*R1115+AH1114*S1115+AI1114*T1115</f>
        <v/>
      </c>
      <c r="AL1115" s="9">
        <f>AVERAGE(L855:L1114)</f>
        <v/>
      </c>
    </row>
    <row r="1116">
      <c r="A1116" s="7" t="n">
        <v>45422</v>
      </c>
      <c r="B1116" s="8" t="n">
        <v>2372.45</v>
      </c>
      <c r="C1116" s="8" t="n">
        <v>2.34</v>
      </c>
      <c r="D1116" s="8" t="n">
        <v>2.16</v>
      </c>
      <c r="E1116" s="8" t="n">
        <v>105.309998</v>
      </c>
      <c r="F1116" s="8" t="n">
        <v>79.81</v>
      </c>
      <c r="G1116" s="8" t="n">
        <v>12.55</v>
      </c>
      <c r="H1116" s="8" t="n">
        <v>94.230003</v>
      </c>
      <c r="I1116" s="8" t="n">
        <v>5222.680176</v>
      </c>
      <c r="J1116" s="8" t="n">
        <v>88.786224</v>
      </c>
      <c r="L1116" s="9">
        <f>LN(B1116/B1115)</f>
        <v/>
      </c>
      <c r="M1116" s="9">
        <f>$M$1*(C1116-C1115)</f>
        <v/>
      </c>
      <c r="N1116" s="9">
        <f>$N$1*(D1116-D1115)</f>
        <v/>
      </c>
      <c r="O1116" s="9">
        <f>$O$1*LN(E1116/E1115)</f>
        <v/>
      </c>
      <c r="P1116" s="9">
        <f>$P$1*LN(F1116/F1115)</f>
        <v/>
      </c>
      <c r="Q1116" s="9">
        <f>$Q$1*(G1116-G1115)</f>
        <v/>
      </c>
      <c r="R1116" s="9">
        <f>$R$1*(H1116-H1115)</f>
        <v/>
      </c>
      <c r="S1116" s="9">
        <f>$S$1*LN(I1116/I1115)</f>
        <v/>
      </c>
      <c r="T1116" s="9">
        <f>$T$1*LN(J1116/J1115)</f>
        <v/>
      </c>
      <c r="U1116" s="9">
        <f>$W$12+$W$4*M1116+$W$5*N1116+$W$6*O1116+$W$7*P1116+$W$8*Q1116+$W$9*R1116+$W$10*S1116+$W$11*T1116</f>
        <v/>
      </c>
      <c r="AA1116" s="10">
        <f>INDEX(LINEST(L857:L1116,M857:T1116,TRUE,TRUE),1,9)*52</f>
        <v/>
      </c>
      <c r="AB1116" s="9">
        <f>INDEX(LINEST(L857:L1116,M857:T1116,TRUE,TRUE),1,8)</f>
        <v/>
      </c>
      <c r="AC1116" s="9">
        <f>INDEX(LINEST(L857:L1116,M857:T1116,TRUE,TRUE),1,7)</f>
        <v/>
      </c>
      <c r="AD1116" s="9">
        <f>INDEX(LINEST(L857:L1116,M857:T1116,TRUE,TRUE),1,6)</f>
        <v/>
      </c>
      <c r="AE1116" s="9">
        <f>INDEX(LINEST(L857:L1116,M857:T1116,TRUE,TRUE),1,5)</f>
        <v/>
      </c>
      <c r="AF1116" s="9">
        <f>INDEX(LINEST(L857:L1116,M857:T1116,TRUE,TRUE),1,4)</f>
        <v/>
      </c>
      <c r="AG1116" s="9">
        <f>INDEX(LINEST(L857:L1116,M857:T1116,TRUE,TRUE),1,3)</f>
        <v/>
      </c>
      <c r="AH1116" s="9">
        <f>INDEX(LINEST(L857:L1116,M857:T1116,TRUE,TRUE),1,2)</f>
        <v/>
      </c>
      <c r="AI1116" s="9">
        <f>INDEX(LINEST(L857:L1116,M857:T1116,TRUE,TRUE),1,1)</f>
        <v/>
      </c>
      <c r="AJ1116" s="10">
        <f>INDEX(LINEST(L857:L1116,M857:T1116,TRUE,TRUE),3,1)</f>
        <v/>
      </c>
      <c r="AK1116" s="9">
        <f>AA1115/52+AB1115*M1116+AC1115*N1116+AD1115*O1116+AE1115*P1116+AF1115*Q1116+AG1115*R1116+AH1115*S1116+AI1115*T1116</f>
        <v/>
      </c>
      <c r="AL1116" s="9">
        <f>AVERAGE(L856:L1115)</f>
        <v/>
      </c>
    </row>
    <row r="1117">
      <c r="A1117" s="7" t="n">
        <v>45429</v>
      </c>
      <c r="B1117" s="8" t="n">
        <v>2402.6</v>
      </c>
      <c r="C1117" s="8" t="n">
        <v>2.32</v>
      </c>
      <c r="D1117" s="8" t="n">
        <v>2.1</v>
      </c>
      <c r="E1117" s="8" t="n">
        <v>104.449997</v>
      </c>
      <c r="F1117" s="8" t="n">
        <v>81.66</v>
      </c>
      <c r="G1117" s="8" t="n">
        <v>11.99</v>
      </c>
      <c r="H1117" s="8" t="n">
        <v>89.349998</v>
      </c>
      <c r="I1117" s="8" t="n">
        <v>5303.27002</v>
      </c>
      <c r="J1117" s="8" t="n">
        <v>89.27516199999999</v>
      </c>
      <c r="L1117" s="9">
        <f>LN(B1117/B1116)</f>
        <v/>
      </c>
      <c r="M1117" s="9">
        <f>$M$1*(C1117-C1116)</f>
        <v/>
      </c>
      <c r="N1117" s="9">
        <f>$N$1*(D1117-D1116)</f>
        <v/>
      </c>
      <c r="O1117" s="9">
        <f>$O$1*LN(E1117/E1116)</f>
        <v/>
      </c>
      <c r="P1117" s="9">
        <f>$P$1*LN(F1117/F1116)</f>
        <v/>
      </c>
      <c r="Q1117" s="9">
        <f>$Q$1*(G1117-G1116)</f>
        <v/>
      </c>
      <c r="R1117" s="9">
        <f>$R$1*(H1117-H1116)</f>
        <v/>
      </c>
      <c r="S1117" s="9">
        <f>$S$1*LN(I1117/I1116)</f>
        <v/>
      </c>
      <c r="T1117" s="9">
        <f>$T$1*LN(J1117/J1116)</f>
        <v/>
      </c>
      <c r="U1117" s="9">
        <f>$W$12+$W$4*M1117+$W$5*N1117+$W$6*O1117+$W$7*P1117+$W$8*Q1117+$W$9*R1117+$W$10*S1117+$W$11*T1117</f>
        <v/>
      </c>
      <c r="AA1117" s="10">
        <f>INDEX(LINEST(L858:L1117,M858:T1117,TRUE,TRUE),1,9)*52</f>
        <v/>
      </c>
      <c r="AB1117" s="9">
        <f>INDEX(LINEST(L858:L1117,M858:T1117,TRUE,TRUE),1,8)</f>
        <v/>
      </c>
      <c r="AC1117" s="9">
        <f>INDEX(LINEST(L858:L1117,M858:T1117,TRUE,TRUE),1,7)</f>
        <v/>
      </c>
      <c r="AD1117" s="9">
        <f>INDEX(LINEST(L858:L1117,M858:T1117,TRUE,TRUE),1,6)</f>
        <v/>
      </c>
      <c r="AE1117" s="9">
        <f>INDEX(LINEST(L858:L1117,M858:T1117,TRUE,TRUE),1,5)</f>
        <v/>
      </c>
      <c r="AF1117" s="9">
        <f>INDEX(LINEST(L858:L1117,M858:T1117,TRUE,TRUE),1,4)</f>
        <v/>
      </c>
      <c r="AG1117" s="9">
        <f>INDEX(LINEST(L858:L1117,M858:T1117,TRUE,TRUE),1,3)</f>
        <v/>
      </c>
      <c r="AH1117" s="9">
        <f>INDEX(LINEST(L858:L1117,M858:T1117,TRUE,TRUE),1,2)</f>
        <v/>
      </c>
      <c r="AI1117" s="9">
        <f>INDEX(LINEST(L858:L1117,M858:T1117,TRUE,TRUE),1,1)</f>
        <v/>
      </c>
      <c r="AJ1117" s="10">
        <f>INDEX(LINEST(L858:L1117,M858:T1117,TRUE,TRUE),3,1)</f>
        <v/>
      </c>
      <c r="AK1117" s="9">
        <f>AA1116/52+AB1116*M1117+AC1116*N1117+AD1116*O1117+AE1116*P1117+AF1116*Q1117+AG1116*R1117+AH1116*S1117+AI1116*T1117</f>
        <v/>
      </c>
      <c r="AL1117" s="9">
        <f>AVERAGE(L857:L1116)</f>
        <v/>
      </c>
    </row>
    <row r="1118">
      <c r="A1118" s="7" t="n">
        <v>45436</v>
      </c>
      <c r="B1118" s="8" t="n">
        <v>2342.7</v>
      </c>
      <c r="C1118" s="8" t="n">
        <v>2.32</v>
      </c>
      <c r="D1118" s="8" t="n">
        <v>2.14</v>
      </c>
      <c r="E1118" s="8" t="n">
        <v>104.720001</v>
      </c>
      <c r="F1118" s="8" t="n">
        <v>78.48</v>
      </c>
      <c r="G1118" s="8" t="n">
        <v>11.93</v>
      </c>
      <c r="H1118" s="8" t="n">
        <v>83.56999999999999</v>
      </c>
      <c r="I1118" s="8" t="n">
        <v>5304.720215</v>
      </c>
      <c r="J1118" s="8" t="n">
        <v>89.099892</v>
      </c>
      <c r="L1118" s="9">
        <f>LN(B1118/B1117)</f>
        <v/>
      </c>
      <c r="M1118" s="9">
        <f>$M$1*(C1118-C1117)</f>
        <v/>
      </c>
      <c r="N1118" s="9">
        <f>$N$1*(D1118-D1117)</f>
        <v/>
      </c>
      <c r="O1118" s="9">
        <f>$O$1*LN(E1118/E1117)</f>
        <v/>
      </c>
      <c r="P1118" s="9">
        <f>$P$1*LN(F1118/F1117)</f>
        <v/>
      </c>
      <c r="Q1118" s="9">
        <f>$Q$1*(G1118-G1117)</f>
        <v/>
      </c>
      <c r="R1118" s="9">
        <f>$R$1*(H1118-H1117)</f>
        <v/>
      </c>
      <c r="S1118" s="9">
        <f>$S$1*LN(I1118/I1117)</f>
        <v/>
      </c>
      <c r="T1118" s="9">
        <f>$T$1*LN(J1118/J1117)</f>
        <v/>
      </c>
      <c r="U1118" s="9">
        <f>$W$12+$W$4*M1118+$W$5*N1118+$W$6*O1118+$W$7*P1118+$W$8*Q1118+$W$9*R1118+$W$10*S1118+$W$11*T1118</f>
        <v/>
      </c>
      <c r="AA1118" s="10">
        <f>INDEX(LINEST(L859:L1118,M859:T1118,TRUE,TRUE),1,9)*52</f>
        <v/>
      </c>
      <c r="AB1118" s="9">
        <f>INDEX(LINEST(L859:L1118,M859:T1118,TRUE,TRUE),1,8)</f>
        <v/>
      </c>
      <c r="AC1118" s="9">
        <f>INDEX(LINEST(L859:L1118,M859:T1118,TRUE,TRUE),1,7)</f>
        <v/>
      </c>
      <c r="AD1118" s="9">
        <f>INDEX(LINEST(L859:L1118,M859:T1118,TRUE,TRUE),1,6)</f>
        <v/>
      </c>
      <c r="AE1118" s="9">
        <f>INDEX(LINEST(L859:L1118,M859:T1118,TRUE,TRUE),1,5)</f>
        <v/>
      </c>
      <c r="AF1118" s="9">
        <f>INDEX(LINEST(L859:L1118,M859:T1118,TRUE,TRUE),1,4)</f>
        <v/>
      </c>
      <c r="AG1118" s="9">
        <f>INDEX(LINEST(L859:L1118,M859:T1118,TRUE,TRUE),1,3)</f>
        <v/>
      </c>
      <c r="AH1118" s="9">
        <f>INDEX(LINEST(L859:L1118,M859:T1118,TRUE,TRUE),1,2)</f>
        <v/>
      </c>
      <c r="AI1118" s="9">
        <f>INDEX(LINEST(L859:L1118,M859:T1118,TRUE,TRUE),1,1)</f>
        <v/>
      </c>
      <c r="AJ1118" s="10">
        <f>INDEX(LINEST(L859:L1118,M859:T1118,TRUE,TRUE),3,1)</f>
        <v/>
      </c>
      <c r="AK1118" s="9">
        <f>AA1117/52+AB1117*M1118+AC1117*N1118+AD1117*O1118+AE1117*P1118+AF1117*Q1118+AG1117*R1118+AH1117*S1118+AI1117*T1118</f>
        <v/>
      </c>
      <c r="AL1118" s="9">
        <f>AVERAGE(L858:L1117)</f>
        <v/>
      </c>
    </row>
    <row r="1119">
      <c r="A1119" s="7" t="n">
        <v>45443</v>
      </c>
      <c r="B1119" s="8" t="n">
        <v>2348.25</v>
      </c>
      <c r="C1119" s="8" t="n">
        <v>2.35</v>
      </c>
      <c r="D1119" s="8" t="n">
        <v>2.16</v>
      </c>
      <c r="E1119" s="8" t="n">
        <v>104.669998</v>
      </c>
      <c r="F1119" s="8" t="n">
        <v>77.97</v>
      </c>
      <c r="G1119" s="8" t="n">
        <v>12.92</v>
      </c>
      <c r="H1119" s="8" t="n">
        <v>91.139999</v>
      </c>
      <c r="I1119" s="8" t="n">
        <v>5277.509766</v>
      </c>
      <c r="J1119" s="8" t="n">
        <v>89.044518</v>
      </c>
      <c r="L1119" s="9">
        <f>LN(B1119/B1118)</f>
        <v/>
      </c>
      <c r="M1119" s="9">
        <f>$M$1*(C1119-C1118)</f>
        <v/>
      </c>
      <c r="N1119" s="9">
        <f>$N$1*(D1119-D1118)</f>
        <v/>
      </c>
      <c r="O1119" s="9">
        <f>$O$1*LN(E1119/E1118)</f>
        <v/>
      </c>
      <c r="P1119" s="9">
        <f>$P$1*LN(F1119/F1118)</f>
        <v/>
      </c>
      <c r="Q1119" s="9">
        <f>$Q$1*(G1119-G1118)</f>
        <v/>
      </c>
      <c r="R1119" s="9">
        <f>$R$1*(H1119-H1118)</f>
        <v/>
      </c>
      <c r="S1119" s="9">
        <f>$S$1*LN(I1119/I1118)</f>
        <v/>
      </c>
      <c r="T1119" s="9">
        <f>$T$1*LN(J1119/J1118)</f>
        <v/>
      </c>
      <c r="U1119" s="9">
        <f>$W$12+$W$4*M1119+$W$5*N1119+$W$6*O1119+$W$7*P1119+$W$8*Q1119+$W$9*R1119+$W$10*S1119+$W$11*T1119</f>
        <v/>
      </c>
      <c r="AA1119" s="10">
        <f>INDEX(LINEST(L860:L1119,M860:T1119,TRUE,TRUE),1,9)*52</f>
        <v/>
      </c>
      <c r="AB1119" s="9">
        <f>INDEX(LINEST(L860:L1119,M860:T1119,TRUE,TRUE),1,8)</f>
        <v/>
      </c>
      <c r="AC1119" s="9">
        <f>INDEX(LINEST(L860:L1119,M860:T1119,TRUE,TRUE),1,7)</f>
        <v/>
      </c>
      <c r="AD1119" s="9">
        <f>INDEX(LINEST(L860:L1119,M860:T1119,TRUE,TRUE),1,6)</f>
        <v/>
      </c>
      <c r="AE1119" s="9">
        <f>INDEX(LINEST(L860:L1119,M860:T1119,TRUE,TRUE),1,5)</f>
        <v/>
      </c>
      <c r="AF1119" s="9">
        <f>INDEX(LINEST(L860:L1119,M860:T1119,TRUE,TRUE),1,4)</f>
        <v/>
      </c>
      <c r="AG1119" s="9">
        <f>INDEX(LINEST(L860:L1119,M860:T1119,TRUE,TRUE),1,3)</f>
        <v/>
      </c>
      <c r="AH1119" s="9">
        <f>INDEX(LINEST(L860:L1119,M860:T1119,TRUE,TRUE),1,2)</f>
        <v/>
      </c>
      <c r="AI1119" s="9">
        <f>INDEX(LINEST(L860:L1119,M860:T1119,TRUE,TRUE),1,1)</f>
        <v/>
      </c>
      <c r="AJ1119" s="10">
        <f>INDEX(LINEST(L860:L1119,M860:T1119,TRUE,TRUE),3,1)</f>
        <v/>
      </c>
      <c r="AK1119" s="9">
        <f>AA1118/52+AB1118*M1119+AC1118*N1119+AD1118*O1119+AE1118*P1119+AF1118*Q1119+AG1118*R1119+AH1118*S1119+AI1118*T1119</f>
        <v/>
      </c>
      <c r="AL1119" s="9">
        <f>AVERAGE(L859:L1118)</f>
        <v/>
      </c>
    </row>
    <row r="1120">
      <c r="A1120" s="7" t="n">
        <v>45450</v>
      </c>
      <c r="B1120" s="8" t="n">
        <v>2310.8</v>
      </c>
      <c r="C1120" s="8" t="n">
        <v>2.3</v>
      </c>
      <c r="D1120" s="8" t="n">
        <v>2.13</v>
      </c>
      <c r="E1120" s="8" t="n">
        <v>104.889999</v>
      </c>
      <c r="F1120" s="8" t="n">
        <v>76.53</v>
      </c>
      <c r="G1120" s="8" t="n">
        <v>12.22</v>
      </c>
      <c r="H1120" s="8" t="n">
        <v>91.81999999999999</v>
      </c>
      <c r="I1120" s="8" t="n">
        <v>5346.990234</v>
      </c>
      <c r="J1120" s="8" t="n">
        <v>89.41658</v>
      </c>
      <c r="L1120" s="9">
        <f>LN(B1120/B1119)</f>
        <v/>
      </c>
      <c r="M1120" s="9">
        <f>$M$1*(C1120-C1119)</f>
        <v/>
      </c>
      <c r="N1120" s="9">
        <f>$N$1*(D1120-D1119)</f>
        <v/>
      </c>
      <c r="O1120" s="9">
        <f>$O$1*LN(E1120/E1119)</f>
        <v/>
      </c>
      <c r="P1120" s="9">
        <f>$P$1*LN(F1120/F1119)</f>
        <v/>
      </c>
      <c r="Q1120" s="9">
        <f>$Q$1*(G1120-G1119)</f>
        <v/>
      </c>
      <c r="R1120" s="9">
        <f>$R$1*(H1120-H1119)</f>
        <v/>
      </c>
      <c r="S1120" s="9">
        <f>$S$1*LN(I1120/I1119)</f>
        <v/>
      </c>
      <c r="T1120" s="9">
        <f>$T$1*LN(J1120/J1119)</f>
        <v/>
      </c>
      <c r="U1120" s="9">
        <f>$W$12+$W$4*M1120+$W$5*N1120+$W$6*O1120+$W$7*P1120+$W$8*Q1120+$W$9*R1120+$W$10*S1120+$W$11*T1120</f>
        <v/>
      </c>
      <c r="AA1120" s="10">
        <f>INDEX(LINEST(L861:L1120,M861:T1120,TRUE,TRUE),1,9)*52</f>
        <v/>
      </c>
      <c r="AB1120" s="9">
        <f>INDEX(LINEST(L861:L1120,M861:T1120,TRUE,TRUE),1,8)</f>
        <v/>
      </c>
      <c r="AC1120" s="9">
        <f>INDEX(LINEST(L861:L1120,M861:T1120,TRUE,TRUE),1,7)</f>
        <v/>
      </c>
      <c r="AD1120" s="9">
        <f>INDEX(LINEST(L861:L1120,M861:T1120,TRUE,TRUE),1,6)</f>
        <v/>
      </c>
      <c r="AE1120" s="9">
        <f>INDEX(LINEST(L861:L1120,M861:T1120,TRUE,TRUE),1,5)</f>
        <v/>
      </c>
      <c r="AF1120" s="9">
        <f>INDEX(LINEST(L861:L1120,M861:T1120,TRUE,TRUE),1,4)</f>
        <v/>
      </c>
      <c r="AG1120" s="9">
        <f>INDEX(LINEST(L861:L1120,M861:T1120,TRUE,TRUE),1,3)</f>
        <v/>
      </c>
      <c r="AH1120" s="9">
        <f>INDEX(LINEST(L861:L1120,M861:T1120,TRUE,TRUE),1,2)</f>
        <v/>
      </c>
      <c r="AI1120" s="9">
        <f>INDEX(LINEST(L861:L1120,M861:T1120,TRUE,TRUE),1,1)</f>
        <v/>
      </c>
      <c r="AJ1120" s="10">
        <f>INDEX(LINEST(L861:L1120,M861:T1120,TRUE,TRUE),3,1)</f>
        <v/>
      </c>
      <c r="AK1120" s="9">
        <f>AA1119/52+AB1119*M1120+AC1119*N1120+AD1119*O1120+AE1119*P1120+AF1119*Q1120+AG1119*R1120+AH1119*S1120+AI1119*T1120</f>
        <v/>
      </c>
      <c r="AL1120" s="9">
        <f>AVERAGE(L860:L1119)</f>
        <v/>
      </c>
    </row>
    <row r="1121">
      <c r="A1121" s="7" t="n">
        <v>45457</v>
      </c>
      <c r="B1121" s="8" t="n">
        <v>2330.45</v>
      </c>
      <c r="C1121" s="8" t="n">
        <v>2.17</v>
      </c>
      <c r="D1121" s="8" t="n">
        <v>2.03</v>
      </c>
      <c r="E1121" s="8" t="n">
        <v>105.550003</v>
      </c>
      <c r="F1121" s="8" t="n">
        <v>79.41</v>
      </c>
      <c r="G1121" s="8" t="n">
        <v>12.66</v>
      </c>
      <c r="H1121" s="8" t="n">
        <v>100.160004</v>
      </c>
      <c r="I1121" s="8" t="n">
        <v>5431.600098</v>
      </c>
      <c r="J1121" s="8" t="n">
        <v>90.619629</v>
      </c>
      <c r="L1121" s="9">
        <f>LN(B1121/B1120)</f>
        <v/>
      </c>
      <c r="M1121" s="9">
        <f>$M$1*(C1121-C1120)</f>
        <v/>
      </c>
      <c r="N1121" s="9">
        <f>$N$1*(D1121-D1120)</f>
        <v/>
      </c>
      <c r="O1121" s="9">
        <f>$O$1*LN(E1121/E1120)</f>
        <v/>
      </c>
      <c r="P1121" s="9">
        <f>$P$1*LN(F1121/F1120)</f>
        <v/>
      </c>
      <c r="Q1121" s="9">
        <f>$Q$1*(G1121-G1120)</f>
        <v/>
      </c>
      <c r="R1121" s="9">
        <f>$R$1*(H1121-H1120)</f>
        <v/>
      </c>
      <c r="S1121" s="9">
        <f>$S$1*LN(I1121/I1120)</f>
        <v/>
      </c>
      <c r="T1121" s="9">
        <f>$T$1*LN(J1121/J1120)</f>
        <v/>
      </c>
      <c r="U1121" s="9">
        <f>$W$12+$W$4*M1121+$W$5*N1121+$W$6*O1121+$W$7*P1121+$W$8*Q1121+$W$9*R1121+$W$10*S1121+$W$11*T1121</f>
        <v/>
      </c>
      <c r="AA1121" s="10">
        <f>INDEX(LINEST(L862:L1121,M862:T1121,TRUE,TRUE),1,9)*52</f>
        <v/>
      </c>
      <c r="AB1121" s="9">
        <f>INDEX(LINEST(L862:L1121,M862:T1121,TRUE,TRUE),1,8)</f>
        <v/>
      </c>
      <c r="AC1121" s="9">
        <f>INDEX(LINEST(L862:L1121,M862:T1121,TRUE,TRUE),1,7)</f>
        <v/>
      </c>
      <c r="AD1121" s="9">
        <f>INDEX(LINEST(L862:L1121,M862:T1121,TRUE,TRUE),1,6)</f>
        <v/>
      </c>
      <c r="AE1121" s="9">
        <f>INDEX(LINEST(L862:L1121,M862:T1121,TRUE,TRUE),1,5)</f>
        <v/>
      </c>
      <c r="AF1121" s="9">
        <f>INDEX(LINEST(L862:L1121,M862:T1121,TRUE,TRUE),1,4)</f>
        <v/>
      </c>
      <c r="AG1121" s="9">
        <f>INDEX(LINEST(L862:L1121,M862:T1121,TRUE,TRUE),1,3)</f>
        <v/>
      </c>
      <c r="AH1121" s="9">
        <f>INDEX(LINEST(L862:L1121,M862:T1121,TRUE,TRUE),1,2)</f>
        <v/>
      </c>
      <c r="AI1121" s="9">
        <f>INDEX(LINEST(L862:L1121,M862:T1121,TRUE,TRUE),1,1)</f>
        <v/>
      </c>
      <c r="AJ1121" s="10">
        <f>INDEX(LINEST(L862:L1121,M862:T1121,TRUE,TRUE),3,1)</f>
        <v/>
      </c>
      <c r="AK1121" s="9">
        <f>AA1120/52+AB1120*M1121+AC1120*N1121+AD1120*O1121+AE1120*P1121+AF1120*Q1121+AG1120*R1121+AH1120*S1121+AI1120*T1121</f>
        <v/>
      </c>
      <c r="AL1121" s="9">
        <f>AVERAGE(L861:L1120)</f>
        <v/>
      </c>
    </row>
    <row r="1122">
      <c r="A1122" s="7" t="n">
        <v>45464</v>
      </c>
      <c r="B1122" s="8" t="n">
        <v>2335.05</v>
      </c>
      <c r="C1122" s="8" t="n">
        <v>2.23</v>
      </c>
      <c r="D1122" s="8" t="n">
        <v>2.02</v>
      </c>
      <c r="E1122" s="8" t="n">
        <v>105.800003</v>
      </c>
      <c r="F1122" s="8" t="n">
        <v>81.70999999999999</v>
      </c>
      <c r="G1122" s="8" t="n">
        <v>13.2</v>
      </c>
      <c r="H1122" s="8" t="n">
        <v>94.089996</v>
      </c>
      <c r="I1122" s="8" t="n">
        <v>5464.620117</v>
      </c>
      <c r="J1122" s="8" t="n">
        <v>90.471581</v>
      </c>
      <c r="L1122" s="9">
        <f>LN(B1122/B1121)</f>
        <v/>
      </c>
      <c r="M1122" s="9">
        <f>$M$1*(C1122-C1121)</f>
        <v/>
      </c>
      <c r="N1122" s="9">
        <f>$N$1*(D1122-D1121)</f>
        <v/>
      </c>
      <c r="O1122" s="9">
        <f>$O$1*LN(E1122/E1121)</f>
        <v/>
      </c>
      <c r="P1122" s="9">
        <f>$P$1*LN(F1122/F1121)</f>
        <v/>
      </c>
      <c r="Q1122" s="9">
        <f>$Q$1*(G1122-G1121)</f>
        <v/>
      </c>
      <c r="R1122" s="9">
        <f>$R$1*(H1122-H1121)</f>
        <v/>
      </c>
      <c r="S1122" s="9">
        <f>$S$1*LN(I1122/I1121)</f>
        <v/>
      </c>
      <c r="T1122" s="9">
        <f>$T$1*LN(J1122/J1121)</f>
        <v/>
      </c>
      <c r="U1122" s="9">
        <f>$W$12+$W$4*M1122+$W$5*N1122+$W$6*O1122+$W$7*P1122+$W$8*Q1122+$W$9*R1122+$W$10*S1122+$W$11*T1122</f>
        <v/>
      </c>
      <c r="AA1122" s="10">
        <f>INDEX(LINEST(L863:L1122,M863:T1122,TRUE,TRUE),1,9)*52</f>
        <v/>
      </c>
      <c r="AB1122" s="9">
        <f>INDEX(LINEST(L863:L1122,M863:T1122,TRUE,TRUE),1,8)</f>
        <v/>
      </c>
      <c r="AC1122" s="9">
        <f>INDEX(LINEST(L863:L1122,M863:T1122,TRUE,TRUE),1,7)</f>
        <v/>
      </c>
      <c r="AD1122" s="9">
        <f>INDEX(LINEST(L863:L1122,M863:T1122,TRUE,TRUE),1,6)</f>
        <v/>
      </c>
      <c r="AE1122" s="9">
        <f>INDEX(LINEST(L863:L1122,M863:T1122,TRUE,TRUE),1,5)</f>
        <v/>
      </c>
      <c r="AF1122" s="9">
        <f>INDEX(LINEST(L863:L1122,M863:T1122,TRUE,TRUE),1,4)</f>
        <v/>
      </c>
      <c r="AG1122" s="9">
        <f>INDEX(LINEST(L863:L1122,M863:T1122,TRUE,TRUE),1,3)</f>
        <v/>
      </c>
      <c r="AH1122" s="9">
        <f>INDEX(LINEST(L863:L1122,M863:T1122,TRUE,TRUE),1,2)</f>
        <v/>
      </c>
      <c r="AI1122" s="9">
        <f>INDEX(LINEST(L863:L1122,M863:T1122,TRUE,TRUE),1,1)</f>
        <v/>
      </c>
      <c r="AJ1122" s="10">
        <f>INDEX(LINEST(L863:L1122,M863:T1122,TRUE,TRUE),3,1)</f>
        <v/>
      </c>
      <c r="AK1122" s="9">
        <f>AA1121/52+AB1121*M1122+AC1121*N1122+AD1121*O1122+AE1121*P1122+AF1121*Q1122+AG1121*R1122+AH1121*S1122+AI1121*T1122</f>
        <v/>
      </c>
      <c r="AL1122" s="9">
        <f>AVERAGE(L862:L1121)</f>
        <v/>
      </c>
    </row>
    <row r="1123">
      <c r="A1123" s="7" t="n">
        <v>45471</v>
      </c>
      <c r="B1123" s="8" t="n">
        <v>2330.9</v>
      </c>
      <c r="C1123" s="8" t="n">
        <v>2.28</v>
      </c>
      <c r="D1123" s="8" t="n">
        <v>2.08</v>
      </c>
      <c r="E1123" s="8" t="n">
        <v>105.870003</v>
      </c>
      <c r="F1123" s="8" t="n">
        <v>82.83</v>
      </c>
      <c r="G1123" s="8" t="n">
        <v>12.44</v>
      </c>
      <c r="H1123" s="8" t="n">
        <v>98.589996</v>
      </c>
      <c r="I1123" s="8" t="n">
        <v>5460.47998</v>
      </c>
      <c r="J1123" s="8" t="n">
        <v>89.83300800000001</v>
      </c>
      <c r="L1123" s="9">
        <f>LN(B1123/B1122)</f>
        <v/>
      </c>
      <c r="M1123" s="9">
        <f>$M$1*(C1123-C1122)</f>
        <v/>
      </c>
      <c r="N1123" s="9">
        <f>$N$1*(D1123-D1122)</f>
        <v/>
      </c>
      <c r="O1123" s="9">
        <f>$O$1*LN(E1123/E1122)</f>
        <v/>
      </c>
      <c r="P1123" s="9">
        <f>$P$1*LN(F1123/F1122)</f>
        <v/>
      </c>
      <c r="Q1123" s="9">
        <f>$Q$1*(G1123-G1122)</f>
        <v/>
      </c>
      <c r="R1123" s="9">
        <f>$R$1*(H1123-H1122)</f>
        <v/>
      </c>
      <c r="S1123" s="9">
        <f>$S$1*LN(I1123/I1122)</f>
        <v/>
      </c>
      <c r="T1123" s="9">
        <f>$T$1*LN(J1123/J1122)</f>
        <v/>
      </c>
      <c r="U1123" s="9">
        <f>$W$12+$W$4*M1123+$W$5*N1123+$W$6*O1123+$W$7*P1123+$W$8*Q1123+$W$9*R1123+$W$10*S1123+$W$11*T1123</f>
        <v/>
      </c>
      <c r="AA1123" s="10">
        <f>INDEX(LINEST(L864:L1123,M864:T1123,TRUE,TRUE),1,9)*52</f>
        <v/>
      </c>
      <c r="AB1123" s="9">
        <f>INDEX(LINEST(L864:L1123,M864:T1123,TRUE,TRUE),1,8)</f>
        <v/>
      </c>
      <c r="AC1123" s="9">
        <f>INDEX(LINEST(L864:L1123,M864:T1123,TRUE,TRUE),1,7)</f>
        <v/>
      </c>
      <c r="AD1123" s="9">
        <f>INDEX(LINEST(L864:L1123,M864:T1123,TRUE,TRUE),1,6)</f>
        <v/>
      </c>
      <c r="AE1123" s="9">
        <f>INDEX(LINEST(L864:L1123,M864:T1123,TRUE,TRUE),1,5)</f>
        <v/>
      </c>
      <c r="AF1123" s="9">
        <f>INDEX(LINEST(L864:L1123,M864:T1123,TRUE,TRUE),1,4)</f>
        <v/>
      </c>
      <c r="AG1123" s="9">
        <f>INDEX(LINEST(L864:L1123,M864:T1123,TRUE,TRUE),1,3)</f>
        <v/>
      </c>
      <c r="AH1123" s="9">
        <f>INDEX(LINEST(L864:L1123,M864:T1123,TRUE,TRUE),1,2)</f>
        <v/>
      </c>
      <c r="AI1123" s="9">
        <f>INDEX(LINEST(L864:L1123,M864:T1123,TRUE,TRUE),1,1)</f>
        <v/>
      </c>
      <c r="AJ1123" s="10">
        <f>INDEX(LINEST(L864:L1123,M864:T1123,TRUE,TRUE),3,1)</f>
        <v/>
      </c>
      <c r="AK1123" s="9">
        <f>AA1122/52+AB1122*M1123+AC1122*N1123+AD1122*O1123+AE1122*P1123+AF1122*Q1123+AG1122*R1123+AH1122*S1123+AI1122*T1123</f>
        <v/>
      </c>
      <c r="AL1123" s="9">
        <f>AVERAGE(L863:L1122)</f>
        <v/>
      </c>
    </row>
    <row r="1124">
      <c r="A1124" s="7" t="n">
        <v>45478</v>
      </c>
      <c r="B1124" s="8" t="n">
        <v>2379.05</v>
      </c>
      <c r="C1124" s="8" t="n">
        <v>2.28</v>
      </c>
      <c r="D1124" s="8" t="n">
        <v>2</v>
      </c>
      <c r="E1124" s="8" t="n">
        <v>104.879997</v>
      </c>
      <c r="F1124" s="8" t="n">
        <v>84.44</v>
      </c>
      <c r="G1124" s="8" t="n">
        <v>12.48</v>
      </c>
      <c r="H1124" s="8" t="n">
        <v>98.779999</v>
      </c>
      <c r="I1124" s="8" t="n">
        <v>5567.189941</v>
      </c>
      <c r="J1124" s="8" t="n">
        <v>90.585899</v>
      </c>
      <c r="L1124" s="9">
        <f>LN(B1124/B1123)</f>
        <v/>
      </c>
      <c r="M1124" s="9">
        <f>$M$1*(C1124-C1123)</f>
        <v/>
      </c>
      <c r="N1124" s="9">
        <f>$N$1*(D1124-D1123)</f>
        <v/>
      </c>
      <c r="O1124" s="9">
        <f>$O$1*LN(E1124/E1123)</f>
        <v/>
      </c>
      <c r="P1124" s="9">
        <f>$P$1*LN(F1124/F1123)</f>
        <v/>
      </c>
      <c r="Q1124" s="9">
        <f>$Q$1*(G1124-G1123)</f>
        <v/>
      </c>
      <c r="R1124" s="9">
        <f>$R$1*(H1124-H1123)</f>
        <v/>
      </c>
      <c r="S1124" s="9">
        <f>$S$1*LN(I1124/I1123)</f>
        <v/>
      </c>
      <c r="T1124" s="9">
        <f>$T$1*LN(J1124/J1123)</f>
        <v/>
      </c>
      <c r="U1124" s="9">
        <f>$W$12+$W$4*M1124+$W$5*N1124+$W$6*O1124+$W$7*P1124+$W$8*Q1124+$W$9*R1124+$W$10*S1124+$W$11*T1124</f>
        <v/>
      </c>
      <c r="AA1124" s="10">
        <f>INDEX(LINEST(L865:L1124,M865:T1124,TRUE,TRUE),1,9)*52</f>
        <v/>
      </c>
      <c r="AB1124" s="9">
        <f>INDEX(LINEST(L865:L1124,M865:T1124,TRUE,TRUE),1,8)</f>
        <v/>
      </c>
      <c r="AC1124" s="9">
        <f>INDEX(LINEST(L865:L1124,M865:T1124,TRUE,TRUE),1,7)</f>
        <v/>
      </c>
      <c r="AD1124" s="9">
        <f>INDEX(LINEST(L865:L1124,M865:T1124,TRUE,TRUE),1,6)</f>
        <v/>
      </c>
      <c r="AE1124" s="9">
        <f>INDEX(LINEST(L865:L1124,M865:T1124,TRUE,TRUE),1,5)</f>
        <v/>
      </c>
      <c r="AF1124" s="9">
        <f>INDEX(LINEST(L865:L1124,M865:T1124,TRUE,TRUE),1,4)</f>
        <v/>
      </c>
      <c r="AG1124" s="9">
        <f>INDEX(LINEST(L865:L1124,M865:T1124,TRUE,TRUE),1,3)</f>
        <v/>
      </c>
      <c r="AH1124" s="9">
        <f>INDEX(LINEST(L865:L1124,M865:T1124,TRUE,TRUE),1,2)</f>
        <v/>
      </c>
      <c r="AI1124" s="9">
        <f>INDEX(LINEST(L865:L1124,M865:T1124,TRUE,TRUE),1,1)</f>
        <v/>
      </c>
      <c r="AJ1124" s="10">
        <f>INDEX(LINEST(L865:L1124,M865:T1124,TRUE,TRUE),3,1)</f>
        <v/>
      </c>
      <c r="AK1124" s="9">
        <f>AA1123/52+AB1123*M1124+AC1123*N1124+AD1123*O1124+AE1123*P1124+AF1123*Q1124+AG1123*R1124+AH1123*S1124+AI1123*T1124</f>
        <v/>
      </c>
      <c r="AL1124" s="9">
        <f>AVERAGE(L864:L1123)</f>
        <v/>
      </c>
    </row>
    <row r="1125">
      <c r="A1125" s="7" t="n">
        <v>45485</v>
      </c>
      <c r="B1125" s="8" t="n">
        <v>2406.85</v>
      </c>
      <c r="C1125" s="8" t="n">
        <v>2.24</v>
      </c>
      <c r="D1125" s="8" t="n">
        <v>1.94</v>
      </c>
      <c r="E1125" s="8" t="n">
        <v>104.089996</v>
      </c>
      <c r="F1125" s="8" t="n">
        <v>83.48999999999999</v>
      </c>
      <c r="G1125" s="8" t="n">
        <v>12.46</v>
      </c>
      <c r="H1125" s="8" t="n">
        <v>86.790001</v>
      </c>
      <c r="I1125" s="8" t="n">
        <v>5615.350098</v>
      </c>
      <c r="J1125" s="8" t="n">
        <v>91.33783699999999</v>
      </c>
      <c r="L1125" s="9">
        <f>LN(B1125/B1124)</f>
        <v/>
      </c>
      <c r="M1125" s="9">
        <f>$M$1*(C1125-C1124)</f>
        <v/>
      </c>
      <c r="N1125" s="9">
        <f>$N$1*(D1125-D1124)</f>
        <v/>
      </c>
      <c r="O1125" s="9">
        <f>$O$1*LN(E1125/E1124)</f>
        <v/>
      </c>
      <c r="P1125" s="9">
        <f>$P$1*LN(F1125/F1124)</f>
        <v/>
      </c>
      <c r="Q1125" s="9">
        <f>$Q$1*(G1125-G1124)</f>
        <v/>
      </c>
      <c r="R1125" s="9">
        <f>$R$1*(H1125-H1124)</f>
        <v/>
      </c>
      <c r="S1125" s="9">
        <f>$S$1*LN(I1125/I1124)</f>
        <v/>
      </c>
      <c r="T1125" s="9">
        <f>$T$1*LN(J1125/J1124)</f>
        <v/>
      </c>
      <c r="U1125" s="9">
        <f>$W$12+$W$4*M1125+$W$5*N1125+$W$6*O1125+$W$7*P1125+$W$8*Q1125+$W$9*R1125+$W$10*S1125+$W$11*T1125</f>
        <v/>
      </c>
      <c r="AA1125" s="10">
        <f>INDEX(LINEST(L866:L1125,M866:T1125,TRUE,TRUE),1,9)*52</f>
        <v/>
      </c>
      <c r="AB1125" s="9">
        <f>INDEX(LINEST(L866:L1125,M866:T1125,TRUE,TRUE),1,8)</f>
        <v/>
      </c>
      <c r="AC1125" s="9">
        <f>INDEX(LINEST(L866:L1125,M866:T1125,TRUE,TRUE),1,7)</f>
        <v/>
      </c>
      <c r="AD1125" s="9">
        <f>INDEX(LINEST(L866:L1125,M866:T1125,TRUE,TRUE),1,6)</f>
        <v/>
      </c>
      <c r="AE1125" s="9">
        <f>INDEX(LINEST(L866:L1125,M866:T1125,TRUE,TRUE),1,5)</f>
        <v/>
      </c>
      <c r="AF1125" s="9">
        <f>INDEX(LINEST(L866:L1125,M866:T1125,TRUE,TRUE),1,4)</f>
        <v/>
      </c>
      <c r="AG1125" s="9">
        <f>INDEX(LINEST(L866:L1125,M866:T1125,TRUE,TRUE),1,3)</f>
        <v/>
      </c>
      <c r="AH1125" s="9">
        <f>INDEX(LINEST(L866:L1125,M866:T1125,TRUE,TRUE),1,2)</f>
        <v/>
      </c>
      <c r="AI1125" s="9">
        <f>INDEX(LINEST(L866:L1125,M866:T1125,TRUE,TRUE),1,1)</f>
        <v/>
      </c>
      <c r="AJ1125" s="10">
        <f>INDEX(LINEST(L866:L1125,M866:T1125,TRUE,TRUE),3,1)</f>
        <v/>
      </c>
      <c r="AK1125" s="9">
        <f>AA1124/52+AB1124*M1125+AC1124*N1125+AD1124*O1125+AE1124*P1125+AF1124*Q1125+AG1124*R1125+AH1124*S1125+AI1124*T1125</f>
        <v/>
      </c>
      <c r="AL1125" s="9">
        <f>AVERAGE(L865:L1124)</f>
        <v/>
      </c>
    </row>
    <row r="1126">
      <c r="A1126" s="7" t="n">
        <v>45492</v>
      </c>
      <c r="B1126" s="8" t="n">
        <v>2403.5</v>
      </c>
      <c r="C1126" s="8" t="n">
        <v>2.32</v>
      </c>
      <c r="D1126" s="8" t="n">
        <v>1.93</v>
      </c>
      <c r="E1126" s="8" t="n">
        <v>104.400002</v>
      </c>
      <c r="F1126" s="8" t="n">
        <v>81.43000000000001</v>
      </c>
      <c r="G1126" s="8" t="n">
        <v>16.52</v>
      </c>
      <c r="H1126" s="8" t="n">
        <v>94.290001</v>
      </c>
      <c r="I1126" s="8" t="n">
        <v>5505</v>
      </c>
      <c r="J1126" s="8" t="n">
        <v>91.02217899999999</v>
      </c>
      <c r="L1126" s="9">
        <f>LN(B1126/B1125)</f>
        <v/>
      </c>
      <c r="M1126" s="9">
        <f>$M$1*(C1126-C1125)</f>
        <v/>
      </c>
      <c r="N1126" s="9">
        <f>$N$1*(D1126-D1125)</f>
        <v/>
      </c>
      <c r="O1126" s="9">
        <f>$O$1*LN(E1126/E1125)</f>
        <v/>
      </c>
      <c r="P1126" s="9">
        <f>$P$1*LN(F1126/F1125)</f>
        <v/>
      </c>
      <c r="Q1126" s="9">
        <f>$Q$1*(G1126-G1125)</f>
        <v/>
      </c>
      <c r="R1126" s="9">
        <f>$R$1*(H1126-H1125)</f>
        <v/>
      </c>
      <c r="S1126" s="9">
        <f>$S$1*LN(I1126/I1125)</f>
        <v/>
      </c>
      <c r="T1126" s="9">
        <f>$T$1*LN(J1126/J1125)</f>
        <v/>
      </c>
      <c r="U1126" s="9">
        <f>$W$12+$W$4*M1126+$W$5*N1126+$W$6*O1126+$W$7*P1126+$W$8*Q1126+$W$9*R1126+$W$10*S1126+$W$11*T1126</f>
        <v/>
      </c>
      <c r="AA1126" s="10">
        <f>INDEX(LINEST(L867:L1126,M867:T1126,TRUE,TRUE),1,9)*52</f>
        <v/>
      </c>
      <c r="AB1126" s="9">
        <f>INDEX(LINEST(L867:L1126,M867:T1126,TRUE,TRUE),1,8)</f>
        <v/>
      </c>
      <c r="AC1126" s="9">
        <f>INDEX(LINEST(L867:L1126,M867:T1126,TRUE,TRUE),1,7)</f>
        <v/>
      </c>
      <c r="AD1126" s="9">
        <f>INDEX(LINEST(L867:L1126,M867:T1126,TRUE,TRUE),1,6)</f>
        <v/>
      </c>
      <c r="AE1126" s="9">
        <f>INDEX(LINEST(L867:L1126,M867:T1126,TRUE,TRUE),1,5)</f>
        <v/>
      </c>
      <c r="AF1126" s="9">
        <f>INDEX(LINEST(L867:L1126,M867:T1126,TRUE,TRUE),1,4)</f>
        <v/>
      </c>
      <c r="AG1126" s="9">
        <f>INDEX(LINEST(L867:L1126,M867:T1126,TRUE,TRUE),1,3)</f>
        <v/>
      </c>
      <c r="AH1126" s="9">
        <f>INDEX(LINEST(L867:L1126,M867:T1126,TRUE,TRUE),1,2)</f>
        <v/>
      </c>
      <c r="AI1126" s="9">
        <f>INDEX(LINEST(L867:L1126,M867:T1126,TRUE,TRUE),1,1)</f>
        <v/>
      </c>
      <c r="AJ1126" s="10">
        <f>INDEX(LINEST(L867:L1126,M867:T1126,TRUE,TRUE),3,1)</f>
        <v/>
      </c>
      <c r="AK1126" s="9">
        <f>AA1125/52+AB1125*M1126+AC1125*N1126+AD1125*O1126+AE1125*P1126+AF1125*Q1126+AG1125*R1126+AH1125*S1126+AI1125*T1126</f>
        <v/>
      </c>
      <c r="AL1126" s="9">
        <f>AVERAGE(L866:L1125)</f>
        <v/>
      </c>
    </row>
    <row r="1127">
      <c r="A1127" s="7" t="n">
        <v>45499</v>
      </c>
      <c r="B1127" s="8" t="n">
        <v>2386.1</v>
      </c>
      <c r="C1127" s="8" t="n">
        <v>2.27</v>
      </c>
      <c r="D1127" s="8" t="n">
        <v>1.93</v>
      </c>
      <c r="E1127" s="8" t="n">
        <v>104.32</v>
      </c>
      <c r="F1127" s="8" t="n">
        <v>78.58</v>
      </c>
      <c r="G1127" s="8" t="n">
        <v>16.39</v>
      </c>
      <c r="H1127" s="8" t="n">
        <v>97.760002</v>
      </c>
      <c r="I1127" s="8" t="n">
        <v>5459.100098</v>
      </c>
      <c r="J1127" s="8" t="n">
        <v>91.27285000000001</v>
      </c>
      <c r="L1127" s="9">
        <f>LN(B1127/B1126)</f>
        <v/>
      </c>
      <c r="M1127" s="9">
        <f>$M$1*(C1127-C1126)</f>
        <v/>
      </c>
      <c r="N1127" s="9">
        <f>$N$1*(D1127-D1126)</f>
        <v/>
      </c>
      <c r="O1127" s="9">
        <f>$O$1*LN(E1127/E1126)</f>
        <v/>
      </c>
      <c r="P1127" s="9">
        <f>$P$1*LN(F1127/F1126)</f>
        <v/>
      </c>
      <c r="Q1127" s="9">
        <f>$Q$1*(G1127-G1126)</f>
        <v/>
      </c>
      <c r="R1127" s="9">
        <f>$R$1*(H1127-H1126)</f>
        <v/>
      </c>
      <c r="S1127" s="9">
        <f>$S$1*LN(I1127/I1126)</f>
        <v/>
      </c>
      <c r="T1127" s="9">
        <f>$T$1*LN(J1127/J1126)</f>
        <v/>
      </c>
      <c r="U1127" s="9">
        <f>$W$12+$W$4*M1127+$W$5*N1127+$W$6*O1127+$W$7*P1127+$W$8*Q1127+$W$9*R1127+$W$10*S1127+$W$11*T1127</f>
        <v/>
      </c>
      <c r="AA1127" s="10">
        <f>INDEX(LINEST(L868:L1127,M868:T1127,TRUE,TRUE),1,9)*52</f>
        <v/>
      </c>
      <c r="AB1127" s="9">
        <f>INDEX(LINEST(L868:L1127,M868:T1127,TRUE,TRUE),1,8)</f>
        <v/>
      </c>
      <c r="AC1127" s="9">
        <f>INDEX(LINEST(L868:L1127,M868:T1127,TRUE,TRUE),1,7)</f>
        <v/>
      </c>
      <c r="AD1127" s="9">
        <f>INDEX(LINEST(L868:L1127,M868:T1127,TRUE,TRUE),1,6)</f>
        <v/>
      </c>
      <c r="AE1127" s="9">
        <f>INDEX(LINEST(L868:L1127,M868:T1127,TRUE,TRUE),1,5)</f>
        <v/>
      </c>
      <c r="AF1127" s="9">
        <f>INDEX(LINEST(L868:L1127,M868:T1127,TRUE,TRUE),1,4)</f>
        <v/>
      </c>
      <c r="AG1127" s="9">
        <f>INDEX(LINEST(L868:L1127,M868:T1127,TRUE,TRUE),1,3)</f>
        <v/>
      </c>
      <c r="AH1127" s="9">
        <f>INDEX(LINEST(L868:L1127,M868:T1127,TRUE,TRUE),1,2)</f>
        <v/>
      </c>
      <c r="AI1127" s="9">
        <f>INDEX(LINEST(L868:L1127,M868:T1127,TRUE,TRUE),1,1)</f>
        <v/>
      </c>
      <c r="AJ1127" s="10">
        <f>INDEX(LINEST(L868:L1127,M868:T1127,TRUE,TRUE),3,1)</f>
        <v/>
      </c>
      <c r="AK1127" s="9">
        <f>AA1126/52+AB1126*M1127+AC1126*N1127+AD1126*O1127+AE1126*P1127+AF1126*Q1127+AG1126*R1127+AH1126*S1127+AI1126*T1127</f>
        <v/>
      </c>
      <c r="AL1127" s="9">
        <f>AVERAGE(L867:L1126)</f>
        <v/>
      </c>
    </row>
    <row r="1128">
      <c r="A1128" s="7" t="n">
        <v>45506</v>
      </c>
      <c r="B1128" s="8" t="n">
        <v>2469.85</v>
      </c>
      <c r="C1128" s="8" t="n">
        <v>2.04</v>
      </c>
      <c r="D1128" s="8" t="n">
        <v>1.76</v>
      </c>
      <c r="E1128" s="8" t="n">
        <v>103.209999</v>
      </c>
      <c r="F1128" s="8" t="n">
        <v>74.98999999999999</v>
      </c>
      <c r="G1128" s="8" t="n">
        <v>23.39</v>
      </c>
      <c r="H1128" s="8" t="n">
        <v>112.260002</v>
      </c>
      <c r="I1128" s="8" t="n">
        <v>5346.560059</v>
      </c>
      <c r="J1128" s="8" t="n">
        <v>93.425346</v>
      </c>
      <c r="L1128" s="9">
        <f>LN(B1128/B1127)</f>
        <v/>
      </c>
      <c r="M1128" s="9">
        <f>$M$1*(C1128-C1127)</f>
        <v/>
      </c>
      <c r="N1128" s="9">
        <f>$N$1*(D1128-D1127)</f>
        <v/>
      </c>
      <c r="O1128" s="9">
        <f>$O$1*LN(E1128/E1127)</f>
        <v/>
      </c>
      <c r="P1128" s="9">
        <f>$P$1*LN(F1128/F1127)</f>
        <v/>
      </c>
      <c r="Q1128" s="9">
        <f>$Q$1*(G1128-G1127)</f>
        <v/>
      </c>
      <c r="R1128" s="9">
        <f>$R$1*(H1128-H1127)</f>
        <v/>
      </c>
      <c r="S1128" s="9">
        <f>$S$1*LN(I1128/I1127)</f>
        <v/>
      </c>
      <c r="T1128" s="9">
        <f>$T$1*LN(J1128/J1127)</f>
        <v/>
      </c>
      <c r="U1128" s="9">
        <f>$W$12+$W$4*M1128+$W$5*N1128+$W$6*O1128+$W$7*P1128+$W$8*Q1128+$W$9*R1128+$W$10*S1128+$W$11*T1128</f>
        <v/>
      </c>
      <c r="AA1128" s="10">
        <f>INDEX(LINEST(L869:L1128,M869:T1128,TRUE,TRUE),1,9)*52</f>
        <v/>
      </c>
      <c r="AB1128" s="9">
        <f>INDEX(LINEST(L869:L1128,M869:T1128,TRUE,TRUE),1,8)</f>
        <v/>
      </c>
      <c r="AC1128" s="9">
        <f>INDEX(LINEST(L869:L1128,M869:T1128,TRUE,TRUE),1,7)</f>
        <v/>
      </c>
      <c r="AD1128" s="9">
        <f>INDEX(LINEST(L869:L1128,M869:T1128,TRUE,TRUE),1,6)</f>
        <v/>
      </c>
      <c r="AE1128" s="9">
        <f>INDEX(LINEST(L869:L1128,M869:T1128,TRUE,TRUE),1,5)</f>
        <v/>
      </c>
      <c r="AF1128" s="9">
        <f>INDEX(LINEST(L869:L1128,M869:T1128,TRUE,TRUE),1,4)</f>
        <v/>
      </c>
      <c r="AG1128" s="9">
        <f>INDEX(LINEST(L869:L1128,M869:T1128,TRUE,TRUE),1,3)</f>
        <v/>
      </c>
      <c r="AH1128" s="9">
        <f>INDEX(LINEST(L869:L1128,M869:T1128,TRUE,TRUE),1,2)</f>
        <v/>
      </c>
      <c r="AI1128" s="9">
        <f>INDEX(LINEST(L869:L1128,M869:T1128,TRUE,TRUE),1,1)</f>
        <v/>
      </c>
      <c r="AJ1128" s="10">
        <f>INDEX(LINEST(L869:L1128,M869:T1128,TRUE,TRUE),3,1)</f>
        <v/>
      </c>
      <c r="AK1128" s="9">
        <f>AA1127/52+AB1127*M1128+AC1127*N1128+AD1127*O1128+AE1127*P1128+AF1127*Q1128+AG1127*R1128+AH1127*S1128+AI1127*T1128</f>
        <v/>
      </c>
      <c r="AL1128" s="9">
        <f>AVERAGE(L868:L1127)</f>
        <v/>
      </c>
    </row>
    <row r="1129">
      <c r="A1129" s="7" t="n">
        <v>45513</v>
      </c>
      <c r="B1129" s="8" t="n">
        <v>2427.35</v>
      </c>
      <c r="C1129" s="8" t="n">
        <v>2.1</v>
      </c>
      <c r="D1129" s="8" t="n">
        <v>1.84</v>
      </c>
      <c r="E1129" s="8" t="n">
        <v>103.139999</v>
      </c>
      <c r="F1129" s="8" t="n">
        <v>78.28</v>
      </c>
      <c r="G1129" s="8" t="n">
        <v>20.37</v>
      </c>
      <c r="H1129" s="8" t="n">
        <v>108.260002</v>
      </c>
      <c r="I1129" s="8" t="n">
        <v>5344.160156</v>
      </c>
      <c r="J1129" s="8" t="n">
        <v>92.699028</v>
      </c>
      <c r="L1129" s="9">
        <f>LN(B1129/B1128)</f>
        <v/>
      </c>
      <c r="M1129" s="9">
        <f>$M$1*(C1129-C1128)</f>
        <v/>
      </c>
      <c r="N1129" s="9">
        <f>$N$1*(D1129-D1128)</f>
        <v/>
      </c>
      <c r="O1129" s="9">
        <f>$O$1*LN(E1129/E1128)</f>
        <v/>
      </c>
      <c r="P1129" s="9">
        <f>$P$1*LN(F1129/F1128)</f>
        <v/>
      </c>
      <c r="Q1129" s="9">
        <f>$Q$1*(G1129-G1128)</f>
        <v/>
      </c>
      <c r="R1129" s="9">
        <f>$R$1*(H1129-H1128)</f>
        <v/>
      </c>
      <c r="S1129" s="9">
        <f>$S$1*LN(I1129/I1128)</f>
        <v/>
      </c>
      <c r="T1129" s="9">
        <f>$T$1*LN(J1129/J1128)</f>
        <v/>
      </c>
      <c r="U1129" s="9">
        <f>$W$12+$W$4*M1129+$W$5*N1129+$W$6*O1129+$W$7*P1129+$W$8*Q1129+$W$9*R1129+$W$10*S1129+$W$11*T1129</f>
        <v/>
      </c>
      <c r="AA1129" s="10">
        <f>INDEX(LINEST(L870:L1129,M870:T1129,TRUE,TRUE),1,9)*52</f>
        <v/>
      </c>
      <c r="AB1129" s="9">
        <f>INDEX(LINEST(L870:L1129,M870:T1129,TRUE,TRUE),1,8)</f>
        <v/>
      </c>
      <c r="AC1129" s="9">
        <f>INDEX(LINEST(L870:L1129,M870:T1129,TRUE,TRUE),1,7)</f>
        <v/>
      </c>
      <c r="AD1129" s="9">
        <f>INDEX(LINEST(L870:L1129,M870:T1129,TRUE,TRUE),1,6)</f>
        <v/>
      </c>
      <c r="AE1129" s="9">
        <f>INDEX(LINEST(L870:L1129,M870:T1129,TRUE,TRUE),1,5)</f>
        <v/>
      </c>
      <c r="AF1129" s="9">
        <f>INDEX(LINEST(L870:L1129,M870:T1129,TRUE,TRUE),1,4)</f>
        <v/>
      </c>
      <c r="AG1129" s="9">
        <f>INDEX(LINEST(L870:L1129,M870:T1129,TRUE,TRUE),1,3)</f>
        <v/>
      </c>
      <c r="AH1129" s="9">
        <f>INDEX(LINEST(L870:L1129,M870:T1129,TRUE,TRUE),1,2)</f>
        <v/>
      </c>
      <c r="AI1129" s="9">
        <f>INDEX(LINEST(L870:L1129,M870:T1129,TRUE,TRUE),1,1)</f>
        <v/>
      </c>
      <c r="AJ1129" s="10">
        <f>INDEX(LINEST(L870:L1129,M870:T1129,TRUE,TRUE),3,1)</f>
        <v/>
      </c>
      <c r="AK1129" s="9">
        <f>AA1128/52+AB1128*M1129+AC1128*N1129+AD1128*O1129+AE1128*P1129+AF1128*Q1129+AG1128*R1129+AH1128*S1129+AI1128*T1129</f>
        <v/>
      </c>
      <c r="AL1129" s="9">
        <f>AVERAGE(L869:L1128)</f>
        <v/>
      </c>
    </row>
    <row r="1130">
      <c r="A1130" s="7" t="n">
        <v>45520</v>
      </c>
      <c r="B1130" s="8" t="n">
        <v>2485.8</v>
      </c>
      <c r="C1130" s="8" t="n">
        <v>2.08</v>
      </c>
      <c r="D1130" s="8" t="n">
        <v>1.81</v>
      </c>
      <c r="E1130" s="8" t="n">
        <v>102.459999</v>
      </c>
      <c r="F1130" s="8" t="n">
        <v>78.05</v>
      </c>
      <c r="G1130" s="8" t="n">
        <v>14.8</v>
      </c>
      <c r="H1130" s="8" t="n">
        <v>102.809998</v>
      </c>
      <c r="I1130" s="8" t="n">
        <v>5554.25</v>
      </c>
      <c r="J1130" s="8" t="n">
        <v>93.22978999999999</v>
      </c>
      <c r="L1130" s="9">
        <f>LN(B1130/B1129)</f>
        <v/>
      </c>
      <c r="M1130" s="9">
        <f>$M$1*(C1130-C1129)</f>
        <v/>
      </c>
      <c r="N1130" s="9">
        <f>$N$1*(D1130-D1129)</f>
        <v/>
      </c>
      <c r="O1130" s="9">
        <f>$O$1*LN(E1130/E1129)</f>
        <v/>
      </c>
      <c r="P1130" s="9">
        <f>$P$1*LN(F1130/F1129)</f>
        <v/>
      </c>
      <c r="Q1130" s="9">
        <f>$Q$1*(G1130-G1129)</f>
        <v/>
      </c>
      <c r="R1130" s="9">
        <f>$R$1*(H1130-H1129)</f>
        <v/>
      </c>
      <c r="S1130" s="9">
        <f>$S$1*LN(I1130/I1129)</f>
        <v/>
      </c>
      <c r="T1130" s="9">
        <f>$T$1*LN(J1130/J1129)</f>
        <v/>
      </c>
      <c r="U1130" s="9">
        <f>$W$12+$W$4*M1130+$W$5*N1130+$W$6*O1130+$W$7*P1130+$W$8*Q1130+$W$9*R1130+$W$10*S1130+$W$11*T1130</f>
        <v/>
      </c>
      <c r="AA1130" s="10">
        <f>INDEX(LINEST(L871:L1130,M871:T1130,TRUE,TRUE),1,9)*52</f>
        <v/>
      </c>
      <c r="AB1130" s="9">
        <f>INDEX(LINEST(L871:L1130,M871:T1130,TRUE,TRUE),1,8)</f>
        <v/>
      </c>
      <c r="AC1130" s="9">
        <f>INDEX(LINEST(L871:L1130,M871:T1130,TRUE,TRUE),1,7)</f>
        <v/>
      </c>
      <c r="AD1130" s="9">
        <f>INDEX(LINEST(L871:L1130,M871:T1130,TRUE,TRUE),1,6)</f>
        <v/>
      </c>
      <c r="AE1130" s="9">
        <f>INDEX(LINEST(L871:L1130,M871:T1130,TRUE,TRUE),1,5)</f>
        <v/>
      </c>
      <c r="AF1130" s="9">
        <f>INDEX(LINEST(L871:L1130,M871:T1130,TRUE,TRUE),1,4)</f>
        <v/>
      </c>
      <c r="AG1130" s="9">
        <f>INDEX(LINEST(L871:L1130,M871:T1130,TRUE,TRUE),1,3)</f>
        <v/>
      </c>
      <c r="AH1130" s="9">
        <f>INDEX(LINEST(L871:L1130,M871:T1130,TRUE,TRUE),1,2)</f>
        <v/>
      </c>
      <c r="AI1130" s="9">
        <f>INDEX(LINEST(L871:L1130,M871:T1130,TRUE,TRUE),1,1)</f>
        <v/>
      </c>
      <c r="AJ1130" s="10">
        <f>INDEX(LINEST(L871:L1130,M871:T1130,TRUE,TRUE),3,1)</f>
        <v/>
      </c>
      <c r="AK1130" s="9">
        <f>AA1129/52+AB1129*M1130+AC1129*N1130+AD1129*O1130+AE1129*P1130+AF1129*Q1130+AG1129*R1130+AH1129*S1130+AI1129*T1130</f>
        <v/>
      </c>
      <c r="AL1130" s="9">
        <f>AVERAGE(L870:L1129)</f>
        <v/>
      </c>
    </row>
    <row r="1131">
      <c r="A1131" s="7" t="n">
        <v>45527</v>
      </c>
      <c r="B1131" s="8" t="n">
        <v>2511.2</v>
      </c>
      <c r="C1131" s="8" t="n">
        <v>2.13</v>
      </c>
      <c r="D1131" s="8" t="n">
        <v>1.68</v>
      </c>
      <c r="E1131" s="8" t="n">
        <v>100.720001</v>
      </c>
      <c r="F1131" s="8" t="n">
        <v>75.81999999999999</v>
      </c>
      <c r="G1131" s="8" t="n">
        <v>15.86</v>
      </c>
      <c r="H1131" s="8" t="n">
        <v>105.629997</v>
      </c>
      <c r="I1131" s="8" t="n">
        <v>5634.609863</v>
      </c>
      <c r="J1131" s="8" t="n">
        <v>93.835052</v>
      </c>
      <c r="L1131" s="9">
        <f>LN(B1131/B1130)</f>
        <v/>
      </c>
      <c r="M1131" s="9">
        <f>$M$1*(C1131-C1130)</f>
        <v/>
      </c>
      <c r="N1131" s="9">
        <f>$N$1*(D1131-D1130)</f>
        <v/>
      </c>
      <c r="O1131" s="9">
        <f>$O$1*LN(E1131/E1130)</f>
        <v/>
      </c>
      <c r="P1131" s="9">
        <f>$P$1*LN(F1131/F1130)</f>
        <v/>
      </c>
      <c r="Q1131" s="9">
        <f>$Q$1*(G1131-G1130)</f>
        <v/>
      </c>
      <c r="R1131" s="9">
        <f>$R$1*(H1131-H1130)</f>
        <v/>
      </c>
      <c r="S1131" s="9">
        <f>$S$1*LN(I1131/I1130)</f>
        <v/>
      </c>
      <c r="T1131" s="9">
        <f>$T$1*LN(J1131/J1130)</f>
        <v/>
      </c>
      <c r="U1131" s="9">
        <f>$W$12+$W$4*M1131+$W$5*N1131+$W$6*O1131+$W$7*P1131+$W$8*Q1131+$W$9*R1131+$W$10*S1131+$W$11*T1131</f>
        <v/>
      </c>
      <c r="AA1131" s="10">
        <f>INDEX(LINEST(L872:L1131,M872:T1131,TRUE,TRUE),1,9)*52</f>
        <v/>
      </c>
      <c r="AB1131" s="9">
        <f>INDEX(LINEST(L872:L1131,M872:T1131,TRUE,TRUE),1,8)</f>
        <v/>
      </c>
      <c r="AC1131" s="9">
        <f>INDEX(LINEST(L872:L1131,M872:T1131,TRUE,TRUE),1,7)</f>
        <v/>
      </c>
      <c r="AD1131" s="9">
        <f>INDEX(LINEST(L872:L1131,M872:T1131,TRUE,TRUE),1,6)</f>
        <v/>
      </c>
      <c r="AE1131" s="9">
        <f>INDEX(LINEST(L872:L1131,M872:T1131,TRUE,TRUE),1,5)</f>
        <v/>
      </c>
      <c r="AF1131" s="9">
        <f>INDEX(LINEST(L872:L1131,M872:T1131,TRUE,TRUE),1,4)</f>
        <v/>
      </c>
      <c r="AG1131" s="9">
        <f>INDEX(LINEST(L872:L1131,M872:T1131,TRUE,TRUE),1,3)</f>
        <v/>
      </c>
      <c r="AH1131" s="9">
        <f>INDEX(LINEST(L872:L1131,M872:T1131,TRUE,TRUE),1,2)</f>
        <v/>
      </c>
      <c r="AI1131" s="9">
        <f>INDEX(LINEST(L872:L1131,M872:T1131,TRUE,TRUE),1,1)</f>
        <v/>
      </c>
      <c r="AJ1131" s="10">
        <f>INDEX(LINEST(L872:L1131,M872:T1131,TRUE,TRUE),3,1)</f>
        <v/>
      </c>
      <c r="AK1131" s="9">
        <f>AA1130/52+AB1130*M1131+AC1130*N1131+AD1130*O1131+AE1130*P1131+AF1130*Q1131+AG1130*R1131+AH1130*S1131+AI1130*T1131</f>
        <v/>
      </c>
      <c r="AL1131" s="9">
        <f>AVERAGE(L871:L1130)</f>
        <v/>
      </c>
    </row>
    <row r="1132">
      <c r="A1132" s="7" t="n">
        <v>45534</v>
      </c>
      <c r="B1132" s="8" t="n">
        <v>2513.35</v>
      </c>
      <c r="C1132" s="8" t="n">
        <v>2.15</v>
      </c>
      <c r="D1132" s="8" t="n">
        <v>1.76</v>
      </c>
      <c r="E1132" s="8" t="n">
        <v>101.699997</v>
      </c>
      <c r="F1132" s="8" t="n">
        <v>74.52</v>
      </c>
      <c r="G1132" s="8" t="n">
        <v>15</v>
      </c>
      <c r="H1132" s="8" t="n">
        <v>107.769997</v>
      </c>
      <c r="I1132" s="8" t="n">
        <v>5648.399902</v>
      </c>
      <c r="J1132" s="8" t="n">
        <v>93.350838</v>
      </c>
      <c r="L1132" s="9">
        <f>LN(B1132/B1131)</f>
        <v/>
      </c>
      <c r="M1132" s="9">
        <f>$M$1*(C1132-C1131)</f>
        <v/>
      </c>
      <c r="N1132" s="9">
        <f>$N$1*(D1132-D1131)</f>
        <v/>
      </c>
      <c r="O1132" s="9">
        <f>$O$1*LN(E1132/E1131)</f>
        <v/>
      </c>
      <c r="P1132" s="9">
        <f>$P$1*LN(F1132/F1131)</f>
        <v/>
      </c>
      <c r="Q1132" s="9">
        <f>$Q$1*(G1132-G1131)</f>
        <v/>
      </c>
      <c r="R1132" s="9">
        <f>$R$1*(H1132-H1131)</f>
        <v/>
      </c>
      <c r="S1132" s="9">
        <f>$S$1*LN(I1132/I1131)</f>
        <v/>
      </c>
      <c r="T1132" s="9">
        <f>$T$1*LN(J1132/J1131)</f>
        <v/>
      </c>
      <c r="U1132" s="9">
        <f>$W$12+$W$4*M1132+$W$5*N1132+$W$6*O1132+$W$7*P1132+$W$8*Q1132+$W$9*R1132+$W$10*S1132+$W$11*T1132</f>
        <v/>
      </c>
      <c r="AA1132" s="10">
        <f>INDEX(LINEST(L873:L1132,M873:T1132,TRUE,TRUE),1,9)*52</f>
        <v/>
      </c>
      <c r="AB1132" s="9">
        <f>INDEX(LINEST(L873:L1132,M873:T1132,TRUE,TRUE),1,8)</f>
        <v/>
      </c>
      <c r="AC1132" s="9">
        <f>INDEX(LINEST(L873:L1132,M873:T1132,TRUE,TRUE),1,7)</f>
        <v/>
      </c>
      <c r="AD1132" s="9">
        <f>INDEX(LINEST(L873:L1132,M873:T1132,TRUE,TRUE),1,6)</f>
        <v/>
      </c>
      <c r="AE1132" s="9">
        <f>INDEX(LINEST(L873:L1132,M873:T1132,TRUE,TRUE),1,5)</f>
        <v/>
      </c>
      <c r="AF1132" s="9">
        <f>INDEX(LINEST(L873:L1132,M873:T1132,TRUE,TRUE),1,4)</f>
        <v/>
      </c>
      <c r="AG1132" s="9">
        <f>INDEX(LINEST(L873:L1132,M873:T1132,TRUE,TRUE),1,3)</f>
        <v/>
      </c>
      <c r="AH1132" s="9">
        <f>INDEX(LINEST(L873:L1132,M873:T1132,TRUE,TRUE),1,2)</f>
        <v/>
      </c>
      <c r="AI1132" s="9">
        <f>INDEX(LINEST(L873:L1132,M873:T1132,TRUE,TRUE),1,1)</f>
        <v/>
      </c>
      <c r="AJ1132" s="10">
        <f>INDEX(LINEST(L873:L1132,M873:T1132,TRUE,TRUE),3,1)</f>
        <v/>
      </c>
      <c r="AK1132" s="9">
        <f>AA1131/52+AB1131*M1132+AC1131*N1132+AD1131*O1132+AE1131*P1132+AF1131*Q1132+AG1131*R1132+AH1131*S1132+AI1131*T1132</f>
        <v/>
      </c>
      <c r="AL1132" s="9">
        <f>AVERAGE(L872:L1131)</f>
        <v/>
      </c>
    </row>
    <row r="1133">
      <c r="A1133" s="7" t="n">
        <v>45541</v>
      </c>
      <c r="B1133" s="8" t="n">
        <v>2506.15</v>
      </c>
      <c r="C1133" s="8" t="n">
        <v>2.03</v>
      </c>
      <c r="D1133" s="8" t="n">
        <v>1.69</v>
      </c>
      <c r="E1133" s="8" t="n">
        <v>101.18</v>
      </c>
      <c r="F1133" s="8" t="n">
        <v>68.58</v>
      </c>
      <c r="G1133" s="8" t="n">
        <v>22.38</v>
      </c>
      <c r="H1133" s="8" t="n">
        <v>107.239998</v>
      </c>
      <c r="I1133" s="8" t="n">
        <v>5408.419922</v>
      </c>
      <c r="J1133" s="8" t="n">
        <v>94.52034</v>
      </c>
      <c r="L1133" s="9">
        <f>LN(B1133/B1132)</f>
        <v/>
      </c>
      <c r="M1133" s="9">
        <f>$M$1*(C1133-C1132)</f>
        <v/>
      </c>
      <c r="N1133" s="9">
        <f>$N$1*(D1133-D1132)</f>
        <v/>
      </c>
      <c r="O1133" s="9">
        <f>$O$1*LN(E1133/E1132)</f>
        <v/>
      </c>
      <c r="P1133" s="9">
        <f>$P$1*LN(F1133/F1132)</f>
        <v/>
      </c>
      <c r="Q1133" s="9">
        <f>$Q$1*(G1133-G1132)</f>
        <v/>
      </c>
      <c r="R1133" s="9">
        <f>$R$1*(H1133-H1132)</f>
        <v/>
      </c>
      <c r="S1133" s="9">
        <f>$S$1*LN(I1133/I1132)</f>
        <v/>
      </c>
      <c r="T1133" s="9">
        <f>$T$1*LN(J1133/J1132)</f>
        <v/>
      </c>
      <c r="U1133" s="9">
        <f>$W$12+$W$4*M1133+$W$5*N1133+$W$6*O1133+$W$7*P1133+$W$8*Q1133+$W$9*R1133+$W$10*S1133+$W$11*T1133</f>
        <v/>
      </c>
      <c r="AA1133" s="10">
        <f>INDEX(LINEST(L874:L1133,M874:T1133,TRUE,TRUE),1,9)*52</f>
        <v/>
      </c>
      <c r="AB1133" s="9">
        <f>INDEX(LINEST(L874:L1133,M874:T1133,TRUE,TRUE),1,8)</f>
        <v/>
      </c>
      <c r="AC1133" s="9">
        <f>INDEX(LINEST(L874:L1133,M874:T1133,TRUE,TRUE),1,7)</f>
        <v/>
      </c>
      <c r="AD1133" s="9">
        <f>INDEX(LINEST(L874:L1133,M874:T1133,TRUE,TRUE),1,6)</f>
        <v/>
      </c>
      <c r="AE1133" s="9">
        <f>INDEX(LINEST(L874:L1133,M874:T1133,TRUE,TRUE),1,5)</f>
        <v/>
      </c>
      <c r="AF1133" s="9">
        <f>INDEX(LINEST(L874:L1133,M874:T1133,TRUE,TRUE),1,4)</f>
        <v/>
      </c>
      <c r="AG1133" s="9">
        <f>INDEX(LINEST(L874:L1133,M874:T1133,TRUE,TRUE),1,3)</f>
        <v/>
      </c>
      <c r="AH1133" s="9">
        <f>INDEX(LINEST(L874:L1133,M874:T1133,TRUE,TRUE),1,2)</f>
        <v/>
      </c>
      <c r="AI1133" s="9">
        <f>INDEX(LINEST(L874:L1133,M874:T1133,TRUE,TRUE),1,1)</f>
        <v/>
      </c>
      <c r="AJ1133" s="10">
        <f>INDEX(LINEST(L874:L1133,M874:T1133,TRUE,TRUE),3,1)</f>
        <v/>
      </c>
      <c r="AK1133" s="9">
        <f>AA1132/52+AB1132*M1133+AC1132*N1133+AD1132*O1133+AE1132*P1133+AF1132*Q1133+AG1132*R1133+AH1132*S1133+AI1132*T1133</f>
        <v/>
      </c>
      <c r="AL1133" s="9">
        <f>AVERAGE(L873:L1132)</f>
        <v/>
      </c>
    </row>
    <row r="1134">
      <c r="A1134" s="7" t="n">
        <v>45548</v>
      </c>
      <c r="B1134" s="8" t="n">
        <v>2575.1</v>
      </c>
      <c r="C1134" s="8" t="n">
        <v>2.08</v>
      </c>
      <c r="D1134" s="8" t="n">
        <v>1.58</v>
      </c>
      <c r="E1134" s="8" t="n">
        <v>101.110001</v>
      </c>
      <c r="F1134" s="8" t="n">
        <v>69.59</v>
      </c>
      <c r="G1134" s="8" t="n">
        <v>16.56</v>
      </c>
      <c r="H1134" s="8" t="n">
        <v>100.599998</v>
      </c>
      <c r="I1134" s="8" t="n">
        <v>5626.02002</v>
      </c>
      <c r="J1134" s="8" t="n">
        <v>95.034058</v>
      </c>
      <c r="L1134" s="9">
        <f>LN(B1134/B1133)</f>
        <v/>
      </c>
      <c r="M1134" s="9">
        <f>$M$1*(C1134-C1133)</f>
        <v/>
      </c>
      <c r="N1134" s="9">
        <f>$N$1*(D1134-D1133)</f>
        <v/>
      </c>
      <c r="O1134" s="9">
        <f>$O$1*LN(E1134/E1133)</f>
        <v/>
      </c>
      <c r="P1134" s="9">
        <f>$P$1*LN(F1134/F1133)</f>
        <v/>
      </c>
      <c r="Q1134" s="9">
        <f>$Q$1*(G1134-G1133)</f>
        <v/>
      </c>
      <c r="R1134" s="9">
        <f>$R$1*(H1134-H1133)</f>
        <v/>
      </c>
      <c r="S1134" s="9">
        <f>$S$1*LN(I1134/I1133)</f>
        <v/>
      </c>
      <c r="T1134" s="9">
        <f>$T$1*LN(J1134/J1133)</f>
        <v/>
      </c>
      <c r="U1134" s="9">
        <f>$W$12+$W$4*M1134+$W$5*N1134+$W$6*O1134+$W$7*P1134+$W$8*Q1134+$W$9*R1134+$W$10*S1134+$W$11*T1134</f>
        <v/>
      </c>
      <c r="AA1134" s="10">
        <f>INDEX(LINEST(L875:L1134,M875:T1134,TRUE,TRUE),1,9)*52</f>
        <v/>
      </c>
      <c r="AB1134" s="9">
        <f>INDEX(LINEST(L875:L1134,M875:T1134,TRUE,TRUE),1,8)</f>
        <v/>
      </c>
      <c r="AC1134" s="9">
        <f>INDEX(LINEST(L875:L1134,M875:T1134,TRUE,TRUE),1,7)</f>
        <v/>
      </c>
      <c r="AD1134" s="9">
        <f>INDEX(LINEST(L875:L1134,M875:T1134,TRUE,TRUE),1,6)</f>
        <v/>
      </c>
      <c r="AE1134" s="9">
        <f>INDEX(LINEST(L875:L1134,M875:T1134,TRUE,TRUE),1,5)</f>
        <v/>
      </c>
      <c r="AF1134" s="9">
        <f>INDEX(LINEST(L875:L1134,M875:T1134,TRUE,TRUE),1,4)</f>
        <v/>
      </c>
      <c r="AG1134" s="9">
        <f>INDEX(LINEST(L875:L1134,M875:T1134,TRUE,TRUE),1,3)</f>
        <v/>
      </c>
      <c r="AH1134" s="9">
        <f>INDEX(LINEST(L875:L1134,M875:T1134,TRUE,TRUE),1,2)</f>
        <v/>
      </c>
      <c r="AI1134" s="9">
        <f>INDEX(LINEST(L875:L1134,M875:T1134,TRUE,TRUE),1,1)</f>
        <v/>
      </c>
      <c r="AJ1134" s="10">
        <f>INDEX(LINEST(L875:L1134,M875:T1134,TRUE,TRUE),3,1)</f>
        <v/>
      </c>
      <c r="AK1134" s="9">
        <f>AA1133/52+AB1133*M1134+AC1133*N1134+AD1133*O1134+AE1133*P1134+AF1133*Q1134+AG1133*R1134+AH1133*S1134+AI1133*T1134</f>
        <v/>
      </c>
      <c r="AL1134" s="9">
        <f>AVERAGE(L874:L1133)</f>
        <v/>
      </c>
    </row>
    <row r="1135">
      <c r="A1135" s="7" t="n">
        <v>45555</v>
      </c>
      <c r="B1135" s="8" t="n">
        <v>2605.85</v>
      </c>
      <c r="C1135" s="8" t="n">
        <v>2.15</v>
      </c>
      <c r="D1135" s="8" t="n">
        <v>1.58</v>
      </c>
      <c r="E1135" s="8" t="n">
        <v>100.720001</v>
      </c>
      <c r="F1135" s="8" t="n">
        <v>72.72</v>
      </c>
      <c r="G1135" s="8" t="n">
        <v>16.15</v>
      </c>
      <c r="H1135" s="8" t="n">
        <v>91</v>
      </c>
      <c r="I1135" s="8" t="n">
        <v>5702.549805</v>
      </c>
      <c r="J1135" s="8" t="n">
        <v>94.791214</v>
      </c>
      <c r="L1135" s="9">
        <f>LN(B1135/B1134)</f>
        <v/>
      </c>
      <c r="M1135" s="9">
        <f>$M$1*(C1135-C1134)</f>
        <v/>
      </c>
      <c r="N1135" s="9">
        <f>$N$1*(D1135-D1134)</f>
        <v/>
      </c>
      <c r="O1135" s="9">
        <f>$O$1*LN(E1135/E1134)</f>
        <v/>
      </c>
      <c r="P1135" s="9">
        <f>$P$1*LN(F1135/F1134)</f>
        <v/>
      </c>
      <c r="Q1135" s="9">
        <f>$Q$1*(G1135-G1134)</f>
        <v/>
      </c>
      <c r="R1135" s="9">
        <f>$R$1*(H1135-H1134)</f>
        <v/>
      </c>
      <c r="S1135" s="9">
        <f>$S$1*LN(I1135/I1134)</f>
        <v/>
      </c>
      <c r="T1135" s="9">
        <f>$T$1*LN(J1135/J1134)</f>
        <v/>
      </c>
      <c r="U1135" s="9">
        <f>$W$12+$W$4*M1135+$W$5*N1135+$W$6*O1135+$W$7*P1135+$W$8*Q1135+$W$9*R1135+$W$10*S1135+$W$11*T1135</f>
        <v/>
      </c>
      <c r="AA1135" s="10">
        <f>INDEX(LINEST(L876:L1135,M876:T1135,TRUE,TRUE),1,9)*52</f>
        <v/>
      </c>
      <c r="AB1135" s="9">
        <f>INDEX(LINEST(L876:L1135,M876:T1135,TRUE,TRUE),1,8)</f>
        <v/>
      </c>
      <c r="AC1135" s="9">
        <f>INDEX(LINEST(L876:L1135,M876:T1135,TRUE,TRUE),1,7)</f>
        <v/>
      </c>
      <c r="AD1135" s="9">
        <f>INDEX(LINEST(L876:L1135,M876:T1135,TRUE,TRUE),1,6)</f>
        <v/>
      </c>
      <c r="AE1135" s="9">
        <f>INDEX(LINEST(L876:L1135,M876:T1135,TRUE,TRUE),1,5)</f>
        <v/>
      </c>
      <c r="AF1135" s="9">
        <f>INDEX(LINEST(L876:L1135,M876:T1135,TRUE,TRUE),1,4)</f>
        <v/>
      </c>
      <c r="AG1135" s="9">
        <f>INDEX(LINEST(L876:L1135,M876:T1135,TRUE,TRUE),1,3)</f>
        <v/>
      </c>
      <c r="AH1135" s="9">
        <f>INDEX(LINEST(L876:L1135,M876:T1135,TRUE,TRUE),1,2)</f>
        <v/>
      </c>
      <c r="AI1135" s="9">
        <f>INDEX(LINEST(L876:L1135,M876:T1135,TRUE,TRUE),1,1)</f>
        <v/>
      </c>
      <c r="AJ1135" s="10">
        <f>INDEX(LINEST(L876:L1135,M876:T1135,TRUE,TRUE),3,1)</f>
        <v/>
      </c>
      <c r="AK1135" s="9">
        <f>AA1134/52+AB1134*M1135+AC1134*N1135+AD1134*O1135+AE1134*P1135+AF1134*Q1135+AG1134*R1135+AH1134*S1135+AI1134*T1135</f>
        <v/>
      </c>
      <c r="AL1135" s="9">
        <f>AVERAGE(L875:L1134)</f>
        <v/>
      </c>
    </row>
    <row r="1136">
      <c r="A1136" s="7" t="n">
        <v>45562</v>
      </c>
      <c r="B1136" s="8" t="n">
        <v>2661.85</v>
      </c>
      <c r="C1136" s="8" t="n">
        <v>2.15</v>
      </c>
      <c r="D1136" s="8" t="n">
        <v>1.6</v>
      </c>
      <c r="E1136" s="8" t="n">
        <v>100.419998</v>
      </c>
      <c r="F1136" s="8" t="n">
        <v>68.72</v>
      </c>
      <c r="G1136" s="8" t="n">
        <v>16.96</v>
      </c>
      <c r="H1136" s="8" t="n">
        <v>92.529999</v>
      </c>
      <c r="I1136" s="8" t="n">
        <v>5738.169922</v>
      </c>
      <c r="J1136" s="8" t="n">
        <v>94.809898</v>
      </c>
      <c r="L1136" s="9">
        <f>LN(B1136/B1135)</f>
        <v/>
      </c>
      <c r="M1136" s="9">
        <f>$M$1*(C1136-C1135)</f>
        <v/>
      </c>
      <c r="N1136" s="9">
        <f>$N$1*(D1136-D1135)</f>
        <v/>
      </c>
      <c r="O1136" s="9">
        <f>$O$1*LN(E1136/E1135)</f>
        <v/>
      </c>
      <c r="P1136" s="9">
        <f>$P$1*LN(F1136/F1135)</f>
        <v/>
      </c>
      <c r="Q1136" s="9">
        <f>$Q$1*(G1136-G1135)</f>
        <v/>
      </c>
      <c r="R1136" s="9">
        <f>$R$1*(H1136-H1135)</f>
        <v/>
      </c>
      <c r="S1136" s="9">
        <f>$S$1*LN(I1136/I1135)</f>
        <v/>
      </c>
      <c r="T1136" s="9">
        <f>$T$1*LN(J1136/J1135)</f>
        <v/>
      </c>
      <c r="U1136" s="9">
        <f>$W$12+$W$4*M1136+$W$5*N1136+$W$6*O1136+$W$7*P1136+$W$8*Q1136+$W$9*R1136+$W$10*S1136+$W$11*T1136</f>
        <v/>
      </c>
      <c r="AA1136" s="10">
        <f>INDEX(LINEST(L877:L1136,M877:T1136,TRUE,TRUE),1,9)*52</f>
        <v/>
      </c>
      <c r="AB1136" s="9">
        <f>INDEX(LINEST(L877:L1136,M877:T1136,TRUE,TRUE),1,8)</f>
        <v/>
      </c>
      <c r="AC1136" s="9">
        <f>INDEX(LINEST(L877:L1136,M877:T1136,TRUE,TRUE),1,7)</f>
        <v/>
      </c>
      <c r="AD1136" s="9">
        <f>INDEX(LINEST(L877:L1136,M877:T1136,TRUE,TRUE),1,6)</f>
        <v/>
      </c>
      <c r="AE1136" s="9">
        <f>INDEX(LINEST(L877:L1136,M877:T1136,TRUE,TRUE),1,5)</f>
        <v/>
      </c>
      <c r="AF1136" s="9">
        <f>INDEX(LINEST(L877:L1136,M877:T1136,TRUE,TRUE),1,4)</f>
        <v/>
      </c>
      <c r="AG1136" s="9">
        <f>INDEX(LINEST(L877:L1136,M877:T1136,TRUE,TRUE),1,3)</f>
        <v/>
      </c>
      <c r="AH1136" s="9">
        <f>INDEX(LINEST(L877:L1136,M877:T1136,TRUE,TRUE),1,2)</f>
        <v/>
      </c>
      <c r="AI1136" s="9">
        <f>INDEX(LINEST(L877:L1136,M877:T1136,TRUE,TRUE),1,1)</f>
        <v/>
      </c>
      <c r="AJ1136" s="10">
        <f>INDEX(LINEST(L877:L1136,M877:T1136,TRUE,TRUE),3,1)</f>
        <v/>
      </c>
      <c r="AK1136" s="9">
        <f>AA1135/52+AB1135*M1136+AC1135*N1136+AD1135*O1136+AE1135*P1136+AF1135*Q1136+AG1135*R1136+AH1135*S1136+AI1135*T1136</f>
        <v/>
      </c>
      <c r="AL1136" s="9">
        <f>AVERAGE(L876:L1135)</f>
        <v/>
      </c>
    </row>
    <row r="1137">
      <c r="A1137" s="7" t="n">
        <v>45569</v>
      </c>
      <c r="B1137" s="8" t="n">
        <v>2650.05</v>
      </c>
      <c r="C1137" s="8" t="n">
        <v>2.23</v>
      </c>
      <c r="D1137" s="8" t="n">
        <v>1.75</v>
      </c>
      <c r="E1137" s="8" t="n">
        <v>102.519997</v>
      </c>
      <c r="F1137" s="8" t="n">
        <v>74.93000000000001</v>
      </c>
      <c r="G1137" s="8" t="n">
        <v>19.21</v>
      </c>
      <c r="H1137" s="8" t="n">
        <v>100.150002</v>
      </c>
      <c r="I1137" s="8" t="n">
        <v>5751.069824</v>
      </c>
      <c r="J1137" s="8" t="n">
        <v>93.655312</v>
      </c>
      <c r="L1137" s="9">
        <f>LN(B1137/B1136)</f>
        <v/>
      </c>
      <c r="M1137" s="9">
        <f>$M$1*(C1137-C1136)</f>
        <v/>
      </c>
      <c r="N1137" s="9">
        <f>$N$1*(D1137-D1136)</f>
        <v/>
      </c>
      <c r="O1137" s="9">
        <f>$O$1*LN(E1137/E1136)</f>
        <v/>
      </c>
      <c r="P1137" s="9">
        <f>$P$1*LN(F1137/F1136)</f>
        <v/>
      </c>
      <c r="Q1137" s="9">
        <f>$Q$1*(G1137-G1136)</f>
        <v/>
      </c>
      <c r="R1137" s="9">
        <f>$R$1*(H1137-H1136)</f>
        <v/>
      </c>
      <c r="S1137" s="9">
        <f>$S$1*LN(I1137/I1136)</f>
        <v/>
      </c>
      <c r="T1137" s="9">
        <f>$T$1*LN(J1137/J1136)</f>
        <v/>
      </c>
      <c r="U1137" s="9">
        <f>$W$12+$W$4*M1137+$W$5*N1137+$W$6*O1137+$W$7*P1137+$W$8*Q1137+$W$9*R1137+$W$10*S1137+$W$11*T1137</f>
        <v/>
      </c>
      <c r="AA1137" s="10">
        <f>INDEX(LINEST(L878:L1137,M878:T1137,TRUE,TRUE),1,9)*52</f>
        <v/>
      </c>
      <c r="AB1137" s="9">
        <f>INDEX(LINEST(L878:L1137,M878:T1137,TRUE,TRUE),1,8)</f>
        <v/>
      </c>
      <c r="AC1137" s="9">
        <f>INDEX(LINEST(L878:L1137,M878:T1137,TRUE,TRUE),1,7)</f>
        <v/>
      </c>
      <c r="AD1137" s="9">
        <f>INDEX(LINEST(L878:L1137,M878:T1137,TRUE,TRUE),1,6)</f>
        <v/>
      </c>
      <c r="AE1137" s="9">
        <f>INDEX(LINEST(L878:L1137,M878:T1137,TRUE,TRUE),1,5)</f>
        <v/>
      </c>
      <c r="AF1137" s="9">
        <f>INDEX(LINEST(L878:L1137,M878:T1137,TRUE,TRUE),1,4)</f>
        <v/>
      </c>
      <c r="AG1137" s="9">
        <f>INDEX(LINEST(L878:L1137,M878:T1137,TRUE,TRUE),1,3)</f>
        <v/>
      </c>
      <c r="AH1137" s="9">
        <f>INDEX(LINEST(L878:L1137,M878:T1137,TRUE,TRUE),1,2)</f>
        <v/>
      </c>
      <c r="AI1137" s="9">
        <f>INDEX(LINEST(L878:L1137,M878:T1137,TRUE,TRUE),1,1)</f>
        <v/>
      </c>
      <c r="AJ1137" s="10">
        <f>INDEX(LINEST(L878:L1137,M878:T1137,TRUE,TRUE),3,1)</f>
        <v/>
      </c>
      <c r="AK1137" s="9">
        <f>AA1136/52+AB1136*M1137+AC1136*N1137+AD1136*O1137+AE1136*P1137+AF1136*Q1137+AG1136*R1137+AH1136*S1137+AI1136*T1137</f>
        <v/>
      </c>
      <c r="AL1137" s="9">
        <f>AVERAGE(L877:L1136)</f>
        <v/>
      </c>
    </row>
    <row r="1138">
      <c r="A1138" s="7" t="n">
        <v>45576</v>
      </c>
      <c r="B1138" s="8" t="n">
        <v>2648.8</v>
      </c>
      <c r="C1138" s="8" t="n">
        <v>2.33</v>
      </c>
      <c r="D1138" s="8" t="n">
        <v>1.75</v>
      </c>
      <c r="E1138" s="8" t="n">
        <v>102.889999</v>
      </c>
      <c r="F1138" s="8" t="n">
        <v>76.11</v>
      </c>
      <c r="G1138" s="8" t="n">
        <v>20.46</v>
      </c>
      <c r="H1138" s="8" t="n">
        <v>118.470001</v>
      </c>
      <c r="I1138" s="8" t="n">
        <v>5815.029785</v>
      </c>
      <c r="J1138" s="8" t="n">
        <v>93.224304</v>
      </c>
      <c r="L1138" s="9">
        <f>LN(B1138/B1137)</f>
        <v/>
      </c>
      <c r="M1138" s="9">
        <f>$M$1*(C1138-C1137)</f>
        <v/>
      </c>
      <c r="N1138" s="9">
        <f>$N$1*(D1138-D1137)</f>
        <v/>
      </c>
      <c r="O1138" s="9">
        <f>$O$1*LN(E1138/E1137)</f>
        <v/>
      </c>
      <c r="P1138" s="9">
        <f>$P$1*LN(F1138/F1137)</f>
        <v/>
      </c>
      <c r="Q1138" s="9">
        <f>$Q$1*(G1138-G1137)</f>
        <v/>
      </c>
      <c r="R1138" s="9">
        <f>$R$1*(H1138-H1137)</f>
        <v/>
      </c>
      <c r="S1138" s="9">
        <f>$S$1*LN(I1138/I1137)</f>
        <v/>
      </c>
      <c r="T1138" s="9">
        <f>$T$1*LN(J1138/J1137)</f>
        <v/>
      </c>
      <c r="U1138" s="9">
        <f>$W$12+$W$4*M1138+$W$5*N1138+$W$6*O1138+$W$7*P1138+$W$8*Q1138+$W$9*R1138+$W$10*S1138+$W$11*T1138</f>
        <v/>
      </c>
      <c r="AA1138" s="10">
        <f>INDEX(LINEST(L879:L1138,M879:T1138,TRUE,TRUE),1,9)*52</f>
        <v/>
      </c>
      <c r="AB1138" s="9">
        <f>INDEX(LINEST(L879:L1138,M879:T1138,TRUE,TRUE),1,8)</f>
        <v/>
      </c>
      <c r="AC1138" s="9">
        <f>INDEX(LINEST(L879:L1138,M879:T1138,TRUE,TRUE),1,7)</f>
        <v/>
      </c>
      <c r="AD1138" s="9">
        <f>INDEX(LINEST(L879:L1138,M879:T1138,TRUE,TRUE),1,6)</f>
        <v/>
      </c>
      <c r="AE1138" s="9">
        <f>INDEX(LINEST(L879:L1138,M879:T1138,TRUE,TRUE),1,5)</f>
        <v/>
      </c>
      <c r="AF1138" s="9">
        <f>INDEX(LINEST(L879:L1138,M879:T1138,TRUE,TRUE),1,4)</f>
        <v/>
      </c>
      <c r="AG1138" s="9">
        <f>INDEX(LINEST(L879:L1138,M879:T1138,TRUE,TRUE),1,3)</f>
        <v/>
      </c>
      <c r="AH1138" s="9">
        <f>INDEX(LINEST(L879:L1138,M879:T1138,TRUE,TRUE),1,2)</f>
        <v/>
      </c>
      <c r="AI1138" s="9">
        <f>INDEX(LINEST(L879:L1138,M879:T1138,TRUE,TRUE),1,1)</f>
        <v/>
      </c>
      <c r="AJ1138" s="10">
        <f>INDEX(LINEST(L879:L1138,M879:T1138,TRUE,TRUE),3,1)</f>
        <v/>
      </c>
      <c r="AK1138" s="9">
        <f>AA1137/52+AB1137*M1138+AC1137*N1138+AD1137*O1138+AE1137*P1138+AF1137*Q1138+AG1137*R1138+AH1137*S1138+AI1137*T1138</f>
        <v/>
      </c>
      <c r="AL1138" s="9">
        <f>AVERAGE(L878:L1137)</f>
        <v/>
      </c>
    </row>
    <row r="1139">
      <c r="A1139" s="7" t="n">
        <v>45583</v>
      </c>
      <c r="B1139" s="8" t="n">
        <v>2712.5</v>
      </c>
      <c r="C1139" s="8" t="n">
        <v>2.31</v>
      </c>
      <c r="D1139" s="8" t="n">
        <v>1.77</v>
      </c>
      <c r="E1139" s="8" t="n">
        <v>103.489998</v>
      </c>
      <c r="F1139" s="8" t="n">
        <v>69.78</v>
      </c>
      <c r="G1139" s="8" t="n">
        <v>18.03</v>
      </c>
      <c r="H1139" s="8" t="n">
        <v>123.129997</v>
      </c>
      <c r="I1139" s="8" t="n">
        <v>5864.669922</v>
      </c>
      <c r="J1139" s="8" t="n">
        <v>93.243042</v>
      </c>
      <c r="L1139" s="9">
        <f>LN(B1139/B1138)</f>
        <v/>
      </c>
      <c r="M1139" s="9">
        <f>$M$1*(C1139-C1138)</f>
        <v/>
      </c>
      <c r="N1139" s="9">
        <f>$N$1*(D1139-D1138)</f>
        <v/>
      </c>
      <c r="O1139" s="9">
        <f>$O$1*LN(E1139/E1138)</f>
        <v/>
      </c>
      <c r="P1139" s="9">
        <f>$P$1*LN(F1139/F1138)</f>
        <v/>
      </c>
      <c r="Q1139" s="9">
        <f>$Q$1*(G1139-G1138)</f>
        <v/>
      </c>
      <c r="R1139" s="9">
        <f>$R$1*(H1139-H1138)</f>
        <v/>
      </c>
      <c r="S1139" s="9">
        <f>$S$1*LN(I1139/I1138)</f>
        <v/>
      </c>
      <c r="T1139" s="9">
        <f>$T$1*LN(J1139/J1138)</f>
        <v/>
      </c>
      <c r="U1139" s="9">
        <f>$W$12+$W$4*M1139+$W$5*N1139+$W$6*O1139+$W$7*P1139+$W$8*Q1139+$W$9*R1139+$W$10*S1139+$W$11*T1139</f>
        <v/>
      </c>
      <c r="AA1139" s="10">
        <f>INDEX(LINEST(L880:L1139,M880:T1139,TRUE,TRUE),1,9)*52</f>
        <v/>
      </c>
      <c r="AB1139" s="9">
        <f>INDEX(LINEST(L880:L1139,M880:T1139,TRUE,TRUE),1,8)</f>
        <v/>
      </c>
      <c r="AC1139" s="9">
        <f>INDEX(LINEST(L880:L1139,M880:T1139,TRUE,TRUE),1,7)</f>
        <v/>
      </c>
      <c r="AD1139" s="9">
        <f>INDEX(LINEST(L880:L1139,M880:T1139,TRUE,TRUE),1,6)</f>
        <v/>
      </c>
      <c r="AE1139" s="9">
        <f>INDEX(LINEST(L880:L1139,M880:T1139,TRUE,TRUE),1,5)</f>
        <v/>
      </c>
      <c r="AF1139" s="9">
        <f>INDEX(LINEST(L880:L1139,M880:T1139,TRUE,TRUE),1,4)</f>
        <v/>
      </c>
      <c r="AG1139" s="9">
        <f>INDEX(LINEST(L880:L1139,M880:T1139,TRUE,TRUE),1,3)</f>
        <v/>
      </c>
      <c r="AH1139" s="9">
        <f>INDEX(LINEST(L880:L1139,M880:T1139,TRUE,TRUE),1,2)</f>
        <v/>
      </c>
      <c r="AI1139" s="9">
        <f>INDEX(LINEST(L880:L1139,M880:T1139,TRUE,TRUE),1,1)</f>
        <v/>
      </c>
      <c r="AJ1139" s="10">
        <f>INDEX(LINEST(L880:L1139,M880:T1139,TRUE,TRUE),3,1)</f>
        <v/>
      </c>
      <c r="AK1139" s="9">
        <f>AA1138/52+AB1138*M1139+AC1138*N1139+AD1138*O1139+AE1138*P1139+AF1138*Q1139+AG1138*R1139+AH1138*S1139+AI1138*T1139</f>
        <v/>
      </c>
      <c r="AL1139" s="9">
        <f>AVERAGE(L879:L1138)</f>
        <v/>
      </c>
    </row>
    <row r="1140">
      <c r="A1140" s="7" t="n">
        <v>45590</v>
      </c>
      <c r="B1140" s="8" t="n">
        <v>2731.45</v>
      </c>
      <c r="C1140" s="8" t="n">
        <v>2.29</v>
      </c>
      <c r="D1140" s="8" t="n">
        <v>1.96</v>
      </c>
      <c r="E1140" s="8" t="n">
        <v>104.260002</v>
      </c>
      <c r="F1140" s="8" t="n">
        <v>72.02</v>
      </c>
      <c r="G1140" s="8" t="n">
        <v>20.33</v>
      </c>
      <c r="H1140" s="8" t="n">
        <v>128.399994</v>
      </c>
      <c r="I1140" s="8" t="n">
        <v>5808.120117</v>
      </c>
      <c r="J1140" s="8" t="n">
        <v>92.371719</v>
      </c>
      <c r="L1140" s="9">
        <f>LN(B1140/B1139)</f>
        <v/>
      </c>
      <c r="M1140" s="9">
        <f>$M$1*(C1140-C1139)</f>
        <v/>
      </c>
      <c r="N1140" s="9">
        <f>$N$1*(D1140-D1139)</f>
        <v/>
      </c>
      <c r="O1140" s="9">
        <f>$O$1*LN(E1140/E1139)</f>
        <v/>
      </c>
      <c r="P1140" s="9">
        <f>$P$1*LN(F1140/F1139)</f>
        <v/>
      </c>
      <c r="Q1140" s="9">
        <f>$Q$1*(G1140-G1139)</f>
        <v/>
      </c>
      <c r="R1140" s="9">
        <f>$R$1*(H1140-H1139)</f>
        <v/>
      </c>
      <c r="S1140" s="9">
        <f>$S$1*LN(I1140/I1139)</f>
        <v/>
      </c>
      <c r="T1140" s="9">
        <f>$T$1*LN(J1140/J1139)</f>
        <v/>
      </c>
      <c r="U1140" s="9">
        <f>$W$12+$W$4*M1140+$W$5*N1140+$W$6*O1140+$W$7*P1140+$W$8*Q1140+$W$9*R1140+$W$10*S1140+$W$11*T1140</f>
        <v/>
      </c>
      <c r="AA1140" s="10">
        <f>INDEX(LINEST(L881:L1140,M881:T1140,TRUE,TRUE),1,9)*52</f>
        <v/>
      </c>
      <c r="AB1140" s="9">
        <f>INDEX(LINEST(L881:L1140,M881:T1140,TRUE,TRUE),1,8)</f>
        <v/>
      </c>
      <c r="AC1140" s="9">
        <f>INDEX(LINEST(L881:L1140,M881:T1140,TRUE,TRUE),1,7)</f>
        <v/>
      </c>
      <c r="AD1140" s="9">
        <f>INDEX(LINEST(L881:L1140,M881:T1140,TRUE,TRUE),1,6)</f>
        <v/>
      </c>
      <c r="AE1140" s="9">
        <f>INDEX(LINEST(L881:L1140,M881:T1140,TRUE,TRUE),1,5)</f>
        <v/>
      </c>
      <c r="AF1140" s="9">
        <f>INDEX(LINEST(L881:L1140,M881:T1140,TRUE,TRUE),1,4)</f>
        <v/>
      </c>
      <c r="AG1140" s="9">
        <f>INDEX(LINEST(L881:L1140,M881:T1140,TRUE,TRUE),1,3)</f>
        <v/>
      </c>
      <c r="AH1140" s="9">
        <f>INDEX(LINEST(L881:L1140,M881:T1140,TRUE,TRUE),1,2)</f>
        <v/>
      </c>
      <c r="AI1140" s="9">
        <f>INDEX(LINEST(L881:L1140,M881:T1140,TRUE,TRUE),1,1)</f>
        <v/>
      </c>
      <c r="AJ1140" s="10">
        <f>INDEX(LINEST(L881:L1140,M881:T1140,TRUE,TRUE),3,1)</f>
        <v/>
      </c>
      <c r="AK1140" s="9">
        <f>AA1139/52+AB1139*M1140+AC1139*N1140+AD1139*O1140+AE1139*P1140+AF1139*Q1140+AG1139*R1140+AH1139*S1140+AI1139*T1140</f>
        <v/>
      </c>
      <c r="AL1140" s="9">
        <f>AVERAGE(L880:L1139)</f>
        <v/>
      </c>
    </row>
    <row r="1141">
      <c r="A1141" s="7" t="n">
        <v>45597</v>
      </c>
      <c r="B1141" s="8" t="n">
        <v>2744.3</v>
      </c>
      <c r="C1141" s="8" t="n">
        <v>2.33</v>
      </c>
      <c r="D1141" s="8" t="n">
        <v>2.04</v>
      </c>
      <c r="E1141" s="8" t="n">
        <v>104.279999</v>
      </c>
      <c r="F1141" s="8" t="n">
        <v>69.81</v>
      </c>
      <c r="G1141" s="8" t="n">
        <v>21.88</v>
      </c>
      <c r="H1141" s="8" t="n">
        <v>132.580002</v>
      </c>
      <c r="I1141" s="8" t="n">
        <v>5728.799805</v>
      </c>
      <c r="J1141" s="8" t="n">
        <v>91.84588599999999</v>
      </c>
      <c r="L1141" s="9">
        <f>LN(B1141/B1140)</f>
        <v/>
      </c>
      <c r="M1141" s="9">
        <f>$M$1*(C1141-C1140)</f>
        <v/>
      </c>
      <c r="N1141" s="9">
        <f>$N$1*(D1141-D1140)</f>
        <v/>
      </c>
      <c r="O1141" s="9">
        <f>$O$1*LN(E1141/E1140)</f>
        <v/>
      </c>
      <c r="P1141" s="9">
        <f>$P$1*LN(F1141/F1140)</f>
        <v/>
      </c>
      <c r="Q1141" s="9">
        <f>$Q$1*(G1141-G1140)</f>
        <v/>
      </c>
      <c r="R1141" s="9">
        <f>$R$1*(H1141-H1140)</f>
        <v/>
      </c>
      <c r="S1141" s="9">
        <f>$S$1*LN(I1141/I1140)</f>
        <v/>
      </c>
      <c r="T1141" s="9">
        <f>$T$1*LN(J1141/J1140)</f>
        <v/>
      </c>
      <c r="U1141" s="9">
        <f>$W$12+$W$4*M1141+$W$5*N1141+$W$6*O1141+$W$7*P1141+$W$8*Q1141+$W$9*R1141+$W$10*S1141+$W$11*T1141</f>
        <v/>
      </c>
      <c r="AA1141" s="10">
        <f>INDEX(LINEST(L882:L1141,M882:T1141,TRUE,TRUE),1,9)*52</f>
        <v/>
      </c>
      <c r="AB1141" s="9">
        <f>INDEX(LINEST(L882:L1141,M882:T1141,TRUE,TRUE),1,8)</f>
        <v/>
      </c>
      <c r="AC1141" s="9">
        <f>INDEX(LINEST(L882:L1141,M882:T1141,TRUE,TRUE),1,7)</f>
        <v/>
      </c>
      <c r="AD1141" s="9">
        <f>INDEX(LINEST(L882:L1141,M882:T1141,TRUE,TRUE),1,6)</f>
        <v/>
      </c>
      <c r="AE1141" s="9">
        <f>INDEX(LINEST(L882:L1141,M882:T1141,TRUE,TRUE),1,5)</f>
        <v/>
      </c>
      <c r="AF1141" s="9">
        <f>INDEX(LINEST(L882:L1141,M882:T1141,TRUE,TRUE),1,4)</f>
        <v/>
      </c>
      <c r="AG1141" s="9">
        <f>INDEX(LINEST(L882:L1141,M882:T1141,TRUE,TRUE),1,3)</f>
        <v/>
      </c>
      <c r="AH1141" s="9">
        <f>INDEX(LINEST(L882:L1141,M882:T1141,TRUE,TRUE),1,2)</f>
        <v/>
      </c>
      <c r="AI1141" s="9">
        <f>INDEX(LINEST(L882:L1141,M882:T1141,TRUE,TRUE),1,1)</f>
        <v/>
      </c>
      <c r="AJ1141" s="10">
        <f>INDEX(LINEST(L882:L1141,M882:T1141,TRUE,TRUE),3,1)</f>
        <v/>
      </c>
      <c r="AK1141" s="9">
        <f>AA1140/52+AB1140*M1141+AC1140*N1141+AD1140*O1141+AE1140*P1141+AF1140*Q1141+AG1140*R1141+AH1140*S1141+AI1140*T1141</f>
        <v/>
      </c>
      <c r="AL1141" s="9">
        <f>AVERAGE(L881:L1140)</f>
        <v/>
      </c>
    </row>
    <row r="1142">
      <c r="A1142" s="7" t="n">
        <v>45604</v>
      </c>
      <c r="B1142" s="8" t="n">
        <v>2691.15</v>
      </c>
      <c r="C1142" s="8" t="n">
        <v>2.35</v>
      </c>
      <c r="D1142" s="8" t="n">
        <v>1.95</v>
      </c>
      <c r="E1142" s="8" t="n">
        <v>105</v>
      </c>
      <c r="F1142" s="8" t="n">
        <v>70.69</v>
      </c>
      <c r="G1142" s="8" t="n">
        <v>14.94</v>
      </c>
      <c r="H1142" s="8" t="n">
        <v>99.849998</v>
      </c>
      <c r="I1142" s="8" t="n">
        <v>5995.540039</v>
      </c>
      <c r="J1142" s="8" t="n">
        <v>92.57897199999999</v>
      </c>
      <c r="L1142" s="9">
        <f>LN(B1142/B1141)</f>
        <v/>
      </c>
      <c r="M1142" s="9">
        <f>$M$1*(C1142-C1141)</f>
        <v/>
      </c>
      <c r="N1142" s="9">
        <f>$N$1*(D1142-D1141)</f>
        <v/>
      </c>
      <c r="O1142" s="9">
        <f>$O$1*LN(E1142/E1141)</f>
        <v/>
      </c>
      <c r="P1142" s="9">
        <f>$P$1*LN(F1142/F1141)</f>
        <v/>
      </c>
      <c r="Q1142" s="9">
        <f>$Q$1*(G1142-G1141)</f>
        <v/>
      </c>
      <c r="R1142" s="9">
        <f>$R$1*(H1142-H1141)</f>
        <v/>
      </c>
      <c r="S1142" s="9">
        <f>$S$1*LN(I1142/I1141)</f>
        <v/>
      </c>
      <c r="T1142" s="9">
        <f>$T$1*LN(J1142/J1141)</f>
        <v/>
      </c>
      <c r="U1142" s="9">
        <f>$W$12+$W$4*M1142+$W$5*N1142+$W$6*O1142+$W$7*P1142+$W$8*Q1142+$W$9*R1142+$W$10*S1142+$W$11*T1142</f>
        <v/>
      </c>
      <c r="AA1142" s="10">
        <f>INDEX(LINEST(L883:L1142,M883:T1142,TRUE,TRUE),1,9)*52</f>
        <v/>
      </c>
      <c r="AB1142" s="9">
        <f>INDEX(LINEST(L883:L1142,M883:T1142,TRUE,TRUE),1,8)</f>
        <v/>
      </c>
      <c r="AC1142" s="9">
        <f>INDEX(LINEST(L883:L1142,M883:T1142,TRUE,TRUE),1,7)</f>
        <v/>
      </c>
      <c r="AD1142" s="9">
        <f>INDEX(LINEST(L883:L1142,M883:T1142,TRUE,TRUE),1,6)</f>
        <v/>
      </c>
      <c r="AE1142" s="9">
        <f>INDEX(LINEST(L883:L1142,M883:T1142,TRUE,TRUE),1,5)</f>
        <v/>
      </c>
      <c r="AF1142" s="9">
        <f>INDEX(LINEST(L883:L1142,M883:T1142,TRUE,TRUE),1,4)</f>
        <v/>
      </c>
      <c r="AG1142" s="9">
        <f>INDEX(LINEST(L883:L1142,M883:T1142,TRUE,TRUE),1,3)</f>
        <v/>
      </c>
      <c r="AH1142" s="9">
        <f>INDEX(LINEST(L883:L1142,M883:T1142,TRUE,TRUE),1,2)</f>
        <v/>
      </c>
      <c r="AI1142" s="9">
        <f>INDEX(LINEST(L883:L1142,M883:T1142,TRUE,TRUE),1,1)</f>
        <v/>
      </c>
      <c r="AJ1142" s="10">
        <f>INDEX(LINEST(L883:L1142,M883:T1142,TRUE,TRUE),3,1)</f>
        <v/>
      </c>
      <c r="AK1142" s="9">
        <f>AA1141/52+AB1141*M1142+AC1141*N1142+AD1141*O1142+AE1141*P1142+AF1141*Q1142+AG1141*R1142+AH1141*S1142+AI1141*T1142</f>
        <v/>
      </c>
      <c r="AL1142" s="9">
        <f>AVERAGE(L882:L1141)</f>
        <v/>
      </c>
    </row>
    <row r="1143">
      <c r="A1143" s="7" t="n">
        <v>45611</v>
      </c>
      <c r="B1143" s="8" t="n">
        <v>2571.8</v>
      </c>
      <c r="C1143" s="8" t="n">
        <v>2.33</v>
      </c>
      <c r="D1143" s="8" t="n">
        <v>2.1</v>
      </c>
      <c r="E1143" s="8" t="n">
        <v>106.690002</v>
      </c>
      <c r="F1143" s="8" t="n">
        <v>67.33</v>
      </c>
      <c r="G1143" s="8" t="n">
        <v>16.14</v>
      </c>
      <c r="H1143" s="8" t="n">
        <v>102.470001</v>
      </c>
      <c r="I1143" s="8" t="n">
        <v>5870.620117</v>
      </c>
      <c r="J1143" s="8" t="n">
        <v>91.78948200000001</v>
      </c>
      <c r="L1143" s="9">
        <f>LN(B1143/B1142)</f>
        <v/>
      </c>
      <c r="M1143" s="9">
        <f>$M$1*(C1143-C1142)</f>
        <v/>
      </c>
      <c r="N1143" s="9">
        <f>$N$1*(D1143-D1142)</f>
        <v/>
      </c>
      <c r="O1143" s="9">
        <f>$O$1*LN(E1143/E1142)</f>
        <v/>
      </c>
      <c r="P1143" s="9">
        <f>$P$1*LN(F1143/F1142)</f>
        <v/>
      </c>
      <c r="Q1143" s="9">
        <f>$Q$1*(G1143-G1142)</f>
        <v/>
      </c>
      <c r="R1143" s="9">
        <f>$R$1*(H1143-H1142)</f>
        <v/>
      </c>
      <c r="S1143" s="9">
        <f>$S$1*LN(I1143/I1142)</f>
        <v/>
      </c>
      <c r="T1143" s="9">
        <f>$T$1*LN(J1143/J1142)</f>
        <v/>
      </c>
      <c r="U1143" s="9">
        <f>$W$12+$W$4*M1143+$W$5*N1143+$W$6*O1143+$W$7*P1143+$W$8*Q1143+$W$9*R1143+$W$10*S1143+$W$11*T1143</f>
        <v/>
      </c>
      <c r="AA1143" s="10">
        <f>INDEX(LINEST(L884:L1143,M884:T1143,TRUE,TRUE),1,9)*52</f>
        <v/>
      </c>
      <c r="AB1143" s="9">
        <f>INDEX(LINEST(L884:L1143,M884:T1143,TRUE,TRUE),1,8)</f>
        <v/>
      </c>
      <c r="AC1143" s="9">
        <f>INDEX(LINEST(L884:L1143,M884:T1143,TRUE,TRUE),1,7)</f>
        <v/>
      </c>
      <c r="AD1143" s="9">
        <f>INDEX(LINEST(L884:L1143,M884:T1143,TRUE,TRUE),1,6)</f>
        <v/>
      </c>
      <c r="AE1143" s="9">
        <f>INDEX(LINEST(L884:L1143,M884:T1143,TRUE,TRUE),1,5)</f>
        <v/>
      </c>
      <c r="AF1143" s="9">
        <f>INDEX(LINEST(L884:L1143,M884:T1143,TRUE,TRUE),1,4)</f>
        <v/>
      </c>
      <c r="AG1143" s="9">
        <f>INDEX(LINEST(L884:L1143,M884:T1143,TRUE,TRUE),1,3)</f>
        <v/>
      </c>
      <c r="AH1143" s="9">
        <f>INDEX(LINEST(L884:L1143,M884:T1143,TRUE,TRUE),1,2)</f>
        <v/>
      </c>
      <c r="AI1143" s="9">
        <f>INDEX(LINEST(L884:L1143,M884:T1143,TRUE,TRUE),1,1)</f>
        <v/>
      </c>
      <c r="AJ1143" s="10">
        <f>INDEX(LINEST(L884:L1143,M884:T1143,TRUE,TRUE),3,1)</f>
        <v/>
      </c>
      <c r="AK1143" s="9">
        <f>AA1142/52+AB1142*M1143+AC1142*N1143+AD1142*O1143+AE1142*P1143+AF1142*Q1143+AG1142*R1143+AH1142*S1143+AI1142*T1143</f>
        <v/>
      </c>
      <c r="AL1143" s="9">
        <f>AVERAGE(L883:L1142)</f>
        <v/>
      </c>
    </row>
    <row r="1144">
      <c r="A1144" s="7" t="n">
        <v>45618</v>
      </c>
      <c r="B1144" s="8" t="n">
        <v>2694.95</v>
      </c>
      <c r="C1144" s="8" t="n">
        <v>2.34</v>
      </c>
      <c r="D1144" s="8" t="n">
        <v>2.07</v>
      </c>
      <c r="E1144" s="8" t="n">
        <v>107.489998</v>
      </c>
      <c r="F1144" s="8" t="n">
        <v>71.68000000000001</v>
      </c>
      <c r="G1144" s="8" t="n">
        <v>15.24</v>
      </c>
      <c r="H1144" s="8" t="n">
        <v>99.139999</v>
      </c>
      <c r="I1144" s="8" t="n">
        <v>5969.339844</v>
      </c>
      <c r="J1144" s="8" t="n">
        <v>91.93048899999999</v>
      </c>
      <c r="L1144" s="9">
        <f>LN(B1144/B1143)</f>
        <v/>
      </c>
      <c r="M1144" s="9">
        <f>$M$1*(C1144-C1143)</f>
        <v/>
      </c>
      <c r="N1144" s="9">
        <f>$N$1*(D1144-D1143)</f>
        <v/>
      </c>
      <c r="O1144" s="9">
        <f>$O$1*LN(E1144/E1143)</f>
        <v/>
      </c>
      <c r="P1144" s="9">
        <f>$P$1*LN(F1144/F1143)</f>
        <v/>
      </c>
      <c r="Q1144" s="9">
        <f>$Q$1*(G1144-G1143)</f>
        <v/>
      </c>
      <c r="R1144" s="9">
        <f>$R$1*(H1144-H1143)</f>
        <v/>
      </c>
      <c r="S1144" s="9">
        <f>$S$1*LN(I1144/I1143)</f>
        <v/>
      </c>
      <c r="T1144" s="9">
        <f>$T$1*LN(J1144/J1143)</f>
        <v/>
      </c>
      <c r="U1144" s="9">
        <f>$W$12+$W$4*M1144+$W$5*N1144+$W$6*O1144+$W$7*P1144+$W$8*Q1144+$W$9*R1144+$W$10*S1144+$W$11*T1144</f>
        <v/>
      </c>
      <c r="AA1144" s="10">
        <f>INDEX(LINEST(L885:L1144,M885:T1144,TRUE,TRUE),1,9)*52</f>
        <v/>
      </c>
      <c r="AB1144" s="9">
        <f>INDEX(LINEST(L885:L1144,M885:T1144,TRUE,TRUE),1,8)</f>
        <v/>
      </c>
      <c r="AC1144" s="9">
        <f>INDEX(LINEST(L885:L1144,M885:T1144,TRUE,TRUE),1,7)</f>
        <v/>
      </c>
      <c r="AD1144" s="9">
        <f>INDEX(LINEST(L885:L1144,M885:T1144,TRUE,TRUE),1,6)</f>
        <v/>
      </c>
      <c r="AE1144" s="9">
        <f>INDEX(LINEST(L885:L1144,M885:T1144,TRUE,TRUE),1,5)</f>
        <v/>
      </c>
      <c r="AF1144" s="9">
        <f>INDEX(LINEST(L885:L1144,M885:T1144,TRUE,TRUE),1,4)</f>
        <v/>
      </c>
      <c r="AG1144" s="9">
        <f>INDEX(LINEST(L885:L1144,M885:T1144,TRUE,TRUE),1,3)</f>
        <v/>
      </c>
      <c r="AH1144" s="9">
        <f>INDEX(LINEST(L885:L1144,M885:T1144,TRUE,TRUE),1,2)</f>
        <v/>
      </c>
      <c r="AI1144" s="9">
        <f>INDEX(LINEST(L885:L1144,M885:T1144,TRUE,TRUE),1,1)</f>
        <v/>
      </c>
      <c r="AJ1144" s="10">
        <f>INDEX(LINEST(L885:L1144,M885:T1144,TRUE,TRUE),3,1)</f>
        <v/>
      </c>
      <c r="AK1144" s="9">
        <f>AA1143/52+AB1143*M1144+AC1143*N1144+AD1143*O1144+AE1143*P1144+AF1143*Q1144+AG1143*R1144+AH1143*S1144+AI1143*T1144</f>
        <v/>
      </c>
      <c r="AL1144" s="9">
        <f>AVERAGE(L884:L1143)</f>
        <v/>
      </c>
    </row>
    <row r="1145">
      <c r="A1145" s="7" t="n">
        <v>45625</v>
      </c>
      <c r="B1145" s="8" t="n">
        <v>2651.05</v>
      </c>
      <c r="C1145" s="8" t="n">
        <v>2.26</v>
      </c>
      <c r="D1145" s="8" t="n">
        <v>1.92</v>
      </c>
      <c r="E1145" s="8" t="n">
        <v>105.739998</v>
      </c>
      <c r="F1145" s="8" t="n">
        <v>68.26000000000001</v>
      </c>
      <c r="G1145" s="8" t="n">
        <v>13.51</v>
      </c>
      <c r="H1145" s="8" t="n">
        <v>95.220001</v>
      </c>
      <c r="I1145" s="8" t="n">
        <v>6032.379883</v>
      </c>
      <c r="J1145" s="8" t="n">
        <v>93.23690000000001</v>
      </c>
      <c r="L1145" s="9">
        <f>LN(B1145/B1144)</f>
        <v/>
      </c>
      <c r="M1145" s="9">
        <f>$M$1*(C1145-C1144)</f>
        <v/>
      </c>
      <c r="N1145" s="9">
        <f>$N$1*(D1145-D1144)</f>
        <v/>
      </c>
      <c r="O1145" s="9">
        <f>$O$1*LN(E1145/E1144)</f>
        <v/>
      </c>
      <c r="P1145" s="9">
        <f>$P$1*LN(F1145/F1144)</f>
        <v/>
      </c>
      <c r="Q1145" s="9">
        <f>$Q$1*(G1145-G1144)</f>
        <v/>
      </c>
      <c r="R1145" s="9">
        <f>$R$1*(H1145-H1144)</f>
        <v/>
      </c>
      <c r="S1145" s="9">
        <f>$S$1*LN(I1145/I1144)</f>
        <v/>
      </c>
      <c r="T1145" s="9">
        <f>$T$1*LN(J1145/J1144)</f>
        <v/>
      </c>
      <c r="U1145" s="9">
        <f>$W$12+$W$4*M1145+$W$5*N1145+$W$6*O1145+$W$7*P1145+$W$8*Q1145+$W$9*R1145+$W$10*S1145+$W$11*T1145</f>
        <v/>
      </c>
      <c r="AA1145" s="10">
        <f>INDEX(LINEST(L886:L1145,M886:T1145,TRUE,TRUE),1,9)*52</f>
        <v/>
      </c>
      <c r="AB1145" s="9">
        <f>INDEX(LINEST(L886:L1145,M886:T1145,TRUE,TRUE),1,8)</f>
        <v/>
      </c>
      <c r="AC1145" s="9">
        <f>INDEX(LINEST(L886:L1145,M886:T1145,TRUE,TRUE),1,7)</f>
        <v/>
      </c>
      <c r="AD1145" s="9">
        <f>INDEX(LINEST(L886:L1145,M886:T1145,TRUE,TRUE),1,6)</f>
        <v/>
      </c>
      <c r="AE1145" s="9">
        <f>INDEX(LINEST(L886:L1145,M886:T1145,TRUE,TRUE),1,5)</f>
        <v/>
      </c>
      <c r="AF1145" s="9">
        <f>INDEX(LINEST(L886:L1145,M886:T1145,TRUE,TRUE),1,4)</f>
        <v/>
      </c>
      <c r="AG1145" s="9">
        <f>INDEX(LINEST(L886:L1145,M886:T1145,TRUE,TRUE),1,3)</f>
        <v/>
      </c>
      <c r="AH1145" s="9">
        <f>INDEX(LINEST(L886:L1145,M886:T1145,TRUE,TRUE),1,2)</f>
        <v/>
      </c>
      <c r="AI1145" s="9">
        <f>INDEX(LINEST(L886:L1145,M886:T1145,TRUE,TRUE),1,1)</f>
        <v/>
      </c>
      <c r="AJ1145" s="10">
        <f>INDEX(LINEST(L886:L1145,M886:T1145,TRUE,TRUE),3,1)</f>
        <v/>
      </c>
      <c r="AK1145" s="9">
        <f>AA1144/52+AB1144*M1145+AC1144*N1145+AD1144*O1145+AE1144*P1145+AF1144*Q1145+AG1144*R1145+AH1144*S1145+AI1144*T1145</f>
        <v/>
      </c>
      <c r="AL1145" s="9">
        <f>AVERAGE(L885:L1144)</f>
        <v/>
      </c>
    </row>
    <row r="1146">
      <c r="A1146" s="7" t="n">
        <v>45632</v>
      </c>
      <c r="B1146" s="8" t="n">
        <v>2637.3</v>
      </c>
      <c r="C1146" s="8" t="n">
        <v>2.24</v>
      </c>
      <c r="D1146" s="8" t="n">
        <v>1.91</v>
      </c>
      <c r="E1146" s="8" t="n">
        <v>105.970001</v>
      </c>
      <c r="F1146" s="8" t="n">
        <v>68.58</v>
      </c>
      <c r="G1146" s="8" t="n">
        <v>12.77</v>
      </c>
      <c r="H1146" s="8" t="n">
        <v>83.199997</v>
      </c>
      <c r="I1146" s="8" t="n">
        <v>6090.27002</v>
      </c>
      <c r="J1146" s="8" t="n">
        <v>93.653656</v>
      </c>
      <c r="L1146" s="9">
        <f>LN(B1146/B1145)</f>
        <v/>
      </c>
      <c r="M1146" s="9">
        <f>$M$1*(C1146-C1145)</f>
        <v/>
      </c>
      <c r="N1146" s="9">
        <f>$N$1*(D1146-D1145)</f>
        <v/>
      </c>
      <c r="O1146" s="9">
        <f>$O$1*LN(E1146/E1145)</f>
        <v/>
      </c>
      <c r="P1146" s="9">
        <f>$P$1*LN(F1146/F1145)</f>
        <v/>
      </c>
      <c r="Q1146" s="9">
        <f>$Q$1*(G1146-G1145)</f>
        <v/>
      </c>
      <c r="R1146" s="9">
        <f>$R$1*(H1146-H1145)</f>
        <v/>
      </c>
      <c r="S1146" s="9">
        <f>$S$1*LN(I1146/I1145)</f>
        <v/>
      </c>
      <c r="T1146" s="9">
        <f>$T$1*LN(J1146/J1145)</f>
        <v/>
      </c>
      <c r="U1146" s="9">
        <f>$W$12+$W$4*M1146+$W$5*N1146+$W$6*O1146+$W$7*P1146+$W$8*Q1146+$W$9*R1146+$W$10*S1146+$W$11*T1146</f>
        <v/>
      </c>
      <c r="AA1146" s="10">
        <f>INDEX(LINEST(L887:L1146,M887:T1146,TRUE,TRUE),1,9)*52</f>
        <v/>
      </c>
      <c r="AB1146" s="9">
        <f>INDEX(LINEST(L887:L1146,M887:T1146,TRUE,TRUE),1,8)</f>
        <v/>
      </c>
      <c r="AC1146" s="9">
        <f>INDEX(LINEST(L887:L1146,M887:T1146,TRUE,TRUE),1,7)</f>
        <v/>
      </c>
      <c r="AD1146" s="9">
        <f>INDEX(LINEST(L887:L1146,M887:T1146,TRUE,TRUE),1,6)</f>
        <v/>
      </c>
      <c r="AE1146" s="9">
        <f>INDEX(LINEST(L887:L1146,M887:T1146,TRUE,TRUE),1,5)</f>
        <v/>
      </c>
      <c r="AF1146" s="9">
        <f>INDEX(LINEST(L887:L1146,M887:T1146,TRUE,TRUE),1,4)</f>
        <v/>
      </c>
      <c r="AG1146" s="9">
        <f>INDEX(LINEST(L887:L1146,M887:T1146,TRUE,TRUE),1,3)</f>
        <v/>
      </c>
      <c r="AH1146" s="9">
        <f>INDEX(LINEST(L887:L1146,M887:T1146,TRUE,TRUE),1,2)</f>
        <v/>
      </c>
      <c r="AI1146" s="9">
        <f>INDEX(LINEST(L887:L1146,M887:T1146,TRUE,TRUE),1,1)</f>
        <v/>
      </c>
      <c r="AJ1146" s="10">
        <f>INDEX(LINEST(L887:L1146,M887:T1146,TRUE,TRUE),3,1)</f>
        <v/>
      </c>
      <c r="AK1146" s="9">
        <f>AA1145/52+AB1145*M1146+AC1145*N1146+AD1145*O1146+AE1145*P1146+AF1145*Q1146+AG1145*R1146+AH1145*S1146+AI1145*T1146</f>
        <v/>
      </c>
      <c r="AL1146" s="9">
        <f>AVERAGE(L886:L1145)</f>
        <v/>
      </c>
    </row>
    <row r="1147">
      <c r="A1147" s="7" t="n">
        <v>45639</v>
      </c>
      <c r="B1147" s="8" t="n">
        <v>2659.05</v>
      </c>
      <c r="C1147" s="8" t="n">
        <v>2.33</v>
      </c>
      <c r="D1147" s="8" t="n">
        <v>2.07</v>
      </c>
      <c r="E1147" s="8" t="n">
        <v>107</v>
      </c>
      <c r="F1147" s="8" t="n">
        <v>71.54000000000001</v>
      </c>
      <c r="G1147" s="8" t="n">
        <v>13.81</v>
      </c>
      <c r="H1147" s="8" t="n">
        <v>85.660004</v>
      </c>
      <c r="I1147" s="8" t="n">
        <v>6051.089844</v>
      </c>
      <c r="J1147" s="8" t="n">
        <v>92.324219</v>
      </c>
      <c r="L1147" s="9">
        <f>LN(B1147/B1146)</f>
        <v/>
      </c>
      <c r="M1147" s="9">
        <f>$M$1*(C1147-C1146)</f>
        <v/>
      </c>
      <c r="N1147" s="9">
        <f>$N$1*(D1147-D1146)</f>
        <v/>
      </c>
      <c r="O1147" s="9">
        <f>$O$1*LN(E1147/E1146)</f>
        <v/>
      </c>
      <c r="P1147" s="9">
        <f>$P$1*LN(F1147/F1146)</f>
        <v/>
      </c>
      <c r="Q1147" s="9">
        <f>$Q$1*(G1147-G1146)</f>
        <v/>
      </c>
      <c r="R1147" s="9">
        <f>$R$1*(H1147-H1146)</f>
        <v/>
      </c>
      <c r="S1147" s="9">
        <f>$S$1*LN(I1147/I1146)</f>
        <v/>
      </c>
      <c r="T1147" s="9">
        <f>$T$1*LN(J1147/J1146)</f>
        <v/>
      </c>
      <c r="U1147" s="9">
        <f>$W$12+$W$4*M1147+$W$5*N1147+$W$6*O1147+$W$7*P1147+$W$8*Q1147+$W$9*R1147+$W$10*S1147+$W$11*T1147</f>
        <v/>
      </c>
      <c r="AA1147" s="10">
        <f>INDEX(LINEST(L888:L1147,M888:T1147,TRUE,TRUE),1,9)*52</f>
        <v/>
      </c>
      <c r="AB1147" s="9">
        <f>INDEX(LINEST(L888:L1147,M888:T1147,TRUE,TRUE),1,8)</f>
        <v/>
      </c>
      <c r="AC1147" s="9">
        <f>INDEX(LINEST(L888:L1147,M888:T1147,TRUE,TRUE),1,7)</f>
        <v/>
      </c>
      <c r="AD1147" s="9">
        <f>INDEX(LINEST(L888:L1147,M888:T1147,TRUE,TRUE),1,6)</f>
        <v/>
      </c>
      <c r="AE1147" s="9">
        <f>INDEX(LINEST(L888:L1147,M888:T1147,TRUE,TRUE),1,5)</f>
        <v/>
      </c>
      <c r="AF1147" s="9">
        <f>INDEX(LINEST(L888:L1147,M888:T1147,TRUE,TRUE),1,4)</f>
        <v/>
      </c>
      <c r="AG1147" s="9">
        <f>INDEX(LINEST(L888:L1147,M888:T1147,TRUE,TRUE),1,3)</f>
        <v/>
      </c>
      <c r="AH1147" s="9">
        <f>INDEX(LINEST(L888:L1147,M888:T1147,TRUE,TRUE),1,2)</f>
        <v/>
      </c>
      <c r="AI1147" s="9">
        <f>INDEX(LINEST(L888:L1147,M888:T1147,TRUE,TRUE),1,1)</f>
        <v/>
      </c>
      <c r="AJ1147" s="10">
        <f>INDEX(LINEST(L888:L1147,M888:T1147,TRUE,TRUE),3,1)</f>
        <v/>
      </c>
      <c r="AK1147" s="9">
        <f>AA1146/52+AB1146*M1147+AC1146*N1147+AD1146*O1147+AE1146*P1147+AF1146*Q1147+AG1146*R1147+AH1146*S1147+AI1146*T1147</f>
        <v/>
      </c>
      <c r="AL1147" s="9">
        <f>AVERAGE(L887:L1146)</f>
        <v/>
      </c>
    </row>
    <row r="1148">
      <c r="A1148" s="7" t="n">
        <v>45646</v>
      </c>
      <c r="B1148" s="8" t="n">
        <v>2616.45</v>
      </c>
      <c r="C1148" s="8" t="n">
        <v>2.29</v>
      </c>
      <c r="D1148" s="8" t="n">
        <v>2.23</v>
      </c>
      <c r="E1148" s="8" t="n">
        <v>107.620003</v>
      </c>
      <c r="F1148" s="8" t="n">
        <v>69.70999999999999</v>
      </c>
      <c r="G1148" s="8" t="n">
        <v>18.36</v>
      </c>
      <c r="H1148" s="8" t="n">
        <v>91.75</v>
      </c>
      <c r="I1148" s="8" t="n">
        <v>5930.850098</v>
      </c>
      <c r="J1148" s="8" t="n">
        <v>91.714783</v>
      </c>
      <c r="L1148" s="9">
        <f>LN(B1148/B1147)</f>
        <v/>
      </c>
      <c r="M1148" s="9">
        <f>$M$1*(C1148-C1147)</f>
        <v/>
      </c>
      <c r="N1148" s="9">
        <f>$N$1*(D1148-D1147)</f>
        <v/>
      </c>
      <c r="O1148" s="9">
        <f>$O$1*LN(E1148/E1147)</f>
        <v/>
      </c>
      <c r="P1148" s="9">
        <f>$P$1*LN(F1148/F1147)</f>
        <v/>
      </c>
      <c r="Q1148" s="9">
        <f>$Q$1*(G1148-G1147)</f>
        <v/>
      </c>
      <c r="R1148" s="9">
        <f>$R$1*(H1148-H1147)</f>
        <v/>
      </c>
      <c r="S1148" s="9">
        <f>$S$1*LN(I1148/I1147)</f>
        <v/>
      </c>
      <c r="T1148" s="9">
        <f>$T$1*LN(J1148/J1147)</f>
        <v/>
      </c>
      <c r="U1148" s="9">
        <f>$W$12+$W$4*M1148+$W$5*N1148+$W$6*O1148+$W$7*P1148+$W$8*Q1148+$W$9*R1148+$W$10*S1148+$W$11*T1148</f>
        <v/>
      </c>
      <c r="AA1148" s="10">
        <f>INDEX(LINEST(L889:L1148,M889:T1148,TRUE,TRUE),1,9)*52</f>
        <v/>
      </c>
      <c r="AB1148" s="9">
        <f>INDEX(LINEST(L889:L1148,M889:T1148,TRUE,TRUE),1,8)</f>
        <v/>
      </c>
      <c r="AC1148" s="9">
        <f>INDEX(LINEST(L889:L1148,M889:T1148,TRUE,TRUE),1,7)</f>
        <v/>
      </c>
      <c r="AD1148" s="9">
        <f>INDEX(LINEST(L889:L1148,M889:T1148,TRUE,TRUE),1,6)</f>
        <v/>
      </c>
      <c r="AE1148" s="9">
        <f>INDEX(LINEST(L889:L1148,M889:T1148,TRUE,TRUE),1,5)</f>
        <v/>
      </c>
      <c r="AF1148" s="9">
        <f>INDEX(LINEST(L889:L1148,M889:T1148,TRUE,TRUE),1,4)</f>
        <v/>
      </c>
      <c r="AG1148" s="9">
        <f>INDEX(LINEST(L889:L1148,M889:T1148,TRUE,TRUE),1,3)</f>
        <v/>
      </c>
      <c r="AH1148" s="9">
        <f>INDEX(LINEST(L889:L1148,M889:T1148,TRUE,TRUE),1,2)</f>
        <v/>
      </c>
      <c r="AI1148" s="9">
        <f>INDEX(LINEST(L889:L1148,M889:T1148,TRUE,TRUE),1,1)</f>
        <v/>
      </c>
      <c r="AJ1148" s="10">
        <f>INDEX(LINEST(L889:L1148,M889:T1148,TRUE,TRUE),3,1)</f>
        <v/>
      </c>
      <c r="AK1148" s="9">
        <f>AA1147/52+AB1147*M1148+AC1147*N1148+AD1147*O1148+AE1147*P1148+AF1147*Q1148+AG1147*R1148+AH1147*S1148+AI1147*T1148</f>
        <v/>
      </c>
      <c r="AL1148" s="9">
        <f>AVERAGE(L888:L1147)</f>
        <v/>
      </c>
    </row>
    <row r="1149">
      <c r="A1149" s="7" t="n">
        <v>45653</v>
      </c>
      <c r="B1149" s="8" t="n">
        <v>2615.95</v>
      </c>
      <c r="C1149" s="8" t="n">
        <v>2.34</v>
      </c>
      <c r="D1149" s="8" t="n">
        <v>2.28</v>
      </c>
      <c r="E1149" s="8" t="n">
        <v>108</v>
      </c>
      <c r="F1149" s="8" t="n">
        <v>71.28</v>
      </c>
      <c r="G1149" s="8" t="n">
        <v>15.95</v>
      </c>
      <c r="H1149" s="8" t="n">
        <v>94.800003</v>
      </c>
      <c r="I1149" s="8" t="n">
        <v>5970.839844</v>
      </c>
      <c r="J1149" s="8" t="n">
        <v>91.41211699999999</v>
      </c>
      <c r="L1149" s="9">
        <f>LN(B1149/B1148)</f>
        <v/>
      </c>
      <c r="M1149" s="9">
        <f>$M$1*(C1149-C1148)</f>
        <v/>
      </c>
      <c r="N1149" s="9">
        <f>$N$1*(D1149-D1148)</f>
        <v/>
      </c>
      <c r="O1149" s="9">
        <f>$O$1*LN(E1149/E1148)</f>
        <v/>
      </c>
      <c r="P1149" s="9">
        <f>$P$1*LN(F1149/F1148)</f>
        <v/>
      </c>
      <c r="Q1149" s="9">
        <f>$Q$1*(G1149-G1148)</f>
        <v/>
      </c>
      <c r="R1149" s="9">
        <f>$R$1*(H1149-H1148)</f>
        <v/>
      </c>
      <c r="S1149" s="9">
        <f>$S$1*LN(I1149/I1148)</f>
        <v/>
      </c>
      <c r="T1149" s="9">
        <f>$T$1*LN(J1149/J1148)</f>
        <v/>
      </c>
      <c r="U1149" s="9">
        <f>$W$12+$W$4*M1149+$W$5*N1149+$W$6*O1149+$W$7*P1149+$W$8*Q1149+$W$9*R1149+$W$10*S1149+$W$11*T1149</f>
        <v/>
      </c>
      <c r="AA1149" s="10">
        <f>INDEX(LINEST(L890:L1149,M890:T1149,TRUE,TRUE),1,9)*52</f>
        <v/>
      </c>
      <c r="AB1149" s="9">
        <f>INDEX(LINEST(L890:L1149,M890:T1149,TRUE,TRUE),1,8)</f>
        <v/>
      </c>
      <c r="AC1149" s="9">
        <f>INDEX(LINEST(L890:L1149,M890:T1149,TRUE,TRUE),1,7)</f>
        <v/>
      </c>
      <c r="AD1149" s="9">
        <f>INDEX(LINEST(L890:L1149,M890:T1149,TRUE,TRUE),1,6)</f>
        <v/>
      </c>
      <c r="AE1149" s="9">
        <f>INDEX(LINEST(L890:L1149,M890:T1149,TRUE,TRUE),1,5)</f>
        <v/>
      </c>
      <c r="AF1149" s="9">
        <f>INDEX(LINEST(L890:L1149,M890:T1149,TRUE,TRUE),1,4)</f>
        <v/>
      </c>
      <c r="AG1149" s="9">
        <f>INDEX(LINEST(L890:L1149,M890:T1149,TRUE,TRUE),1,3)</f>
        <v/>
      </c>
      <c r="AH1149" s="9">
        <f>INDEX(LINEST(L890:L1149,M890:T1149,TRUE,TRUE),1,2)</f>
        <v/>
      </c>
      <c r="AI1149" s="9">
        <f>INDEX(LINEST(L890:L1149,M890:T1149,TRUE,TRUE),1,1)</f>
        <v/>
      </c>
      <c r="AJ1149" s="10">
        <f>INDEX(LINEST(L890:L1149,M890:T1149,TRUE,TRUE),3,1)</f>
        <v/>
      </c>
      <c r="AK1149" s="9">
        <f>AA1148/52+AB1148*M1149+AC1148*N1149+AD1148*O1149+AE1148*P1149+AF1148*Q1149+AG1148*R1149+AH1148*S1149+AI1148*T1149</f>
        <v/>
      </c>
      <c r="AL1149" s="9">
        <f>AVERAGE(L889:L1148)</f>
        <v/>
      </c>
    </row>
    <row r="1150">
      <c r="A1150" s="7" t="n">
        <v>45660</v>
      </c>
      <c r="B1150" s="8" t="n">
        <v>2646.8</v>
      </c>
      <c r="C1150" s="8" t="n">
        <v>2.34</v>
      </c>
      <c r="D1150" s="8" t="n">
        <v>2.26</v>
      </c>
      <c r="E1150" s="8" t="n">
        <v>108.949997</v>
      </c>
      <c r="F1150" s="8" t="n">
        <v>74.64</v>
      </c>
      <c r="G1150" s="8" t="n">
        <v>16.13</v>
      </c>
      <c r="H1150" s="8" t="n">
        <v>93.349998</v>
      </c>
      <c r="I1150" s="8" t="n">
        <v>5942.470215</v>
      </c>
      <c r="J1150" s="8" t="n">
        <v>91.572906</v>
      </c>
      <c r="L1150" s="9">
        <f>LN(B1150/B1149)</f>
        <v/>
      </c>
      <c r="M1150" s="9">
        <f>$M$1*(C1150-C1149)</f>
        <v/>
      </c>
      <c r="N1150" s="9">
        <f>$N$1*(D1150-D1149)</f>
        <v/>
      </c>
      <c r="O1150" s="9">
        <f>$O$1*LN(E1150/E1149)</f>
        <v/>
      </c>
      <c r="P1150" s="9">
        <f>$P$1*LN(F1150/F1149)</f>
        <v/>
      </c>
      <c r="Q1150" s="9">
        <f>$Q$1*(G1150-G1149)</f>
        <v/>
      </c>
      <c r="R1150" s="9">
        <f>$R$1*(H1150-H1149)</f>
        <v/>
      </c>
      <c r="S1150" s="9">
        <f>$S$1*LN(I1150/I1149)</f>
        <v/>
      </c>
      <c r="T1150" s="9">
        <f>$T$1*LN(J1150/J1149)</f>
        <v/>
      </c>
      <c r="U1150" s="9">
        <f>$W$12+$W$4*M1150+$W$5*N1150+$W$6*O1150+$W$7*P1150+$W$8*Q1150+$W$9*R1150+$W$10*S1150+$W$11*T1150</f>
        <v/>
      </c>
      <c r="AA1150" s="10">
        <f>INDEX(LINEST(L891:L1150,M891:T1150,TRUE,TRUE),1,9)*52</f>
        <v/>
      </c>
      <c r="AB1150" s="9">
        <f>INDEX(LINEST(L891:L1150,M891:T1150,TRUE,TRUE),1,8)</f>
        <v/>
      </c>
      <c r="AC1150" s="9">
        <f>INDEX(LINEST(L891:L1150,M891:T1150,TRUE,TRUE),1,7)</f>
        <v/>
      </c>
      <c r="AD1150" s="9">
        <f>INDEX(LINEST(L891:L1150,M891:T1150,TRUE,TRUE),1,6)</f>
        <v/>
      </c>
      <c r="AE1150" s="9">
        <f>INDEX(LINEST(L891:L1150,M891:T1150,TRUE,TRUE),1,5)</f>
        <v/>
      </c>
      <c r="AF1150" s="9">
        <f>INDEX(LINEST(L891:L1150,M891:T1150,TRUE,TRUE),1,4)</f>
        <v/>
      </c>
      <c r="AG1150" s="9">
        <f>INDEX(LINEST(L891:L1150,M891:T1150,TRUE,TRUE),1,3)</f>
        <v/>
      </c>
      <c r="AH1150" s="9">
        <f>INDEX(LINEST(L891:L1150,M891:T1150,TRUE,TRUE),1,2)</f>
        <v/>
      </c>
      <c r="AI1150" s="9">
        <f>INDEX(LINEST(L891:L1150,M891:T1150,TRUE,TRUE),1,1)</f>
        <v/>
      </c>
      <c r="AJ1150" s="10">
        <f>INDEX(LINEST(L891:L1150,M891:T1150,TRUE,TRUE),3,1)</f>
        <v/>
      </c>
      <c r="AK1150" s="9">
        <f>AA1149/52+AB1149*M1150+AC1149*N1150+AD1149*O1150+AE1149*P1150+AF1149*Q1150+AG1149*R1150+AH1149*S1150+AI1149*T1150</f>
        <v/>
      </c>
      <c r="AL1150" s="9">
        <f>AVERAGE(L890:L1149)</f>
        <v/>
      </c>
    </row>
    <row r="1151">
      <c r="A1151" s="7" t="n">
        <v>45667</v>
      </c>
      <c r="B1151" s="8" t="n">
        <v>2687.45</v>
      </c>
      <c r="C1151" s="8" t="n">
        <v>2.43</v>
      </c>
      <c r="D1151" s="8" t="n">
        <v>2.34</v>
      </c>
      <c r="E1151" s="8" t="n">
        <v>109.650002</v>
      </c>
      <c r="F1151" s="8" t="n">
        <v>77.27</v>
      </c>
      <c r="G1151" s="8" t="n">
        <v>19.54</v>
      </c>
      <c r="H1151" s="8" t="n">
        <v>96.56999999999999</v>
      </c>
      <c r="I1151" s="8" t="n">
        <v>5827.040039</v>
      </c>
      <c r="J1151" s="8" t="n">
        <v>90.749962</v>
      </c>
      <c r="L1151" s="9">
        <f>LN(B1151/B1150)</f>
        <v/>
      </c>
      <c r="M1151" s="9">
        <f>$M$1*(C1151-C1150)</f>
        <v/>
      </c>
      <c r="N1151" s="9">
        <f>$N$1*(D1151-D1150)</f>
        <v/>
      </c>
      <c r="O1151" s="9">
        <f>$O$1*LN(E1151/E1150)</f>
        <v/>
      </c>
      <c r="P1151" s="9">
        <f>$P$1*LN(F1151/F1150)</f>
        <v/>
      </c>
      <c r="Q1151" s="9">
        <f>$Q$1*(G1151-G1150)</f>
        <v/>
      </c>
      <c r="R1151" s="9">
        <f>$R$1*(H1151-H1150)</f>
        <v/>
      </c>
      <c r="S1151" s="9">
        <f>$S$1*LN(I1151/I1150)</f>
        <v/>
      </c>
      <c r="T1151" s="9">
        <f>$T$1*LN(J1151/J1150)</f>
        <v/>
      </c>
      <c r="U1151" s="9">
        <f>$W$12+$W$4*M1151+$W$5*N1151+$W$6*O1151+$W$7*P1151+$W$8*Q1151+$W$9*R1151+$W$10*S1151+$W$11*T1151</f>
        <v/>
      </c>
      <c r="AA1151" s="10">
        <f>INDEX(LINEST(L892:L1151,M892:T1151,TRUE,TRUE),1,9)*52</f>
        <v/>
      </c>
      <c r="AB1151" s="9">
        <f>INDEX(LINEST(L892:L1151,M892:T1151,TRUE,TRUE),1,8)</f>
        <v/>
      </c>
      <c r="AC1151" s="9">
        <f>INDEX(LINEST(L892:L1151,M892:T1151,TRUE,TRUE),1,7)</f>
        <v/>
      </c>
      <c r="AD1151" s="9">
        <f>INDEX(LINEST(L892:L1151,M892:T1151,TRUE,TRUE),1,6)</f>
        <v/>
      </c>
      <c r="AE1151" s="9">
        <f>INDEX(LINEST(L892:L1151,M892:T1151,TRUE,TRUE),1,5)</f>
        <v/>
      </c>
      <c r="AF1151" s="9">
        <f>INDEX(LINEST(L892:L1151,M892:T1151,TRUE,TRUE),1,4)</f>
        <v/>
      </c>
      <c r="AG1151" s="9">
        <f>INDEX(LINEST(L892:L1151,M892:T1151,TRUE,TRUE),1,3)</f>
        <v/>
      </c>
      <c r="AH1151" s="9">
        <f>INDEX(LINEST(L892:L1151,M892:T1151,TRUE,TRUE),1,2)</f>
        <v/>
      </c>
      <c r="AI1151" s="9">
        <f>INDEX(LINEST(L892:L1151,M892:T1151,TRUE,TRUE),1,1)</f>
        <v/>
      </c>
      <c r="AJ1151" s="10">
        <f>INDEX(LINEST(L892:L1151,M892:T1151,TRUE,TRUE),3,1)</f>
        <v/>
      </c>
      <c r="AK1151" s="9">
        <f>AA1150/52+AB1150*M1151+AC1150*N1151+AD1150*O1151+AE1150*P1151+AF1150*Q1151+AG1150*R1151+AH1150*S1151+AI1150*T1151</f>
        <v/>
      </c>
      <c r="AL1151" s="9">
        <f>AVERAGE(L891:L1150)</f>
        <v/>
      </c>
    </row>
    <row r="1152">
      <c r="A1152" s="7" t="n">
        <v>45674</v>
      </c>
      <c r="B1152" s="8" t="n">
        <v>2715.2</v>
      </c>
      <c r="C1152" s="8" t="n">
        <v>2.41</v>
      </c>
      <c r="D1152" s="8" t="n">
        <v>2.2</v>
      </c>
      <c r="E1152" s="8" t="n">
        <v>109.349998</v>
      </c>
      <c r="F1152" s="8" t="n">
        <v>78.56</v>
      </c>
      <c r="G1152" s="8" t="n">
        <v>15.97</v>
      </c>
      <c r="H1152" s="8" t="n">
        <v>95.599998</v>
      </c>
      <c r="I1152" s="8" t="n">
        <v>5996.660156</v>
      </c>
      <c r="J1152" s="8" t="n">
        <v>91.676956</v>
      </c>
      <c r="L1152" s="9">
        <f>LN(B1152/B1151)</f>
        <v/>
      </c>
      <c r="M1152" s="9">
        <f>$M$1*(C1152-C1151)</f>
        <v/>
      </c>
      <c r="N1152" s="9">
        <f>$N$1*(D1152-D1151)</f>
        <v/>
      </c>
      <c r="O1152" s="9">
        <f>$O$1*LN(E1152/E1151)</f>
        <v/>
      </c>
      <c r="P1152" s="9">
        <f>$P$1*LN(F1152/F1151)</f>
        <v/>
      </c>
      <c r="Q1152" s="9">
        <f>$Q$1*(G1152-G1151)</f>
        <v/>
      </c>
      <c r="R1152" s="9">
        <f>$R$1*(H1152-H1151)</f>
        <v/>
      </c>
      <c r="S1152" s="9">
        <f>$S$1*LN(I1152/I1151)</f>
        <v/>
      </c>
      <c r="T1152" s="9">
        <f>$T$1*LN(J1152/J1151)</f>
        <v/>
      </c>
      <c r="U1152" s="9">
        <f>$W$12+$W$4*M1152+$W$5*N1152+$W$6*O1152+$W$7*P1152+$W$8*Q1152+$W$9*R1152+$W$10*S1152+$W$11*T1152</f>
        <v/>
      </c>
      <c r="AA1152" s="10">
        <f>INDEX(LINEST(L893:L1152,M893:T1152,TRUE,TRUE),1,9)*52</f>
        <v/>
      </c>
      <c r="AB1152" s="9">
        <f>INDEX(LINEST(L893:L1152,M893:T1152,TRUE,TRUE),1,8)</f>
        <v/>
      </c>
      <c r="AC1152" s="9">
        <f>INDEX(LINEST(L893:L1152,M893:T1152,TRUE,TRUE),1,7)</f>
        <v/>
      </c>
      <c r="AD1152" s="9">
        <f>INDEX(LINEST(L893:L1152,M893:T1152,TRUE,TRUE),1,6)</f>
        <v/>
      </c>
      <c r="AE1152" s="9">
        <f>INDEX(LINEST(L893:L1152,M893:T1152,TRUE,TRUE),1,5)</f>
        <v/>
      </c>
      <c r="AF1152" s="9">
        <f>INDEX(LINEST(L893:L1152,M893:T1152,TRUE,TRUE),1,4)</f>
        <v/>
      </c>
      <c r="AG1152" s="9">
        <f>INDEX(LINEST(L893:L1152,M893:T1152,TRUE,TRUE),1,3)</f>
        <v/>
      </c>
      <c r="AH1152" s="9">
        <f>INDEX(LINEST(L893:L1152,M893:T1152,TRUE,TRUE),1,2)</f>
        <v/>
      </c>
      <c r="AI1152" s="9">
        <f>INDEX(LINEST(L893:L1152,M893:T1152,TRUE,TRUE),1,1)</f>
        <v/>
      </c>
      <c r="AJ1152" s="10">
        <f>INDEX(LINEST(L893:L1152,M893:T1152,TRUE,TRUE),3,1)</f>
        <v/>
      </c>
      <c r="AK1152" s="9">
        <f>AA1151/52+AB1151*M1152+AC1151*N1152+AD1151*O1152+AE1151*P1152+AF1151*Q1152+AG1151*R1152+AH1151*S1152+AI1151*T1152</f>
        <v/>
      </c>
      <c r="AL1152" s="9">
        <f>AVERAGE(L892:L1151)</f>
        <v/>
      </c>
    </row>
    <row r="1153">
      <c r="A1153" s="7" t="n">
        <v>45681</v>
      </c>
      <c r="B1153" s="8" t="n">
        <v>2776.8</v>
      </c>
      <c r="C1153" s="8" t="n">
        <v>2.43</v>
      </c>
      <c r="D1153" s="8" t="n">
        <v>2.2</v>
      </c>
      <c r="E1153" s="8" t="n">
        <v>107.440002</v>
      </c>
      <c r="F1153" s="8" t="n">
        <v>74.97</v>
      </c>
      <c r="G1153" s="8" t="n">
        <v>14.85</v>
      </c>
      <c r="H1153" s="8" t="n">
        <v>86.75</v>
      </c>
      <c r="I1153" s="8" t="n">
        <v>6101.240234</v>
      </c>
      <c r="J1153" s="8" t="n">
        <v>91.76209299999999</v>
      </c>
      <c r="L1153" s="9">
        <f>LN(B1153/B1152)</f>
        <v/>
      </c>
      <c r="M1153" s="9">
        <f>$M$1*(C1153-C1152)</f>
        <v/>
      </c>
      <c r="N1153" s="9">
        <f>$N$1*(D1153-D1152)</f>
        <v/>
      </c>
      <c r="O1153" s="9">
        <f>$O$1*LN(E1153/E1152)</f>
        <v/>
      </c>
      <c r="P1153" s="9">
        <f>$P$1*LN(F1153/F1152)</f>
        <v/>
      </c>
      <c r="Q1153" s="9">
        <f>$Q$1*(G1153-G1152)</f>
        <v/>
      </c>
      <c r="R1153" s="9">
        <f>$R$1*(H1153-H1152)</f>
        <v/>
      </c>
      <c r="S1153" s="9">
        <f>$S$1*LN(I1153/I1152)</f>
        <v/>
      </c>
      <c r="T1153" s="9">
        <f>$T$1*LN(J1153/J1152)</f>
        <v/>
      </c>
      <c r="U1153" s="9">
        <f>$W$12+$W$4*M1153+$W$5*N1153+$W$6*O1153+$W$7*P1153+$W$8*Q1153+$W$9*R1153+$W$10*S1153+$W$11*T1153</f>
        <v/>
      </c>
      <c r="AA1153" s="10">
        <f>INDEX(LINEST(L894:L1153,M894:T1153,TRUE,TRUE),1,9)*52</f>
        <v/>
      </c>
      <c r="AB1153" s="9">
        <f>INDEX(LINEST(L894:L1153,M894:T1153,TRUE,TRUE),1,8)</f>
        <v/>
      </c>
      <c r="AC1153" s="9">
        <f>INDEX(LINEST(L894:L1153,M894:T1153,TRUE,TRUE),1,7)</f>
        <v/>
      </c>
      <c r="AD1153" s="9">
        <f>INDEX(LINEST(L894:L1153,M894:T1153,TRUE,TRUE),1,6)</f>
        <v/>
      </c>
      <c r="AE1153" s="9">
        <f>INDEX(LINEST(L894:L1153,M894:T1153,TRUE,TRUE),1,5)</f>
        <v/>
      </c>
      <c r="AF1153" s="9">
        <f>INDEX(LINEST(L894:L1153,M894:T1153,TRUE,TRUE),1,4)</f>
        <v/>
      </c>
      <c r="AG1153" s="9">
        <f>INDEX(LINEST(L894:L1153,M894:T1153,TRUE,TRUE),1,3)</f>
        <v/>
      </c>
      <c r="AH1153" s="9">
        <f>INDEX(LINEST(L894:L1153,M894:T1153,TRUE,TRUE),1,2)</f>
        <v/>
      </c>
      <c r="AI1153" s="9">
        <f>INDEX(LINEST(L894:L1153,M894:T1153,TRUE,TRUE),1,1)</f>
        <v/>
      </c>
      <c r="AJ1153" s="10">
        <f>INDEX(LINEST(L894:L1153,M894:T1153,TRUE,TRUE),3,1)</f>
        <v/>
      </c>
      <c r="AK1153" s="9">
        <f>AA1152/52+AB1152*M1153+AC1152*N1153+AD1152*O1153+AE1152*P1153+AF1152*Q1153+AG1152*R1153+AH1152*S1153+AI1152*T1153</f>
        <v/>
      </c>
      <c r="AL1153" s="9">
        <f>AVERAGE(L893:L1152)</f>
        <v/>
      </c>
    </row>
    <row r="1154">
      <c r="A1154" s="7" t="n">
        <v>45688</v>
      </c>
      <c r="B1154" s="8" t="n">
        <v>2812.05</v>
      </c>
      <c r="C1154" s="8" t="n">
        <v>2.42</v>
      </c>
      <c r="D1154" s="8" t="n">
        <v>2.16</v>
      </c>
      <c r="E1154" s="8" t="n">
        <v>108.370003</v>
      </c>
      <c r="F1154" s="8" t="n">
        <v>72.84</v>
      </c>
      <c r="G1154" s="8" t="n">
        <v>16.43</v>
      </c>
      <c r="H1154" s="8" t="n">
        <v>91.760002</v>
      </c>
      <c r="I1154" s="8" t="n">
        <v>6040.529785</v>
      </c>
      <c r="J1154" s="8" t="n">
        <v>92.13099699999999</v>
      </c>
      <c r="L1154" s="9">
        <f>LN(B1154/B1153)</f>
        <v/>
      </c>
      <c r="M1154" s="9">
        <f>$M$1*(C1154-C1153)</f>
        <v/>
      </c>
      <c r="N1154" s="9">
        <f>$N$1*(D1154-D1153)</f>
        <v/>
      </c>
      <c r="O1154" s="9">
        <f>$O$1*LN(E1154/E1153)</f>
        <v/>
      </c>
      <c r="P1154" s="9">
        <f>$P$1*LN(F1154/F1153)</f>
        <v/>
      </c>
      <c r="Q1154" s="9">
        <f>$Q$1*(G1154-G1153)</f>
        <v/>
      </c>
      <c r="R1154" s="9">
        <f>$R$1*(H1154-H1153)</f>
        <v/>
      </c>
      <c r="S1154" s="9">
        <f>$S$1*LN(I1154/I1153)</f>
        <v/>
      </c>
      <c r="T1154" s="9">
        <f>$T$1*LN(J1154/J1153)</f>
        <v/>
      </c>
      <c r="U1154" s="9">
        <f>$W$12+$W$4*M1154+$W$5*N1154+$W$6*O1154+$W$7*P1154+$W$8*Q1154+$W$9*R1154+$W$10*S1154+$W$11*T1154</f>
        <v/>
      </c>
      <c r="AA1154" s="10">
        <f>INDEX(LINEST(L895:L1154,M895:T1154,TRUE,TRUE),1,9)*52</f>
        <v/>
      </c>
      <c r="AB1154" s="9">
        <f>INDEX(LINEST(L895:L1154,M895:T1154,TRUE,TRUE),1,8)</f>
        <v/>
      </c>
      <c r="AC1154" s="9">
        <f>INDEX(LINEST(L895:L1154,M895:T1154,TRUE,TRUE),1,7)</f>
        <v/>
      </c>
      <c r="AD1154" s="9">
        <f>INDEX(LINEST(L895:L1154,M895:T1154,TRUE,TRUE),1,6)</f>
        <v/>
      </c>
      <c r="AE1154" s="9">
        <f>INDEX(LINEST(L895:L1154,M895:T1154,TRUE,TRUE),1,5)</f>
        <v/>
      </c>
      <c r="AF1154" s="9">
        <f>INDEX(LINEST(L895:L1154,M895:T1154,TRUE,TRUE),1,4)</f>
        <v/>
      </c>
      <c r="AG1154" s="9">
        <f>INDEX(LINEST(L895:L1154,M895:T1154,TRUE,TRUE),1,3)</f>
        <v/>
      </c>
      <c r="AH1154" s="9">
        <f>INDEX(LINEST(L895:L1154,M895:T1154,TRUE,TRUE),1,2)</f>
        <v/>
      </c>
      <c r="AI1154" s="9">
        <f>INDEX(LINEST(L895:L1154,M895:T1154,TRUE,TRUE),1,1)</f>
        <v/>
      </c>
      <c r="AJ1154" s="10">
        <f>INDEX(LINEST(L895:L1154,M895:T1154,TRUE,TRUE),3,1)</f>
        <v/>
      </c>
      <c r="AK1154" s="9">
        <f>AA1153/52+AB1153*M1154+AC1153*N1154+AD1153*O1154+AE1153*P1154+AF1153*Q1154+AG1153*R1154+AH1153*S1154+AI1153*T1154</f>
        <v/>
      </c>
      <c r="AL1154" s="9">
        <f>AVERAGE(L894:L1153)</f>
        <v/>
      </c>
    </row>
    <row r="1155">
      <c r="A1155" s="7" t="n">
        <v>45695</v>
      </c>
      <c r="B1155" s="8" t="n">
        <v>2874.65</v>
      </c>
      <c r="C1155" s="8" t="n">
        <v>2.42</v>
      </c>
      <c r="D1155" s="8" t="n">
        <v>2.07</v>
      </c>
      <c r="E1155" s="8" t="n">
        <v>108.040001</v>
      </c>
      <c r="F1155" s="8" t="n">
        <v>71.31999999999999</v>
      </c>
      <c r="G1155" s="8" t="n">
        <v>16.54</v>
      </c>
      <c r="H1155" s="8" t="n">
        <v>93.129997</v>
      </c>
      <c r="I1155" s="8" t="n">
        <v>6025.990234</v>
      </c>
      <c r="J1155" s="8" t="n">
        <v>92.493523</v>
      </c>
      <c r="L1155" s="9">
        <f>LN(B1155/B1154)</f>
        <v/>
      </c>
      <c r="M1155" s="9">
        <f>$M$1*(C1155-C1154)</f>
        <v/>
      </c>
      <c r="N1155" s="9">
        <f>$N$1*(D1155-D1154)</f>
        <v/>
      </c>
      <c r="O1155" s="9">
        <f>$O$1*LN(E1155/E1154)</f>
        <v/>
      </c>
      <c r="P1155" s="9">
        <f>$P$1*LN(F1155/F1154)</f>
        <v/>
      </c>
      <c r="Q1155" s="9">
        <f>$Q$1*(G1155-G1154)</f>
        <v/>
      </c>
      <c r="R1155" s="9">
        <f>$R$1*(H1155-H1154)</f>
        <v/>
      </c>
      <c r="S1155" s="9">
        <f>$S$1*LN(I1155/I1154)</f>
        <v/>
      </c>
      <c r="T1155" s="9">
        <f>$T$1*LN(J1155/J1154)</f>
        <v/>
      </c>
      <c r="U1155" s="9">
        <f>$W$12+$W$4*M1155+$W$5*N1155+$W$6*O1155+$W$7*P1155+$W$8*Q1155+$W$9*R1155+$W$10*S1155+$W$11*T1155</f>
        <v/>
      </c>
      <c r="AA1155" s="10">
        <f>INDEX(LINEST(L896:L1155,M896:T1155,TRUE,TRUE),1,9)*52</f>
        <v/>
      </c>
      <c r="AB1155" s="9">
        <f>INDEX(LINEST(L896:L1155,M896:T1155,TRUE,TRUE),1,8)</f>
        <v/>
      </c>
      <c r="AC1155" s="9">
        <f>INDEX(LINEST(L896:L1155,M896:T1155,TRUE,TRUE),1,7)</f>
        <v/>
      </c>
      <c r="AD1155" s="9">
        <f>INDEX(LINEST(L896:L1155,M896:T1155,TRUE,TRUE),1,6)</f>
        <v/>
      </c>
      <c r="AE1155" s="9">
        <f>INDEX(LINEST(L896:L1155,M896:T1155,TRUE,TRUE),1,5)</f>
        <v/>
      </c>
      <c r="AF1155" s="9">
        <f>INDEX(LINEST(L896:L1155,M896:T1155,TRUE,TRUE),1,4)</f>
        <v/>
      </c>
      <c r="AG1155" s="9">
        <f>INDEX(LINEST(L896:L1155,M896:T1155,TRUE,TRUE),1,3)</f>
        <v/>
      </c>
      <c r="AH1155" s="9">
        <f>INDEX(LINEST(L896:L1155,M896:T1155,TRUE,TRUE),1,2)</f>
        <v/>
      </c>
      <c r="AI1155" s="9">
        <f>INDEX(LINEST(L896:L1155,M896:T1155,TRUE,TRUE),1,1)</f>
        <v/>
      </c>
      <c r="AJ1155" s="10">
        <f>INDEX(LINEST(L896:L1155,M896:T1155,TRUE,TRUE),3,1)</f>
        <v/>
      </c>
      <c r="AK1155" s="9">
        <f>AA1154/52+AB1154*M1155+AC1154*N1155+AD1154*O1155+AE1154*P1155+AF1154*Q1155+AG1154*R1155+AH1154*S1155+AI1154*T1155</f>
        <v/>
      </c>
      <c r="AL1155" s="9">
        <f>AVERAGE(L895:L1154)</f>
        <v/>
      </c>
    </row>
    <row r="1156">
      <c r="A1156" s="7" t="n">
        <v>45702</v>
      </c>
      <c r="B1156" s="8" t="n">
        <v>2921.25</v>
      </c>
      <c r="C1156" s="8" t="n">
        <v>2.43</v>
      </c>
      <c r="D1156" s="8" t="n">
        <v>2.04</v>
      </c>
      <c r="E1156" s="8" t="n">
        <v>106.57</v>
      </c>
      <c r="F1156" s="8" t="n">
        <v>71.05</v>
      </c>
      <c r="G1156" s="8" t="n">
        <v>14.77</v>
      </c>
      <c r="H1156" s="8" t="n">
        <v>84.66999800000001</v>
      </c>
      <c r="I1156" s="8" t="n">
        <v>6114.629883</v>
      </c>
      <c r="J1156" s="8" t="n">
        <v>92.721298</v>
      </c>
      <c r="L1156" s="9">
        <f>LN(B1156/B1155)</f>
        <v/>
      </c>
      <c r="M1156" s="9">
        <f>$M$1*(C1156-C1155)</f>
        <v/>
      </c>
      <c r="N1156" s="9">
        <f>$N$1*(D1156-D1155)</f>
        <v/>
      </c>
      <c r="O1156" s="9">
        <f>$O$1*LN(E1156/E1155)</f>
        <v/>
      </c>
      <c r="P1156" s="9">
        <f>$P$1*LN(F1156/F1155)</f>
        <v/>
      </c>
      <c r="Q1156" s="9">
        <f>$Q$1*(G1156-G1155)</f>
        <v/>
      </c>
      <c r="R1156" s="9">
        <f>$R$1*(H1156-H1155)</f>
        <v/>
      </c>
      <c r="S1156" s="9">
        <f>$S$1*LN(I1156/I1155)</f>
        <v/>
      </c>
      <c r="T1156" s="9">
        <f>$T$1*LN(J1156/J1155)</f>
        <v/>
      </c>
      <c r="U1156" s="9">
        <f>$W$12+$W$4*M1156+$W$5*N1156+$W$6*O1156+$W$7*P1156+$W$8*Q1156+$W$9*R1156+$W$10*S1156+$W$11*T1156</f>
        <v/>
      </c>
      <c r="AA1156" s="10">
        <f>INDEX(LINEST(L897:L1156,M897:T1156,TRUE,TRUE),1,9)*52</f>
        <v/>
      </c>
      <c r="AB1156" s="9">
        <f>INDEX(LINEST(L897:L1156,M897:T1156,TRUE,TRUE),1,8)</f>
        <v/>
      </c>
      <c r="AC1156" s="9">
        <f>INDEX(LINEST(L897:L1156,M897:T1156,TRUE,TRUE),1,7)</f>
        <v/>
      </c>
      <c r="AD1156" s="9">
        <f>INDEX(LINEST(L897:L1156,M897:T1156,TRUE,TRUE),1,6)</f>
        <v/>
      </c>
      <c r="AE1156" s="9">
        <f>INDEX(LINEST(L897:L1156,M897:T1156,TRUE,TRUE),1,5)</f>
        <v/>
      </c>
      <c r="AF1156" s="9">
        <f>INDEX(LINEST(L897:L1156,M897:T1156,TRUE,TRUE),1,4)</f>
        <v/>
      </c>
      <c r="AG1156" s="9">
        <f>INDEX(LINEST(L897:L1156,M897:T1156,TRUE,TRUE),1,3)</f>
        <v/>
      </c>
      <c r="AH1156" s="9">
        <f>INDEX(LINEST(L897:L1156,M897:T1156,TRUE,TRUE),1,2)</f>
        <v/>
      </c>
      <c r="AI1156" s="9">
        <f>INDEX(LINEST(L897:L1156,M897:T1156,TRUE,TRUE),1,1)</f>
        <v/>
      </c>
      <c r="AJ1156" s="10">
        <f>INDEX(LINEST(L897:L1156,M897:T1156,TRUE,TRUE),3,1)</f>
        <v/>
      </c>
      <c r="AK1156" s="9">
        <f>AA1155/52+AB1155*M1156+AC1155*N1156+AD1155*O1156+AE1155*P1156+AF1155*Q1156+AG1155*R1156+AH1155*S1156+AI1155*T1156</f>
        <v/>
      </c>
      <c r="AL1156" s="9">
        <f>AVERAGE(L896:L1155)</f>
        <v/>
      </c>
    </row>
    <row r="1157">
      <c r="A1157" s="7" t="n">
        <v>45709</v>
      </c>
      <c r="B1157" s="8" t="n">
        <v>2934.15</v>
      </c>
      <c r="C1157" s="8" t="n">
        <v>2.42</v>
      </c>
      <c r="D1157" s="8" t="n">
        <v>2</v>
      </c>
      <c r="E1157" s="8" t="n">
        <v>106.610001</v>
      </c>
      <c r="F1157" s="8" t="n">
        <v>70.72</v>
      </c>
      <c r="G1157" s="8" t="n">
        <v>18.21</v>
      </c>
      <c r="H1157" s="8" t="n">
        <v>91.83000199999999</v>
      </c>
      <c r="I1157" s="8" t="n">
        <v>6013.129883</v>
      </c>
      <c r="J1157" s="8" t="n">
        <v>93.025002</v>
      </c>
      <c r="L1157" s="9">
        <f>LN(B1157/B1156)</f>
        <v/>
      </c>
      <c r="M1157" s="9">
        <f>$M$1*(C1157-C1156)</f>
        <v/>
      </c>
      <c r="N1157" s="9">
        <f>$N$1*(D1157-D1156)</f>
        <v/>
      </c>
      <c r="O1157" s="9">
        <f>$O$1*LN(E1157/E1156)</f>
        <v/>
      </c>
      <c r="P1157" s="9">
        <f>$P$1*LN(F1157/F1156)</f>
        <v/>
      </c>
      <c r="Q1157" s="9">
        <f>$Q$1*(G1157-G1156)</f>
        <v/>
      </c>
      <c r="R1157" s="9">
        <f>$R$1*(H1157-H1156)</f>
        <v/>
      </c>
      <c r="S1157" s="9">
        <f>$S$1*LN(I1157/I1156)</f>
        <v/>
      </c>
      <c r="T1157" s="9">
        <f>$T$1*LN(J1157/J1156)</f>
        <v/>
      </c>
      <c r="U1157" s="9">
        <f>$W$12+$W$4*M1157+$W$5*N1157+$W$6*O1157+$W$7*P1157+$W$8*Q1157+$W$9*R1157+$W$10*S1157+$W$11*T1157</f>
        <v/>
      </c>
      <c r="AA1157" s="10">
        <f>INDEX(LINEST(L898:L1157,M898:T1157,TRUE,TRUE),1,9)*52</f>
        <v/>
      </c>
      <c r="AB1157" s="9">
        <f>INDEX(LINEST(L898:L1157,M898:T1157,TRUE,TRUE),1,8)</f>
        <v/>
      </c>
      <c r="AC1157" s="9">
        <f>INDEX(LINEST(L898:L1157,M898:T1157,TRUE,TRUE),1,7)</f>
        <v/>
      </c>
      <c r="AD1157" s="9">
        <f>INDEX(LINEST(L898:L1157,M898:T1157,TRUE,TRUE),1,6)</f>
        <v/>
      </c>
      <c r="AE1157" s="9">
        <f>INDEX(LINEST(L898:L1157,M898:T1157,TRUE,TRUE),1,5)</f>
        <v/>
      </c>
      <c r="AF1157" s="9">
        <f>INDEX(LINEST(L898:L1157,M898:T1157,TRUE,TRUE),1,4)</f>
        <v/>
      </c>
      <c r="AG1157" s="9">
        <f>INDEX(LINEST(L898:L1157,M898:T1157,TRUE,TRUE),1,3)</f>
        <v/>
      </c>
      <c r="AH1157" s="9">
        <f>INDEX(LINEST(L898:L1157,M898:T1157,TRUE,TRUE),1,2)</f>
        <v/>
      </c>
      <c r="AI1157" s="9">
        <f>INDEX(LINEST(L898:L1157,M898:T1157,TRUE,TRUE),1,1)</f>
        <v/>
      </c>
      <c r="AJ1157" s="10">
        <f>INDEX(LINEST(L898:L1157,M898:T1157,TRUE,TRUE),3,1)</f>
        <v/>
      </c>
      <c r="AK1157" s="9">
        <f>AA1156/52+AB1156*M1157+AC1156*N1157+AD1156*O1157+AE1156*P1157+AF1156*Q1157+AG1156*R1157+AH1156*S1157+AI1156*T1157</f>
        <v/>
      </c>
      <c r="AL1157" s="9">
        <f>AVERAGE(L897:L1156)</f>
        <v/>
      </c>
    </row>
    <row r="1158">
      <c r="A1158" s="7" t="n">
        <v>45716</v>
      </c>
      <c r="B1158" s="8" t="n">
        <v>2834.55</v>
      </c>
      <c r="C1158" s="8" t="n">
        <v>2.38</v>
      </c>
      <c r="D1158" s="8" t="n">
        <v>1.86</v>
      </c>
      <c r="E1158" s="8" t="n">
        <v>107.610001</v>
      </c>
      <c r="F1158" s="8" t="n">
        <v>69.97</v>
      </c>
      <c r="G1158" s="8" t="n">
        <v>19.63</v>
      </c>
      <c r="H1158" s="8" t="n">
        <v>104.459999</v>
      </c>
      <c r="I1158" s="8" t="n">
        <v>5954.5</v>
      </c>
      <c r="J1158" s="8" t="n">
        <v>94.192307</v>
      </c>
      <c r="L1158" s="9">
        <f>LN(B1158/B1157)</f>
        <v/>
      </c>
      <c r="M1158" s="9">
        <f>$M$1*(C1158-C1157)</f>
        <v/>
      </c>
      <c r="N1158" s="9">
        <f>$N$1*(D1158-D1157)</f>
        <v/>
      </c>
      <c r="O1158" s="9">
        <f>$O$1*LN(E1158/E1157)</f>
        <v/>
      </c>
      <c r="P1158" s="9">
        <f>$P$1*LN(F1158/F1157)</f>
        <v/>
      </c>
      <c r="Q1158" s="9">
        <f>$Q$1*(G1158-G1157)</f>
        <v/>
      </c>
      <c r="R1158" s="9">
        <f>$R$1*(H1158-H1157)</f>
        <v/>
      </c>
      <c r="S1158" s="9">
        <f>$S$1*LN(I1158/I1157)</f>
        <v/>
      </c>
      <c r="T1158" s="9">
        <f>$T$1*LN(J1158/J1157)</f>
        <v/>
      </c>
      <c r="U1158" s="9">
        <f>$W$12+$W$4*M1158+$W$5*N1158+$W$6*O1158+$W$7*P1158+$W$8*Q1158+$W$9*R1158+$W$10*S1158+$W$11*T1158</f>
        <v/>
      </c>
      <c r="AA1158" s="10">
        <f>INDEX(LINEST(L899:L1158,M899:T1158,TRUE,TRUE),1,9)*52</f>
        <v/>
      </c>
      <c r="AB1158" s="9">
        <f>INDEX(LINEST(L899:L1158,M899:T1158,TRUE,TRUE),1,8)</f>
        <v/>
      </c>
      <c r="AC1158" s="9">
        <f>INDEX(LINEST(L899:L1158,M899:T1158,TRUE,TRUE),1,7)</f>
        <v/>
      </c>
      <c r="AD1158" s="9">
        <f>INDEX(LINEST(L899:L1158,M899:T1158,TRUE,TRUE),1,6)</f>
        <v/>
      </c>
      <c r="AE1158" s="9">
        <f>INDEX(LINEST(L899:L1158,M899:T1158,TRUE,TRUE),1,5)</f>
        <v/>
      </c>
      <c r="AF1158" s="9">
        <f>INDEX(LINEST(L899:L1158,M899:T1158,TRUE,TRUE),1,4)</f>
        <v/>
      </c>
      <c r="AG1158" s="9">
        <f>INDEX(LINEST(L899:L1158,M899:T1158,TRUE,TRUE),1,3)</f>
        <v/>
      </c>
      <c r="AH1158" s="9">
        <f>INDEX(LINEST(L899:L1158,M899:T1158,TRUE,TRUE),1,2)</f>
        <v/>
      </c>
      <c r="AI1158" s="9">
        <f>INDEX(LINEST(L899:L1158,M899:T1158,TRUE,TRUE),1,1)</f>
        <v/>
      </c>
      <c r="AJ1158" s="10">
        <f>INDEX(LINEST(L899:L1158,M899:T1158,TRUE,TRUE),3,1)</f>
        <v/>
      </c>
      <c r="AK1158" s="9">
        <f>AA1157/52+AB1157*M1158+AC1157*N1158+AD1157*O1158+AE1157*P1158+AF1157*Q1158+AG1157*R1158+AH1157*S1158+AI1157*T1158</f>
        <v/>
      </c>
      <c r="AL1158" s="9">
        <f>AVERAGE(L898:L1157)</f>
        <v/>
      </c>
    </row>
    <row r="1159">
      <c r="A1159" s="7" t="n">
        <v>45723</v>
      </c>
      <c r="B1159" s="8" t="n">
        <v>2931.15</v>
      </c>
      <c r="C1159" s="8" t="n">
        <v>2.33</v>
      </c>
      <c r="D1159" s="8" t="n">
        <v>1.99</v>
      </c>
      <c r="E1159" s="8" t="n">
        <v>103.839996</v>
      </c>
      <c r="F1159" s="8" t="n">
        <v>67.29000000000001</v>
      </c>
      <c r="G1159" s="8" t="n">
        <v>23.37</v>
      </c>
      <c r="H1159" s="8" t="n">
        <v>104.410004</v>
      </c>
      <c r="I1159" s="8" t="n">
        <v>5770.200195</v>
      </c>
      <c r="J1159" s="8" t="n">
        <v>93.62492399999999</v>
      </c>
      <c r="L1159" s="9">
        <f>LN(B1159/B1158)</f>
        <v/>
      </c>
      <c r="M1159" s="9">
        <f>$M$1*(C1159-C1158)</f>
        <v/>
      </c>
      <c r="N1159" s="9">
        <f>$N$1*(D1159-D1158)</f>
        <v/>
      </c>
      <c r="O1159" s="9">
        <f>$O$1*LN(E1159/E1158)</f>
        <v/>
      </c>
      <c r="P1159" s="9">
        <f>$P$1*LN(F1159/F1158)</f>
        <v/>
      </c>
      <c r="Q1159" s="9">
        <f>$Q$1*(G1159-G1158)</f>
        <v/>
      </c>
      <c r="R1159" s="9">
        <f>$R$1*(H1159-H1158)</f>
        <v/>
      </c>
      <c r="S1159" s="9">
        <f>$S$1*LN(I1159/I1158)</f>
        <v/>
      </c>
      <c r="T1159" s="9">
        <f>$T$1*LN(J1159/J1158)</f>
        <v/>
      </c>
      <c r="U1159" s="9">
        <f>$W$12+$W$4*M1159+$W$5*N1159+$W$6*O1159+$W$7*P1159+$W$8*Q1159+$W$9*R1159+$W$10*S1159+$W$11*T1159</f>
        <v/>
      </c>
      <c r="AA1159" s="10">
        <f>INDEX(LINEST(L900:L1159,M900:T1159,TRUE,TRUE),1,9)*52</f>
        <v/>
      </c>
      <c r="AB1159" s="9">
        <f>INDEX(LINEST(L900:L1159,M900:T1159,TRUE,TRUE),1,8)</f>
        <v/>
      </c>
      <c r="AC1159" s="9">
        <f>INDEX(LINEST(L900:L1159,M900:T1159,TRUE,TRUE),1,7)</f>
        <v/>
      </c>
      <c r="AD1159" s="9">
        <f>INDEX(LINEST(L900:L1159,M900:T1159,TRUE,TRUE),1,6)</f>
        <v/>
      </c>
      <c r="AE1159" s="9">
        <f>INDEX(LINEST(L900:L1159,M900:T1159,TRUE,TRUE),1,5)</f>
        <v/>
      </c>
      <c r="AF1159" s="9">
        <f>INDEX(LINEST(L900:L1159,M900:T1159,TRUE,TRUE),1,4)</f>
        <v/>
      </c>
      <c r="AG1159" s="9">
        <f>INDEX(LINEST(L900:L1159,M900:T1159,TRUE,TRUE),1,3)</f>
        <v/>
      </c>
      <c r="AH1159" s="9">
        <f>INDEX(LINEST(L900:L1159,M900:T1159,TRUE,TRUE),1,2)</f>
        <v/>
      </c>
      <c r="AI1159" s="9">
        <f>INDEX(LINEST(L900:L1159,M900:T1159,TRUE,TRUE),1,1)</f>
        <v/>
      </c>
      <c r="AJ1159" s="10">
        <f>INDEX(LINEST(L900:L1159,M900:T1159,TRUE,TRUE),3,1)</f>
        <v/>
      </c>
      <c r="AK1159" s="9">
        <f>AA1158/52+AB1158*M1159+AC1158*N1159+AD1158*O1159+AE1158*P1159+AF1158*Q1159+AG1158*R1159+AH1158*S1159+AI1158*T1159</f>
        <v/>
      </c>
      <c r="AL1159" s="9">
        <f>AVERAGE(L899:L1158)</f>
        <v/>
      </c>
    </row>
    <row r="1160">
      <c r="A1160" s="7" t="n">
        <v>45730</v>
      </c>
      <c r="B1160" s="8" t="n">
        <v>2978.05</v>
      </c>
      <c r="C1160" s="8" t="n">
        <v>2.3</v>
      </c>
      <c r="D1160" s="8" t="n">
        <v>2.01</v>
      </c>
      <c r="E1160" s="8" t="n">
        <v>103.720001</v>
      </c>
      <c r="F1160" s="8" t="n">
        <v>67.43000000000001</v>
      </c>
      <c r="G1160" s="8" t="n">
        <v>21.77</v>
      </c>
      <c r="H1160" s="8" t="n">
        <v>101.010002</v>
      </c>
      <c r="I1160" s="8" t="n">
        <v>5638.939941</v>
      </c>
      <c r="J1160" s="8" t="n">
        <v>93.558296</v>
      </c>
      <c r="L1160" s="9">
        <f>LN(B1160/B1159)</f>
        <v/>
      </c>
      <c r="M1160" s="9">
        <f>$M$1*(C1160-C1159)</f>
        <v/>
      </c>
      <c r="N1160" s="9">
        <f>$N$1*(D1160-D1159)</f>
        <v/>
      </c>
      <c r="O1160" s="9">
        <f>$O$1*LN(E1160/E1159)</f>
        <v/>
      </c>
      <c r="P1160" s="9">
        <f>$P$1*LN(F1160/F1159)</f>
        <v/>
      </c>
      <c r="Q1160" s="9">
        <f>$Q$1*(G1160-G1159)</f>
        <v/>
      </c>
      <c r="R1160" s="9">
        <f>$R$1*(H1160-H1159)</f>
        <v/>
      </c>
      <c r="S1160" s="9">
        <f>$S$1*LN(I1160/I1159)</f>
        <v/>
      </c>
      <c r="T1160" s="9">
        <f>$T$1*LN(J1160/J1159)</f>
        <v/>
      </c>
      <c r="U1160" s="9">
        <f>$W$12+$W$4*M1160+$W$5*N1160+$W$6*O1160+$W$7*P1160+$W$8*Q1160+$W$9*R1160+$W$10*S1160+$W$11*T1160</f>
        <v/>
      </c>
      <c r="AA1160" s="10">
        <f>INDEX(LINEST(L901:L1160,M901:T1160,TRUE,TRUE),1,9)*52</f>
        <v/>
      </c>
      <c r="AB1160" s="9">
        <f>INDEX(LINEST(L901:L1160,M901:T1160,TRUE,TRUE),1,8)</f>
        <v/>
      </c>
      <c r="AC1160" s="9">
        <f>INDEX(LINEST(L901:L1160,M901:T1160,TRUE,TRUE),1,7)</f>
        <v/>
      </c>
      <c r="AD1160" s="9">
        <f>INDEX(LINEST(L901:L1160,M901:T1160,TRUE,TRUE),1,6)</f>
        <v/>
      </c>
      <c r="AE1160" s="9">
        <f>INDEX(LINEST(L901:L1160,M901:T1160,TRUE,TRUE),1,5)</f>
        <v/>
      </c>
      <c r="AF1160" s="9">
        <f>INDEX(LINEST(L901:L1160,M901:T1160,TRUE,TRUE),1,4)</f>
        <v/>
      </c>
      <c r="AG1160" s="9">
        <f>INDEX(LINEST(L901:L1160,M901:T1160,TRUE,TRUE),1,3)</f>
        <v/>
      </c>
      <c r="AH1160" s="9">
        <f>INDEX(LINEST(L901:L1160,M901:T1160,TRUE,TRUE),1,2)</f>
        <v/>
      </c>
      <c r="AI1160" s="9">
        <f>INDEX(LINEST(L901:L1160,M901:T1160,TRUE,TRUE),1,1)</f>
        <v/>
      </c>
      <c r="AJ1160" s="10">
        <f>INDEX(LINEST(L901:L1160,M901:T1160,TRUE,TRUE),3,1)</f>
        <v/>
      </c>
      <c r="AK1160" s="9">
        <f>AA1159/52+AB1159*M1160+AC1159*N1160+AD1159*O1160+AE1159*P1160+AF1159*Q1160+AG1159*R1160+AH1159*S1160+AI1159*T1160</f>
        <v/>
      </c>
      <c r="AL1160" s="9">
        <f>AVERAGE(L900:L1159)</f>
        <v/>
      </c>
    </row>
    <row r="1161">
      <c r="A1161" s="7" t="n">
        <v>45737</v>
      </c>
      <c r="B1161" s="8" t="n">
        <v>3013.7</v>
      </c>
      <c r="C1161" s="8" t="n">
        <v>2.33</v>
      </c>
      <c r="D1161" s="8" t="n">
        <v>1.92</v>
      </c>
      <c r="E1161" s="8" t="n">
        <v>104.089996</v>
      </c>
      <c r="F1161" s="8" t="n">
        <v>68.52</v>
      </c>
      <c r="G1161" s="8" t="n">
        <v>19.28</v>
      </c>
      <c r="H1161" s="8" t="n">
        <v>94.540001</v>
      </c>
      <c r="I1161" s="8" t="n">
        <v>5667.560059</v>
      </c>
      <c r="J1161" s="8" t="n">
        <v>93.996201</v>
      </c>
      <c r="L1161" s="9">
        <f>LN(B1161/B1160)</f>
        <v/>
      </c>
      <c r="M1161" s="9">
        <f>$M$1*(C1161-C1160)</f>
        <v/>
      </c>
      <c r="N1161" s="9">
        <f>$N$1*(D1161-D1160)</f>
        <v/>
      </c>
      <c r="O1161" s="9">
        <f>$O$1*LN(E1161/E1160)</f>
        <v/>
      </c>
      <c r="P1161" s="9">
        <f>$P$1*LN(F1161/F1160)</f>
        <v/>
      </c>
      <c r="Q1161" s="9">
        <f>$Q$1*(G1161-G1160)</f>
        <v/>
      </c>
      <c r="R1161" s="9">
        <f>$R$1*(H1161-H1160)</f>
        <v/>
      </c>
      <c r="S1161" s="9">
        <f>$S$1*LN(I1161/I1160)</f>
        <v/>
      </c>
      <c r="T1161" s="9">
        <f>$T$1*LN(J1161/J1160)</f>
        <v/>
      </c>
      <c r="U1161" s="9">
        <f>$W$12+$W$4*M1161+$W$5*N1161+$W$6*O1161+$W$7*P1161+$W$8*Q1161+$W$9*R1161+$W$10*S1161+$W$11*T1161</f>
        <v/>
      </c>
      <c r="AA1161" s="10">
        <f>INDEX(LINEST(L902:L1161,M902:T1161,TRUE,TRUE),1,9)*52</f>
        <v/>
      </c>
      <c r="AB1161" s="9">
        <f>INDEX(LINEST(L902:L1161,M902:T1161,TRUE,TRUE),1,8)</f>
        <v/>
      </c>
      <c r="AC1161" s="9">
        <f>INDEX(LINEST(L902:L1161,M902:T1161,TRUE,TRUE),1,7)</f>
        <v/>
      </c>
      <c r="AD1161" s="9">
        <f>INDEX(LINEST(L902:L1161,M902:T1161,TRUE,TRUE),1,6)</f>
        <v/>
      </c>
      <c r="AE1161" s="9">
        <f>INDEX(LINEST(L902:L1161,M902:T1161,TRUE,TRUE),1,5)</f>
        <v/>
      </c>
      <c r="AF1161" s="9">
        <f>INDEX(LINEST(L902:L1161,M902:T1161,TRUE,TRUE),1,4)</f>
        <v/>
      </c>
      <c r="AG1161" s="9">
        <f>INDEX(LINEST(L902:L1161,M902:T1161,TRUE,TRUE),1,3)</f>
        <v/>
      </c>
      <c r="AH1161" s="9">
        <f>INDEX(LINEST(L902:L1161,M902:T1161,TRUE,TRUE),1,2)</f>
        <v/>
      </c>
      <c r="AI1161" s="9">
        <f>INDEX(LINEST(L902:L1161,M902:T1161,TRUE,TRUE),1,1)</f>
        <v/>
      </c>
      <c r="AJ1161" s="10">
        <f>INDEX(LINEST(L902:L1161,M902:T1161,TRUE,TRUE),3,1)</f>
        <v/>
      </c>
      <c r="AK1161" s="9">
        <f>AA1160/52+AB1160*M1161+AC1160*N1161+AD1160*O1161+AE1160*P1161+AF1160*Q1161+AG1160*R1161+AH1160*S1161+AI1160*T1161</f>
        <v/>
      </c>
      <c r="AL1161" s="9">
        <f>AVERAGE(L901:L1160)</f>
        <v/>
      </c>
    </row>
    <row r="1162">
      <c r="A1162" s="7" t="n">
        <v>45744</v>
      </c>
      <c r="B1162" s="8" t="n">
        <v>3071.6</v>
      </c>
      <c r="C1162" s="8" t="n">
        <v>2.37</v>
      </c>
      <c r="D1162" s="8" t="n">
        <v>1.9</v>
      </c>
      <c r="E1162" s="8" t="n">
        <v>104.040001</v>
      </c>
      <c r="F1162" s="8" t="n">
        <v>69.73999999999999</v>
      </c>
      <c r="G1162" s="8" t="n">
        <v>21.65</v>
      </c>
      <c r="H1162" s="8" t="n">
        <v>96.83000199999999</v>
      </c>
      <c r="I1162" s="8" t="n">
        <v>5580.939941</v>
      </c>
      <c r="J1162" s="8" t="n">
        <v>93.986679</v>
      </c>
      <c r="L1162" s="9">
        <f>LN(B1162/B1161)</f>
        <v/>
      </c>
      <c r="M1162" s="9">
        <f>$M$1*(C1162-C1161)</f>
        <v/>
      </c>
      <c r="N1162" s="9">
        <f>$N$1*(D1162-D1161)</f>
        <v/>
      </c>
      <c r="O1162" s="9">
        <f>$O$1*LN(E1162/E1161)</f>
        <v/>
      </c>
      <c r="P1162" s="9">
        <f>$P$1*LN(F1162/F1161)</f>
        <v/>
      </c>
      <c r="Q1162" s="9">
        <f>$Q$1*(G1162-G1161)</f>
        <v/>
      </c>
      <c r="R1162" s="9">
        <f>$R$1*(H1162-H1161)</f>
        <v/>
      </c>
      <c r="S1162" s="9">
        <f>$S$1*LN(I1162/I1161)</f>
        <v/>
      </c>
      <c r="T1162" s="9">
        <f>$T$1*LN(J1162/J1161)</f>
        <v/>
      </c>
      <c r="U1162" s="9">
        <f>$W$12+$W$4*M1162+$W$5*N1162+$W$6*O1162+$W$7*P1162+$W$8*Q1162+$W$9*R1162+$W$10*S1162+$W$11*T1162</f>
        <v/>
      </c>
      <c r="AA1162" s="10">
        <f>INDEX(LINEST(L903:L1162,M903:T1162,TRUE,TRUE),1,9)*52</f>
        <v/>
      </c>
      <c r="AB1162" s="9">
        <f>INDEX(LINEST(L903:L1162,M903:T1162,TRUE,TRUE),1,8)</f>
        <v/>
      </c>
      <c r="AC1162" s="9">
        <f>INDEX(LINEST(L903:L1162,M903:T1162,TRUE,TRUE),1,7)</f>
        <v/>
      </c>
      <c r="AD1162" s="9">
        <f>INDEX(LINEST(L903:L1162,M903:T1162,TRUE,TRUE),1,6)</f>
        <v/>
      </c>
      <c r="AE1162" s="9">
        <f>INDEX(LINEST(L903:L1162,M903:T1162,TRUE,TRUE),1,5)</f>
        <v/>
      </c>
      <c r="AF1162" s="9">
        <f>INDEX(LINEST(L903:L1162,M903:T1162,TRUE,TRUE),1,4)</f>
        <v/>
      </c>
      <c r="AG1162" s="9">
        <f>INDEX(LINEST(L903:L1162,M903:T1162,TRUE,TRUE),1,3)</f>
        <v/>
      </c>
      <c r="AH1162" s="9">
        <f>INDEX(LINEST(L903:L1162,M903:T1162,TRUE,TRUE),1,2)</f>
        <v/>
      </c>
      <c r="AI1162" s="9">
        <f>INDEX(LINEST(L903:L1162,M903:T1162,TRUE,TRUE),1,1)</f>
        <v/>
      </c>
      <c r="AJ1162" s="10">
        <f>INDEX(LINEST(L903:L1162,M903:T1162,TRUE,TRUE),3,1)</f>
        <v/>
      </c>
      <c r="AK1162" s="9">
        <f>AA1161/52+AB1161*M1162+AC1161*N1162+AD1161*O1162+AE1161*P1162+AF1161*Q1162+AG1161*R1162+AH1161*S1162+AI1161*T1162</f>
        <v/>
      </c>
      <c r="AL1162" s="9">
        <f>AVERAGE(L902:L1161)</f>
        <v/>
      </c>
    </row>
    <row r="1163">
      <c r="A1163" s="7" t="n">
        <v>45751</v>
      </c>
      <c r="B1163" s="8" t="n">
        <v>3054.5</v>
      </c>
      <c r="C1163" s="8" t="n">
        <v>2.18</v>
      </c>
      <c r="D1163" s="8" t="n">
        <v>1.83</v>
      </c>
      <c r="E1163" s="8" t="n">
        <v>103.019997</v>
      </c>
      <c r="F1163" s="8" t="n">
        <v>62.42</v>
      </c>
      <c r="G1163" s="8" t="n">
        <v>45.31</v>
      </c>
      <c r="H1163" s="8" t="n">
        <v>125.709999</v>
      </c>
      <c r="I1163" s="8" t="n">
        <v>5074.080078</v>
      </c>
      <c r="J1163" s="8" t="n">
        <v>94.993713</v>
      </c>
      <c r="L1163" s="9">
        <f>LN(B1163/B1162)</f>
        <v/>
      </c>
      <c r="M1163" s="9">
        <f>$M$1*(C1163-C1162)</f>
        <v/>
      </c>
      <c r="N1163" s="9">
        <f>$N$1*(D1163-D1162)</f>
        <v/>
      </c>
      <c r="O1163" s="9">
        <f>$O$1*LN(E1163/E1162)</f>
        <v/>
      </c>
      <c r="P1163" s="9">
        <f>$P$1*LN(F1163/F1162)</f>
        <v/>
      </c>
      <c r="Q1163" s="9">
        <f>$Q$1*(G1163-G1162)</f>
        <v/>
      </c>
      <c r="R1163" s="9">
        <f>$R$1*(H1163-H1162)</f>
        <v/>
      </c>
      <c r="S1163" s="9">
        <f>$S$1*LN(I1163/I1162)</f>
        <v/>
      </c>
      <c r="T1163" s="9">
        <f>$T$1*LN(J1163/J1162)</f>
        <v/>
      </c>
      <c r="U1163" s="9">
        <f>$W$12+$W$4*M1163+$W$5*N1163+$W$6*O1163+$W$7*P1163+$W$8*Q1163+$W$9*R1163+$W$10*S1163+$W$11*T1163</f>
        <v/>
      </c>
      <c r="AA1163" s="10">
        <f>INDEX(LINEST(L904:L1163,M904:T1163,TRUE,TRUE),1,9)*52</f>
        <v/>
      </c>
      <c r="AB1163" s="9">
        <f>INDEX(LINEST(L904:L1163,M904:T1163,TRUE,TRUE),1,8)</f>
        <v/>
      </c>
      <c r="AC1163" s="9">
        <f>INDEX(LINEST(L904:L1163,M904:T1163,TRUE,TRUE),1,7)</f>
        <v/>
      </c>
      <c r="AD1163" s="9">
        <f>INDEX(LINEST(L904:L1163,M904:T1163,TRUE,TRUE),1,6)</f>
        <v/>
      </c>
      <c r="AE1163" s="9">
        <f>INDEX(LINEST(L904:L1163,M904:T1163,TRUE,TRUE),1,5)</f>
        <v/>
      </c>
      <c r="AF1163" s="9">
        <f>INDEX(LINEST(L904:L1163,M904:T1163,TRUE,TRUE),1,4)</f>
        <v/>
      </c>
      <c r="AG1163" s="9">
        <f>INDEX(LINEST(L904:L1163,M904:T1163,TRUE,TRUE),1,3)</f>
        <v/>
      </c>
      <c r="AH1163" s="9">
        <f>INDEX(LINEST(L904:L1163,M904:T1163,TRUE,TRUE),1,2)</f>
        <v/>
      </c>
      <c r="AI1163" s="9">
        <f>INDEX(LINEST(L904:L1163,M904:T1163,TRUE,TRUE),1,1)</f>
        <v/>
      </c>
      <c r="AJ1163" s="10">
        <f>INDEX(LINEST(L904:L1163,M904:T1163,TRUE,TRUE),3,1)</f>
        <v/>
      </c>
      <c r="AK1163" s="9">
        <f>AA1162/52+AB1162*M1163+AC1162*N1163+AD1162*O1163+AE1162*P1163+AF1162*Q1163+AG1162*R1163+AH1162*S1163+AI1162*T1163</f>
        <v/>
      </c>
      <c r="AL1163" s="9">
        <f>AVERAGE(L903:L1162)</f>
        <v/>
      </c>
    </row>
    <row r="1164">
      <c r="A1164" s="7" t="n">
        <v>45758</v>
      </c>
      <c r="B1164" s="8" t="n">
        <v>3230.5</v>
      </c>
      <c r="C1164" s="8" t="n">
        <v>2.2</v>
      </c>
      <c r="D1164" s="8" t="n">
        <v>2.28</v>
      </c>
      <c r="E1164" s="8" t="n">
        <v>99.779999</v>
      </c>
      <c r="F1164" s="8" t="n">
        <v>61.91</v>
      </c>
      <c r="G1164" s="8" t="n">
        <v>37.56</v>
      </c>
      <c r="H1164" s="8" t="n">
        <v>137.259995</v>
      </c>
      <c r="I1164" s="8" t="n">
        <v>5363.359863</v>
      </c>
      <c r="J1164" s="8" t="n">
        <v>92.68238100000001</v>
      </c>
      <c r="L1164" s="9">
        <f>LN(B1164/B1163)</f>
        <v/>
      </c>
      <c r="M1164" s="9">
        <f>$M$1*(C1164-C1163)</f>
        <v/>
      </c>
      <c r="N1164" s="9">
        <f>$N$1*(D1164-D1163)</f>
        <v/>
      </c>
      <c r="O1164" s="9">
        <f>$O$1*LN(E1164/E1163)</f>
        <v/>
      </c>
      <c r="P1164" s="9">
        <f>$P$1*LN(F1164/F1163)</f>
        <v/>
      </c>
      <c r="Q1164" s="9">
        <f>$Q$1*(G1164-G1163)</f>
        <v/>
      </c>
      <c r="R1164" s="9">
        <f>$R$1*(H1164-H1163)</f>
        <v/>
      </c>
      <c r="S1164" s="9">
        <f>$S$1*LN(I1164/I1163)</f>
        <v/>
      </c>
      <c r="T1164" s="9">
        <f>$T$1*LN(J1164/J1163)</f>
        <v/>
      </c>
      <c r="U1164" s="9">
        <f>$W$12+$W$4*M1164+$W$5*N1164+$W$6*O1164+$W$7*P1164+$W$8*Q1164+$W$9*R1164+$W$10*S1164+$W$11*T1164</f>
        <v/>
      </c>
      <c r="AA1164" s="10">
        <f>INDEX(LINEST(L905:L1164,M905:T1164,TRUE,TRUE),1,9)*52</f>
        <v/>
      </c>
      <c r="AB1164" s="9">
        <f>INDEX(LINEST(L905:L1164,M905:T1164,TRUE,TRUE),1,8)</f>
        <v/>
      </c>
      <c r="AC1164" s="9">
        <f>INDEX(LINEST(L905:L1164,M905:T1164,TRUE,TRUE),1,7)</f>
        <v/>
      </c>
      <c r="AD1164" s="9">
        <f>INDEX(LINEST(L905:L1164,M905:T1164,TRUE,TRUE),1,6)</f>
        <v/>
      </c>
      <c r="AE1164" s="9">
        <f>INDEX(LINEST(L905:L1164,M905:T1164,TRUE,TRUE),1,5)</f>
        <v/>
      </c>
      <c r="AF1164" s="9">
        <f>INDEX(LINEST(L905:L1164,M905:T1164,TRUE,TRUE),1,4)</f>
        <v/>
      </c>
      <c r="AG1164" s="9">
        <f>INDEX(LINEST(L905:L1164,M905:T1164,TRUE,TRUE),1,3)</f>
        <v/>
      </c>
      <c r="AH1164" s="9">
        <f>INDEX(LINEST(L905:L1164,M905:T1164,TRUE,TRUE),1,2)</f>
        <v/>
      </c>
      <c r="AI1164" s="9">
        <f>INDEX(LINEST(L905:L1164,M905:T1164,TRUE,TRUE),1,1)</f>
        <v/>
      </c>
      <c r="AJ1164" s="10">
        <f>INDEX(LINEST(L905:L1164,M905:T1164,TRUE,TRUE),3,1)</f>
        <v/>
      </c>
      <c r="AK1164" s="9">
        <f>AA1163/52+AB1163*M1164+AC1163*N1164+AD1163*O1164+AE1163*P1164+AF1163*Q1164+AG1163*R1164+AH1163*S1164+AI1163*T1164</f>
        <v/>
      </c>
      <c r="AL1164" s="9">
        <f>AVERAGE(L904:L1163)</f>
        <v/>
      </c>
    </row>
    <row r="1165">
      <c r="A1165" s="7" t="n">
        <v>45765</v>
      </c>
      <c r="B1165" s="8" t="n">
        <v>3305.65</v>
      </c>
      <c r="C1165" s="8" t="n">
        <v>2.23</v>
      </c>
      <c r="D1165" s="8" t="n">
        <v>2.11</v>
      </c>
      <c r="E1165" s="8" t="n">
        <v>99.379997</v>
      </c>
      <c r="F1165" s="8" t="n">
        <v>65.06999999999999</v>
      </c>
      <c r="G1165" s="8" t="n">
        <v>29.65</v>
      </c>
      <c r="H1165" s="8" t="n">
        <v>114.639999</v>
      </c>
      <c r="I1165" s="8" t="n">
        <v>5282.700195</v>
      </c>
      <c r="J1165" s="8" t="n">
        <v>93.475105</v>
      </c>
      <c r="L1165" s="9">
        <f>LN(B1165/B1164)</f>
        <v/>
      </c>
      <c r="M1165" s="9">
        <f>$M$1*(C1165-C1164)</f>
        <v/>
      </c>
      <c r="N1165" s="9">
        <f>$N$1*(D1165-D1164)</f>
        <v/>
      </c>
      <c r="O1165" s="9">
        <f>$O$1*LN(E1165/E1164)</f>
        <v/>
      </c>
      <c r="P1165" s="9">
        <f>$P$1*LN(F1165/F1164)</f>
        <v/>
      </c>
      <c r="Q1165" s="9">
        <f>$Q$1*(G1165-G1164)</f>
        <v/>
      </c>
      <c r="R1165" s="9">
        <f>$R$1*(H1165-H1164)</f>
        <v/>
      </c>
      <c r="S1165" s="9">
        <f>$S$1*LN(I1165/I1164)</f>
        <v/>
      </c>
      <c r="T1165" s="9">
        <f>$T$1*LN(J1165/J1164)</f>
        <v/>
      </c>
      <c r="U1165" s="9">
        <f>$W$12+$W$4*M1165+$W$5*N1165+$W$6*O1165+$W$7*P1165+$W$8*Q1165+$W$9*R1165+$W$10*S1165+$W$11*T1165</f>
        <v/>
      </c>
      <c r="AA1165" s="10">
        <f>INDEX(LINEST(L906:L1165,M906:T1165,TRUE,TRUE),1,9)*52</f>
        <v/>
      </c>
      <c r="AB1165" s="9">
        <f>INDEX(LINEST(L906:L1165,M906:T1165,TRUE,TRUE),1,8)</f>
        <v/>
      </c>
      <c r="AC1165" s="9">
        <f>INDEX(LINEST(L906:L1165,M906:T1165,TRUE,TRUE),1,7)</f>
        <v/>
      </c>
      <c r="AD1165" s="9">
        <f>INDEX(LINEST(L906:L1165,M906:T1165,TRUE,TRUE),1,6)</f>
        <v/>
      </c>
      <c r="AE1165" s="9">
        <f>INDEX(LINEST(L906:L1165,M906:T1165,TRUE,TRUE),1,5)</f>
        <v/>
      </c>
      <c r="AF1165" s="9">
        <f>INDEX(LINEST(L906:L1165,M906:T1165,TRUE,TRUE),1,4)</f>
        <v/>
      </c>
      <c r="AG1165" s="9">
        <f>INDEX(LINEST(L906:L1165,M906:T1165,TRUE,TRUE),1,3)</f>
        <v/>
      </c>
      <c r="AH1165" s="9">
        <f>INDEX(LINEST(L906:L1165,M906:T1165,TRUE,TRUE),1,2)</f>
        <v/>
      </c>
      <c r="AI1165" s="9">
        <f>INDEX(LINEST(L906:L1165,M906:T1165,TRUE,TRUE),1,1)</f>
        <v/>
      </c>
      <c r="AJ1165" s="10">
        <f>INDEX(LINEST(L906:L1165,M906:T1165,TRUE,TRUE),3,1)</f>
        <v/>
      </c>
      <c r="AK1165" s="9">
        <f>AA1164/52+AB1164*M1165+AC1164*N1165+AD1164*O1165+AE1164*P1165+AF1164*Q1165+AG1164*R1165+AH1164*S1165+AI1164*T1165</f>
        <v/>
      </c>
      <c r="AL1165" s="9">
        <f>AVERAGE(L905:L1164)</f>
        <v/>
      </c>
    </row>
    <row r="1166">
      <c r="A1166" s="7" t="n">
        <v>45772</v>
      </c>
      <c r="B1166" s="8" t="n">
        <v>3277.3</v>
      </c>
      <c r="C1166" s="8" t="n">
        <v>2.27</v>
      </c>
      <c r="D1166" s="8" t="n">
        <v>2.02</v>
      </c>
      <c r="E1166" s="8" t="n">
        <v>99.470001</v>
      </c>
      <c r="F1166" s="8" t="n">
        <v>63.85</v>
      </c>
      <c r="G1166" s="8" t="n">
        <v>24.84</v>
      </c>
      <c r="H1166" s="8" t="n">
        <v>105.790001</v>
      </c>
      <c r="I1166" s="8" t="n">
        <v>5525.209961</v>
      </c>
      <c r="J1166" s="8" t="n">
        <v>94.17233299999999</v>
      </c>
      <c r="L1166" s="9">
        <f>LN(B1166/B1165)</f>
        <v/>
      </c>
      <c r="M1166" s="9">
        <f>$M$1*(C1166-C1165)</f>
        <v/>
      </c>
      <c r="N1166" s="9">
        <f>$N$1*(D1166-D1165)</f>
        <v/>
      </c>
      <c r="O1166" s="9">
        <f>$O$1*LN(E1166/E1165)</f>
        <v/>
      </c>
      <c r="P1166" s="9">
        <f>$P$1*LN(F1166/F1165)</f>
        <v/>
      </c>
      <c r="Q1166" s="9">
        <f>$Q$1*(G1166-G1165)</f>
        <v/>
      </c>
      <c r="R1166" s="9">
        <f>$R$1*(H1166-H1165)</f>
        <v/>
      </c>
      <c r="S1166" s="9">
        <f>$S$1*LN(I1166/I1165)</f>
        <v/>
      </c>
      <c r="T1166" s="9">
        <f>$T$1*LN(J1166/J1165)</f>
        <v/>
      </c>
      <c r="U1166" s="9">
        <f>$W$12+$W$4*M1166+$W$5*N1166+$W$6*O1166+$W$7*P1166+$W$8*Q1166+$W$9*R1166+$W$10*S1166+$W$11*T1166</f>
        <v/>
      </c>
      <c r="AA1166" s="10">
        <f>INDEX(LINEST(L907:L1166,M907:T1166,TRUE,TRUE),1,9)*52</f>
        <v/>
      </c>
      <c r="AB1166" s="9">
        <f>INDEX(LINEST(L907:L1166,M907:T1166,TRUE,TRUE),1,8)</f>
        <v/>
      </c>
      <c r="AC1166" s="9">
        <f>INDEX(LINEST(L907:L1166,M907:T1166,TRUE,TRUE),1,7)</f>
        <v/>
      </c>
      <c r="AD1166" s="9">
        <f>INDEX(LINEST(L907:L1166,M907:T1166,TRUE,TRUE),1,6)</f>
        <v/>
      </c>
      <c r="AE1166" s="9">
        <f>INDEX(LINEST(L907:L1166,M907:T1166,TRUE,TRUE),1,5)</f>
        <v/>
      </c>
      <c r="AF1166" s="9">
        <f>INDEX(LINEST(L907:L1166,M907:T1166,TRUE,TRUE),1,4)</f>
        <v/>
      </c>
      <c r="AG1166" s="9">
        <f>INDEX(LINEST(L907:L1166,M907:T1166,TRUE,TRUE),1,3)</f>
        <v/>
      </c>
      <c r="AH1166" s="9">
        <f>INDEX(LINEST(L907:L1166,M907:T1166,TRUE,TRUE),1,2)</f>
        <v/>
      </c>
      <c r="AI1166" s="9">
        <f>INDEX(LINEST(L907:L1166,M907:T1166,TRUE,TRUE),1,1)</f>
        <v/>
      </c>
      <c r="AJ1166" s="10">
        <f>INDEX(LINEST(L907:L1166,M907:T1166,TRUE,TRUE),3,1)</f>
        <v/>
      </c>
      <c r="AK1166" s="9">
        <f>AA1165/52+AB1165*M1166+AC1165*N1166+AD1165*O1166+AE1165*P1166+AF1165*Q1166+AG1165*R1166+AH1165*S1166+AI1165*T1166</f>
        <v/>
      </c>
      <c r="AL1166" s="9">
        <f>AVERAGE(L906:L1165)</f>
        <v/>
      </c>
    </row>
    <row r="1167">
      <c r="A1167" s="7" t="n">
        <v>45779</v>
      </c>
      <c r="B1167" s="8" t="n">
        <v>3249.7</v>
      </c>
      <c r="C1167" s="8" t="n">
        <v>2.27</v>
      </c>
      <c r="D1167" s="8" t="n">
        <v>2.06</v>
      </c>
      <c r="E1167" s="8" t="n">
        <v>100</v>
      </c>
      <c r="F1167" s="8" t="n">
        <v>59.67</v>
      </c>
      <c r="G1167" s="8" t="n">
        <v>22.68</v>
      </c>
      <c r="H1167" s="8" t="n">
        <v>101.400002</v>
      </c>
      <c r="I1167" s="8" t="n">
        <v>5686.669922</v>
      </c>
      <c r="J1167" s="8" t="n">
        <v>93.855766</v>
      </c>
      <c r="L1167" s="9">
        <f>LN(B1167/B1166)</f>
        <v/>
      </c>
      <c r="M1167" s="9">
        <f>$M$1*(C1167-C1166)</f>
        <v/>
      </c>
      <c r="N1167" s="9">
        <f>$N$1*(D1167-D1166)</f>
        <v/>
      </c>
      <c r="O1167" s="9">
        <f>$O$1*LN(E1167/E1166)</f>
        <v/>
      </c>
      <c r="P1167" s="9">
        <f>$P$1*LN(F1167/F1166)</f>
        <v/>
      </c>
      <c r="Q1167" s="9">
        <f>$Q$1*(G1167-G1166)</f>
        <v/>
      </c>
      <c r="R1167" s="9">
        <f>$R$1*(H1167-H1166)</f>
        <v/>
      </c>
      <c r="S1167" s="9">
        <f>$S$1*LN(I1167/I1166)</f>
        <v/>
      </c>
      <c r="T1167" s="9">
        <f>$T$1*LN(J1167/J1166)</f>
        <v/>
      </c>
      <c r="U1167" s="9">
        <f>$W$12+$W$4*M1167+$W$5*N1167+$W$6*O1167+$W$7*P1167+$W$8*Q1167+$W$9*R1167+$W$10*S1167+$W$11*T1167</f>
        <v/>
      </c>
      <c r="AA1167" s="10">
        <f>INDEX(LINEST(L908:L1167,M908:T1167,TRUE,TRUE),1,9)*52</f>
        <v/>
      </c>
      <c r="AB1167" s="9">
        <f>INDEX(LINEST(L908:L1167,M908:T1167,TRUE,TRUE),1,8)</f>
        <v/>
      </c>
      <c r="AC1167" s="9">
        <f>INDEX(LINEST(L908:L1167,M908:T1167,TRUE,TRUE),1,7)</f>
        <v/>
      </c>
      <c r="AD1167" s="9">
        <f>INDEX(LINEST(L908:L1167,M908:T1167,TRUE,TRUE),1,6)</f>
        <v/>
      </c>
      <c r="AE1167" s="9">
        <f>INDEX(LINEST(L908:L1167,M908:T1167,TRUE,TRUE),1,5)</f>
        <v/>
      </c>
      <c r="AF1167" s="9">
        <f>INDEX(LINEST(L908:L1167,M908:T1167,TRUE,TRUE),1,4)</f>
        <v/>
      </c>
      <c r="AG1167" s="9">
        <f>INDEX(LINEST(L908:L1167,M908:T1167,TRUE,TRUE),1,3)</f>
        <v/>
      </c>
      <c r="AH1167" s="9">
        <f>INDEX(LINEST(L908:L1167,M908:T1167,TRUE,TRUE),1,2)</f>
        <v/>
      </c>
      <c r="AI1167" s="9">
        <f>INDEX(LINEST(L908:L1167,M908:T1167,TRUE,TRUE),1,1)</f>
        <v/>
      </c>
      <c r="AJ1167" s="10">
        <f>INDEX(LINEST(L908:L1167,M908:T1167,TRUE,TRUE),3,1)</f>
        <v/>
      </c>
      <c r="AK1167" s="9">
        <f>AA1166/52+AB1166*M1167+AC1166*N1167+AD1166*O1167+AE1166*P1167+AF1166*Q1167+AG1166*R1167+AH1166*S1167+AI1166*T1167</f>
        <v/>
      </c>
      <c r="AL1167" s="9">
        <f>AVERAGE(L907:L1166)</f>
        <v/>
      </c>
    </row>
    <row r="1168">
      <c r="A1168" s="7" t="n">
        <v>45786</v>
      </c>
      <c r="B1168" s="8" t="n">
        <v>3324.55</v>
      </c>
      <c r="C1168" s="8" t="n">
        <v>2.29</v>
      </c>
      <c r="D1168" s="8" t="n">
        <v>2.08</v>
      </c>
      <c r="E1168" s="8" t="n">
        <v>100.339996</v>
      </c>
      <c r="F1168" s="8" t="n">
        <v>62.37</v>
      </c>
      <c r="G1168" s="8" t="n">
        <v>21.9</v>
      </c>
      <c r="H1168" s="8" t="n">
        <v>100.400002</v>
      </c>
      <c r="I1168" s="8" t="n">
        <v>5659.910156</v>
      </c>
      <c r="J1168" s="8" t="n">
        <v>93.673721</v>
      </c>
      <c r="L1168" s="9">
        <f>LN(B1168/B1167)</f>
        <v/>
      </c>
      <c r="M1168" s="9">
        <f>$M$1*(C1168-C1167)</f>
        <v/>
      </c>
      <c r="N1168" s="9">
        <f>$N$1*(D1168-D1167)</f>
        <v/>
      </c>
      <c r="O1168" s="9">
        <f>$O$1*LN(E1168/E1167)</f>
        <v/>
      </c>
      <c r="P1168" s="9">
        <f>$P$1*LN(F1168/F1167)</f>
        <v/>
      </c>
      <c r="Q1168" s="9">
        <f>$Q$1*(G1168-G1167)</f>
        <v/>
      </c>
      <c r="R1168" s="9">
        <f>$R$1*(H1168-H1167)</f>
        <v/>
      </c>
      <c r="S1168" s="9">
        <f>$S$1*LN(I1168/I1167)</f>
        <v/>
      </c>
      <c r="T1168" s="9">
        <f>$T$1*LN(J1168/J1167)</f>
        <v/>
      </c>
      <c r="U1168" s="9">
        <f>$W$12+$W$4*M1168+$W$5*N1168+$W$6*O1168+$W$7*P1168+$W$8*Q1168+$W$9*R1168+$W$10*S1168+$W$11*T1168</f>
        <v/>
      </c>
      <c r="AA1168" s="10">
        <f>INDEX(LINEST(L909:L1168,M909:T1168,TRUE,TRUE),1,9)*52</f>
        <v/>
      </c>
      <c r="AB1168" s="9">
        <f>INDEX(LINEST(L909:L1168,M909:T1168,TRUE,TRUE),1,8)</f>
        <v/>
      </c>
      <c r="AC1168" s="9">
        <f>INDEX(LINEST(L909:L1168,M909:T1168,TRUE,TRUE),1,7)</f>
        <v/>
      </c>
      <c r="AD1168" s="9">
        <f>INDEX(LINEST(L909:L1168,M909:T1168,TRUE,TRUE),1,6)</f>
        <v/>
      </c>
      <c r="AE1168" s="9">
        <f>INDEX(LINEST(L909:L1168,M909:T1168,TRUE,TRUE),1,5)</f>
        <v/>
      </c>
      <c r="AF1168" s="9">
        <f>INDEX(LINEST(L909:L1168,M909:T1168,TRUE,TRUE),1,4)</f>
        <v/>
      </c>
      <c r="AG1168" s="9">
        <f>INDEX(LINEST(L909:L1168,M909:T1168,TRUE,TRUE),1,3)</f>
        <v/>
      </c>
      <c r="AH1168" s="9">
        <f>INDEX(LINEST(L909:L1168,M909:T1168,TRUE,TRUE),1,2)</f>
        <v/>
      </c>
      <c r="AI1168" s="9">
        <f>INDEX(LINEST(L909:L1168,M909:T1168,TRUE,TRUE),1,1)</f>
        <v/>
      </c>
      <c r="AJ1168" s="10">
        <f>INDEX(LINEST(L909:L1168,M909:T1168,TRUE,TRUE),3,1)</f>
        <v/>
      </c>
      <c r="AK1168" s="9">
        <f>AA1167/52+AB1167*M1168+AC1167*N1168+AD1167*O1168+AE1167*P1168+AF1167*Q1168+AG1167*R1168+AH1167*S1168+AI1167*T1168</f>
        <v/>
      </c>
      <c r="AL1168" s="9">
        <f>AVERAGE(L908:L1167)</f>
        <v/>
      </c>
    </row>
    <row r="1169">
      <c r="A1169" s="7" t="n">
        <v>45793</v>
      </c>
      <c r="B1169" s="8" t="n">
        <v>3182.95</v>
      </c>
      <c r="C1169" s="8" t="n">
        <v>2.34</v>
      </c>
      <c r="D1169" s="8" t="n">
        <v>2.09</v>
      </c>
      <c r="E1169" s="8" t="n">
        <v>101.089996</v>
      </c>
      <c r="F1169" s="8" t="n">
        <v>63.84</v>
      </c>
      <c r="G1169" s="8" t="n">
        <v>17.24</v>
      </c>
      <c r="H1169" s="8" t="n">
        <v>96.699997</v>
      </c>
      <c r="I1169" s="8" t="n">
        <v>5958.379883</v>
      </c>
      <c r="J1169" s="8" t="n">
        <v>93.577896</v>
      </c>
      <c r="L1169" s="9">
        <f>LN(B1169/B1168)</f>
        <v/>
      </c>
      <c r="M1169" s="9">
        <f>$M$1*(C1169-C1168)</f>
        <v/>
      </c>
      <c r="N1169" s="9">
        <f>$N$1*(D1169-D1168)</f>
        <v/>
      </c>
      <c r="O1169" s="9">
        <f>$O$1*LN(E1169/E1168)</f>
        <v/>
      </c>
      <c r="P1169" s="9">
        <f>$P$1*LN(F1169/F1168)</f>
        <v/>
      </c>
      <c r="Q1169" s="9">
        <f>$Q$1*(G1169-G1168)</f>
        <v/>
      </c>
      <c r="R1169" s="9">
        <f>$R$1*(H1169-H1168)</f>
        <v/>
      </c>
      <c r="S1169" s="9">
        <f>$S$1*LN(I1169/I1168)</f>
        <v/>
      </c>
      <c r="T1169" s="9">
        <f>$T$1*LN(J1169/J1168)</f>
        <v/>
      </c>
      <c r="U1169" s="9">
        <f>$W$12+$W$4*M1169+$W$5*N1169+$W$6*O1169+$W$7*P1169+$W$8*Q1169+$W$9*R1169+$W$10*S1169+$W$11*T1169</f>
        <v/>
      </c>
      <c r="AA1169" s="10">
        <f>INDEX(LINEST(L910:L1169,M910:T1169,TRUE,TRUE),1,9)*52</f>
        <v/>
      </c>
      <c r="AB1169" s="9">
        <f>INDEX(LINEST(L910:L1169,M910:T1169,TRUE,TRUE),1,8)</f>
        <v/>
      </c>
      <c r="AC1169" s="9">
        <f>INDEX(LINEST(L910:L1169,M910:T1169,TRUE,TRUE),1,7)</f>
        <v/>
      </c>
      <c r="AD1169" s="9">
        <f>INDEX(LINEST(L910:L1169,M910:T1169,TRUE,TRUE),1,6)</f>
        <v/>
      </c>
      <c r="AE1169" s="9">
        <f>INDEX(LINEST(L910:L1169,M910:T1169,TRUE,TRUE),1,5)</f>
        <v/>
      </c>
      <c r="AF1169" s="9">
        <f>INDEX(LINEST(L910:L1169,M910:T1169,TRUE,TRUE),1,4)</f>
        <v/>
      </c>
      <c r="AG1169" s="9">
        <f>INDEX(LINEST(L910:L1169,M910:T1169,TRUE,TRUE),1,3)</f>
        <v/>
      </c>
      <c r="AH1169" s="9">
        <f>INDEX(LINEST(L910:L1169,M910:T1169,TRUE,TRUE),1,2)</f>
        <v/>
      </c>
      <c r="AI1169" s="9">
        <f>INDEX(LINEST(L910:L1169,M910:T1169,TRUE,TRUE),1,1)</f>
        <v/>
      </c>
      <c r="AJ1169" s="10">
        <f>INDEX(LINEST(L910:L1169,M910:T1169,TRUE,TRUE),3,1)</f>
        <v/>
      </c>
      <c r="AK1169" s="9">
        <f>AA1168/52+AB1168*M1169+AC1168*N1169+AD1168*O1169+AE1168*P1169+AF1168*Q1169+AG1168*R1169+AH1168*S1169+AI1168*T1169</f>
        <v/>
      </c>
      <c r="AL1169" s="9">
        <f>AVERAGE(L909:L1168)</f>
        <v/>
      </c>
    </row>
    <row r="1170">
      <c r="A1170" s="7" t="n">
        <v>45800</v>
      </c>
      <c r="B1170" s="8" t="n">
        <v>3342.65</v>
      </c>
      <c r="C1170" s="8" t="n">
        <v>2.33</v>
      </c>
      <c r="D1170" s="8" t="n">
        <v>2.18</v>
      </c>
      <c r="E1170" s="8" t="n">
        <v>99.110001</v>
      </c>
      <c r="F1170" s="8" t="n">
        <v>62.89</v>
      </c>
      <c r="G1170" s="8" t="n">
        <v>22.29</v>
      </c>
      <c r="H1170" s="8" t="n">
        <v>100.910004</v>
      </c>
      <c r="I1170" s="8" t="n">
        <v>5802.819824</v>
      </c>
      <c r="J1170" s="8" t="n">
        <v>93.17544599999999</v>
      </c>
      <c r="L1170" s="9">
        <f>LN(B1170/B1169)</f>
        <v/>
      </c>
      <c r="M1170" s="9">
        <f>$M$1*(C1170-C1169)</f>
        <v/>
      </c>
      <c r="N1170" s="9">
        <f>$N$1*(D1170-D1169)</f>
        <v/>
      </c>
      <c r="O1170" s="9">
        <f>$O$1*LN(E1170/E1169)</f>
        <v/>
      </c>
      <c r="P1170" s="9">
        <f>$P$1*LN(F1170/F1169)</f>
        <v/>
      </c>
      <c r="Q1170" s="9">
        <f>$Q$1*(G1170-G1169)</f>
        <v/>
      </c>
      <c r="R1170" s="9">
        <f>$R$1*(H1170-H1169)</f>
        <v/>
      </c>
      <c r="S1170" s="9">
        <f>$S$1*LN(I1170/I1169)</f>
        <v/>
      </c>
      <c r="T1170" s="9">
        <f>$T$1*LN(J1170/J1169)</f>
        <v/>
      </c>
      <c r="U1170" s="9">
        <f>$W$12+$W$4*M1170+$W$5*N1170+$W$6*O1170+$W$7*P1170+$W$8*Q1170+$W$9*R1170+$W$10*S1170+$W$11*T1170</f>
        <v/>
      </c>
      <c r="AA1170" s="10">
        <f>INDEX(LINEST(L911:L1170,M911:T1170,TRUE,TRUE),1,9)*52</f>
        <v/>
      </c>
      <c r="AB1170" s="9">
        <f>INDEX(LINEST(L911:L1170,M911:T1170,TRUE,TRUE),1,8)</f>
        <v/>
      </c>
      <c r="AC1170" s="9">
        <f>INDEX(LINEST(L911:L1170,M911:T1170,TRUE,TRUE),1,7)</f>
        <v/>
      </c>
      <c r="AD1170" s="9">
        <f>INDEX(LINEST(L911:L1170,M911:T1170,TRUE,TRUE),1,6)</f>
        <v/>
      </c>
      <c r="AE1170" s="9">
        <f>INDEX(LINEST(L911:L1170,M911:T1170,TRUE,TRUE),1,5)</f>
        <v/>
      </c>
      <c r="AF1170" s="9">
        <f>INDEX(LINEST(L911:L1170,M911:T1170,TRUE,TRUE),1,4)</f>
        <v/>
      </c>
      <c r="AG1170" s="9">
        <f>INDEX(LINEST(L911:L1170,M911:T1170,TRUE,TRUE),1,3)</f>
        <v/>
      </c>
      <c r="AH1170" s="9">
        <f>INDEX(LINEST(L911:L1170,M911:T1170,TRUE,TRUE),1,2)</f>
        <v/>
      </c>
      <c r="AI1170" s="9">
        <f>INDEX(LINEST(L911:L1170,M911:T1170,TRUE,TRUE),1,1)</f>
        <v/>
      </c>
      <c r="AJ1170" s="10">
        <f>INDEX(LINEST(L911:L1170,M911:T1170,TRUE,TRUE),3,1)</f>
        <v/>
      </c>
      <c r="AK1170" s="9">
        <f>AA1169/52+AB1169*M1170+AC1169*N1170+AD1169*O1170+AE1169*P1170+AF1169*Q1170+AG1169*R1170+AH1169*S1170+AI1169*T1170</f>
        <v/>
      </c>
      <c r="AL1170" s="9">
        <f>AVERAGE(L910:L1169)</f>
        <v/>
      </c>
    </row>
    <row r="1171">
      <c r="A1171" s="7" t="n">
        <v>45807</v>
      </c>
      <c r="B1171" s="8" t="n">
        <v>3277.55</v>
      </c>
      <c r="C1171" s="8" t="n">
        <v>2.34</v>
      </c>
      <c r="D1171" s="8" t="n">
        <v>2.07</v>
      </c>
      <c r="E1171" s="8" t="n">
        <v>99.33000199999999</v>
      </c>
      <c r="F1171" s="8" t="n">
        <v>61.46</v>
      </c>
      <c r="G1171" s="8" t="n">
        <v>18.57</v>
      </c>
      <c r="H1171" s="8" t="n">
        <v>92.110001</v>
      </c>
      <c r="I1171" s="8" t="n">
        <v>5911.689941</v>
      </c>
      <c r="J1171" s="8" t="n">
        <v>93.999504</v>
      </c>
      <c r="L1171" s="9">
        <f>LN(B1171/B1170)</f>
        <v/>
      </c>
      <c r="M1171" s="9">
        <f>$M$1*(C1171-C1170)</f>
        <v/>
      </c>
      <c r="N1171" s="9">
        <f>$N$1*(D1171-D1170)</f>
        <v/>
      </c>
      <c r="O1171" s="9">
        <f>$O$1*LN(E1171/E1170)</f>
        <v/>
      </c>
      <c r="P1171" s="9">
        <f>$P$1*LN(F1171/F1170)</f>
        <v/>
      </c>
      <c r="Q1171" s="9">
        <f>$Q$1*(G1171-G1170)</f>
        <v/>
      </c>
      <c r="R1171" s="9">
        <f>$R$1*(H1171-H1170)</f>
        <v/>
      </c>
      <c r="S1171" s="9">
        <f>$S$1*LN(I1171/I1170)</f>
        <v/>
      </c>
      <c r="T1171" s="9">
        <f>$T$1*LN(J1171/J1170)</f>
        <v/>
      </c>
      <c r="U1171" s="9">
        <f>$W$12+$W$4*M1171+$W$5*N1171+$W$6*O1171+$W$7*P1171+$W$8*Q1171+$W$9*R1171+$W$10*S1171+$W$11*T1171</f>
        <v/>
      </c>
      <c r="AA1171" s="10">
        <f>INDEX(LINEST(L912:L1171,M912:T1171,TRUE,TRUE),1,9)*52</f>
        <v/>
      </c>
      <c r="AB1171" s="9">
        <f>INDEX(LINEST(L912:L1171,M912:T1171,TRUE,TRUE),1,8)</f>
        <v/>
      </c>
      <c r="AC1171" s="9">
        <f>INDEX(LINEST(L912:L1171,M912:T1171,TRUE,TRUE),1,7)</f>
        <v/>
      </c>
      <c r="AD1171" s="9">
        <f>INDEX(LINEST(L912:L1171,M912:T1171,TRUE,TRUE),1,6)</f>
        <v/>
      </c>
      <c r="AE1171" s="9">
        <f>INDEX(LINEST(L912:L1171,M912:T1171,TRUE,TRUE),1,5)</f>
        <v/>
      </c>
      <c r="AF1171" s="9">
        <f>INDEX(LINEST(L912:L1171,M912:T1171,TRUE,TRUE),1,4)</f>
        <v/>
      </c>
      <c r="AG1171" s="9">
        <f>INDEX(LINEST(L912:L1171,M912:T1171,TRUE,TRUE),1,3)</f>
        <v/>
      </c>
      <c r="AH1171" s="9">
        <f>INDEX(LINEST(L912:L1171,M912:T1171,TRUE,TRUE),1,2)</f>
        <v/>
      </c>
      <c r="AI1171" s="9">
        <f>INDEX(LINEST(L912:L1171,M912:T1171,TRUE,TRUE),1,1)</f>
        <v/>
      </c>
      <c r="AJ1171" s="10">
        <f>INDEX(LINEST(L912:L1171,M912:T1171,TRUE,TRUE),3,1)</f>
        <v/>
      </c>
      <c r="AK1171" s="9">
        <f>AA1170/52+AB1170*M1171+AC1170*N1171+AD1170*O1171+AE1170*P1171+AF1170*Q1171+AG1170*R1171+AH1170*S1171+AI1170*T1171</f>
        <v/>
      </c>
      <c r="AL1171" s="9">
        <f>AVERAGE(L911:L1170)</f>
        <v/>
      </c>
    </row>
    <row r="1172">
      <c r="A1172" s="7" t="n">
        <v>45814</v>
      </c>
      <c r="B1172" s="8" t="n">
        <v>3339.9</v>
      </c>
      <c r="C1172" s="8" t="n">
        <v>2.31</v>
      </c>
      <c r="D1172" s="8" t="n">
        <v>2.2</v>
      </c>
      <c r="E1172" s="8" t="n">
        <v>99.19000200000001</v>
      </c>
      <c r="F1172" s="8" t="n">
        <v>65.3</v>
      </c>
      <c r="G1172" s="8" t="n">
        <v>16.77</v>
      </c>
      <c r="H1172" s="8" t="n">
        <v>89.650002</v>
      </c>
      <c r="I1172" s="8" t="n">
        <v>6000.359863</v>
      </c>
      <c r="J1172" s="8" t="n">
        <v>93.52170599999999</v>
      </c>
      <c r="L1172" s="9">
        <f>LN(B1172/B1171)</f>
        <v/>
      </c>
      <c r="M1172" s="9">
        <f>$M$1*(C1172-C1171)</f>
        <v/>
      </c>
      <c r="N1172" s="9">
        <f>$N$1*(D1172-D1171)</f>
        <v/>
      </c>
      <c r="O1172" s="9">
        <f>$O$1*LN(E1172/E1171)</f>
        <v/>
      </c>
      <c r="P1172" s="9">
        <f>$P$1*LN(F1172/F1171)</f>
        <v/>
      </c>
      <c r="Q1172" s="9">
        <f>$Q$1*(G1172-G1171)</f>
        <v/>
      </c>
      <c r="R1172" s="9">
        <f>$R$1*(H1172-H1171)</f>
        <v/>
      </c>
      <c r="S1172" s="9">
        <f>$S$1*LN(I1172/I1171)</f>
        <v/>
      </c>
      <c r="T1172" s="9">
        <f>$T$1*LN(J1172/J1171)</f>
        <v/>
      </c>
      <c r="U1172" s="9">
        <f>$W$12+$W$4*M1172+$W$5*N1172+$W$6*O1172+$W$7*P1172+$W$8*Q1172+$W$9*R1172+$W$10*S1172+$W$11*T1172</f>
        <v/>
      </c>
      <c r="AA1172" s="10">
        <f>INDEX(LINEST(L913:L1172,M913:T1172,TRUE,TRUE),1,9)*52</f>
        <v/>
      </c>
      <c r="AB1172" s="9">
        <f>INDEX(LINEST(L913:L1172,M913:T1172,TRUE,TRUE),1,8)</f>
        <v/>
      </c>
      <c r="AC1172" s="9">
        <f>INDEX(LINEST(L913:L1172,M913:T1172,TRUE,TRUE),1,7)</f>
        <v/>
      </c>
      <c r="AD1172" s="9">
        <f>INDEX(LINEST(L913:L1172,M913:T1172,TRUE,TRUE),1,6)</f>
        <v/>
      </c>
      <c r="AE1172" s="9">
        <f>INDEX(LINEST(L913:L1172,M913:T1172,TRUE,TRUE),1,5)</f>
        <v/>
      </c>
      <c r="AF1172" s="9">
        <f>INDEX(LINEST(L913:L1172,M913:T1172,TRUE,TRUE),1,4)</f>
        <v/>
      </c>
      <c r="AG1172" s="9">
        <f>INDEX(LINEST(L913:L1172,M913:T1172,TRUE,TRUE),1,3)</f>
        <v/>
      </c>
      <c r="AH1172" s="9">
        <f>INDEX(LINEST(L913:L1172,M913:T1172,TRUE,TRUE),1,2)</f>
        <v/>
      </c>
      <c r="AI1172" s="9">
        <f>INDEX(LINEST(L913:L1172,M913:T1172,TRUE,TRUE),1,1)</f>
        <v/>
      </c>
      <c r="AJ1172" s="10">
        <f>INDEX(LINEST(L913:L1172,M913:T1172,TRUE,TRUE),3,1)</f>
        <v/>
      </c>
      <c r="AK1172" s="9">
        <f>AA1171/52+AB1171*M1172+AC1171*N1172+AD1171*O1172+AE1171*P1172+AF1171*Q1172+AG1171*R1172+AH1171*S1172+AI1171*T1172</f>
        <v/>
      </c>
      <c r="AL1172" s="9">
        <f>AVERAGE(L912:L1171)</f>
        <v/>
      </c>
    </row>
    <row r="1173">
      <c r="A1173" s="7" t="n">
        <v>45821</v>
      </c>
      <c r="B1173" s="8" t="n">
        <v>3435.35</v>
      </c>
      <c r="C1173" s="8" t="n">
        <v>2.28</v>
      </c>
      <c r="D1173" s="8" t="n">
        <v>2.13</v>
      </c>
      <c r="E1173" s="8" t="n">
        <v>98.18000000000001</v>
      </c>
      <c r="F1173" s="8" t="n">
        <v>73.84</v>
      </c>
      <c r="G1173" s="8" t="n">
        <v>20.82</v>
      </c>
      <c r="H1173" s="8" t="n">
        <v>95.30999799999999</v>
      </c>
      <c r="I1173" s="8" t="n">
        <v>5976.970215</v>
      </c>
      <c r="J1173" s="8" t="n">
        <v>94.175438</v>
      </c>
      <c r="L1173" s="9">
        <f>LN(B1173/B1172)</f>
        <v/>
      </c>
      <c r="M1173" s="9">
        <f>$M$1*(C1173-C1172)</f>
        <v/>
      </c>
      <c r="N1173" s="9">
        <f>$N$1*(D1173-D1172)</f>
        <v/>
      </c>
      <c r="O1173" s="9">
        <f>$O$1*LN(E1173/E1172)</f>
        <v/>
      </c>
      <c r="P1173" s="9">
        <f>$P$1*LN(F1173/F1172)</f>
        <v/>
      </c>
      <c r="Q1173" s="9">
        <f>$Q$1*(G1173-G1172)</f>
        <v/>
      </c>
      <c r="R1173" s="9">
        <f>$R$1*(H1173-H1172)</f>
        <v/>
      </c>
      <c r="S1173" s="9">
        <f>$S$1*LN(I1173/I1172)</f>
        <v/>
      </c>
      <c r="T1173" s="9">
        <f>$T$1*LN(J1173/J1172)</f>
        <v/>
      </c>
      <c r="U1173" s="9">
        <f>$W$12+$W$4*M1173+$W$5*N1173+$W$6*O1173+$W$7*P1173+$W$8*Q1173+$W$9*R1173+$W$10*S1173+$W$11*T1173</f>
        <v/>
      </c>
      <c r="AA1173" s="10">
        <f>INDEX(LINEST(L914:L1173,M914:T1173,TRUE,TRUE),1,9)*52</f>
        <v/>
      </c>
      <c r="AB1173" s="9">
        <f>INDEX(LINEST(L914:L1173,M914:T1173,TRUE,TRUE),1,8)</f>
        <v/>
      </c>
      <c r="AC1173" s="9">
        <f>INDEX(LINEST(L914:L1173,M914:T1173,TRUE,TRUE),1,7)</f>
        <v/>
      </c>
      <c r="AD1173" s="9">
        <f>INDEX(LINEST(L914:L1173,M914:T1173,TRUE,TRUE),1,6)</f>
        <v/>
      </c>
      <c r="AE1173" s="9">
        <f>INDEX(LINEST(L914:L1173,M914:T1173,TRUE,TRUE),1,5)</f>
        <v/>
      </c>
      <c r="AF1173" s="9">
        <f>INDEX(LINEST(L914:L1173,M914:T1173,TRUE,TRUE),1,4)</f>
        <v/>
      </c>
      <c r="AG1173" s="9">
        <f>INDEX(LINEST(L914:L1173,M914:T1173,TRUE,TRUE),1,3)</f>
        <v/>
      </c>
      <c r="AH1173" s="9">
        <f>INDEX(LINEST(L914:L1173,M914:T1173,TRUE,TRUE),1,2)</f>
        <v/>
      </c>
      <c r="AI1173" s="9">
        <f>INDEX(LINEST(L914:L1173,M914:T1173,TRUE,TRUE),1,1)</f>
        <v/>
      </c>
      <c r="AJ1173" s="10">
        <f>INDEX(LINEST(L914:L1173,M914:T1173,TRUE,TRUE),3,1)</f>
        <v/>
      </c>
      <c r="AK1173" s="9">
        <f>AA1172/52+AB1172*M1173+AC1172*N1173+AD1172*O1173+AE1172*P1173+AF1172*Q1173+AG1172*R1173+AH1172*S1173+AI1172*T1173</f>
        <v/>
      </c>
      <c r="AL1173" s="9">
        <f>AVERAGE(L913:L1172)</f>
        <v/>
      </c>
    </row>
    <row r="1174">
      <c r="A1174" s="7" t="n">
        <v>45828</v>
      </c>
      <c r="B1174" s="8" t="n">
        <v>3368.25</v>
      </c>
      <c r="C1174" s="8" t="n">
        <v>2.33</v>
      </c>
      <c r="D1174" s="8" t="n">
        <v>2.05</v>
      </c>
      <c r="E1174" s="8" t="n">
        <v>98.709999</v>
      </c>
      <c r="F1174" s="8" t="n">
        <v>75.72</v>
      </c>
      <c r="G1174" s="8" t="n">
        <v>20.62</v>
      </c>
      <c r="H1174" s="8" t="n">
        <v>90.099998</v>
      </c>
      <c r="I1174" s="8" t="n">
        <v>5967.839844</v>
      </c>
      <c r="J1174" s="8" t="n">
        <v>94.42538500000001</v>
      </c>
      <c r="L1174" s="9">
        <f>LN(B1174/B1173)</f>
        <v/>
      </c>
      <c r="M1174" s="9">
        <f>$M$1*(C1174-C1173)</f>
        <v/>
      </c>
      <c r="N1174" s="9">
        <f>$N$1*(D1174-D1173)</f>
        <v/>
      </c>
      <c r="O1174" s="9">
        <f>$O$1*LN(E1174/E1173)</f>
        <v/>
      </c>
      <c r="P1174" s="9">
        <f>$P$1*LN(F1174/F1173)</f>
        <v/>
      </c>
      <c r="Q1174" s="9">
        <f>$Q$1*(G1174-G1173)</f>
        <v/>
      </c>
      <c r="R1174" s="9">
        <f>$R$1*(H1174-H1173)</f>
        <v/>
      </c>
      <c r="S1174" s="9">
        <f>$S$1*LN(I1174/I1173)</f>
        <v/>
      </c>
      <c r="T1174" s="9">
        <f>$T$1*LN(J1174/J1173)</f>
        <v/>
      </c>
      <c r="U1174" s="9">
        <f>$W$12+$W$4*M1174+$W$5*N1174+$W$6*O1174+$W$7*P1174+$W$8*Q1174+$W$9*R1174+$W$10*S1174+$W$11*T1174</f>
        <v/>
      </c>
      <c r="AA1174" s="10">
        <f>INDEX(LINEST(L915:L1174,M915:T1174,TRUE,TRUE),1,9)*52</f>
        <v/>
      </c>
      <c r="AB1174" s="9">
        <f>INDEX(LINEST(L915:L1174,M915:T1174,TRUE,TRUE),1,8)</f>
        <v/>
      </c>
      <c r="AC1174" s="9">
        <f>INDEX(LINEST(L915:L1174,M915:T1174,TRUE,TRUE),1,7)</f>
        <v/>
      </c>
      <c r="AD1174" s="9">
        <f>INDEX(LINEST(L915:L1174,M915:T1174,TRUE,TRUE),1,6)</f>
        <v/>
      </c>
      <c r="AE1174" s="9">
        <f>INDEX(LINEST(L915:L1174,M915:T1174,TRUE,TRUE),1,5)</f>
        <v/>
      </c>
      <c r="AF1174" s="9">
        <f>INDEX(LINEST(L915:L1174,M915:T1174,TRUE,TRUE),1,4)</f>
        <v/>
      </c>
      <c r="AG1174" s="9">
        <f>INDEX(LINEST(L915:L1174,M915:T1174,TRUE,TRUE),1,3)</f>
        <v/>
      </c>
      <c r="AH1174" s="9">
        <f>INDEX(LINEST(L915:L1174,M915:T1174,TRUE,TRUE),1,2)</f>
        <v/>
      </c>
      <c r="AI1174" s="9">
        <f>INDEX(LINEST(L915:L1174,M915:T1174,TRUE,TRUE),1,1)</f>
        <v/>
      </c>
      <c r="AJ1174" s="10">
        <f>INDEX(LINEST(L915:L1174,M915:T1174,TRUE,TRUE),3,1)</f>
        <v/>
      </c>
      <c r="AK1174" s="9">
        <f>AA1173/52+AB1173*M1174+AC1173*N1174+AD1173*O1174+AE1173*P1174+AF1173*Q1174+AG1173*R1174+AH1173*S1174+AI1173*T1174</f>
        <v/>
      </c>
      <c r="AL1174" s="9">
        <f>AVERAGE(L914:L1173)</f>
        <v/>
      </c>
    </row>
    <row r="1175">
      <c r="A1175" s="7" t="n">
        <v>45835</v>
      </c>
      <c r="B1175" s="8" t="n">
        <v>3271.75</v>
      </c>
      <c r="C1175" s="8" t="n">
        <v>2.29</v>
      </c>
      <c r="D1175" s="8" t="n">
        <v>2</v>
      </c>
      <c r="E1175" s="8" t="n">
        <v>97.400002</v>
      </c>
      <c r="F1175" s="8" t="n">
        <v>66.66</v>
      </c>
      <c r="G1175" s="8" t="n">
        <v>16.32</v>
      </c>
      <c r="H1175" s="8" t="n">
        <v>87.93000000000001</v>
      </c>
      <c r="I1175" s="8" t="n">
        <v>6173.069824</v>
      </c>
      <c r="J1175" s="8" t="n">
        <v>94.982986</v>
      </c>
      <c r="L1175" s="9">
        <f>LN(B1175/B1174)</f>
        <v/>
      </c>
      <c r="M1175" s="9">
        <f>$M$1*(C1175-C1174)</f>
        <v/>
      </c>
      <c r="N1175" s="9">
        <f>$N$1*(D1175-D1174)</f>
        <v/>
      </c>
      <c r="O1175" s="9">
        <f>$O$1*LN(E1175/E1174)</f>
        <v/>
      </c>
      <c r="P1175" s="9">
        <f>$P$1*LN(F1175/F1174)</f>
        <v/>
      </c>
      <c r="Q1175" s="9">
        <f>$Q$1*(G1175-G1174)</f>
        <v/>
      </c>
      <c r="R1175" s="9">
        <f>$R$1*(H1175-H1174)</f>
        <v/>
      </c>
      <c r="S1175" s="9">
        <f>$S$1*LN(I1175/I1174)</f>
        <v/>
      </c>
      <c r="T1175" s="9">
        <f>$T$1*LN(J1175/J1174)</f>
        <v/>
      </c>
      <c r="U1175" s="9">
        <f>$W$12+$W$4*M1175+$W$5*N1175+$W$6*O1175+$W$7*P1175+$W$8*Q1175+$W$9*R1175+$W$10*S1175+$W$11*T1175</f>
        <v/>
      </c>
      <c r="AA1175" s="10">
        <f>INDEX(LINEST(L916:L1175,M916:T1175,TRUE,TRUE),1,9)*52</f>
        <v/>
      </c>
      <c r="AB1175" s="9">
        <f>INDEX(LINEST(L916:L1175,M916:T1175,TRUE,TRUE),1,8)</f>
        <v/>
      </c>
      <c r="AC1175" s="9">
        <f>INDEX(LINEST(L916:L1175,M916:T1175,TRUE,TRUE),1,7)</f>
        <v/>
      </c>
      <c r="AD1175" s="9">
        <f>INDEX(LINEST(L916:L1175,M916:T1175,TRUE,TRUE),1,6)</f>
        <v/>
      </c>
      <c r="AE1175" s="9">
        <f>INDEX(LINEST(L916:L1175,M916:T1175,TRUE,TRUE),1,5)</f>
        <v/>
      </c>
      <c r="AF1175" s="9">
        <f>INDEX(LINEST(L916:L1175,M916:T1175,TRUE,TRUE),1,4)</f>
        <v/>
      </c>
      <c r="AG1175" s="9">
        <f>INDEX(LINEST(L916:L1175,M916:T1175,TRUE,TRUE),1,3)</f>
        <v/>
      </c>
      <c r="AH1175" s="9">
        <f>INDEX(LINEST(L916:L1175,M916:T1175,TRUE,TRUE),1,2)</f>
        <v/>
      </c>
      <c r="AI1175" s="9">
        <f>INDEX(LINEST(L916:L1175,M916:T1175,TRUE,TRUE),1,1)</f>
        <v/>
      </c>
      <c r="AJ1175" s="10">
        <f>INDEX(LINEST(L916:L1175,M916:T1175,TRUE,TRUE),3,1)</f>
        <v/>
      </c>
      <c r="AK1175" s="9">
        <f>AA1174/52+AB1174*M1175+AC1174*N1175+AD1174*O1175+AE1174*P1175+AF1174*Q1175+AG1174*R1175+AH1174*S1175+AI1174*T1175</f>
        <v/>
      </c>
      <c r="AL1175" s="9">
        <f>AVERAGE(L915:L1174)</f>
        <v/>
      </c>
    </row>
    <row r="1176">
      <c r="A1176" s="7" t="n">
        <v>45842</v>
      </c>
      <c r="B1176" s="8" t="n">
        <v>3331.9</v>
      </c>
      <c r="C1176" s="8" t="n">
        <v>2.33</v>
      </c>
      <c r="D1176" s="8" t="n">
        <v>2.02</v>
      </c>
      <c r="E1176" s="8" t="n">
        <v>97.18000000000001</v>
      </c>
      <c r="F1176" s="8" t="n">
        <v>68.13</v>
      </c>
      <c r="G1176" s="8" t="n">
        <v>17.48</v>
      </c>
      <c r="H1176" s="8" t="n">
        <v>86.089996</v>
      </c>
      <c r="I1176" s="8" t="n">
        <v>6279.350098</v>
      </c>
      <c r="J1176" s="8" t="n">
        <v>94.971138</v>
      </c>
      <c r="L1176" s="9">
        <f>LN(B1176/B1175)</f>
        <v/>
      </c>
      <c r="M1176" s="9">
        <f>$M$1*(C1176-C1175)</f>
        <v/>
      </c>
      <c r="N1176" s="9">
        <f>$N$1*(D1176-D1175)</f>
        <v/>
      </c>
      <c r="O1176" s="9">
        <f>$O$1*LN(E1176/E1175)</f>
        <v/>
      </c>
      <c r="P1176" s="9">
        <f>$P$1*LN(F1176/F1175)</f>
        <v/>
      </c>
      <c r="Q1176" s="9">
        <f>$Q$1*(G1176-G1175)</f>
        <v/>
      </c>
      <c r="R1176" s="9">
        <f>$R$1*(H1176-H1175)</f>
        <v/>
      </c>
      <c r="S1176" s="9">
        <f>$S$1*LN(I1176/I1175)</f>
        <v/>
      </c>
      <c r="T1176" s="9">
        <f>$T$1*LN(J1176/J1175)</f>
        <v/>
      </c>
      <c r="U1176" s="9">
        <f>$W$12+$W$4*M1176+$W$5*N1176+$W$6*O1176+$W$7*P1176+$W$8*Q1176+$W$9*R1176+$W$10*S1176+$W$11*T1176</f>
        <v/>
      </c>
      <c r="AA1176" s="10">
        <f>INDEX(LINEST(L917:L1176,M917:T1176,TRUE,TRUE),1,9)*52</f>
        <v/>
      </c>
      <c r="AB1176" s="9">
        <f>INDEX(LINEST(L917:L1176,M917:T1176,TRUE,TRUE),1,8)</f>
        <v/>
      </c>
      <c r="AC1176" s="9">
        <f>INDEX(LINEST(L917:L1176,M917:T1176,TRUE,TRUE),1,7)</f>
        <v/>
      </c>
      <c r="AD1176" s="9">
        <f>INDEX(LINEST(L917:L1176,M917:T1176,TRUE,TRUE),1,6)</f>
        <v/>
      </c>
      <c r="AE1176" s="9">
        <f>INDEX(LINEST(L917:L1176,M917:T1176,TRUE,TRUE),1,5)</f>
        <v/>
      </c>
      <c r="AF1176" s="9">
        <f>INDEX(LINEST(L917:L1176,M917:T1176,TRUE,TRUE),1,4)</f>
        <v/>
      </c>
      <c r="AG1176" s="9">
        <f>INDEX(LINEST(L917:L1176,M917:T1176,TRUE,TRUE),1,3)</f>
        <v/>
      </c>
      <c r="AH1176" s="9">
        <f>INDEX(LINEST(L917:L1176,M917:T1176,TRUE,TRUE),1,2)</f>
        <v/>
      </c>
      <c r="AI1176" s="9">
        <f>INDEX(LINEST(L917:L1176,M917:T1176,TRUE,TRUE),1,1)</f>
        <v/>
      </c>
      <c r="AJ1176" s="10">
        <f>INDEX(LINEST(L917:L1176,M917:T1176,TRUE,TRUE),3,1)</f>
        <v/>
      </c>
      <c r="AK1176" s="9">
        <f>AA1175/52+AB1175*M1176+AC1175*N1176+AD1175*O1176+AE1175*P1176+AF1175*Q1176+AG1175*R1176+AH1175*S1176+AI1175*T1176</f>
        <v/>
      </c>
      <c r="AL1176" s="9">
        <f>AVERAGE(L916:L1175)</f>
        <v/>
      </c>
    </row>
    <row r="1177">
      <c r="A1177" s="7" t="n">
        <v>45849</v>
      </c>
      <c r="B1177" s="8" t="n">
        <v>3352.1</v>
      </c>
      <c r="C1177" s="8" t="n">
        <v>2.37</v>
      </c>
      <c r="D1177" s="8" t="n">
        <v>2.06</v>
      </c>
      <c r="E1177" s="8" t="n">
        <v>97.849998</v>
      </c>
      <c r="F1177" s="8" t="n">
        <v>69.63</v>
      </c>
      <c r="G1177" s="8" t="n">
        <v>16.4</v>
      </c>
      <c r="H1177" s="8" t="n">
        <v>85.480003</v>
      </c>
      <c r="I1177" s="8" t="n">
        <v>6259.75</v>
      </c>
      <c r="J1177" s="8" t="n">
        <v>94.56607099999999</v>
      </c>
      <c r="L1177" s="9">
        <f>LN(B1177/B1176)</f>
        <v/>
      </c>
      <c r="M1177" s="9">
        <f>$M$1*(C1177-C1176)</f>
        <v/>
      </c>
      <c r="N1177" s="9">
        <f>$N$1*(D1177-D1176)</f>
        <v/>
      </c>
      <c r="O1177" s="9">
        <f>$O$1*LN(E1177/E1176)</f>
        <v/>
      </c>
      <c r="P1177" s="9">
        <f>$P$1*LN(F1177/F1176)</f>
        <v/>
      </c>
      <c r="Q1177" s="9">
        <f>$Q$1*(G1177-G1176)</f>
        <v/>
      </c>
      <c r="R1177" s="9">
        <f>$R$1*(H1177-H1176)</f>
        <v/>
      </c>
      <c r="S1177" s="9">
        <f>$S$1*LN(I1177/I1176)</f>
        <v/>
      </c>
      <c r="T1177" s="9">
        <f>$T$1*LN(J1177/J1176)</f>
        <v/>
      </c>
      <c r="U1177" s="9">
        <f>$W$12+$W$4*M1177+$W$5*N1177+$W$6*O1177+$W$7*P1177+$W$8*Q1177+$W$9*R1177+$W$10*S1177+$W$11*T1177</f>
        <v/>
      </c>
      <c r="AA1177" s="10">
        <f>INDEX(LINEST(L918:L1177,M918:T1177,TRUE,TRUE),1,9)*52</f>
        <v/>
      </c>
      <c r="AB1177" s="9">
        <f>INDEX(LINEST(L918:L1177,M918:T1177,TRUE,TRUE),1,8)</f>
        <v/>
      </c>
      <c r="AC1177" s="9">
        <f>INDEX(LINEST(L918:L1177,M918:T1177,TRUE,TRUE),1,7)</f>
        <v/>
      </c>
      <c r="AD1177" s="9">
        <f>INDEX(LINEST(L918:L1177,M918:T1177,TRUE,TRUE),1,6)</f>
        <v/>
      </c>
      <c r="AE1177" s="9">
        <f>INDEX(LINEST(L918:L1177,M918:T1177,TRUE,TRUE),1,5)</f>
        <v/>
      </c>
      <c r="AF1177" s="9">
        <f>INDEX(LINEST(L918:L1177,M918:T1177,TRUE,TRUE),1,4)</f>
        <v/>
      </c>
      <c r="AG1177" s="9">
        <f>INDEX(LINEST(L918:L1177,M918:T1177,TRUE,TRUE),1,3)</f>
        <v/>
      </c>
      <c r="AH1177" s="9">
        <f>INDEX(LINEST(L918:L1177,M918:T1177,TRUE,TRUE),1,2)</f>
        <v/>
      </c>
      <c r="AI1177" s="9">
        <f>INDEX(LINEST(L918:L1177,M918:T1177,TRUE,TRUE),1,1)</f>
        <v/>
      </c>
      <c r="AJ1177" s="10">
        <f>INDEX(LINEST(L918:L1177,M918:T1177,TRUE,TRUE),3,1)</f>
        <v/>
      </c>
      <c r="AK1177" s="9">
        <f>AA1176/52+AB1176*M1177+AC1176*N1177+AD1176*O1177+AE1176*P1177+AF1176*Q1177+AG1176*R1177+AH1176*S1177+AI1176*T1177</f>
        <v/>
      </c>
      <c r="AL1177" s="9">
        <f>AVERAGE(L917:L1176)</f>
        <v/>
      </c>
    </row>
    <row r="1178">
      <c r="A1178" s="7" t="n">
        <v>45856</v>
      </c>
      <c r="B1178" s="8" t="n">
        <v>3355.1</v>
      </c>
      <c r="C1178" s="8" t="n">
        <v>2.41</v>
      </c>
      <c r="D1178" s="8" t="n">
        <v>2.03</v>
      </c>
      <c r="E1178" s="8" t="n">
        <v>98.480003</v>
      </c>
      <c r="F1178" s="8" t="n">
        <v>68.53</v>
      </c>
      <c r="G1178" s="8" t="n">
        <v>16.41</v>
      </c>
      <c r="H1178" s="8" t="n">
        <v>83.290001</v>
      </c>
      <c r="I1178" s="8" t="n">
        <v>6296.790039</v>
      </c>
      <c r="J1178" s="8" t="n">
        <v>94.623924</v>
      </c>
      <c r="L1178" s="9">
        <f>LN(B1178/B1177)</f>
        <v/>
      </c>
      <c r="M1178" s="9">
        <f>$M$1*(C1178-C1177)</f>
        <v/>
      </c>
      <c r="N1178" s="9">
        <f>$N$1*(D1178-D1177)</f>
        <v/>
      </c>
      <c r="O1178" s="9">
        <f>$O$1*LN(E1178/E1177)</f>
        <v/>
      </c>
      <c r="P1178" s="9">
        <f>$P$1*LN(F1178/F1177)</f>
        <v/>
      </c>
      <c r="Q1178" s="9">
        <f>$Q$1*(G1178-G1177)</f>
        <v/>
      </c>
      <c r="R1178" s="9">
        <f>$R$1*(H1178-H1177)</f>
        <v/>
      </c>
      <c r="S1178" s="9">
        <f>$S$1*LN(I1178/I1177)</f>
        <v/>
      </c>
      <c r="T1178" s="9">
        <f>$T$1*LN(J1178/J1177)</f>
        <v/>
      </c>
      <c r="U1178" s="9">
        <f>$W$12+$W$4*M1178+$W$5*N1178+$W$6*O1178+$W$7*P1178+$W$8*Q1178+$W$9*R1178+$W$10*S1178+$W$11*T1178</f>
        <v/>
      </c>
      <c r="AA1178" s="10">
        <f>INDEX(LINEST(L919:L1178,M919:T1178,TRUE,TRUE),1,9)*52</f>
        <v/>
      </c>
      <c r="AB1178" s="9">
        <f>INDEX(LINEST(L919:L1178,M919:T1178,TRUE,TRUE),1,8)</f>
        <v/>
      </c>
      <c r="AC1178" s="9">
        <f>INDEX(LINEST(L919:L1178,M919:T1178,TRUE,TRUE),1,7)</f>
        <v/>
      </c>
      <c r="AD1178" s="9">
        <f>INDEX(LINEST(L919:L1178,M919:T1178,TRUE,TRUE),1,6)</f>
        <v/>
      </c>
      <c r="AE1178" s="9">
        <f>INDEX(LINEST(L919:L1178,M919:T1178,TRUE,TRUE),1,5)</f>
        <v/>
      </c>
      <c r="AF1178" s="9">
        <f>INDEX(LINEST(L919:L1178,M919:T1178,TRUE,TRUE),1,4)</f>
        <v/>
      </c>
      <c r="AG1178" s="9">
        <f>INDEX(LINEST(L919:L1178,M919:T1178,TRUE,TRUE),1,3)</f>
        <v/>
      </c>
      <c r="AH1178" s="9">
        <f>INDEX(LINEST(L919:L1178,M919:T1178,TRUE,TRUE),1,2)</f>
        <v/>
      </c>
      <c r="AI1178" s="9">
        <f>INDEX(LINEST(L919:L1178,M919:T1178,TRUE,TRUE),1,1)</f>
        <v/>
      </c>
      <c r="AJ1178" s="10">
        <f>INDEX(LINEST(L919:L1178,M919:T1178,TRUE,TRUE),3,1)</f>
        <v/>
      </c>
      <c r="AK1178" s="9">
        <f>AA1177/52+AB1177*M1178+AC1177*N1178+AD1177*O1178+AE1177*P1178+AF1177*Q1178+AG1177*R1178+AH1177*S1178+AI1177*T1178</f>
        <v/>
      </c>
      <c r="AL1178" s="9">
        <f>AVERAGE(L918:L1177)</f>
        <v/>
      </c>
    </row>
    <row r="1179">
      <c r="A1179" s="7" t="n">
        <v>45863</v>
      </c>
      <c r="B1179" s="8" t="n">
        <v>3343.5</v>
      </c>
      <c r="C1179" s="8" t="n">
        <v>2.44</v>
      </c>
      <c r="D1179" s="8" t="n">
        <v>1.96</v>
      </c>
      <c r="E1179" s="8" t="n">
        <v>97.650002</v>
      </c>
      <c r="F1179" s="8" t="n">
        <v>66.38</v>
      </c>
      <c r="G1179" s="8" t="n">
        <v>14.93</v>
      </c>
      <c r="H1179" s="8" t="n">
        <v>82.089996</v>
      </c>
      <c r="I1179" s="8" t="n">
        <v>6388.640137</v>
      </c>
      <c r="J1179" s="8" t="n">
        <v>94.951843</v>
      </c>
      <c r="L1179" s="9">
        <f>LN(B1179/B1178)</f>
        <v/>
      </c>
      <c r="M1179" s="9">
        <f>$M$1*(C1179-C1178)</f>
        <v/>
      </c>
      <c r="N1179" s="9">
        <f>$N$1*(D1179-D1178)</f>
        <v/>
      </c>
      <c r="O1179" s="9">
        <f>$O$1*LN(E1179/E1178)</f>
        <v/>
      </c>
      <c r="P1179" s="9">
        <f>$P$1*LN(F1179/F1178)</f>
        <v/>
      </c>
      <c r="Q1179" s="9">
        <f>$Q$1*(G1179-G1178)</f>
        <v/>
      </c>
      <c r="R1179" s="9">
        <f>$R$1*(H1179-H1178)</f>
        <v/>
      </c>
      <c r="S1179" s="9">
        <f>$S$1*LN(I1179/I1178)</f>
        <v/>
      </c>
      <c r="T1179" s="9">
        <f>$T$1*LN(J1179/J1178)</f>
        <v/>
      </c>
      <c r="U1179" s="9">
        <f>$W$12+$W$4*M1179+$W$5*N1179+$W$6*O1179+$W$7*P1179+$W$8*Q1179+$W$9*R1179+$W$10*S1179+$W$11*T1179</f>
        <v/>
      </c>
      <c r="AA1179" s="10">
        <f>INDEX(LINEST(L920:L1179,M920:T1179,TRUE,TRUE),1,9)*52</f>
        <v/>
      </c>
      <c r="AB1179" s="9">
        <f>INDEX(LINEST(L920:L1179,M920:T1179,TRUE,TRUE),1,8)</f>
        <v/>
      </c>
      <c r="AC1179" s="9">
        <f>INDEX(LINEST(L920:L1179,M920:T1179,TRUE,TRUE),1,7)</f>
        <v/>
      </c>
      <c r="AD1179" s="9">
        <f>INDEX(LINEST(L920:L1179,M920:T1179,TRUE,TRUE),1,6)</f>
        <v/>
      </c>
      <c r="AE1179" s="9">
        <f>INDEX(LINEST(L920:L1179,M920:T1179,TRUE,TRUE),1,5)</f>
        <v/>
      </c>
      <c r="AF1179" s="9">
        <f>INDEX(LINEST(L920:L1179,M920:T1179,TRUE,TRUE),1,4)</f>
        <v/>
      </c>
      <c r="AG1179" s="9">
        <f>INDEX(LINEST(L920:L1179,M920:T1179,TRUE,TRUE),1,3)</f>
        <v/>
      </c>
      <c r="AH1179" s="9">
        <f>INDEX(LINEST(L920:L1179,M920:T1179,TRUE,TRUE),1,2)</f>
        <v/>
      </c>
      <c r="AI1179" s="9">
        <f>INDEX(LINEST(L920:L1179,M920:T1179,TRUE,TRUE),1,1)</f>
        <v/>
      </c>
      <c r="AJ1179" s="10">
        <f>INDEX(LINEST(L920:L1179,M920:T1179,TRUE,TRUE),3,1)</f>
        <v/>
      </c>
      <c r="AK1179" s="9">
        <f>AA1178/52+AB1178*M1179+AC1178*N1179+AD1178*O1179+AE1178*P1179+AF1178*Q1179+AG1178*R1179+AH1178*S1179+AI1178*T1179</f>
        <v/>
      </c>
      <c r="AL1179" s="9">
        <f>AVERAGE(L919:L1178)</f>
        <v/>
      </c>
    </row>
    <row r="1180">
      <c r="A1180" s="7" t="n">
        <v>45870</v>
      </c>
      <c r="B1180" s="8" t="n">
        <v>3346.85</v>
      </c>
      <c r="C1180" s="8" t="n">
        <v>2.33</v>
      </c>
      <c r="D1180" s="8" t="n">
        <v>1.9</v>
      </c>
      <c r="E1180" s="8" t="n">
        <v>98.69000200000001</v>
      </c>
      <c r="F1180" s="8" t="n">
        <v>68.39</v>
      </c>
      <c r="G1180" s="8" t="n">
        <v>20.38</v>
      </c>
      <c r="H1180" s="8" t="n">
        <v>83.83000199999999</v>
      </c>
      <c r="I1180" s="8" t="n">
        <v>6238.009766</v>
      </c>
      <c r="J1180" s="8" t="n">
        <v>95.938362</v>
      </c>
      <c r="L1180" s="9">
        <f>LN(B1180/B1179)</f>
        <v/>
      </c>
      <c r="M1180" s="9">
        <f>$M$1*(C1180-C1179)</f>
        <v/>
      </c>
      <c r="N1180" s="9">
        <f>$N$1*(D1180-D1179)</f>
        <v/>
      </c>
      <c r="O1180" s="9">
        <f>$O$1*LN(E1180/E1179)</f>
        <v/>
      </c>
      <c r="P1180" s="9">
        <f>$P$1*LN(F1180/F1179)</f>
        <v/>
      </c>
      <c r="Q1180" s="9">
        <f>$Q$1*(G1180-G1179)</f>
        <v/>
      </c>
      <c r="R1180" s="9">
        <f>$R$1*(H1180-H1179)</f>
        <v/>
      </c>
      <c r="S1180" s="9">
        <f>$S$1*LN(I1180/I1179)</f>
        <v/>
      </c>
      <c r="T1180" s="9">
        <f>$T$1*LN(J1180/J1179)</f>
        <v/>
      </c>
      <c r="U1180" s="9">
        <f>$W$12+$W$4*M1180+$W$5*N1180+$W$6*O1180+$W$7*P1180+$W$8*Q1180+$W$9*R1180+$W$10*S1180+$W$11*T1180</f>
        <v/>
      </c>
      <c r="AA1180" s="10">
        <f>INDEX(LINEST(L921:L1180,M921:T1180,TRUE,TRUE),1,9)*52</f>
        <v/>
      </c>
      <c r="AB1180" s="9">
        <f>INDEX(LINEST(L921:L1180,M921:T1180,TRUE,TRUE),1,8)</f>
        <v/>
      </c>
      <c r="AC1180" s="9">
        <f>INDEX(LINEST(L921:L1180,M921:T1180,TRUE,TRUE),1,7)</f>
        <v/>
      </c>
      <c r="AD1180" s="9">
        <f>INDEX(LINEST(L921:L1180,M921:T1180,TRUE,TRUE),1,6)</f>
        <v/>
      </c>
      <c r="AE1180" s="9">
        <f>INDEX(LINEST(L921:L1180,M921:T1180,TRUE,TRUE),1,5)</f>
        <v/>
      </c>
      <c r="AF1180" s="9">
        <f>INDEX(LINEST(L921:L1180,M921:T1180,TRUE,TRUE),1,4)</f>
        <v/>
      </c>
      <c r="AG1180" s="9">
        <f>INDEX(LINEST(L921:L1180,M921:T1180,TRUE,TRUE),1,3)</f>
        <v/>
      </c>
      <c r="AH1180" s="9">
        <f>INDEX(LINEST(L921:L1180,M921:T1180,TRUE,TRUE),1,2)</f>
        <v/>
      </c>
      <c r="AI1180" s="9">
        <f>INDEX(LINEST(L921:L1180,M921:T1180,TRUE,TRUE),1,1)</f>
        <v/>
      </c>
      <c r="AJ1180" s="10">
        <f>INDEX(LINEST(L921:L1180,M921:T1180,TRUE,TRUE),3,1)</f>
        <v/>
      </c>
      <c r="AK1180" s="9">
        <f>AA1179/52+AB1179*M1180+AC1179*N1180+AD1179*O1180+AE1179*P1180+AF1179*Q1180+AG1179*R1180+AH1179*S1180+AI1179*T1180</f>
        <v/>
      </c>
      <c r="AL1180" s="9">
        <f>AVERAGE(L920:L1179)</f>
        <v/>
      </c>
    </row>
    <row r="1181">
      <c r="A1181" s="7" t="n">
        <v>45877</v>
      </c>
      <c r="B1181" s="8" t="n">
        <v>3394.15</v>
      </c>
      <c r="C1181" s="8" t="n">
        <v>2.39</v>
      </c>
      <c r="D1181" s="8" t="n">
        <v>1.88</v>
      </c>
      <c r="E1181" s="8" t="n">
        <v>98.18000000000001</v>
      </c>
      <c r="F1181" s="8" t="n">
        <v>64.94</v>
      </c>
      <c r="G1181" s="8" t="n">
        <v>15.15</v>
      </c>
      <c r="H1181" s="8" t="n">
        <v>79.199997</v>
      </c>
      <c r="I1181" s="8" t="n">
        <v>6389.450195</v>
      </c>
      <c r="J1181" s="8" t="n">
        <v>95.744812</v>
      </c>
      <c r="L1181" s="9">
        <f>LN(B1181/B1180)</f>
        <v/>
      </c>
      <c r="M1181" s="9">
        <f>$M$1*(C1181-C1180)</f>
        <v/>
      </c>
      <c r="N1181" s="9">
        <f>$N$1*(D1181-D1180)</f>
        <v/>
      </c>
      <c r="O1181" s="9">
        <f>$O$1*LN(E1181/E1180)</f>
        <v/>
      </c>
      <c r="P1181" s="9">
        <f>$P$1*LN(F1181/F1180)</f>
        <v/>
      </c>
      <c r="Q1181" s="9">
        <f>$Q$1*(G1181-G1180)</f>
        <v/>
      </c>
      <c r="R1181" s="9">
        <f>$R$1*(H1181-H1180)</f>
        <v/>
      </c>
      <c r="S1181" s="9">
        <f>$S$1*LN(I1181/I1180)</f>
        <v/>
      </c>
      <c r="T1181" s="9">
        <f>$T$1*LN(J1181/J1180)</f>
        <v/>
      </c>
      <c r="U1181" s="9">
        <f>$W$12+$W$4*M1181+$W$5*N1181+$W$6*O1181+$W$7*P1181+$W$8*Q1181+$W$9*R1181+$W$10*S1181+$W$11*T1181</f>
        <v/>
      </c>
      <c r="AA1181" s="10">
        <f>INDEX(LINEST(L922:L1181,M922:T1181,TRUE,TRUE),1,9)*52</f>
        <v/>
      </c>
      <c r="AB1181" s="9">
        <f>INDEX(LINEST(L922:L1181,M922:T1181,TRUE,TRUE),1,8)</f>
        <v/>
      </c>
      <c r="AC1181" s="9">
        <f>INDEX(LINEST(L922:L1181,M922:T1181,TRUE,TRUE),1,7)</f>
        <v/>
      </c>
      <c r="AD1181" s="9">
        <f>INDEX(LINEST(L922:L1181,M922:T1181,TRUE,TRUE),1,6)</f>
        <v/>
      </c>
      <c r="AE1181" s="9">
        <f>INDEX(LINEST(L922:L1181,M922:T1181,TRUE,TRUE),1,5)</f>
        <v/>
      </c>
      <c r="AF1181" s="9">
        <f>INDEX(LINEST(L922:L1181,M922:T1181,TRUE,TRUE),1,4)</f>
        <v/>
      </c>
      <c r="AG1181" s="9">
        <f>INDEX(LINEST(L922:L1181,M922:T1181,TRUE,TRUE),1,3)</f>
        <v/>
      </c>
      <c r="AH1181" s="9">
        <f>INDEX(LINEST(L922:L1181,M922:T1181,TRUE,TRUE),1,2)</f>
        <v/>
      </c>
      <c r="AI1181" s="9">
        <f>INDEX(LINEST(L922:L1181,M922:T1181,TRUE,TRUE),1,1)</f>
        <v/>
      </c>
      <c r="AJ1181" s="10">
        <f>INDEX(LINEST(L922:L1181,M922:T1181,TRUE,TRUE),3,1)</f>
        <v/>
      </c>
      <c r="AK1181" s="9">
        <f>AA1180/52+AB1180*M1181+AC1180*N1181+AD1180*O1181+AE1180*P1181+AF1180*Q1181+AG1180*R1181+AH1180*S1181+AI1180*T1181</f>
        <v/>
      </c>
      <c r="AL1181" s="9">
        <f>AVERAGE(L921:L1180)</f>
        <v/>
      </c>
    </row>
    <row r="1182">
      <c r="A1182" s="7" t="n">
        <v>45884</v>
      </c>
      <c r="B1182" s="8" t="n">
        <v>3335.5</v>
      </c>
      <c r="C1182" s="8" t="n">
        <v>2.38</v>
      </c>
      <c r="D1182" s="8" t="n">
        <v>1.95</v>
      </c>
      <c r="E1182" s="8" t="n">
        <v>97.849998</v>
      </c>
      <c r="F1182" s="8" t="n">
        <v>63.78</v>
      </c>
      <c r="G1182" s="8" t="n">
        <v>15.09</v>
      </c>
      <c r="H1182" s="8" t="n">
        <v>76.660004</v>
      </c>
      <c r="I1182" s="8" t="n">
        <v>6449.799805</v>
      </c>
      <c r="J1182" s="8" t="n">
        <v>95.744812</v>
      </c>
      <c r="L1182" s="9">
        <f>LN(B1182/B1181)</f>
        <v/>
      </c>
      <c r="M1182" s="9">
        <f>$M$1*(C1182-C1181)</f>
        <v/>
      </c>
      <c r="N1182" s="9">
        <f>$N$1*(D1182-D1181)</f>
        <v/>
      </c>
      <c r="O1182" s="9">
        <f>$O$1*LN(E1182/E1181)</f>
        <v/>
      </c>
      <c r="P1182" s="9">
        <f>$P$1*LN(F1182/F1181)</f>
        <v/>
      </c>
      <c r="Q1182" s="9">
        <f>$Q$1*(G1182-G1181)</f>
        <v/>
      </c>
      <c r="R1182" s="9">
        <f>$R$1*(H1182-H1181)</f>
        <v/>
      </c>
      <c r="S1182" s="9">
        <f>$S$1*LN(I1182/I1181)</f>
        <v/>
      </c>
      <c r="T1182" s="9">
        <f>$T$1*LN(J1182/J1181)</f>
        <v/>
      </c>
      <c r="U1182" s="9">
        <f>$W$12+$W$4*M1182+$W$5*N1182+$W$6*O1182+$W$7*P1182+$W$8*Q1182+$W$9*R1182+$W$10*S1182+$W$11*T1182</f>
        <v/>
      </c>
      <c r="AA1182" s="10">
        <f>INDEX(LINEST(L923:L1182,M923:T1182,TRUE,TRUE),1,9)*52</f>
        <v/>
      </c>
      <c r="AB1182" s="9">
        <f>INDEX(LINEST(L923:L1182,M923:T1182,TRUE,TRUE),1,8)</f>
        <v/>
      </c>
      <c r="AC1182" s="9">
        <f>INDEX(LINEST(L923:L1182,M923:T1182,TRUE,TRUE),1,7)</f>
        <v/>
      </c>
      <c r="AD1182" s="9">
        <f>INDEX(LINEST(L923:L1182,M923:T1182,TRUE,TRUE),1,6)</f>
        <v/>
      </c>
      <c r="AE1182" s="9">
        <f>INDEX(LINEST(L923:L1182,M923:T1182,TRUE,TRUE),1,5)</f>
        <v/>
      </c>
      <c r="AF1182" s="9">
        <f>INDEX(LINEST(L923:L1182,M923:T1182,TRUE,TRUE),1,4)</f>
        <v/>
      </c>
      <c r="AG1182" s="9">
        <f>INDEX(LINEST(L923:L1182,M923:T1182,TRUE,TRUE),1,3)</f>
        <v/>
      </c>
      <c r="AH1182" s="9">
        <f>INDEX(LINEST(L923:L1182,M923:T1182,TRUE,TRUE),1,2)</f>
        <v/>
      </c>
      <c r="AI1182" s="9">
        <f>INDEX(LINEST(L923:L1182,M923:T1182,TRUE,TRUE),1,1)</f>
        <v/>
      </c>
      <c r="AJ1182" s="10">
        <f>INDEX(LINEST(L923:L1182,M923:T1182,TRUE,TRUE),3,1)</f>
        <v/>
      </c>
      <c r="AK1182" s="9">
        <f>AA1181/52+AB1181*M1182+AC1181*N1182+AD1181*O1182+AE1181*P1182+AF1181*Q1182+AG1181*R1182+AH1181*S1182+AI1181*T1182</f>
        <v/>
      </c>
      <c r="AL1182" s="9">
        <f>AVERAGE(L922:L1181)</f>
        <v/>
      </c>
    </row>
    <row r="1183">
      <c r="A1183" s="7" t="n">
        <v>45891</v>
      </c>
      <c r="B1183" s="8" t="n">
        <v>3334.25</v>
      </c>
      <c r="C1183" s="8" t="n">
        <v>2.41</v>
      </c>
      <c r="D1183" s="8" t="n">
        <v>1.85</v>
      </c>
      <c r="E1183" s="8" t="n">
        <v>97.720001</v>
      </c>
      <c r="F1183" s="8" t="n">
        <v>64.08</v>
      </c>
      <c r="G1183" s="8" t="n">
        <v>14.22</v>
      </c>
      <c r="H1183" s="8" t="n">
        <v>78.099998</v>
      </c>
      <c r="I1183" s="8" t="n">
        <v>6466.910156</v>
      </c>
      <c r="J1183" s="8" t="n">
        <v>96.18995700000001</v>
      </c>
      <c r="L1183" s="9">
        <f>LN(B1183/B1182)</f>
        <v/>
      </c>
      <c r="M1183" s="9">
        <f>$M$1*(C1183-C1182)</f>
        <v/>
      </c>
      <c r="N1183" s="9">
        <f>$N$1*(D1183-D1182)</f>
        <v/>
      </c>
      <c r="O1183" s="9">
        <f>$O$1*LN(E1183/E1182)</f>
        <v/>
      </c>
      <c r="P1183" s="9">
        <f>$P$1*LN(F1183/F1182)</f>
        <v/>
      </c>
      <c r="Q1183" s="9">
        <f>$Q$1*(G1183-G1182)</f>
        <v/>
      </c>
      <c r="R1183" s="9">
        <f>$R$1*(H1183-H1182)</f>
        <v/>
      </c>
      <c r="S1183" s="9">
        <f>$S$1*LN(I1183/I1182)</f>
        <v/>
      </c>
      <c r="T1183" s="9">
        <f>$T$1*LN(J1183/J1182)</f>
        <v/>
      </c>
      <c r="U1183" s="9">
        <f>$W$12+$W$4*M1183+$W$5*N1183+$W$6*O1183+$W$7*P1183+$W$8*Q1183+$W$9*R1183+$W$10*S1183+$W$11*T1183</f>
        <v/>
      </c>
      <c r="AA1183" s="10">
        <f>INDEX(LINEST(L924:L1183,M924:T1183,TRUE,TRUE),1,9)*52</f>
        <v/>
      </c>
      <c r="AB1183" s="9">
        <f>INDEX(LINEST(L924:L1183,M924:T1183,TRUE,TRUE),1,8)</f>
        <v/>
      </c>
      <c r="AC1183" s="9">
        <f>INDEX(LINEST(L924:L1183,M924:T1183,TRUE,TRUE),1,7)</f>
        <v/>
      </c>
      <c r="AD1183" s="9">
        <f>INDEX(LINEST(L924:L1183,M924:T1183,TRUE,TRUE),1,6)</f>
        <v/>
      </c>
      <c r="AE1183" s="9">
        <f>INDEX(LINEST(L924:L1183,M924:T1183,TRUE,TRUE),1,5)</f>
        <v/>
      </c>
      <c r="AF1183" s="9">
        <f>INDEX(LINEST(L924:L1183,M924:T1183,TRUE,TRUE),1,4)</f>
        <v/>
      </c>
      <c r="AG1183" s="9">
        <f>INDEX(LINEST(L924:L1183,M924:T1183,TRUE,TRUE),1,3)</f>
        <v/>
      </c>
      <c r="AH1183" s="9">
        <f>INDEX(LINEST(L924:L1183,M924:T1183,TRUE,TRUE),1,2)</f>
        <v/>
      </c>
      <c r="AI1183" s="9">
        <f>INDEX(LINEST(L924:L1183,M924:T1183,TRUE,TRUE),1,1)</f>
        <v/>
      </c>
      <c r="AJ1183" s="10">
        <f>INDEX(LINEST(L924:L1183,M924:T1183,TRUE,TRUE),3,1)</f>
        <v/>
      </c>
      <c r="AK1183" s="9">
        <f>AA1182/52+AB1182*M1183+AC1182*N1183+AD1182*O1183+AE1182*P1183+AF1182*Q1183+AG1182*R1183+AH1182*S1183+AI1182*T1183</f>
        <v/>
      </c>
      <c r="AL1183" s="9">
        <f>AVERAGE(L923:L1182)</f>
        <v/>
      </c>
    </row>
    <row r="1184">
      <c r="A1184" s="7" t="n">
        <v>45898</v>
      </c>
      <c r="B1184" s="8" t="n">
        <v>3429.15</v>
      </c>
      <c r="C1184" s="8" t="n">
        <v>2.41</v>
      </c>
      <c r="D1184" s="8" t="n">
        <v>1.82</v>
      </c>
      <c r="E1184" s="8" t="n">
        <v>97.769997</v>
      </c>
      <c r="F1184" s="8" t="n">
        <v>64.36</v>
      </c>
      <c r="G1184" s="8" t="n">
        <v>15.36</v>
      </c>
      <c r="H1184" s="8" t="n">
        <v>79.389999</v>
      </c>
      <c r="I1184" s="8" t="n">
        <v>6460.259766</v>
      </c>
      <c r="J1184" s="8" t="n">
        <v>96.24803900000001</v>
      </c>
      <c r="L1184" s="9">
        <f>LN(B1184/B1183)</f>
        <v/>
      </c>
      <c r="M1184" s="9">
        <f>$M$1*(C1184-C1183)</f>
        <v/>
      </c>
      <c r="N1184" s="9">
        <f>$N$1*(D1184-D1183)</f>
        <v/>
      </c>
      <c r="O1184" s="9">
        <f>$O$1*LN(E1184/E1183)</f>
        <v/>
      </c>
      <c r="P1184" s="9">
        <f>$P$1*LN(F1184/F1183)</f>
        <v/>
      </c>
      <c r="Q1184" s="9">
        <f>$Q$1*(G1184-G1183)</f>
        <v/>
      </c>
      <c r="R1184" s="9">
        <f>$R$1*(H1184-H1183)</f>
        <v/>
      </c>
      <c r="S1184" s="9">
        <f>$S$1*LN(I1184/I1183)</f>
        <v/>
      </c>
      <c r="T1184" s="9">
        <f>$T$1*LN(J1184/J1183)</f>
        <v/>
      </c>
      <c r="U1184" s="9">
        <f>$W$12+$W$4*M1184+$W$5*N1184+$W$6*O1184+$W$7*P1184+$W$8*Q1184+$W$9*R1184+$W$10*S1184+$W$11*T1184</f>
        <v/>
      </c>
      <c r="AA1184" s="10">
        <f>INDEX(LINEST(L925:L1184,M925:T1184,TRUE,TRUE),1,9)*52</f>
        <v/>
      </c>
      <c r="AB1184" s="9">
        <f>INDEX(LINEST(L925:L1184,M925:T1184,TRUE,TRUE),1,8)</f>
        <v/>
      </c>
      <c r="AC1184" s="9">
        <f>INDEX(LINEST(L925:L1184,M925:T1184,TRUE,TRUE),1,7)</f>
        <v/>
      </c>
      <c r="AD1184" s="9">
        <f>INDEX(LINEST(L925:L1184,M925:T1184,TRUE,TRUE),1,6)</f>
        <v/>
      </c>
      <c r="AE1184" s="9">
        <f>INDEX(LINEST(L925:L1184,M925:T1184,TRUE,TRUE),1,5)</f>
        <v/>
      </c>
      <c r="AF1184" s="9">
        <f>INDEX(LINEST(L925:L1184,M925:T1184,TRUE,TRUE),1,4)</f>
        <v/>
      </c>
      <c r="AG1184" s="9">
        <f>INDEX(LINEST(L925:L1184,M925:T1184,TRUE,TRUE),1,3)</f>
        <v/>
      </c>
      <c r="AH1184" s="9">
        <f>INDEX(LINEST(L925:L1184,M925:T1184,TRUE,TRUE),1,2)</f>
        <v/>
      </c>
      <c r="AI1184" s="9">
        <f>INDEX(LINEST(L925:L1184,M925:T1184,TRUE,TRUE),1,1)</f>
        <v/>
      </c>
      <c r="AJ1184" s="10">
        <f>INDEX(LINEST(L925:L1184,M925:T1184,TRUE,TRUE),3,1)</f>
        <v/>
      </c>
      <c r="AK1184" s="9">
        <f>AA1183/52+AB1183*M1184+AC1183*N1184+AD1183*O1184+AE1183*P1184+AF1183*Q1184+AG1183*R1184+AH1183*S1184+AI1183*T1184</f>
        <v/>
      </c>
      <c r="AL1184" s="9">
        <f>AVERAGE(L924:L1183)</f>
        <v/>
      </c>
    </row>
    <row r="1185">
      <c r="A1185" s="7" t="n">
        <v>45905</v>
      </c>
      <c r="B1185" s="8" t="n">
        <v>3594.55</v>
      </c>
      <c r="C1185" s="8" t="n">
        <v>2.37</v>
      </c>
      <c r="D1185" s="8" t="n">
        <v>1.73</v>
      </c>
      <c r="E1185" s="8" t="n">
        <v>97.769997</v>
      </c>
      <c r="F1185" s="8" t="n">
        <v>62.22</v>
      </c>
      <c r="G1185" s="8" t="n">
        <v>15.18</v>
      </c>
      <c r="H1185" s="8" t="n">
        <v>85.290001</v>
      </c>
      <c r="I1185" s="8" t="n">
        <v>6481.5</v>
      </c>
      <c r="J1185" s="8" t="n">
        <v>97.186874</v>
      </c>
      <c r="L1185" s="9">
        <f>LN(B1185/B1184)</f>
        <v/>
      </c>
      <c r="M1185" s="9">
        <f>$M$1*(C1185-C1184)</f>
        <v/>
      </c>
      <c r="N1185" s="9">
        <f>$N$1*(D1185-D1184)</f>
        <v/>
      </c>
      <c r="O1185" s="9">
        <f>$O$1*LN(E1185/E1184)</f>
        <v/>
      </c>
      <c r="P1185" s="9">
        <f>$P$1*LN(F1185/F1184)</f>
        <v/>
      </c>
      <c r="Q1185" s="9">
        <f>$Q$1*(G1185-G1184)</f>
        <v/>
      </c>
      <c r="R1185" s="9">
        <f>$R$1*(H1185-H1184)</f>
        <v/>
      </c>
      <c r="S1185" s="9">
        <f>$S$1*LN(I1185/I1184)</f>
        <v/>
      </c>
      <c r="T1185" s="9">
        <f>$T$1*LN(J1185/J1184)</f>
        <v/>
      </c>
      <c r="U1185" s="9">
        <f>$W$12+$W$4*M1185+$W$5*N1185+$W$6*O1185+$W$7*P1185+$W$8*Q1185+$W$9*R1185+$W$10*S1185+$W$11*T1185</f>
        <v/>
      </c>
      <c r="AA1185" s="10">
        <f>INDEX(LINEST(L926:L1185,M926:T1185,TRUE,TRUE),1,9)*52</f>
        <v/>
      </c>
      <c r="AB1185" s="9">
        <f>INDEX(LINEST(L926:L1185,M926:T1185,TRUE,TRUE),1,8)</f>
        <v/>
      </c>
      <c r="AC1185" s="9">
        <f>INDEX(LINEST(L926:L1185,M926:T1185,TRUE,TRUE),1,7)</f>
        <v/>
      </c>
      <c r="AD1185" s="9">
        <f>INDEX(LINEST(L926:L1185,M926:T1185,TRUE,TRUE),1,6)</f>
        <v/>
      </c>
      <c r="AE1185" s="9">
        <f>INDEX(LINEST(L926:L1185,M926:T1185,TRUE,TRUE),1,5)</f>
        <v/>
      </c>
      <c r="AF1185" s="9">
        <f>INDEX(LINEST(L926:L1185,M926:T1185,TRUE,TRUE),1,4)</f>
        <v/>
      </c>
      <c r="AG1185" s="9">
        <f>INDEX(LINEST(L926:L1185,M926:T1185,TRUE,TRUE),1,3)</f>
        <v/>
      </c>
      <c r="AH1185" s="9">
        <f>INDEX(LINEST(L926:L1185,M926:T1185,TRUE,TRUE),1,2)</f>
        <v/>
      </c>
      <c r="AI1185" s="9">
        <f>INDEX(LINEST(L926:L1185,M926:T1185,TRUE,TRUE),1,1)</f>
        <v/>
      </c>
      <c r="AJ1185" s="10">
        <f>INDEX(LINEST(L926:L1185,M926:T1185,TRUE,TRUE),3,1)</f>
        <v/>
      </c>
      <c r="AK1185" s="9">
        <f>AA1184/52+AB1184*M1185+AC1184*N1185+AD1184*O1185+AE1184*P1185+AF1184*Q1185+AG1184*R1185+AH1184*S1185+AI1184*T1185</f>
        <v/>
      </c>
      <c r="AL1185" s="9">
        <f>AVERAGE(L925:L1184)</f>
        <v/>
      </c>
    </row>
    <row r="1186">
      <c r="A1186" s="7" t="n">
        <v>45912</v>
      </c>
      <c r="B1186" s="8" t="n">
        <v>3651.1</v>
      </c>
      <c r="C1186" s="8" t="n">
        <v>2.36</v>
      </c>
      <c r="D1186" s="8" t="n">
        <v>1.7</v>
      </c>
      <c r="E1186" s="8" t="n">
        <v>97.550003</v>
      </c>
      <c r="F1186" s="8" t="n">
        <v>63.02</v>
      </c>
      <c r="G1186" s="8" t="n">
        <v>14.76</v>
      </c>
      <c r="H1186" s="8" t="n">
        <v>73.370003</v>
      </c>
      <c r="I1186" s="8" t="n">
        <v>6584.290039</v>
      </c>
      <c r="J1186" s="8" t="n">
        <v>97.614075</v>
      </c>
      <c r="L1186" s="9">
        <f>LN(B1186/B1185)</f>
        <v/>
      </c>
      <c r="M1186" s="9">
        <f>$M$1*(C1186-C1185)</f>
        <v/>
      </c>
      <c r="N1186" s="9">
        <f>$N$1*(D1186-D1185)</f>
        <v/>
      </c>
      <c r="O1186" s="9">
        <f>$O$1*LN(E1186/E1185)</f>
        <v/>
      </c>
      <c r="P1186" s="9">
        <f>$P$1*LN(F1186/F1185)</f>
        <v/>
      </c>
      <c r="Q1186" s="9">
        <f>$Q$1*(G1186-G1185)</f>
        <v/>
      </c>
      <c r="R1186" s="9">
        <f>$R$1*(H1186-H1185)</f>
        <v/>
      </c>
      <c r="S1186" s="9">
        <f>$S$1*LN(I1186/I1185)</f>
        <v/>
      </c>
      <c r="T1186" s="9">
        <f>$T$1*LN(J1186/J1185)</f>
        <v/>
      </c>
      <c r="U1186" s="9">
        <f>$W$12+$W$4*M1186+$W$5*N1186+$W$6*O1186+$W$7*P1186+$W$8*Q1186+$W$9*R1186+$W$10*S1186+$W$11*T1186</f>
        <v/>
      </c>
      <c r="AA1186" s="10">
        <f>INDEX(LINEST(L927:L1186,M927:T1186,TRUE,TRUE),1,9)*52</f>
        <v/>
      </c>
      <c r="AB1186" s="9">
        <f>INDEX(LINEST(L927:L1186,M927:T1186,TRUE,TRUE),1,8)</f>
        <v/>
      </c>
      <c r="AC1186" s="9">
        <f>INDEX(LINEST(L927:L1186,M927:T1186,TRUE,TRUE),1,7)</f>
        <v/>
      </c>
      <c r="AD1186" s="9">
        <f>INDEX(LINEST(L927:L1186,M927:T1186,TRUE,TRUE),1,6)</f>
        <v/>
      </c>
      <c r="AE1186" s="9">
        <f>INDEX(LINEST(L927:L1186,M927:T1186,TRUE,TRUE),1,5)</f>
        <v/>
      </c>
      <c r="AF1186" s="9">
        <f>INDEX(LINEST(L927:L1186,M927:T1186,TRUE,TRUE),1,4)</f>
        <v/>
      </c>
      <c r="AG1186" s="9">
        <f>INDEX(LINEST(L927:L1186,M927:T1186,TRUE,TRUE),1,3)</f>
        <v/>
      </c>
      <c r="AH1186" s="9">
        <f>INDEX(LINEST(L927:L1186,M927:T1186,TRUE,TRUE),1,2)</f>
        <v/>
      </c>
      <c r="AI1186" s="9">
        <f>INDEX(LINEST(L927:L1186,M927:T1186,TRUE,TRUE),1,1)</f>
        <v/>
      </c>
      <c r="AJ1186" s="10">
        <f>INDEX(LINEST(L927:L1186,M927:T1186,TRUE,TRUE),3,1)</f>
        <v/>
      </c>
      <c r="AK1186" s="9">
        <f>AA1185/52+AB1185*M1186+AC1185*N1186+AD1185*O1186+AE1185*P1186+AF1185*Q1186+AG1185*R1186+AH1185*S1186+AI1185*T1186</f>
        <v/>
      </c>
      <c r="AL1186" s="9">
        <f>AVERAGE(L926:L1185)</f>
        <v/>
      </c>
    </row>
    <row r="1187">
      <c r="A1187" s="7" t="n">
        <v>45919</v>
      </c>
      <c r="B1187" s="8" t="n">
        <v>3663.15</v>
      </c>
      <c r="C1187" s="8" t="n">
        <v>2.39</v>
      </c>
      <c r="D1187" s="8" t="n">
        <v>1.75</v>
      </c>
      <c r="E1187" s="8" t="n">
        <v>97.639999</v>
      </c>
      <c r="F1187" s="8" t="n">
        <v>63.02</v>
      </c>
      <c r="G1187" s="8" t="n">
        <v>15.45</v>
      </c>
      <c r="H1187" s="8" t="n">
        <v>72.510002</v>
      </c>
      <c r="I1187" s="8" t="n">
        <v>6664.359863</v>
      </c>
      <c r="J1187" s="8" t="n">
        <v>97.371346</v>
      </c>
      <c r="L1187" s="9">
        <f>LN(B1187/B1186)</f>
        <v/>
      </c>
      <c r="M1187" s="9">
        <f>$M$1*(C1187-C1186)</f>
        <v/>
      </c>
      <c r="N1187" s="9">
        <f>$N$1*(D1187-D1186)</f>
        <v/>
      </c>
      <c r="O1187" s="9">
        <f>$O$1*LN(E1187/E1186)</f>
        <v/>
      </c>
      <c r="P1187" s="9">
        <f>$P$1*LN(F1187/F1186)</f>
        <v/>
      </c>
      <c r="Q1187" s="9">
        <f>$Q$1*(G1187-G1186)</f>
        <v/>
      </c>
      <c r="R1187" s="9">
        <f>$R$1*(H1187-H1186)</f>
        <v/>
      </c>
      <c r="S1187" s="9">
        <f>$S$1*LN(I1187/I1186)</f>
        <v/>
      </c>
      <c r="T1187" s="9">
        <f>$T$1*LN(J1187/J1186)</f>
        <v/>
      </c>
      <c r="U1187" s="9">
        <f>$W$12+$W$4*M1187+$W$5*N1187+$W$6*O1187+$W$7*P1187+$W$8*Q1187+$W$9*R1187+$W$10*S1187+$W$11*T1187</f>
        <v/>
      </c>
      <c r="AA1187" s="10">
        <f>INDEX(LINEST(L928:L1187,M928:T1187,TRUE,TRUE),1,9)*52</f>
        <v/>
      </c>
      <c r="AB1187" s="9">
        <f>INDEX(LINEST(L928:L1187,M928:T1187,TRUE,TRUE),1,8)</f>
        <v/>
      </c>
      <c r="AC1187" s="9">
        <f>INDEX(LINEST(L928:L1187,M928:T1187,TRUE,TRUE),1,7)</f>
        <v/>
      </c>
      <c r="AD1187" s="9">
        <f>INDEX(LINEST(L928:L1187,M928:T1187,TRUE,TRUE),1,6)</f>
        <v/>
      </c>
      <c r="AE1187" s="9">
        <f>INDEX(LINEST(L928:L1187,M928:T1187,TRUE,TRUE),1,5)</f>
        <v/>
      </c>
      <c r="AF1187" s="9">
        <f>INDEX(LINEST(L928:L1187,M928:T1187,TRUE,TRUE),1,4)</f>
        <v/>
      </c>
      <c r="AG1187" s="9">
        <f>INDEX(LINEST(L928:L1187,M928:T1187,TRUE,TRUE),1,3)</f>
        <v/>
      </c>
      <c r="AH1187" s="9">
        <f>INDEX(LINEST(L928:L1187,M928:T1187,TRUE,TRUE),1,2)</f>
        <v/>
      </c>
      <c r="AI1187" s="9">
        <f>INDEX(LINEST(L928:L1187,M928:T1187,TRUE,TRUE),1,1)</f>
        <v/>
      </c>
      <c r="AJ1187" s="10">
        <f>INDEX(LINEST(L928:L1187,M928:T1187,TRUE,TRUE),3,1)</f>
        <v/>
      </c>
      <c r="AK1187" s="9">
        <f>AA1186/52+AB1186*M1187+AC1186*N1187+AD1186*O1187+AE1186*P1187+AF1186*Q1187+AG1186*R1187+AH1186*S1187+AI1186*T1187</f>
        <v/>
      </c>
      <c r="AL1187" s="9">
        <f>AVERAGE(L927:L1186)</f>
        <v/>
      </c>
    </row>
    <row r="1188">
      <c r="A1188" s="7" t="n">
        <v>45926</v>
      </c>
      <c r="B1188" s="8" t="n">
        <v>3769.85</v>
      </c>
      <c r="C1188" s="8" t="n">
        <v>2.38</v>
      </c>
      <c r="D1188" s="8" t="n">
        <v>1.82</v>
      </c>
      <c r="E1188" s="8" t="n">
        <v>98.150002</v>
      </c>
      <c r="F1188" s="8" t="n">
        <v>66.5</v>
      </c>
      <c r="G1188" s="8" t="n">
        <v>15.29</v>
      </c>
      <c r="H1188" s="8" t="n">
        <v>74.379997</v>
      </c>
      <c r="I1188" s="8" t="n">
        <v>6643.700195</v>
      </c>
      <c r="J1188" s="8" t="n">
        <v>97.15774500000001</v>
      </c>
      <c r="L1188" s="9">
        <f>LN(B1188/B1187)</f>
        <v/>
      </c>
      <c r="M1188" s="9">
        <f>$M$1*(C1188-C1187)</f>
        <v/>
      </c>
      <c r="N1188" s="9">
        <f>$N$1*(D1188-D1187)</f>
        <v/>
      </c>
      <c r="O1188" s="9">
        <f>$O$1*LN(E1188/E1187)</f>
        <v/>
      </c>
      <c r="P1188" s="9">
        <f>$P$1*LN(F1188/F1187)</f>
        <v/>
      </c>
      <c r="Q1188" s="9">
        <f>$Q$1*(G1188-G1187)</f>
        <v/>
      </c>
      <c r="R1188" s="9">
        <f>$R$1*(H1188-H1187)</f>
        <v/>
      </c>
      <c r="S1188" s="9">
        <f>$S$1*LN(I1188/I1187)</f>
        <v/>
      </c>
      <c r="T1188" s="9">
        <f>$T$1*LN(J1188/J1187)</f>
        <v/>
      </c>
      <c r="U1188" s="9">
        <f>$W$12+$W$4*M1188+$W$5*N1188+$W$6*O1188+$W$7*P1188+$W$8*Q1188+$W$9*R1188+$W$10*S1188+$W$11*T1188</f>
        <v/>
      </c>
      <c r="AA1188" s="10">
        <f>INDEX(LINEST(L929:L1188,M929:T1188,TRUE,TRUE),1,9)*52</f>
        <v/>
      </c>
      <c r="AB1188" s="9">
        <f>INDEX(LINEST(L929:L1188,M929:T1188,TRUE,TRUE),1,8)</f>
        <v/>
      </c>
      <c r="AC1188" s="9">
        <f>INDEX(LINEST(L929:L1188,M929:T1188,TRUE,TRUE),1,7)</f>
        <v/>
      </c>
      <c r="AD1188" s="9">
        <f>INDEX(LINEST(L929:L1188,M929:T1188,TRUE,TRUE),1,6)</f>
        <v/>
      </c>
      <c r="AE1188" s="9">
        <f>INDEX(LINEST(L929:L1188,M929:T1188,TRUE,TRUE),1,5)</f>
        <v/>
      </c>
      <c r="AF1188" s="9">
        <f>INDEX(LINEST(L929:L1188,M929:T1188,TRUE,TRUE),1,4)</f>
        <v/>
      </c>
      <c r="AG1188" s="9">
        <f>INDEX(LINEST(L929:L1188,M929:T1188,TRUE,TRUE),1,3)</f>
        <v/>
      </c>
      <c r="AH1188" s="9">
        <f>INDEX(LINEST(L929:L1188,M929:T1188,TRUE,TRUE),1,2)</f>
        <v/>
      </c>
      <c r="AI1188" s="9">
        <f>INDEX(LINEST(L929:L1188,M929:T1188,TRUE,TRUE),1,1)</f>
        <v/>
      </c>
      <c r="AJ1188" s="10">
        <f>INDEX(LINEST(L929:L1188,M929:T1188,TRUE,TRUE),3,1)</f>
        <v/>
      </c>
      <c r="AK1188" s="9">
        <f>AA1187/52+AB1187*M1188+AC1187*N1188+AD1187*O1188+AE1187*P1188+AF1187*Q1188+AG1187*R1188+AH1187*S1188+AI1187*T1188</f>
        <v/>
      </c>
      <c r="AL1188" s="9">
        <f>AVERAGE(L928:L1187)</f>
        <v/>
      </c>
    </row>
    <row r="1189">
      <c r="A1189" s="7" t="n">
        <v>45933</v>
      </c>
      <c r="B1189" s="8" t="n">
        <v>3885.7</v>
      </c>
      <c r="C1189" s="8" t="n">
        <v>2.33</v>
      </c>
      <c r="D1189" s="8" t="n">
        <v>1.8</v>
      </c>
      <c r="E1189" s="8" t="n">
        <v>97.720001</v>
      </c>
      <c r="F1189" s="8" t="n">
        <v>61.65</v>
      </c>
      <c r="G1189" s="8" t="n">
        <v>16.65</v>
      </c>
      <c r="H1189" s="8" t="n">
        <v>69.529999</v>
      </c>
      <c r="I1189" s="8" t="n">
        <v>6715.790039</v>
      </c>
      <c r="J1189" s="8" t="n">
        <v>97.58090199999999</v>
      </c>
      <c r="L1189" s="9">
        <f>LN(B1189/B1188)</f>
        <v/>
      </c>
      <c r="M1189" s="9">
        <f>$M$1*(C1189-C1188)</f>
        <v/>
      </c>
      <c r="N1189" s="9">
        <f>$N$1*(D1189-D1188)</f>
        <v/>
      </c>
      <c r="O1189" s="9">
        <f>$O$1*LN(E1189/E1188)</f>
        <v/>
      </c>
      <c r="P1189" s="9">
        <f>$P$1*LN(F1189/F1188)</f>
        <v/>
      </c>
      <c r="Q1189" s="9">
        <f>$Q$1*(G1189-G1188)</f>
        <v/>
      </c>
      <c r="R1189" s="9">
        <f>$R$1*(H1189-H1188)</f>
        <v/>
      </c>
      <c r="S1189" s="9">
        <f>$S$1*LN(I1189/I1188)</f>
        <v/>
      </c>
      <c r="T1189" s="9">
        <f>$T$1*LN(J1189/J1188)</f>
        <v/>
      </c>
      <c r="U1189" s="9">
        <f>$W$12+$W$4*M1189+$W$5*N1189+$W$6*O1189+$W$7*P1189+$W$8*Q1189+$W$9*R1189+$W$10*S1189+$W$11*T1189</f>
        <v/>
      </c>
      <c r="AA1189" s="10">
        <f>INDEX(LINEST(L930:L1189,M930:T1189,TRUE,TRUE),1,9)*52</f>
        <v/>
      </c>
      <c r="AB1189" s="9">
        <f>INDEX(LINEST(L930:L1189,M930:T1189,TRUE,TRUE),1,8)</f>
        <v/>
      </c>
      <c r="AC1189" s="9">
        <f>INDEX(LINEST(L930:L1189,M930:T1189,TRUE,TRUE),1,7)</f>
        <v/>
      </c>
      <c r="AD1189" s="9">
        <f>INDEX(LINEST(L930:L1189,M930:T1189,TRUE,TRUE),1,6)</f>
        <v/>
      </c>
      <c r="AE1189" s="9">
        <f>INDEX(LINEST(L930:L1189,M930:T1189,TRUE,TRUE),1,5)</f>
        <v/>
      </c>
      <c r="AF1189" s="9">
        <f>INDEX(LINEST(L930:L1189,M930:T1189,TRUE,TRUE),1,4)</f>
        <v/>
      </c>
      <c r="AG1189" s="9">
        <f>INDEX(LINEST(L930:L1189,M930:T1189,TRUE,TRUE),1,3)</f>
        <v/>
      </c>
      <c r="AH1189" s="9">
        <f>INDEX(LINEST(L930:L1189,M930:T1189,TRUE,TRUE),1,2)</f>
        <v/>
      </c>
      <c r="AI1189" s="9">
        <f>INDEX(LINEST(L930:L1189,M930:T1189,TRUE,TRUE),1,1)</f>
        <v/>
      </c>
      <c r="AJ1189" s="10">
        <f>INDEX(LINEST(L930:L1189,M930:T1189,TRUE,TRUE),3,1)</f>
        <v/>
      </c>
      <c r="AK1189" s="9">
        <f>AA1188/52+AB1188*M1189+AC1188*N1189+AD1188*O1189+AE1188*P1189+AF1188*Q1189+AG1188*R1189+AH1188*S1189+AI1188*T1189</f>
        <v/>
      </c>
      <c r="AL1189" s="9">
        <f>AVERAGE(L929:L1188)</f>
        <v/>
      </c>
    </row>
    <row r="1190">
      <c r="A1190" s="7" t="n">
        <v>45940</v>
      </c>
      <c r="B1190" s="8" t="n">
        <v>3974.5</v>
      </c>
      <c r="C1190" s="8" t="n">
        <v>2.3</v>
      </c>
      <c r="D1190" s="8" t="n">
        <v>1.75</v>
      </c>
      <c r="E1190" s="8" t="n">
        <v>98.980003</v>
      </c>
      <c r="F1190" s="8" t="n">
        <v>59.75</v>
      </c>
      <c r="G1190" s="8" t="n">
        <v>21.66</v>
      </c>
      <c r="H1190" s="8" t="n">
        <v>81.650002</v>
      </c>
      <c r="I1190" s="8" t="n">
        <v>6552.509766</v>
      </c>
      <c r="J1190" s="8" t="n">
        <v>97.824409</v>
      </c>
      <c r="L1190" s="9">
        <f>LN(B1190/B1189)</f>
        <v/>
      </c>
      <c r="M1190" s="9">
        <f>$M$1*(C1190-C1189)</f>
        <v/>
      </c>
      <c r="N1190" s="9">
        <f>$N$1*(D1190-D1189)</f>
        <v/>
      </c>
      <c r="O1190" s="9">
        <f>$O$1*LN(E1190/E1189)</f>
        <v/>
      </c>
      <c r="P1190" s="9">
        <f>$P$1*LN(F1190/F1189)</f>
        <v/>
      </c>
      <c r="Q1190" s="9">
        <f>$Q$1*(G1190-G1189)</f>
        <v/>
      </c>
      <c r="R1190" s="9">
        <f>$R$1*(H1190-H1189)</f>
        <v/>
      </c>
      <c r="S1190" s="9">
        <f>$S$1*LN(I1190/I1189)</f>
        <v/>
      </c>
      <c r="T1190" s="9">
        <f>$T$1*LN(J1190/J1189)</f>
        <v/>
      </c>
      <c r="U1190" s="9">
        <f>$W$12+$W$4*M1190+$W$5*N1190+$W$6*O1190+$W$7*P1190+$W$8*Q1190+$W$9*R1190+$W$10*S1190+$W$11*T1190</f>
        <v/>
      </c>
      <c r="AA1190" s="10">
        <f>INDEX(LINEST(L931:L1190,M931:T1190,TRUE,TRUE),1,9)*52</f>
        <v/>
      </c>
      <c r="AB1190" s="9">
        <f>INDEX(LINEST(L931:L1190,M931:T1190,TRUE,TRUE),1,8)</f>
        <v/>
      </c>
      <c r="AC1190" s="9">
        <f>INDEX(LINEST(L931:L1190,M931:T1190,TRUE,TRUE),1,7)</f>
        <v/>
      </c>
      <c r="AD1190" s="9">
        <f>INDEX(LINEST(L931:L1190,M931:T1190,TRUE,TRUE),1,6)</f>
        <v/>
      </c>
      <c r="AE1190" s="9">
        <f>INDEX(LINEST(L931:L1190,M931:T1190,TRUE,TRUE),1,5)</f>
        <v/>
      </c>
      <c r="AF1190" s="9">
        <f>INDEX(LINEST(L931:L1190,M931:T1190,TRUE,TRUE),1,4)</f>
        <v/>
      </c>
      <c r="AG1190" s="9">
        <f>INDEX(LINEST(L931:L1190,M931:T1190,TRUE,TRUE),1,3)</f>
        <v/>
      </c>
      <c r="AH1190" s="9">
        <f>INDEX(LINEST(L931:L1190,M931:T1190,TRUE,TRUE),1,2)</f>
        <v/>
      </c>
      <c r="AI1190" s="9">
        <f>INDEX(LINEST(L931:L1190,M931:T1190,TRUE,TRUE),1,1)</f>
        <v/>
      </c>
      <c r="AJ1190" s="10">
        <f>INDEX(LINEST(L931:L1190,M931:T1190,TRUE,TRUE),3,1)</f>
        <v/>
      </c>
      <c r="AK1190" s="9">
        <f>AA1189/52+AB1189*M1190+AC1189*N1190+AD1189*O1190+AE1189*P1190+AF1189*Q1190+AG1189*R1190+AH1189*S1190+AI1189*T1190</f>
        <v/>
      </c>
      <c r="AL1190" s="9">
        <f>AVERAGE(L930:L1189)</f>
        <v/>
      </c>
    </row>
    <row r="1191">
      <c r="A1191" s="7" t="n">
        <v>45947</v>
      </c>
      <c r="B1191" s="8" t="n">
        <v>4224.75</v>
      </c>
      <c r="C1191" s="8" t="n">
        <v>2.27</v>
      </c>
      <c r="D1191" s="8" t="n">
        <v>1.75</v>
      </c>
      <c r="E1191" s="8" t="n">
        <v>98.43000000000001</v>
      </c>
      <c r="F1191" s="8" t="n">
        <v>58.3</v>
      </c>
      <c r="G1191" s="8" t="n">
        <v>20.78</v>
      </c>
      <c r="H1191" s="8" t="n">
        <v>78.620003</v>
      </c>
      <c r="I1191" s="8" t="n">
        <v>6664.009766</v>
      </c>
      <c r="J1191" s="8" t="n">
        <v>98.34065200000001</v>
      </c>
      <c r="L1191" s="9">
        <f>LN(B1191/B1190)</f>
        <v/>
      </c>
      <c r="M1191" s="9">
        <f>$M$1*(C1191-C1190)</f>
        <v/>
      </c>
      <c r="N1191" s="9">
        <f>$N$1*(D1191-D1190)</f>
        <v/>
      </c>
      <c r="O1191" s="9">
        <f>$O$1*LN(E1191/E1190)</f>
        <v/>
      </c>
      <c r="P1191" s="9">
        <f>$P$1*LN(F1191/F1190)</f>
        <v/>
      </c>
      <c r="Q1191" s="9">
        <f>$Q$1*(G1191-G1190)</f>
        <v/>
      </c>
      <c r="R1191" s="9">
        <f>$R$1*(H1191-H1190)</f>
        <v/>
      </c>
      <c r="S1191" s="9">
        <f>$S$1*LN(I1191/I1190)</f>
        <v/>
      </c>
      <c r="T1191" s="9">
        <f>$T$1*LN(J1191/J1190)</f>
        <v/>
      </c>
      <c r="U1191" s="9">
        <f>$W$12+$W$4*M1191+$W$5*N1191+$W$6*O1191+$W$7*P1191+$W$8*Q1191+$W$9*R1191+$W$10*S1191+$W$11*T1191</f>
        <v/>
      </c>
      <c r="AA1191" s="10">
        <f>INDEX(LINEST(L932:L1191,M932:T1191,TRUE,TRUE),1,9)*52</f>
        <v/>
      </c>
      <c r="AB1191" s="9">
        <f>INDEX(LINEST(L932:L1191,M932:T1191,TRUE,TRUE),1,8)</f>
        <v/>
      </c>
      <c r="AC1191" s="9">
        <f>INDEX(LINEST(L932:L1191,M932:T1191,TRUE,TRUE),1,7)</f>
        <v/>
      </c>
      <c r="AD1191" s="9">
        <f>INDEX(LINEST(L932:L1191,M932:T1191,TRUE,TRUE),1,6)</f>
        <v/>
      </c>
      <c r="AE1191" s="9">
        <f>INDEX(LINEST(L932:L1191,M932:T1191,TRUE,TRUE),1,5)</f>
        <v/>
      </c>
      <c r="AF1191" s="9">
        <f>INDEX(LINEST(L932:L1191,M932:T1191,TRUE,TRUE),1,4)</f>
        <v/>
      </c>
      <c r="AG1191" s="9">
        <f>INDEX(LINEST(L932:L1191,M932:T1191,TRUE,TRUE),1,3)</f>
        <v/>
      </c>
      <c r="AH1191" s="9">
        <f>INDEX(LINEST(L932:L1191,M932:T1191,TRUE,TRUE),1,2)</f>
        <v/>
      </c>
      <c r="AI1191" s="9">
        <f>INDEX(LINEST(L932:L1191,M932:T1191,TRUE,TRUE),1,1)</f>
        <v/>
      </c>
      <c r="AJ1191" s="10">
        <f>INDEX(LINEST(L932:L1191,M932:T1191,TRUE,TRUE),3,1)</f>
        <v/>
      </c>
      <c r="AK1191" s="9">
        <f>AA1190/52+AB1190*M1191+AC1190*N1191+AD1190*O1191+AE1190*P1191+AF1190*Q1191+AG1190*R1191+AH1190*S1191+AI1190*T1191</f>
        <v/>
      </c>
      <c r="AL1191" s="9">
        <f>AVERAGE(L931:L1190)</f>
        <v/>
      </c>
    </row>
    <row r="1192">
      <c r="A1192" s="7" t="n">
        <v>45954</v>
      </c>
      <c r="B1192" s="8" t="n">
        <v>4104.4</v>
      </c>
      <c r="C1192" s="8" t="n">
        <v>2.29</v>
      </c>
      <c r="D1192" s="8" t="n">
        <v>1.73</v>
      </c>
      <c r="E1192" s="8" t="n">
        <v>98.949997</v>
      </c>
      <c r="F1192" s="8" t="n">
        <v>62.27</v>
      </c>
      <c r="G1192" s="8" t="n">
        <v>16.37</v>
      </c>
      <c r="H1192" s="8" t="n">
        <v>68.94000200000001</v>
      </c>
      <c r="I1192" s="8" t="n">
        <v>6791.689941</v>
      </c>
      <c r="J1192" s="8" t="n">
        <v>98.515991</v>
      </c>
      <c r="L1192" s="9">
        <f>LN(B1192/B1191)</f>
        <v/>
      </c>
      <c r="M1192" s="9">
        <f>$M$1*(C1192-C1191)</f>
        <v/>
      </c>
      <c r="N1192" s="9">
        <f>$N$1*(D1192-D1191)</f>
        <v/>
      </c>
      <c r="O1192" s="9">
        <f>$O$1*LN(E1192/E1191)</f>
        <v/>
      </c>
      <c r="P1192" s="9">
        <f>$P$1*LN(F1192/F1191)</f>
        <v/>
      </c>
      <c r="Q1192" s="9">
        <f>$Q$1*(G1192-G1191)</f>
        <v/>
      </c>
      <c r="R1192" s="9">
        <f>$R$1*(H1192-H1191)</f>
        <v/>
      </c>
      <c r="S1192" s="9">
        <f>$S$1*LN(I1192/I1191)</f>
        <v/>
      </c>
      <c r="T1192" s="9">
        <f>$T$1*LN(J1192/J1191)</f>
        <v/>
      </c>
      <c r="U1192" s="9">
        <f>$W$12+$W$4*M1192+$W$5*N1192+$W$6*O1192+$W$7*P1192+$W$8*Q1192+$W$9*R1192+$W$10*S1192+$W$11*T1192</f>
        <v/>
      </c>
      <c r="AA1192" s="10">
        <f>INDEX(LINEST(L933:L1192,M933:T1192,TRUE,TRUE),1,9)*52</f>
        <v/>
      </c>
      <c r="AB1192" s="9">
        <f>INDEX(LINEST(L933:L1192,M933:T1192,TRUE,TRUE),1,8)</f>
        <v/>
      </c>
      <c r="AC1192" s="9">
        <f>INDEX(LINEST(L933:L1192,M933:T1192,TRUE,TRUE),1,7)</f>
        <v/>
      </c>
      <c r="AD1192" s="9">
        <f>INDEX(LINEST(L933:L1192,M933:T1192,TRUE,TRUE),1,6)</f>
        <v/>
      </c>
      <c r="AE1192" s="9">
        <f>INDEX(LINEST(L933:L1192,M933:T1192,TRUE,TRUE),1,5)</f>
        <v/>
      </c>
      <c r="AF1192" s="9">
        <f>INDEX(LINEST(L933:L1192,M933:T1192,TRUE,TRUE),1,4)</f>
        <v/>
      </c>
      <c r="AG1192" s="9">
        <f>INDEX(LINEST(L933:L1192,M933:T1192,TRUE,TRUE),1,3)</f>
        <v/>
      </c>
      <c r="AH1192" s="9">
        <f>INDEX(LINEST(L933:L1192,M933:T1192,TRUE,TRUE),1,2)</f>
        <v/>
      </c>
      <c r="AI1192" s="9">
        <f>INDEX(LINEST(L933:L1192,M933:T1192,TRUE,TRUE),1,1)</f>
        <v/>
      </c>
      <c r="AJ1192" s="10">
        <f>INDEX(LINEST(L933:L1192,M933:T1192,TRUE,TRUE),3,1)</f>
        <v/>
      </c>
      <c r="AK1192" s="9">
        <f>AA1191/52+AB1191*M1192+AC1191*N1192+AD1191*O1192+AE1191*P1192+AF1191*Q1192+AG1191*R1192+AH1191*S1192+AI1191*T1192</f>
        <v/>
      </c>
      <c r="AL1192" s="9">
        <f>AVERAGE(L932:L1191)</f>
        <v/>
      </c>
    </row>
    <row r="1193">
      <c r="A1193" s="7" t="n">
        <v>45961</v>
      </c>
      <c r="B1193" s="8" t="n">
        <v>4011.5</v>
      </c>
      <c r="C1193" s="8" t="n">
        <v>2.3</v>
      </c>
      <c r="D1193" s="8" t="n">
        <v>1.81</v>
      </c>
      <c r="E1193" s="8" t="n">
        <v>99.800003</v>
      </c>
      <c r="F1193" s="8" t="n">
        <v>61.75</v>
      </c>
      <c r="G1193" s="8" t="n">
        <v>17.44</v>
      </c>
      <c r="H1193" s="8" t="n">
        <v>66.610001</v>
      </c>
      <c r="I1193" s="8" t="n">
        <v>6840.200195</v>
      </c>
      <c r="J1193" s="8" t="n">
        <v>97.93156399999999</v>
      </c>
      <c r="L1193" s="9">
        <f>LN(B1193/B1192)</f>
        <v/>
      </c>
      <c r="M1193" s="9">
        <f>$M$1*(C1193-C1192)</f>
        <v/>
      </c>
      <c r="N1193" s="9">
        <f>$N$1*(D1193-D1192)</f>
        <v/>
      </c>
      <c r="O1193" s="9">
        <f>$O$1*LN(E1193/E1192)</f>
        <v/>
      </c>
      <c r="P1193" s="9">
        <f>$P$1*LN(F1193/F1192)</f>
        <v/>
      </c>
      <c r="Q1193" s="9">
        <f>$Q$1*(G1193-G1192)</f>
        <v/>
      </c>
      <c r="R1193" s="9">
        <f>$R$1*(H1193-H1192)</f>
        <v/>
      </c>
      <c r="S1193" s="9">
        <f>$S$1*LN(I1193/I1192)</f>
        <v/>
      </c>
      <c r="T1193" s="9">
        <f>$T$1*LN(J1193/J1192)</f>
        <v/>
      </c>
      <c r="U1193" s="9">
        <f>$W$12+$W$4*M1193+$W$5*N1193+$W$6*O1193+$W$7*P1193+$W$8*Q1193+$W$9*R1193+$W$10*S1193+$W$11*T1193</f>
        <v/>
      </c>
      <c r="AA1193" s="10">
        <f>INDEX(LINEST(L934:L1193,M934:T1193,TRUE,TRUE),1,9)*52</f>
        <v/>
      </c>
      <c r="AB1193" s="9">
        <f>INDEX(LINEST(L934:L1193,M934:T1193,TRUE,TRUE),1,8)</f>
        <v/>
      </c>
      <c r="AC1193" s="9">
        <f>INDEX(LINEST(L934:L1193,M934:T1193,TRUE,TRUE),1,7)</f>
        <v/>
      </c>
      <c r="AD1193" s="9">
        <f>INDEX(LINEST(L934:L1193,M934:T1193,TRUE,TRUE),1,6)</f>
        <v/>
      </c>
      <c r="AE1193" s="9">
        <f>INDEX(LINEST(L934:L1193,M934:T1193,TRUE,TRUE),1,5)</f>
        <v/>
      </c>
      <c r="AF1193" s="9">
        <f>INDEX(LINEST(L934:L1193,M934:T1193,TRUE,TRUE),1,4)</f>
        <v/>
      </c>
      <c r="AG1193" s="9">
        <f>INDEX(LINEST(L934:L1193,M934:T1193,TRUE,TRUE),1,3)</f>
        <v/>
      </c>
      <c r="AH1193" s="9">
        <f>INDEX(LINEST(L934:L1193,M934:T1193,TRUE,TRUE),1,2)</f>
        <v/>
      </c>
      <c r="AI1193" s="9">
        <f>INDEX(LINEST(L934:L1193,M934:T1193,TRUE,TRUE),1,1)</f>
        <v/>
      </c>
      <c r="AJ1193" s="10">
        <f>INDEX(LINEST(L934:L1193,M934:T1193,TRUE,TRUE),3,1)</f>
        <v/>
      </c>
      <c r="AK1193" s="9">
        <f>AA1192/52+AB1192*M1193+AC1192*N1193+AD1192*O1193+AE1192*P1193+AF1192*Q1193+AG1192*R1193+AH1192*S1193+AI1192*T1193</f>
        <v/>
      </c>
      <c r="AL1193" s="9">
        <f>AVERAGE(L933:L1192)</f>
        <v/>
      </c>
    </row>
    <row r="1194">
      <c r="A1194" s="7" t="n">
        <v>45968</v>
      </c>
      <c r="B1194" s="8" t="n">
        <v>3994.1</v>
      </c>
      <c r="C1194" s="8" t="n">
        <v>2.28</v>
      </c>
      <c r="D1194" s="8" t="n">
        <v>1.83</v>
      </c>
      <c r="E1194" s="8" t="n">
        <v>99.599998</v>
      </c>
      <c r="F1194" s="8" t="n">
        <v>60.54</v>
      </c>
      <c r="G1194" s="8" t="n">
        <v>19.08</v>
      </c>
      <c r="H1194" s="8" t="n">
        <v>74.410004</v>
      </c>
      <c r="I1194" s="8" t="n">
        <v>6728.799805</v>
      </c>
      <c r="J1194" s="8" t="n">
        <v>97.918846</v>
      </c>
      <c r="L1194" s="9">
        <f>LN(B1194/B1193)</f>
        <v/>
      </c>
      <c r="M1194" s="9">
        <f>$M$1*(C1194-C1193)</f>
        <v/>
      </c>
      <c r="N1194" s="9">
        <f>$N$1*(D1194-D1193)</f>
        <v/>
      </c>
      <c r="O1194" s="9">
        <f>$O$1*LN(E1194/E1193)</f>
        <v/>
      </c>
      <c r="P1194" s="9">
        <f>$P$1*LN(F1194/F1193)</f>
        <v/>
      </c>
      <c r="Q1194" s="9">
        <f>$Q$1*(G1194-G1193)</f>
        <v/>
      </c>
      <c r="R1194" s="9">
        <f>$R$1*(H1194-H1193)</f>
        <v/>
      </c>
      <c r="S1194" s="9">
        <f>$S$1*LN(I1194/I1193)</f>
        <v/>
      </c>
      <c r="T1194" s="9">
        <f>$T$1*LN(J1194/J1193)</f>
        <v/>
      </c>
      <c r="U1194" s="9">
        <f>$W$12+$W$4*M1194+$W$5*N1194+$W$6*O1194+$W$7*P1194+$W$8*Q1194+$W$9*R1194+$W$10*S1194+$W$11*T1194</f>
        <v/>
      </c>
      <c r="AA1194" s="10">
        <f>INDEX(LINEST(L935:L1194,M935:T1194,TRUE,TRUE),1,9)*52</f>
        <v/>
      </c>
      <c r="AB1194" s="9">
        <f>INDEX(LINEST(L935:L1194,M935:T1194,TRUE,TRUE),1,8)</f>
        <v/>
      </c>
      <c r="AC1194" s="9">
        <f>INDEX(LINEST(L935:L1194,M935:T1194,TRUE,TRUE),1,7)</f>
        <v/>
      </c>
      <c r="AD1194" s="9">
        <f>INDEX(LINEST(L935:L1194,M935:T1194,TRUE,TRUE),1,6)</f>
        <v/>
      </c>
      <c r="AE1194" s="9">
        <f>INDEX(LINEST(L935:L1194,M935:T1194,TRUE,TRUE),1,5)</f>
        <v/>
      </c>
      <c r="AF1194" s="9">
        <f>INDEX(LINEST(L935:L1194,M935:T1194,TRUE,TRUE),1,4)</f>
        <v/>
      </c>
      <c r="AG1194" s="9">
        <f>INDEX(LINEST(L935:L1194,M935:T1194,TRUE,TRUE),1,3)</f>
        <v/>
      </c>
      <c r="AH1194" s="9">
        <f>INDEX(LINEST(L935:L1194,M935:T1194,TRUE,TRUE),1,2)</f>
        <v/>
      </c>
      <c r="AI1194" s="9">
        <f>INDEX(LINEST(L935:L1194,M935:T1194,TRUE,TRUE),1,1)</f>
        <v/>
      </c>
      <c r="AJ1194" s="10">
        <f>INDEX(LINEST(L935:L1194,M935:T1194,TRUE,TRUE),3,1)</f>
        <v/>
      </c>
      <c r="AK1194" s="9">
        <f>AA1193/52+AB1193*M1194+AC1193*N1194+AD1193*O1194+AE1193*P1194+AF1193*Q1194+AG1193*R1194+AH1193*S1194+AI1193*T1194</f>
        <v/>
      </c>
      <c r="AL1194" s="9">
        <f>AVERAGE(L934:L1193)</f>
        <v/>
      </c>
    </row>
    <row r="1195">
      <c r="A1195" s="7" t="n">
        <v>45975</v>
      </c>
      <c r="B1195" s="8" t="n">
        <v>4071.1</v>
      </c>
      <c r="C1195" s="8" t="n">
        <v>2.28</v>
      </c>
      <c r="D1195" s="8" t="n">
        <v>1.86</v>
      </c>
      <c r="E1195" s="8" t="n">
        <v>99.269997</v>
      </c>
      <c r="F1195" s="8" t="n">
        <v>60.87</v>
      </c>
      <c r="G1195" s="8" t="n">
        <v>19.83</v>
      </c>
      <c r="H1195" s="8" t="n">
        <v>79.709999</v>
      </c>
      <c r="I1195" s="8" t="n">
        <v>6734.109863</v>
      </c>
      <c r="J1195" s="8" t="n">
        <v>97.723412</v>
      </c>
      <c r="L1195" s="9">
        <f>LN(B1195/B1194)</f>
        <v/>
      </c>
      <c r="M1195" s="9">
        <f>$M$1*(C1195-C1194)</f>
        <v/>
      </c>
      <c r="N1195" s="9">
        <f>$N$1*(D1195-D1194)</f>
        <v/>
      </c>
      <c r="O1195" s="9">
        <f>$O$1*LN(E1195/E1194)</f>
        <v/>
      </c>
      <c r="P1195" s="9">
        <f>$P$1*LN(F1195/F1194)</f>
        <v/>
      </c>
      <c r="Q1195" s="9">
        <f>$Q$1*(G1195-G1194)</f>
        <v/>
      </c>
      <c r="R1195" s="9">
        <f>$R$1*(H1195-H1194)</f>
        <v/>
      </c>
      <c r="S1195" s="9">
        <f>$S$1*LN(I1195/I1194)</f>
        <v/>
      </c>
      <c r="T1195" s="9">
        <f>$T$1*LN(J1195/J1194)</f>
        <v/>
      </c>
      <c r="U1195" s="9">
        <f>$W$12+$W$4*M1195+$W$5*N1195+$W$6*O1195+$W$7*P1195+$W$8*Q1195+$W$9*R1195+$W$10*S1195+$W$11*T1195</f>
        <v/>
      </c>
      <c r="AA1195" s="10">
        <f>INDEX(LINEST(L936:L1195,M936:T1195,TRUE,TRUE),1,9)*52</f>
        <v/>
      </c>
      <c r="AB1195" s="9">
        <f>INDEX(LINEST(L936:L1195,M936:T1195,TRUE,TRUE),1,8)</f>
        <v/>
      </c>
      <c r="AC1195" s="9">
        <f>INDEX(LINEST(L936:L1195,M936:T1195,TRUE,TRUE),1,7)</f>
        <v/>
      </c>
      <c r="AD1195" s="9">
        <f>INDEX(LINEST(L936:L1195,M936:T1195,TRUE,TRUE),1,6)</f>
        <v/>
      </c>
      <c r="AE1195" s="9">
        <f>INDEX(LINEST(L936:L1195,M936:T1195,TRUE,TRUE),1,5)</f>
        <v/>
      </c>
      <c r="AF1195" s="9">
        <f>INDEX(LINEST(L936:L1195,M936:T1195,TRUE,TRUE),1,4)</f>
        <v/>
      </c>
      <c r="AG1195" s="9">
        <f>INDEX(LINEST(L936:L1195,M936:T1195,TRUE,TRUE),1,3)</f>
        <v/>
      </c>
      <c r="AH1195" s="9">
        <f>INDEX(LINEST(L936:L1195,M936:T1195,TRUE,TRUE),1,2)</f>
        <v/>
      </c>
      <c r="AI1195" s="9">
        <f>INDEX(LINEST(L936:L1195,M936:T1195,TRUE,TRUE),1,1)</f>
        <v/>
      </c>
      <c r="AJ1195" s="10">
        <f>INDEX(LINEST(L936:L1195,M936:T1195,TRUE,TRUE),3,1)</f>
        <v/>
      </c>
      <c r="AK1195" s="9">
        <f>AA1194/52+AB1194*M1195+AC1194*N1195+AD1194*O1195+AE1194*P1195+AF1194*Q1195+AG1194*R1195+AH1194*S1195+AI1194*T1195</f>
        <v/>
      </c>
      <c r="AL1195" s="9">
        <f>AVERAGE(L935:L1194)</f>
        <v/>
      </c>
    </row>
    <row r="1196">
      <c r="A1196" s="7" t="n">
        <v>45982</v>
      </c>
      <c r="B1196" s="8" t="n">
        <v>4072.85</v>
      </c>
      <c r="C1196" s="8" t="n">
        <v>2.24</v>
      </c>
      <c r="D1196" s="8" t="n">
        <v>1.82</v>
      </c>
      <c r="E1196" s="8" t="n">
        <v>100.18</v>
      </c>
      <c r="F1196" s="8" t="n">
        <v>58.86</v>
      </c>
      <c r="G1196" s="8" t="n">
        <v>23.43</v>
      </c>
      <c r="H1196" s="8" t="n">
        <v>78.80999799999999</v>
      </c>
      <c r="I1196" s="8" t="n">
        <v>6602.990234</v>
      </c>
      <c r="J1196" s="8" t="n">
        <v>98.153397</v>
      </c>
      <c r="L1196" s="9">
        <f>LN(B1196/B1195)</f>
        <v/>
      </c>
      <c r="M1196" s="9">
        <f>$M$1*(C1196-C1195)</f>
        <v/>
      </c>
      <c r="N1196" s="9">
        <f>$N$1*(D1196-D1195)</f>
        <v/>
      </c>
      <c r="O1196" s="9">
        <f>$O$1*LN(E1196/E1195)</f>
        <v/>
      </c>
      <c r="P1196" s="9">
        <f>$P$1*LN(F1196/F1195)</f>
        <v/>
      </c>
      <c r="Q1196" s="9">
        <f>$Q$1*(G1196-G1195)</f>
        <v/>
      </c>
      <c r="R1196" s="9">
        <f>$R$1*(H1196-H1195)</f>
        <v/>
      </c>
      <c r="S1196" s="9">
        <f>$S$1*LN(I1196/I1195)</f>
        <v/>
      </c>
      <c r="T1196" s="9">
        <f>$T$1*LN(J1196/J1195)</f>
        <v/>
      </c>
      <c r="U1196" s="9">
        <f>$W$12+$W$4*M1196+$W$5*N1196+$W$6*O1196+$W$7*P1196+$W$8*Q1196+$W$9*R1196+$W$10*S1196+$W$11*T1196</f>
        <v/>
      </c>
      <c r="AA1196" s="10">
        <f>INDEX(LINEST(L937:L1196,M937:T1196,TRUE,TRUE),1,9)*52</f>
        <v/>
      </c>
      <c r="AB1196" s="9">
        <f>INDEX(LINEST(L937:L1196,M937:T1196,TRUE,TRUE),1,8)</f>
        <v/>
      </c>
      <c r="AC1196" s="9">
        <f>INDEX(LINEST(L937:L1196,M937:T1196,TRUE,TRUE),1,7)</f>
        <v/>
      </c>
      <c r="AD1196" s="9">
        <f>INDEX(LINEST(L937:L1196,M937:T1196,TRUE,TRUE),1,6)</f>
        <v/>
      </c>
      <c r="AE1196" s="9">
        <f>INDEX(LINEST(L937:L1196,M937:T1196,TRUE,TRUE),1,5)</f>
        <v/>
      </c>
      <c r="AF1196" s="9">
        <f>INDEX(LINEST(L937:L1196,M937:T1196,TRUE,TRUE),1,4)</f>
        <v/>
      </c>
      <c r="AG1196" s="9">
        <f>INDEX(LINEST(L937:L1196,M937:T1196,TRUE,TRUE),1,3)</f>
        <v/>
      </c>
      <c r="AH1196" s="9">
        <f>INDEX(LINEST(L937:L1196,M937:T1196,TRUE,TRUE),1,2)</f>
        <v/>
      </c>
      <c r="AI1196" s="9">
        <f>INDEX(LINEST(L937:L1196,M937:T1196,TRUE,TRUE),1,1)</f>
        <v/>
      </c>
      <c r="AJ1196" s="10">
        <f>INDEX(LINEST(L937:L1196,M937:T1196,TRUE,TRUE),3,1)</f>
        <v/>
      </c>
      <c r="AK1196" s="9">
        <f>AA1195/52+AB1195*M1196+AC1195*N1196+AD1195*O1196+AE1195*P1196+AF1195*Q1196+AG1195*R1196+AH1195*S1196+AI1195*T1196</f>
        <v/>
      </c>
      <c r="AL1196" s="9">
        <f>AVERAGE(L936:L1195)</f>
        <v/>
      </c>
    </row>
    <row r="1197">
      <c r="A1197" s="7" t="n">
        <v>45989</v>
      </c>
      <c r="B1197" s="8" t="n">
        <v>4191.05</v>
      </c>
      <c r="C1197" s="8" t="n">
        <v>2.23</v>
      </c>
      <c r="D1197" s="8" t="n">
        <v>1.79</v>
      </c>
      <c r="E1197" s="8" t="n">
        <v>99.459999</v>
      </c>
      <c r="F1197" s="8" t="n">
        <v>58.58</v>
      </c>
      <c r="G1197" s="8" t="n">
        <v>16.35</v>
      </c>
      <c r="H1197" s="8" t="n">
        <v>68.949997</v>
      </c>
      <c r="I1197" s="8" t="n">
        <v>6849.089844</v>
      </c>
      <c r="J1197" s="8" t="n">
        <v>98.524742</v>
      </c>
      <c r="L1197" s="9">
        <f>LN(B1197/B1196)</f>
        <v/>
      </c>
      <c r="M1197" s="9">
        <f>$M$1*(C1197-C1196)</f>
        <v/>
      </c>
      <c r="N1197" s="9">
        <f>$N$1*(D1197-D1196)</f>
        <v/>
      </c>
      <c r="O1197" s="9">
        <f>$O$1*LN(E1197/E1196)</f>
        <v/>
      </c>
      <c r="P1197" s="9">
        <f>$P$1*LN(F1197/F1196)</f>
        <v/>
      </c>
      <c r="Q1197" s="9">
        <f>$Q$1*(G1197-G1196)</f>
        <v/>
      </c>
      <c r="R1197" s="9">
        <f>$R$1*(H1197-H1196)</f>
        <v/>
      </c>
      <c r="S1197" s="9">
        <f>$S$1*LN(I1197/I1196)</f>
        <v/>
      </c>
      <c r="T1197" s="9">
        <f>$T$1*LN(J1197/J1196)</f>
        <v/>
      </c>
      <c r="U1197" s="9">
        <f>$W$12+$W$4*M1197+$W$5*N1197+$W$6*O1197+$W$7*P1197+$W$8*Q1197+$W$9*R1197+$W$10*S1197+$W$11*T1197</f>
        <v/>
      </c>
      <c r="AA1197" s="10">
        <f>INDEX(LINEST(L938:L1197,M938:T1197,TRUE,TRUE),1,9)*52</f>
        <v/>
      </c>
      <c r="AB1197" s="9">
        <f>INDEX(LINEST(L938:L1197,M938:T1197,TRUE,TRUE),1,8)</f>
        <v/>
      </c>
      <c r="AC1197" s="9">
        <f>INDEX(LINEST(L938:L1197,M938:T1197,TRUE,TRUE),1,7)</f>
        <v/>
      </c>
      <c r="AD1197" s="9">
        <f>INDEX(LINEST(L938:L1197,M938:T1197,TRUE,TRUE),1,6)</f>
        <v/>
      </c>
      <c r="AE1197" s="9">
        <f>INDEX(LINEST(L938:L1197,M938:T1197,TRUE,TRUE),1,5)</f>
        <v/>
      </c>
      <c r="AF1197" s="9">
        <f>INDEX(LINEST(L938:L1197,M938:T1197,TRUE,TRUE),1,4)</f>
        <v/>
      </c>
      <c r="AG1197" s="9">
        <f>INDEX(LINEST(L938:L1197,M938:T1197,TRUE,TRUE),1,3)</f>
        <v/>
      </c>
      <c r="AH1197" s="9">
        <f>INDEX(LINEST(L938:L1197,M938:T1197,TRUE,TRUE),1,2)</f>
        <v/>
      </c>
      <c r="AI1197" s="9">
        <f>INDEX(LINEST(L938:L1197,M938:T1197,TRUE,TRUE),1,1)</f>
        <v/>
      </c>
      <c r="AJ1197" s="10">
        <f>INDEX(LINEST(L938:L1197,M938:T1197,TRUE,TRUE),3,1)</f>
        <v/>
      </c>
      <c r="AK1197" s="9">
        <f>AA1196/52+AB1196*M1197+AC1196*N1197+AD1196*O1197+AE1196*P1197+AF1196*Q1197+AG1196*R1197+AH1196*S1197+AI1196*T1197</f>
        <v/>
      </c>
      <c r="AL1197" s="9">
        <f>AVERAGE(L937:L1196)</f>
        <v/>
      </c>
    </row>
    <row r="1198">
      <c r="A1198" s="7" t="n">
        <v>45996</v>
      </c>
      <c r="B1198" s="8" t="n">
        <v>4243</v>
      </c>
      <c r="C1198" s="8" t="n">
        <v>2.26</v>
      </c>
      <c r="D1198" s="8" t="n">
        <v>1.88</v>
      </c>
      <c r="E1198" s="8" t="n">
        <v>98.989998</v>
      </c>
      <c r="F1198" s="8" t="n">
        <v>60.23</v>
      </c>
      <c r="G1198" s="8" t="n">
        <v>15.41</v>
      </c>
      <c r="H1198" s="8" t="n">
        <v>67.279999</v>
      </c>
      <c r="I1198" s="8" t="n">
        <v>6870.399902</v>
      </c>
      <c r="J1198" s="8" t="n">
        <v>98.069839</v>
      </c>
      <c r="L1198" s="9">
        <f>LN(B1198/B1197)</f>
        <v/>
      </c>
      <c r="M1198" s="9">
        <f>$M$1*(C1198-C1197)</f>
        <v/>
      </c>
      <c r="N1198" s="9">
        <f>$N$1*(D1198-D1197)</f>
        <v/>
      </c>
      <c r="O1198" s="9">
        <f>$O$1*LN(E1198/E1197)</f>
        <v/>
      </c>
      <c r="P1198" s="9">
        <f>$P$1*LN(F1198/F1197)</f>
        <v/>
      </c>
      <c r="Q1198" s="9">
        <f>$Q$1*(G1198-G1197)</f>
        <v/>
      </c>
      <c r="R1198" s="9">
        <f>$R$1*(H1198-H1197)</f>
        <v/>
      </c>
      <c r="S1198" s="9">
        <f>$S$1*LN(I1198/I1197)</f>
        <v/>
      </c>
      <c r="T1198" s="9">
        <f>$T$1*LN(J1198/J1197)</f>
        <v/>
      </c>
      <c r="U1198" s="9">
        <f>$W$12+$W$4*M1198+$W$5*N1198+$W$6*O1198+$W$7*P1198+$W$8*Q1198+$W$9*R1198+$W$10*S1198+$W$11*T1198</f>
        <v/>
      </c>
      <c r="AA1198" s="10">
        <f>INDEX(LINEST(L939:L1198,M939:T1198,TRUE,TRUE),1,9)*52</f>
        <v/>
      </c>
      <c r="AB1198" s="9">
        <f>INDEX(LINEST(L939:L1198,M939:T1198,TRUE,TRUE),1,8)</f>
        <v/>
      </c>
      <c r="AC1198" s="9">
        <f>INDEX(LINEST(L939:L1198,M939:T1198,TRUE,TRUE),1,7)</f>
        <v/>
      </c>
      <c r="AD1198" s="9">
        <f>INDEX(LINEST(L939:L1198,M939:T1198,TRUE,TRUE),1,6)</f>
        <v/>
      </c>
      <c r="AE1198" s="9">
        <f>INDEX(LINEST(L939:L1198,M939:T1198,TRUE,TRUE),1,5)</f>
        <v/>
      </c>
      <c r="AF1198" s="9">
        <f>INDEX(LINEST(L939:L1198,M939:T1198,TRUE,TRUE),1,4)</f>
        <v/>
      </c>
      <c r="AG1198" s="9">
        <f>INDEX(LINEST(L939:L1198,M939:T1198,TRUE,TRUE),1,3)</f>
        <v/>
      </c>
      <c r="AH1198" s="9">
        <f>INDEX(LINEST(L939:L1198,M939:T1198,TRUE,TRUE),1,2)</f>
        <v/>
      </c>
      <c r="AI1198" s="9">
        <f>INDEX(LINEST(L939:L1198,M939:T1198,TRUE,TRUE),1,1)</f>
        <v/>
      </c>
      <c r="AJ1198" s="10">
        <f>INDEX(LINEST(L939:L1198,M939:T1198,TRUE,TRUE),3,1)</f>
        <v/>
      </c>
      <c r="AK1198" s="9">
        <f>AA1197/52+AB1197*M1198+AC1197*N1198+AD1197*O1198+AE1197*P1198+AF1197*Q1198+AG1197*R1198+AH1197*S1198+AI1197*T1198</f>
        <v/>
      </c>
      <c r="AL1198" s="9">
        <f>AVERAGE(L938:L1197)</f>
        <v/>
      </c>
    </row>
    <row r="1199">
      <c r="A1199" s="7" t="n">
        <v>46003</v>
      </c>
      <c r="B1199" s="8" t="n">
        <v>4346.95</v>
      </c>
      <c r="C1199" s="8" t="n">
        <v>2.26</v>
      </c>
      <c r="D1199" s="8" t="n">
        <v>1.93</v>
      </c>
      <c r="E1199" s="8" t="n">
        <v>98.400002</v>
      </c>
      <c r="F1199" s="8" t="n">
        <v>57.61</v>
      </c>
      <c r="G1199" s="8" t="n">
        <v>15.74</v>
      </c>
      <c r="H1199" s="8" t="n">
        <v>69.25</v>
      </c>
      <c r="I1199" s="8" t="n">
        <v>6827.410156</v>
      </c>
      <c r="J1199" s="8" t="n">
        <v>97.854141</v>
      </c>
      <c r="L1199" s="9">
        <f>LN(B1199/B1198)</f>
        <v/>
      </c>
      <c r="M1199" s="9">
        <f>$M$1*(C1199-C1198)</f>
        <v/>
      </c>
      <c r="N1199" s="9">
        <f>$N$1*(D1199-D1198)</f>
        <v/>
      </c>
      <c r="O1199" s="9">
        <f>$O$1*LN(E1199/E1198)</f>
        <v/>
      </c>
      <c r="P1199" s="9">
        <f>$P$1*LN(F1199/F1198)</f>
        <v/>
      </c>
      <c r="Q1199" s="9">
        <f>$Q$1*(G1199-G1198)</f>
        <v/>
      </c>
      <c r="R1199" s="9">
        <f>$R$1*(H1199-H1198)</f>
        <v/>
      </c>
      <c r="S1199" s="9">
        <f>$S$1*LN(I1199/I1198)</f>
        <v/>
      </c>
      <c r="T1199" s="9">
        <f>$T$1*LN(J1199/J1198)</f>
        <v/>
      </c>
      <c r="U1199" s="9">
        <f>$W$12+$W$4*M1199+$W$5*N1199+$W$6*O1199+$W$7*P1199+$W$8*Q1199+$W$9*R1199+$W$10*S1199+$W$11*T1199</f>
        <v/>
      </c>
      <c r="AA1199" s="10">
        <f>INDEX(LINEST(L940:L1199,M940:T1199,TRUE,TRUE),1,9)*52</f>
        <v/>
      </c>
      <c r="AB1199" s="9">
        <f>INDEX(LINEST(L940:L1199,M940:T1199,TRUE,TRUE),1,8)</f>
        <v/>
      </c>
      <c r="AC1199" s="9">
        <f>INDEX(LINEST(L940:L1199,M940:T1199,TRUE,TRUE),1,7)</f>
        <v/>
      </c>
      <c r="AD1199" s="9">
        <f>INDEX(LINEST(L940:L1199,M940:T1199,TRUE,TRUE),1,6)</f>
        <v/>
      </c>
      <c r="AE1199" s="9">
        <f>INDEX(LINEST(L940:L1199,M940:T1199,TRUE,TRUE),1,5)</f>
        <v/>
      </c>
      <c r="AF1199" s="9">
        <f>INDEX(LINEST(L940:L1199,M940:T1199,TRUE,TRUE),1,4)</f>
        <v/>
      </c>
      <c r="AG1199" s="9">
        <f>INDEX(LINEST(L940:L1199,M940:T1199,TRUE,TRUE),1,3)</f>
        <v/>
      </c>
      <c r="AH1199" s="9">
        <f>INDEX(LINEST(L940:L1199,M940:T1199,TRUE,TRUE),1,2)</f>
        <v/>
      </c>
      <c r="AI1199" s="9">
        <f>INDEX(LINEST(L940:L1199,M940:T1199,TRUE,TRUE),1,1)</f>
        <v/>
      </c>
      <c r="AJ1199" s="10">
        <f>INDEX(LINEST(L940:L1199,M940:T1199,TRUE,TRUE),3,1)</f>
        <v/>
      </c>
      <c r="AK1199" s="9">
        <f>AA1198/52+AB1198*M1199+AC1198*N1199+AD1198*O1199+AE1198*P1199+AF1198*Q1199+AG1198*R1199+AH1198*S1199+AI1198*T1199</f>
        <v/>
      </c>
      <c r="AL1199" s="9">
        <f>AVERAGE(L939:L1198)</f>
        <v/>
      </c>
    </row>
    <row r="1200">
      <c r="A1200" s="7" t="n">
        <v>46010</v>
      </c>
      <c r="B1200" s="8" t="n">
        <v>4337.6</v>
      </c>
      <c r="C1200" s="8" t="n">
        <v>2.24</v>
      </c>
      <c r="D1200" s="8" t="n">
        <v>1.92</v>
      </c>
      <c r="E1200" s="8" t="n">
        <v>98.599998</v>
      </c>
      <c r="F1200" s="8" t="n">
        <v>56.8</v>
      </c>
      <c r="G1200" s="8" t="n">
        <v>14.91</v>
      </c>
      <c r="H1200" s="8" t="n">
        <v>59.41</v>
      </c>
      <c r="I1200" s="8" t="n">
        <v>6834.5</v>
      </c>
      <c r="J1200" s="8" t="n">
        <v>98.210533</v>
      </c>
      <c r="L1200" s="9">
        <f>LN(B1200/B1199)</f>
        <v/>
      </c>
      <c r="M1200" s="9">
        <f>$M$1*(C1200-C1199)</f>
        <v/>
      </c>
      <c r="N1200" s="9">
        <f>$N$1*(D1200-D1199)</f>
        <v/>
      </c>
      <c r="O1200" s="9">
        <f>$O$1*LN(E1200/E1199)</f>
        <v/>
      </c>
      <c r="P1200" s="9">
        <f>$P$1*LN(F1200/F1199)</f>
        <v/>
      </c>
      <c r="Q1200" s="9">
        <f>$Q$1*(G1200-G1199)</f>
        <v/>
      </c>
      <c r="R1200" s="9">
        <f>$R$1*(H1200-H1199)</f>
        <v/>
      </c>
      <c r="S1200" s="9">
        <f>$S$1*LN(I1200/I1199)</f>
        <v/>
      </c>
      <c r="T1200" s="9">
        <f>$T$1*LN(J1200/J1199)</f>
        <v/>
      </c>
      <c r="U1200" s="9">
        <f>$W$12+$W$4*M1200+$W$5*N1200+$W$6*O1200+$W$7*P1200+$W$8*Q1200+$W$9*R1200+$W$10*S1200+$W$11*T1200</f>
        <v/>
      </c>
      <c r="AA1200" s="10">
        <f>INDEX(LINEST(L941:L1200,M941:T1200,TRUE,TRUE),1,9)*52</f>
        <v/>
      </c>
      <c r="AB1200" s="9">
        <f>INDEX(LINEST(L941:L1200,M941:T1200,TRUE,TRUE),1,8)</f>
        <v/>
      </c>
      <c r="AC1200" s="9">
        <f>INDEX(LINEST(L941:L1200,M941:T1200,TRUE,TRUE),1,7)</f>
        <v/>
      </c>
      <c r="AD1200" s="9">
        <f>INDEX(LINEST(L941:L1200,M941:T1200,TRUE,TRUE),1,6)</f>
        <v/>
      </c>
      <c r="AE1200" s="9">
        <f>INDEX(LINEST(L941:L1200,M941:T1200,TRUE,TRUE),1,5)</f>
        <v/>
      </c>
      <c r="AF1200" s="9">
        <f>INDEX(LINEST(L941:L1200,M941:T1200,TRUE,TRUE),1,4)</f>
        <v/>
      </c>
      <c r="AG1200" s="9">
        <f>INDEX(LINEST(L941:L1200,M941:T1200,TRUE,TRUE),1,3)</f>
        <v/>
      </c>
      <c r="AH1200" s="9">
        <f>INDEX(LINEST(L941:L1200,M941:T1200,TRUE,TRUE),1,2)</f>
        <v/>
      </c>
      <c r="AI1200" s="9">
        <f>INDEX(LINEST(L941:L1200,M941:T1200,TRUE,TRUE),1,1)</f>
        <v/>
      </c>
      <c r="AJ1200" s="10">
        <f>INDEX(LINEST(L941:L1200,M941:T1200,TRUE,TRUE),3,1)</f>
        <v/>
      </c>
      <c r="AK1200" s="9">
        <f>AA1199/52+AB1199*M1200+AC1199*N1200+AD1199*O1200+AE1199*P1200+AF1199*Q1200+AG1199*R1200+AH1199*S1200+AI1199*T1200</f>
        <v/>
      </c>
      <c r="AL1200" s="9">
        <f>AVERAGE(L940:L1199)</f>
        <v/>
      </c>
    </row>
    <row r="1201">
      <c r="A1201" s="7" t="n">
        <v>46017</v>
      </c>
      <c r="B1201" s="8" t="n">
        <v>4449.4</v>
      </c>
      <c r="C1201" s="8" t="n">
        <v>2.23</v>
      </c>
      <c r="D1201" s="8" t="n">
        <v>1.91</v>
      </c>
      <c r="E1201" s="8" t="n">
        <v>98.019997</v>
      </c>
      <c r="F1201" s="8" t="n">
        <v>56.6</v>
      </c>
      <c r="G1201" s="8" t="n">
        <v>13.6</v>
      </c>
      <c r="H1201" s="8" t="n">
        <v>58.5</v>
      </c>
      <c r="I1201" s="8" t="n">
        <v>6929.939941</v>
      </c>
      <c r="J1201" s="8" t="n">
        <v>98.40727200000001</v>
      </c>
      <c r="L1201" s="9">
        <f>LN(B1201/B1200)</f>
        <v/>
      </c>
      <c r="M1201" s="9">
        <f>$M$1*(C1201-C1200)</f>
        <v/>
      </c>
      <c r="N1201" s="9">
        <f>$N$1*(D1201-D1200)</f>
        <v/>
      </c>
      <c r="O1201" s="9">
        <f>$O$1*LN(E1201/E1200)</f>
        <v/>
      </c>
      <c r="P1201" s="9">
        <f>$P$1*LN(F1201/F1200)</f>
        <v/>
      </c>
      <c r="Q1201" s="9">
        <f>$Q$1*(G1201-G1200)</f>
        <v/>
      </c>
      <c r="R1201" s="9">
        <f>$R$1*(H1201-H1200)</f>
        <v/>
      </c>
      <c r="S1201" s="9">
        <f>$S$1*LN(I1201/I1200)</f>
        <v/>
      </c>
      <c r="T1201" s="9">
        <f>$T$1*LN(J1201/J1200)</f>
        <v/>
      </c>
      <c r="U1201" s="9">
        <f>$W$12+$W$4*M1201+$W$5*N1201+$W$6*O1201+$W$7*P1201+$W$8*Q1201+$W$9*R1201+$W$10*S1201+$W$11*T1201</f>
        <v/>
      </c>
      <c r="AA1201" s="10">
        <f>INDEX(LINEST(L942:L1201,M942:T1201,TRUE,TRUE),1,9)*52</f>
        <v/>
      </c>
      <c r="AB1201" s="9">
        <f>INDEX(LINEST(L942:L1201,M942:T1201,TRUE,TRUE),1,8)</f>
        <v/>
      </c>
      <c r="AC1201" s="9">
        <f>INDEX(LINEST(L942:L1201,M942:T1201,TRUE,TRUE),1,7)</f>
        <v/>
      </c>
      <c r="AD1201" s="9">
        <f>INDEX(LINEST(L942:L1201,M942:T1201,TRUE,TRUE),1,6)</f>
        <v/>
      </c>
      <c r="AE1201" s="9">
        <f>INDEX(LINEST(L942:L1201,M942:T1201,TRUE,TRUE),1,5)</f>
        <v/>
      </c>
      <c r="AF1201" s="9">
        <f>INDEX(LINEST(L942:L1201,M942:T1201,TRUE,TRUE),1,4)</f>
        <v/>
      </c>
      <c r="AG1201" s="9">
        <f>INDEX(LINEST(L942:L1201,M942:T1201,TRUE,TRUE),1,3)</f>
        <v/>
      </c>
      <c r="AH1201" s="9">
        <f>INDEX(LINEST(L942:L1201,M942:T1201,TRUE,TRUE),1,2)</f>
        <v/>
      </c>
      <c r="AI1201" s="9">
        <f>INDEX(LINEST(L942:L1201,M942:T1201,TRUE,TRUE),1,1)</f>
        <v/>
      </c>
      <c r="AJ1201" s="10">
        <f>INDEX(LINEST(L942:L1201,M942:T1201,TRUE,TRUE),3,1)</f>
        <v/>
      </c>
      <c r="AK1201" s="9">
        <f>AA1200/52+AB1200*M1201+AC1200*N1201+AD1200*O1201+AE1200*P1201+AF1200*Q1201+AG1200*R1201+AH1200*S1201+AI1200*T1201</f>
        <v/>
      </c>
      <c r="AL1201" s="9">
        <f>AVERAGE(L941:L1200)</f>
        <v/>
      </c>
    </row>
    <row r="1202">
      <c r="A1202" s="7" t="n">
        <v>46024</v>
      </c>
      <c r="B1202" s="8" t="n">
        <v>4352.95</v>
      </c>
      <c r="C1202" s="8" t="n">
        <v>2.25</v>
      </c>
      <c r="D1202" s="8" t="n">
        <v>1.94</v>
      </c>
      <c r="E1202" s="8" t="n">
        <v>98.41999800000001</v>
      </c>
      <c r="F1202" s="8" t="n">
        <v>57.21</v>
      </c>
      <c r="G1202" s="8" t="n">
        <v>14.51</v>
      </c>
      <c r="H1202" s="8" t="n">
        <v>62.360001</v>
      </c>
      <c r="I1202" s="8" t="n">
        <v>6858.470215</v>
      </c>
      <c r="J1202" s="8" t="n">
        <v>98.220375</v>
      </c>
      <c r="L1202" s="9">
        <f>LN(B1202/B1201)</f>
        <v/>
      </c>
      <c r="M1202" s="9">
        <f>$M$1*(C1202-C1201)</f>
        <v/>
      </c>
      <c r="N1202" s="9">
        <f>$N$1*(D1202-D1201)</f>
        <v/>
      </c>
      <c r="O1202" s="9">
        <f>$O$1*LN(E1202/E1201)</f>
        <v/>
      </c>
      <c r="P1202" s="9">
        <f>$P$1*LN(F1202/F1201)</f>
        <v/>
      </c>
      <c r="Q1202" s="9">
        <f>$Q$1*(G1202-G1201)</f>
        <v/>
      </c>
      <c r="R1202" s="9">
        <f>$R$1*(H1202-H1201)</f>
        <v/>
      </c>
      <c r="S1202" s="9">
        <f>$S$1*LN(I1202/I1201)</f>
        <v/>
      </c>
      <c r="T1202" s="9">
        <f>$T$1*LN(J1202/J1201)</f>
        <v/>
      </c>
      <c r="U1202" s="9">
        <f>$W$12+$W$4*M1202+$W$5*N1202+$W$6*O1202+$W$7*P1202+$W$8*Q1202+$W$9*R1202+$W$10*S1202+$W$11*T1202</f>
        <v/>
      </c>
      <c r="AA1202" s="10">
        <f>INDEX(LINEST(L943:L1202,M943:T1202,TRUE,TRUE),1,9)*52</f>
        <v/>
      </c>
      <c r="AB1202" s="9">
        <f>INDEX(LINEST(L943:L1202,M943:T1202,TRUE,TRUE),1,8)</f>
        <v/>
      </c>
      <c r="AC1202" s="9">
        <f>INDEX(LINEST(L943:L1202,M943:T1202,TRUE,TRUE),1,7)</f>
        <v/>
      </c>
      <c r="AD1202" s="9">
        <f>INDEX(LINEST(L943:L1202,M943:T1202,TRUE,TRUE),1,6)</f>
        <v/>
      </c>
      <c r="AE1202" s="9">
        <f>INDEX(LINEST(L943:L1202,M943:T1202,TRUE,TRUE),1,5)</f>
        <v/>
      </c>
      <c r="AF1202" s="9">
        <f>INDEX(LINEST(L943:L1202,M943:T1202,TRUE,TRUE),1,4)</f>
        <v/>
      </c>
      <c r="AG1202" s="9">
        <f>INDEX(LINEST(L943:L1202,M943:T1202,TRUE,TRUE),1,3)</f>
        <v/>
      </c>
      <c r="AH1202" s="9">
        <f>INDEX(LINEST(L943:L1202,M943:T1202,TRUE,TRUE),1,2)</f>
        <v/>
      </c>
      <c r="AI1202" s="9">
        <f>INDEX(LINEST(L943:L1202,M943:T1202,TRUE,TRUE),1,1)</f>
        <v/>
      </c>
      <c r="AJ1202" s="10">
        <f>INDEX(LINEST(L943:L1202,M943:T1202,TRUE,TRUE),3,1)</f>
        <v/>
      </c>
      <c r="AK1202" s="9">
        <f>AA1201/52+AB1201*M1202+AC1201*N1202+AD1201*O1202+AE1201*P1202+AF1201*Q1202+AG1201*R1202+AH1201*S1202+AI1201*T1202</f>
        <v/>
      </c>
      <c r="AL1202" s="9">
        <f>AVERAGE(L942:L1201)</f>
        <v/>
      </c>
    </row>
    <row r="1203">
      <c r="A1203" s="7" t="n">
        <v>46031</v>
      </c>
      <c r="B1203" s="8" t="n">
        <v>4493.85</v>
      </c>
      <c r="C1203" s="8" t="n">
        <v>2.28</v>
      </c>
      <c r="D1203" s="8" t="n">
        <v>1.9</v>
      </c>
      <c r="E1203" s="8" t="n">
        <v>99.129997</v>
      </c>
      <c r="F1203" s="8" t="n">
        <v>58.96</v>
      </c>
      <c r="G1203" s="8" t="n">
        <v>14.49</v>
      </c>
      <c r="H1203" s="8" t="n">
        <v>61.549999</v>
      </c>
      <c r="I1203" s="8" t="n">
        <v>6966.279785</v>
      </c>
      <c r="J1203" s="8" t="n">
        <v>98.52531399999999</v>
      </c>
      <c r="L1203" s="9">
        <f>LN(B1203/B1202)</f>
        <v/>
      </c>
      <c r="M1203" s="9">
        <f>$M$1*(C1203-C1202)</f>
        <v/>
      </c>
      <c r="N1203" s="9">
        <f>$N$1*(D1203-D1202)</f>
        <v/>
      </c>
      <c r="O1203" s="9">
        <f>$O$1*LN(E1203/E1202)</f>
        <v/>
      </c>
      <c r="P1203" s="9">
        <f>$P$1*LN(F1203/F1202)</f>
        <v/>
      </c>
      <c r="Q1203" s="9">
        <f>$Q$1*(G1203-G1202)</f>
        <v/>
      </c>
      <c r="R1203" s="9">
        <f>$R$1*(H1203-H1202)</f>
        <v/>
      </c>
      <c r="S1203" s="9">
        <f>$S$1*LN(I1203/I1202)</f>
        <v/>
      </c>
      <c r="T1203" s="9">
        <f>$T$1*LN(J1203/J1202)</f>
        <v/>
      </c>
      <c r="U1203" s="9">
        <f>$W$12+$W$4*M1203+$W$5*N1203+$W$6*O1203+$W$7*P1203+$W$8*Q1203+$W$9*R1203+$W$10*S1203+$W$11*T1203</f>
        <v/>
      </c>
      <c r="AA1203" s="10">
        <f>INDEX(LINEST(L944:L1203,M944:T1203,TRUE,TRUE),1,9)*52</f>
        <v/>
      </c>
      <c r="AB1203" s="9">
        <f>INDEX(LINEST(L944:L1203,M944:T1203,TRUE,TRUE),1,8)</f>
        <v/>
      </c>
      <c r="AC1203" s="9">
        <f>INDEX(LINEST(L944:L1203,M944:T1203,TRUE,TRUE),1,7)</f>
        <v/>
      </c>
      <c r="AD1203" s="9">
        <f>INDEX(LINEST(L944:L1203,M944:T1203,TRUE,TRUE),1,6)</f>
        <v/>
      </c>
      <c r="AE1203" s="9">
        <f>INDEX(LINEST(L944:L1203,M944:T1203,TRUE,TRUE),1,5)</f>
        <v/>
      </c>
      <c r="AF1203" s="9">
        <f>INDEX(LINEST(L944:L1203,M944:T1203,TRUE,TRUE),1,4)</f>
        <v/>
      </c>
      <c r="AG1203" s="9">
        <f>INDEX(LINEST(L944:L1203,M944:T1203,TRUE,TRUE),1,3)</f>
        <v/>
      </c>
      <c r="AH1203" s="9">
        <f>INDEX(LINEST(L944:L1203,M944:T1203,TRUE,TRUE),1,2)</f>
        <v/>
      </c>
      <c r="AI1203" s="9">
        <f>INDEX(LINEST(L944:L1203,M944:T1203,TRUE,TRUE),1,1)</f>
        <v/>
      </c>
      <c r="AJ1203" s="10">
        <f>INDEX(LINEST(L944:L1203,M944:T1203,TRUE,TRUE),3,1)</f>
        <v/>
      </c>
      <c r="AK1203" s="9">
        <f>AA1202/52+AB1202*M1203+AC1202*N1203+AD1202*O1203+AE1202*P1203+AF1202*Q1203+AG1202*R1203+AH1202*S1203+AI1202*T1203</f>
        <v/>
      </c>
      <c r="AL1203" s="9">
        <f>AVERAGE(L943:L1202)</f>
        <v/>
      </c>
    </row>
    <row r="1204">
      <c r="A1204" s="7" t="n">
        <v>46038</v>
      </c>
      <c r="B1204" s="8" t="n">
        <v>4611.05</v>
      </c>
      <c r="C1204" s="8" t="n">
        <v>2.33</v>
      </c>
      <c r="D1204" s="8" t="n">
        <v>1.91</v>
      </c>
      <c r="E1204" s="8" t="n">
        <v>99.389999</v>
      </c>
      <c r="F1204" s="8" t="n">
        <v>59.4</v>
      </c>
      <c r="G1204" s="8" t="n">
        <v>15.86</v>
      </c>
      <c r="H1204" s="8" t="n">
        <v>58.049999</v>
      </c>
      <c r="I1204" s="8" t="n">
        <v>6940.009766</v>
      </c>
      <c r="J1204" s="8" t="n">
        <v>98.417107</v>
      </c>
      <c r="L1204" s="9">
        <f>LN(B1204/B1203)</f>
        <v/>
      </c>
      <c r="M1204" s="9">
        <f>$M$1*(C1204-C1203)</f>
        <v/>
      </c>
      <c r="N1204" s="9">
        <f>$N$1*(D1204-D1203)</f>
        <v/>
      </c>
      <c r="O1204" s="9">
        <f>$O$1*LN(E1204/E1203)</f>
        <v/>
      </c>
      <c r="P1204" s="9">
        <f>$P$1*LN(F1204/F1203)</f>
        <v/>
      </c>
      <c r="Q1204" s="9">
        <f>$Q$1*(G1204-G1203)</f>
        <v/>
      </c>
      <c r="R1204" s="9">
        <f>$R$1*(H1204-H1203)</f>
        <v/>
      </c>
      <c r="S1204" s="9">
        <f>$S$1*LN(I1204/I1203)</f>
        <v/>
      </c>
      <c r="T1204" s="9">
        <f>$T$1*LN(J1204/J1203)</f>
        <v/>
      </c>
      <c r="U1204" s="9">
        <f>$W$12+$W$4*M1204+$W$5*N1204+$W$6*O1204+$W$7*P1204+$W$8*Q1204+$W$9*R1204+$W$10*S1204+$W$11*T1204</f>
        <v/>
      </c>
      <c r="AA1204" s="10">
        <f>INDEX(LINEST(L945:L1204,M945:T1204,TRUE,TRUE),1,9)*52</f>
        <v/>
      </c>
      <c r="AB1204" s="9">
        <f>INDEX(LINEST(L945:L1204,M945:T1204,TRUE,TRUE),1,8)</f>
        <v/>
      </c>
      <c r="AC1204" s="9">
        <f>INDEX(LINEST(L945:L1204,M945:T1204,TRUE,TRUE),1,7)</f>
        <v/>
      </c>
      <c r="AD1204" s="9">
        <f>INDEX(LINEST(L945:L1204,M945:T1204,TRUE,TRUE),1,6)</f>
        <v/>
      </c>
      <c r="AE1204" s="9">
        <f>INDEX(LINEST(L945:L1204,M945:T1204,TRUE,TRUE),1,5)</f>
        <v/>
      </c>
      <c r="AF1204" s="9">
        <f>INDEX(LINEST(L945:L1204,M945:T1204,TRUE,TRUE),1,4)</f>
        <v/>
      </c>
      <c r="AG1204" s="9">
        <f>INDEX(LINEST(L945:L1204,M945:T1204,TRUE,TRUE),1,3)</f>
        <v/>
      </c>
      <c r="AH1204" s="9">
        <f>INDEX(LINEST(L945:L1204,M945:T1204,TRUE,TRUE),1,2)</f>
        <v/>
      </c>
      <c r="AI1204" s="9">
        <f>INDEX(LINEST(L945:L1204,M945:T1204,TRUE,TRUE),1,1)</f>
        <v/>
      </c>
      <c r="AJ1204" s="10">
        <f>INDEX(LINEST(L945:L1204,M945:T1204,TRUE,TRUE),3,1)</f>
        <v/>
      </c>
      <c r="AK1204" s="9">
        <f>AA1203/52+AB1203*M1204+AC1203*N1204+AD1203*O1204+AE1203*P1204+AF1203*Q1204+AG1203*R1204+AH1203*S1204+AI1203*T1204</f>
        <v/>
      </c>
      <c r="AL1204" s="9">
        <f>AVERAGE(L944:L1203)</f>
        <v/>
      </c>
    </row>
    <row r="1205">
      <c r="A1205" s="7" t="n">
        <v>46045</v>
      </c>
      <c r="B1205" s="8" t="n">
        <v>4946.25</v>
      </c>
      <c r="C1205" s="8" t="n">
        <v>2.32</v>
      </c>
      <c r="D1205" s="8" t="n">
        <v>1.92</v>
      </c>
      <c r="E1205" s="8" t="n">
        <v>97.599998</v>
      </c>
      <c r="F1205" s="8" t="n">
        <v>60.7</v>
      </c>
      <c r="G1205" s="8" t="n">
        <v>16.09</v>
      </c>
      <c r="H1205" s="8" t="n">
        <v>56.25</v>
      </c>
      <c r="I1205" s="8" t="n">
        <v>6915.609863</v>
      </c>
      <c r="J1205" s="8" t="n">
        <v>98.476128</v>
      </c>
      <c r="L1205" s="9">
        <f>LN(B1205/B1204)</f>
        <v/>
      </c>
      <c r="M1205" s="9">
        <f>$M$1*(C1205-C1204)</f>
        <v/>
      </c>
      <c r="N1205" s="9">
        <f>$N$1*(D1205-D1204)</f>
        <v/>
      </c>
      <c r="O1205" s="9">
        <f>$O$1*LN(E1205/E1204)</f>
        <v/>
      </c>
      <c r="P1205" s="9">
        <f>$P$1*LN(F1205/F1204)</f>
        <v/>
      </c>
      <c r="Q1205" s="9">
        <f>$Q$1*(G1205-G1204)</f>
        <v/>
      </c>
      <c r="R1205" s="9">
        <f>$R$1*(H1205-H1204)</f>
        <v/>
      </c>
      <c r="S1205" s="9">
        <f>$S$1*LN(I1205/I1204)</f>
        <v/>
      </c>
      <c r="T1205" s="9">
        <f>$T$1*LN(J1205/J1204)</f>
        <v/>
      </c>
      <c r="U1205" s="9">
        <f>$W$12+$W$4*M1205+$W$5*N1205+$W$6*O1205+$W$7*P1205+$W$8*Q1205+$W$9*R1205+$W$10*S1205+$W$11*T1205</f>
        <v/>
      </c>
      <c r="AA1205" s="10">
        <f>INDEX(LINEST(L946:L1205,M946:T1205,TRUE,TRUE),1,9)*52</f>
        <v/>
      </c>
      <c r="AB1205" s="9">
        <f>INDEX(LINEST(L946:L1205,M946:T1205,TRUE,TRUE),1,8)</f>
        <v/>
      </c>
      <c r="AC1205" s="9">
        <f>INDEX(LINEST(L946:L1205,M946:T1205,TRUE,TRUE),1,7)</f>
        <v/>
      </c>
      <c r="AD1205" s="9">
        <f>INDEX(LINEST(L946:L1205,M946:T1205,TRUE,TRUE),1,6)</f>
        <v/>
      </c>
      <c r="AE1205" s="9">
        <f>INDEX(LINEST(L946:L1205,M946:T1205,TRUE,TRUE),1,5)</f>
        <v/>
      </c>
      <c r="AF1205" s="9">
        <f>INDEX(LINEST(L946:L1205,M946:T1205,TRUE,TRUE),1,4)</f>
        <v/>
      </c>
      <c r="AG1205" s="9">
        <f>INDEX(LINEST(L946:L1205,M946:T1205,TRUE,TRUE),1,3)</f>
        <v/>
      </c>
      <c r="AH1205" s="9">
        <f>INDEX(LINEST(L946:L1205,M946:T1205,TRUE,TRUE),1,2)</f>
        <v/>
      </c>
      <c r="AI1205" s="9">
        <f>INDEX(LINEST(L946:L1205,M946:T1205,TRUE,TRUE),1,1)</f>
        <v/>
      </c>
      <c r="AJ1205" s="10">
        <f>INDEX(LINEST(L946:L1205,M946:T1205,TRUE,TRUE),3,1)</f>
        <v/>
      </c>
      <c r="AK1205" s="9">
        <f>AA1204/52+AB1204*M1205+AC1204*N1205+AD1204*O1205+AE1204*P1205+AF1204*Q1205+AG1204*R1205+AH1204*S1205+AI1204*T1205</f>
        <v/>
      </c>
      <c r="AL1205" s="9">
        <f>AVERAGE(L945:L1204)</f>
        <v/>
      </c>
    </row>
    <row r="1206">
      <c r="A1206" s="7" t="n">
        <v>46052</v>
      </c>
      <c r="B1206" s="8" t="n">
        <v>4981.85</v>
      </c>
      <c r="C1206" s="8" t="n">
        <v>2.36</v>
      </c>
      <c r="D1206" s="8" t="n">
        <v>1.9</v>
      </c>
      <c r="E1206" s="8" t="n">
        <v>96.989998</v>
      </c>
      <c r="F1206" s="8" t="n">
        <v>64.5</v>
      </c>
      <c r="G1206" s="8" t="n">
        <v>17.44</v>
      </c>
      <c r="H1206" s="8" t="n">
        <v>59.200001</v>
      </c>
      <c r="I1206" s="8" t="n">
        <v>6939.029785</v>
      </c>
      <c r="J1206" s="8" t="n">
        <v>98.495789</v>
      </c>
      <c r="L1206" s="9">
        <f>LN(B1206/B1205)</f>
        <v/>
      </c>
      <c r="M1206" s="9">
        <f>$M$1*(C1206-C1205)</f>
        <v/>
      </c>
      <c r="N1206" s="9">
        <f>$N$1*(D1206-D1205)</f>
        <v/>
      </c>
      <c r="O1206" s="9">
        <f>$O$1*LN(E1206/E1205)</f>
        <v/>
      </c>
      <c r="P1206" s="9">
        <f>$P$1*LN(F1206/F1205)</f>
        <v/>
      </c>
      <c r="Q1206" s="9">
        <f>$Q$1*(G1206-G1205)</f>
        <v/>
      </c>
      <c r="R1206" s="9">
        <f>$R$1*(H1206-H1205)</f>
        <v/>
      </c>
      <c r="S1206" s="9">
        <f>$S$1*LN(I1206/I1205)</f>
        <v/>
      </c>
      <c r="T1206" s="9">
        <f>$T$1*LN(J1206/J1205)</f>
        <v/>
      </c>
      <c r="U1206" s="9">
        <f>$W$12+$W$4*M1206+$W$5*N1206+$W$6*O1206+$W$7*P1206+$W$8*Q1206+$W$9*R1206+$W$10*S1206+$W$11*T1206</f>
        <v/>
      </c>
      <c r="AA1206" s="10">
        <f>INDEX(LINEST(L947:L1206,M947:T1206,TRUE,TRUE),1,9)*52</f>
        <v/>
      </c>
      <c r="AB1206" s="9">
        <f>INDEX(LINEST(L947:L1206,M947:T1206,TRUE,TRUE),1,8)</f>
        <v/>
      </c>
      <c r="AC1206" s="9">
        <f>INDEX(LINEST(L947:L1206,M947:T1206,TRUE,TRUE),1,7)</f>
        <v/>
      </c>
      <c r="AD1206" s="9">
        <f>INDEX(LINEST(L947:L1206,M947:T1206,TRUE,TRUE),1,6)</f>
        <v/>
      </c>
      <c r="AE1206" s="9">
        <f>INDEX(LINEST(L947:L1206,M947:T1206,TRUE,TRUE),1,5)</f>
        <v/>
      </c>
      <c r="AF1206" s="9">
        <f>INDEX(LINEST(L947:L1206,M947:T1206,TRUE,TRUE),1,4)</f>
        <v/>
      </c>
      <c r="AG1206" s="9">
        <f>INDEX(LINEST(L947:L1206,M947:T1206,TRUE,TRUE),1,3)</f>
        <v/>
      </c>
      <c r="AH1206" s="9">
        <f>INDEX(LINEST(L947:L1206,M947:T1206,TRUE,TRUE),1,2)</f>
        <v/>
      </c>
      <c r="AI1206" s="9">
        <f>INDEX(LINEST(L947:L1206,M947:T1206,TRUE,TRUE),1,1)</f>
        <v/>
      </c>
      <c r="AJ1206" s="10">
        <f>INDEX(LINEST(L947:L1206,M947:T1206,TRUE,TRUE),3,1)</f>
        <v/>
      </c>
      <c r="AK1206" s="9">
        <f>AA1205/52+AB1205*M1206+AC1205*N1206+AD1205*O1206+AE1205*P1206+AF1205*Q1206+AG1205*R1206+AH1205*S1206+AI1205*T1206</f>
        <v/>
      </c>
      <c r="AL1206" s="9">
        <f>AVERAGE(L946:L1205)</f>
        <v/>
      </c>
    </row>
    <row r="1207">
      <c r="A1207" s="7" t="n">
        <v>46059</v>
      </c>
      <c r="B1207" s="8" t="n">
        <v>4948</v>
      </c>
      <c r="C1207" s="8" t="n">
        <v>2.34</v>
      </c>
      <c r="D1207" s="8" t="n">
        <v>1.88</v>
      </c>
      <c r="E1207" s="8" t="n">
        <v>97.629997</v>
      </c>
      <c r="F1207" s="8" t="n">
        <v>63.77</v>
      </c>
      <c r="G1207" s="8" t="n">
        <v>17.76</v>
      </c>
      <c r="H1207" s="8" t="n">
        <v>63.619999</v>
      </c>
      <c r="I1207" s="8" t="n">
        <v>6932.299805</v>
      </c>
      <c r="J1207" s="8" t="n">
        <v>98.81652800000001</v>
      </c>
      <c r="L1207" s="9">
        <f>LN(B1207/B1206)</f>
        <v/>
      </c>
      <c r="M1207" s="9">
        <f>$M$1*(C1207-C1206)</f>
        <v/>
      </c>
      <c r="N1207" s="9">
        <f>$N$1*(D1207-D1206)</f>
        <v/>
      </c>
      <c r="O1207" s="9">
        <f>$O$1*LN(E1207/E1206)</f>
        <v/>
      </c>
      <c r="P1207" s="9">
        <f>$P$1*LN(F1207/F1206)</f>
        <v/>
      </c>
      <c r="Q1207" s="9">
        <f>$Q$1*(G1207-G1206)</f>
        <v/>
      </c>
      <c r="R1207" s="9">
        <f>$R$1*(H1207-H1206)</f>
        <v/>
      </c>
      <c r="S1207" s="9">
        <f>$S$1*LN(I1207/I1206)</f>
        <v/>
      </c>
      <c r="T1207" s="9">
        <f>$T$1*LN(J1207/J1206)</f>
        <v/>
      </c>
      <c r="U1207" s="9">
        <f>$W$12+$W$4*M1207+$W$5*N1207+$W$6*O1207+$W$7*P1207+$W$8*Q1207+$W$9*R1207+$W$10*S1207+$W$11*T1207</f>
        <v/>
      </c>
      <c r="AA1207" s="10">
        <f>INDEX(LINEST(L948:L1207,M948:T1207,TRUE,TRUE),1,9)*52</f>
        <v/>
      </c>
      <c r="AB1207" s="9">
        <f>INDEX(LINEST(L948:L1207,M948:T1207,TRUE,TRUE),1,8)</f>
        <v/>
      </c>
      <c r="AC1207" s="9">
        <f>INDEX(LINEST(L948:L1207,M948:T1207,TRUE,TRUE),1,7)</f>
        <v/>
      </c>
      <c r="AD1207" s="9">
        <f>INDEX(LINEST(L948:L1207,M948:T1207,TRUE,TRUE),1,6)</f>
        <v/>
      </c>
      <c r="AE1207" s="9">
        <f>INDEX(LINEST(L948:L1207,M948:T1207,TRUE,TRUE),1,5)</f>
        <v/>
      </c>
      <c r="AF1207" s="9">
        <f>INDEX(LINEST(L948:L1207,M948:T1207,TRUE,TRUE),1,4)</f>
        <v/>
      </c>
      <c r="AG1207" s="9">
        <f>INDEX(LINEST(L948:L1207,M948:T1207,TRUE,TRUE),1,3)</f>
        <v/>
      </c>
      <c r="AH1207" s="9">
        <f>INDEX(LINEST(L948:L1207,M948:T1207,TRUE,TRUE),1,2)</f>
        <v/>
      </c>
      <c r="AI1207" s="9">
        <f>INDEX(LINEST(L948:L1207,M948:T1207,TRUE,TRUE),1,1)</f>
        <v/>
      </c>
      <c r="AJ1207" s="10">
        <f>INDEX(LINEST(L948:L1207,M948:T1207,TRUE,TRUE),3,1)</f>
        <v/>
      </c>
      <c r="AK1207" s="9">
        <f>AA1206/52+AB1206*M1207+AC1206*N1207+AD1206*O1207+AE1206*P1207+AF1206*Q1207+AG1206*R1207+AH1206*S1207+AI1206*T1207</f>
        <v/>
      </c>
      <c r="AL1207" s="9">
        <f>AVERAGE(L947:L1206)</f>
        <v/>
      </c>
    </row>
    <row r="1208">
      <c r="A1208" s="7" t="n">
        <v>46066</v>
      </c>
      <c r="B1208" s="8" t="n">
        <v>4994.95</v>
      </c>
      <c r="C1208" s="8" t="n">
        <v>2.27</v>
      </c>
      <c r="D1208" s="8" t="n">
        <v>1.77</v>
      </c>
      <c r="E1208" s="8" t="n">
        <v>96.879997</v>
      </c>
      <c r="F1208" s="8" t="n">
        <v>63.05</v>
      </c>
      <c r="G1208" s="8" t="n">
        <v>20.6</v>
      </c>
      <c r="H1208" s="8" t="n">
        <v>70.099998</v>
      </c>
      <c r="I1208" s="8" t="n">
        <v>6836.169922</v>
      </c>
      <c r="J1208" s="8" t="n">
        <v>99.66526</v>
      </c>
      <c r="L1208" s="9">
        <f>LN(B1208/B1207)</f>
        <v/>
      </c>
      <c r="M1208" s="9">
        <f>$M$1*(C1208-C1207)</f>
        <v/>
      </c>
      <c r="N1208" s="9">
        <f>$N$1*(D1208-D1207)</f>
        <v/>
      </c>
      <c r="O1208" s="9">
        <f>$O$1*LN(E1208/E1207)</f>
        <v/>
      </c>
      <c r="P1208" s="9">
        <f>$P$1*LN(F1208/F1207)</f>
        <v/>
      </c>
      <c r="Q1208" s="9">
        <f>$Q$1*(G1208-G1207)</f>
        <v/>
      </c>
      <c r="R1208" s="9">
        <f>$R$1*(H1208-H1207)</f>
        <v/>
      </c>
      <c r="S1208" s="9">
        <f>$S$1*LN(I1208/I1207)</f>
        <v/>
      </c>
      <c r="T1208" s="9">
        <f>$T$1*LN(J1208/J1207)</f>
        <v/>
      </c>
      <c r="U1208" s="9">
        <f>$W$12+$W$4*M1208+$W$5*N1208+$W$6*O1208+$W$7*P1208+$W$8*Q1208+$W$9*R1208+$W$10*S1208+$W$11*T1208</f>
        <v/>
      </c>
      <c r="AA1208" s="10">
        <f>INDEX(LINEST(L949:L1208,M949:T1208,TRUE,TRUE),1,9)*52</f>
        <v/>
      </c>
      <c r="AB1208" s="9">
        <f>INDEX(LINEST(L949:L1208,M949:T1208,TRUE,TRUE),1,8)</f>
        <v/>
      </c>
      <c r="AC1208" s="9">
        <f>INDEX(LINEST(L949:L1208,M949:T1208,TRUE,TRUE),1,7)</f>
        <v/>
      </c>
      <c r="AD1208" s="9">
        <f>INDEX(LINEST(L949:L1208,M949:T1208,TRUE,TRUE),1,6)</f>
        <v/>
      </c>
      <c r="AE1208" s="9">
        <f>INDEX(LINEST(L949:L1208,M949:T1208,TRUE,TRUE),1,5)</f>
        <v/>
      </c>
      <c r="AF1208" s="9">
        <f>INDEX(LINEST(L949:L1208,M949:T1208,TRUE,TRUE),1,4)</f>
        <v/>
      </c>
      <c r="AG1208" s="9">
        <f>INDEX(LINEST(L949:L1208,M949:T1208,TRUE,TRUE),1,3)</f>
        <v/>
      </c>
      <c r="AH1208" s="9">
        <f>INDEX(LINEST(L949:L1208,M949:T1208,TRUE,TRUE),1,2)</f>
        <v/>
      </c>
      <c r="AI1208" s="9">
        <f>INDEX(LINEST(L949:L1208,M949:T1208,TRUE,TRUE),1,1)</f>
        <v/>
      </c>
      <c r="AJ1208" s="10">
        <f>INDEX(LINEST(L949:L1208,M949:T1208,TRUE,TRUE),3,1)</f>
        <v/>
      </c>
      <c r="AK1208" s="9">
        <f>AA1207/52+AB1207*M1208+AC1207*N1208+AD1207*O1208+AE1207*P1208+AF1207*Q1208+AG1207*R1208+AH1207*S1208+AI1207*T1208</f>
        <v/>
      </c>
      <c r="AL1208" s="9">
        <f>AVERAGE(L948:L1207)</f>
        <v/>
      </c>
    </row>
    <row r="1209">
      <c r="A1209" s="7" t="n">
        <v>46073</v>
      </c>
      <c r="B1209" s="8" t="n">
        <v>5053.2</v>
      </c>
      <c r="C1209" s="8" t="n">
        <v>2.28</v>
      </c>
      <c r="D1209" s="8" t="n">
        <v>1.8</v>
      </c>
      <c r="E1209" s="8" t="n">
        <v>97.800003</v>
      </c>
      <c r="F1209" s="8" t="n">
        <v>66.69</v>
      </c>
      <c r="G1209" s="8" t="n">
        <v>19.09</v>
      </c>
      <c r="H1209" s="8" t="n">
        <v>64.269997</v>
      </c>
      <c r="I1209" s="8" t="n">
        <v>6909.509766</v>
      </c>
      <c r="J1209" s="8" t="n">
        <v>99.576431</v>
      </c>
      <c r="L1209" s="9">
        <f>LN(B1209/B1208)</f>
        <v/>
      </c>
      <c r="M1209" s="9">
        <f>$M$1*(C1209-C1208)</f>
        <v/>
      </c>
      <c r="N1209" s="9">
        <f>$N$1*(D1209-D1208)</f>
        <v/>
      </c>
      <c r="O1209" s="9">
        <f>$O$1*LN(E1209/E1208)</f>
        <v/>
      </c>
      <c r="P1209" s="9">
        <f>$P$1*LN(F1209/F1208)</f>
        <v/>
      </c>
      <c r="Q1209" s="9">
        <f>$Q$1*(G1209-G1208)</f>
        <v/>
      </c>
      <c r="R1209" s="9">
        <f>$R$1*(H1209-H1208)</f>
        <v/>
      </c>
      <c r="S1209" s="9">
        <f>$S$1*LN(I1209/I1208)</f>
        <v/>
      </c>
      <c r="T1209" s="9">
        <f>$T$1*LN(J1209/J1208)</f>
        <v/>
      </c>
      <c r="U1209" s="9">
        <f>$W$12+$W$4*M1209+$W$5*N1209+$W$6*O1209+$W$7*P1209+$W$8*Q1209+$W$9*R1209+$W$10*S1209+$W$11*T1209</f>
        <v/>
      </c>
      <c r="AA1209" s="10">
        <f>INDEX(LINEST(L950:L1209,M950:T1209,TRUE,TRUE),1,9)*52</f>
        <v/>
      </c>
      <c r="AB1209" s="9">
        <f>INDEX(LINEST(L950:L1209,M950:T1209,TRUE,TRUE),1,8)</f>
        <v/>
      </c>
      <c r="AC1209" s="9">
        <f>INDEX(LINEST(L950:L1209,M950:T1209,TRUE,TRUE),1,7)</f>
        <v/>
      </c>
      <c r="AD1209" s="9">
        <f>INDEX(LINEST(L950:L1209,M950:T1209,TRUE,TRUE),1,6)</f>
        <v/>
      </c>
      <c r="AE1209" s="9">
        <f>INDEX(LINEST(L950:L1209,M950:T1209,TRUE,TRUE),1,5)</f>
        <v/>
      </c>
      <c r="AF1209" s="9">
        <f>INDEX(LINEST(L950:L1209,M950:T1209,TRUE,TRUE),1,4)</f>
        <v/>
      </c>
      <c r="AG1209" s="9">
        <f>INDEX(LINEST(L950:L1209,M950:T1209,TRUE,TRUE),1,3)</f>
        <v/>
      </c>
      <c r="AH1209" s="9">
        <f>INDEX(LINEST(L950:L1209,M950:T1209,TRUE,TRUE),1,2)</f>
        <v/>
      </c>
      <c r="AI1209" s="9">
        <f>INDEX(LINEST(L950:L1209,M950:T1209,TRUE,TRUE),1,1)</f>
        <v/>
      </c>
      <c r="AJ1209" s="10">
        <f>INDEX(LINEST(L950:L1209,M950:T1209,TRUE,TRUE),3,1)</f>
        <v/>
      </c>
      <c r="AK1209" s="9">
        <f>AA1208/52+AB1208*M1209+AC1208*N1209+AD1208*O1209+AE1208*P1209+AF1208*Q1209+AG1208*R1209+AH1208*S1209+AI1208*T1209</f>
        <v/>
      </c>
      <c r="AL1209" s="9">
        <f>AVERAGE(L949:L1208)</f>
        <v/>
      </c>
    </row>
    <row r="1210">
      <c r="A1210" s="7" t="n">
        <v>46080</v>
      </c>
      <c r="B1210" s="8" t="n">
        <v>5222.3</v>
      </c>
      <c r="C1210" s="8" t="n">
        <v>2.25</v>
      </c>
      <c r="D1210" s="8" t="n">
        <v>1.72</v>
      </c>
      <c r="E1210" s="8" t="n">
        <v>97.610001</v>
      </c>
      <c r="F1210" s="8" t="n">
        <v>66.95999999999999</v>
      </c>
      <c r="G1210" s="8" t="n">
        <v>19.86</v>
      </c>
      <c r="H1210" s="8" t="n">
        <v>73.379997</v>
      </c>
      <c r="I1210" s="8" t="n">
        <v>6878.879883</v>
      </c>
      <c r="J1210" s="8" t="n">
        <v>100.069878</v>
      </c>
      <c r="L1210" s="9">
        <f>LN(B1210/B1209)</f>
        <v/>
      </c>
      <c r="M1210" s="9">
        <f>$M$1*(C1210-C1209)</f>
        <v/>
      </c>
      <c r="N1210" s="9">
        <f>$N$1*(D1210-D1209)</f>
        <v/>
      </c>
      <c r="O1210" s="9">
        <f>$O$1*LN(E1210/E1209)</f>
        <v/>
      </c>
      <c r="P1210" s="9">
        <f>$P$1*LN(F1210/F1209)</f>
        <v/>
      </c>
      <c r="Q1210" s="9">
        <f>$Q$1*(G1210-G1209)</f>
        <v/>
      </c>
      <c r="R1210" s="9">
        <f>$R$1*(H1210-H1209)</f>
        <v/>
      </c>
      <c r="S1210" s="9">
        <f>$S$1*LN(I1210/I1209)</f>
        <v/>
      </c>
      <c r="T1210" s="9">
        <f>$T$1*LN(J1210/J1209)</f>
        <v/>
      </c>
      <c r="U1210" s="9">
        <f>$W$12+$W$4*M1210+$W$5*N1210+$W$6*O1210+$W$7*P1210+$W$8*Q1210+$W$9*R1210+$W$10*S1210+$W$11*T1210</f>
        <v/>
      </c>
      <c r="AA1210" s="10">
        <f>INDEX(LINEST(L951:L1210,M951:T1210,TRUE,TRUE),1,9)*52</f>
        <v/>
      </c>
      <c r="AB1210" s="9">
        <f>INDEX(LINEST(L951:L1210,M951:T1210,TRUE,TRUE),1,8)</f>
        <v/>
      </c>
      <c r="AC1210" s="9">
        <f>INDEX(LINEST(L951:L1210,M951:T1210,TRUE,TRUE),1,7)</f>
        <v/>
      </c>
      <c r="AD1210" s="9">
        <f>INDEX(LINEST(L951:L1210,M951:T1210,TRUE,TRUE),1,6)</f>
        <v/>
      </c>
      <c r="AE1210" s="9">
        <f>INDEX(LINEST(L951:L1210,M951:T1210,TRUE,TRUE),1,5)</f>
        <v/>
      </c>
      <c r="AF1210" s="9">
        <f>INDEX(LINEST(L951:L1210,M951:T1210,TRUE,TRUE),1,4)</f>
        <v/>
      </c>
      <c r="AG1210" s="9">
        <f>INDEX(LINEST(L951:L1210,M951:T1210,TRUE,TRUE),1,3)</f>
        <v/>
      </c>
      <c r="AH1210" s="9">
        <f>INDEX(LINEST(L951:L1210,M951:T1210,TRUE,TRUE),1,2)</f>
        <v/>
      </c>
      <c r="AI1210" s="9">
        <f>INDEX(LINEST(L951:L1210,M951:T1210,TRUE,TRUE),1,1)</f>
        <v/>
      </c>
      <c r="AJ1210" s="10">
        <f>INDEX(LINEST(L951:L1210,M951:T1210,TRUE,TRUE),3,1)</f>
        <v/>
      </c>
      <c r="AK1210" s="9">
        <f>AA1209/52+AB1209*M1210+AC1209*N1210+AD1209*O1210+AE1209*P1210+AF1209*Q1210+AG1209*R1210+AH1209*S1210+AI1209*T1210</f>
        <v/>
      </c>
      <c r="AL1210" s="9">
        <f>AVERAGE(L950:L1209)</f>
        <v/>
      </c>
    </row>
    <row r="1211">
      <c r="A1211" s="7" t="n">
        <v>46087</v>
      </c>
      <c r="B1211" s="8" t="n">
        <v>5127.55</v>
      </c>
      <c r="C1211" s="8" t="n">
        <v>2.35</v>
      </c>
      <c r="D1211" s="8" t="n">
        <v>1.8</v>
      </c>
      <c r="E1211" s="8" t="n">
        <v>98.989998</v>
      </c>
      <c r="F1211" s="8" t="n">
        <v>90.77</v>
      </c>
      <c r="G1211" s="8" t="n">
        <v>29.49</v>
      </c>
      <c r="H1211" s="8" t="n">
        <v>81.260002</v>
      </c>
      <c r="I1211" s="8" t="n">
        <v>6740.02002</v>
      </c>
      <c r="J1211" s="8" t="n">
        <v>99.115555</v>
      </c>
      <c r="L1211" s="9">
        <f>LN(B1211/B1210)</f>
        <v/>
      </c>
      <c r="M1211" s="9">
        <f>$M$1*(C1211-C1210)</f>
        <v/>
      </c>
      <c r="N1211" s="9">
        <f>$N$1*(D1211-D1210)</f>
        <v/>
      </c>
      <c r="O1211" s="9">
        <f>$O$1*LN(E1211/E1210)</f>
        <v/>
      </c>
      <c r="P1211" s="9">
        <f>$P$1*LN(F1211/F1210)</f>
        <v/>
      </c>
      <c r="Q1211" s="9">
        <f>$Q$1*(G1211-G1210)</f>
        <v/>
      </c>
      <c r="R1211" s="9">
        <f>$R$1*(H1211-H1210)</f>
        <v/>
      </c>
      <c r="S1211" s="9">
        <f>$S$1*LN(I1211/I1210)</f>
        <v/>
      </c>
      <c r="T1211" s="9">
        <f>$T$1*LN(J1211/J1210)</f>
        <v/>
      </c>
      <c r="U1211" s="9">
        <f>$W$12+$W$4*M1211+$W$5*N1211+$W$6*O1211+$W$7*P1211+$W$8*Q1211+$W$9*R1211+$W$10*S1211+$W$11*T1211</f>
        <v/>
      </c>
      <c r="AA1211" s="10">
        <f>INDEX(LINEST(L952:L1211,M952:T1211,TRUE,TRUE),1,9)*52</f>
        <v/>
      </c>
      <c r="AB1211" s="9">
        <f>INDEX(LINEST(L952:L1211,M952:T1211,TRUE,TRUE),1,8)</f>
        <v/>
      </c>
      <c r="AC1211" s="9">
        <f>INDEX(LINEST(L952:L1211,M952:T1211,TRUE,TRUE),1,7)</f>
        <v/>
      </c>
      <c r="AD1211" s="9">
        <f>INDEX(LINEST(L952:L1211,M952:T1211,TRUE,TRUE),1,6)</f>
        <v/>
      </c>
      <c r="AE1211" s="9">
        <f>INDEX(LINEST(L952:L1211,M952:T1211,TRUE,TRUE),1,5)</f>
        <v/>
      </c>
      <c r="AF1211" s="9">
        <f>INDEX(LINEST(L952:L1211,M952:T1211,TRUE,TRUE),1,4)</f>
        <v/>
      </c>
      <c r="AG1211" s="9">
        <f>INDEX(LINEST(L952:L1211,M952:T1211,TRUE,TRUE),1,3)</f>
        <v/>
      </c>
      <c r="AH1211" s="9">
        <f>INDEX(LINEST(L952:L1211,M952:T1211,TRUE,TRUE),1,2)</f>
        <v/>
      </c>
      <c r="AI1211" s="9">
        <f>INDEX(LINEST(L952:L1211,M952:T1211,TRUE,TRUE),1,1)</f>
        <v/>
      </c>
      <c r="AJ1211" s="10">
        <f>INDEX(LINEST(L952:L1211,M952:T1211,TRUE,TRUE),3,1)</f>
        <v/>
      </c>
      <c r="AK1211" s="9">
        <f>AA1210/52+AB1210*M1211+AC1210*N1211+AD1210*O1211+AE1210*P1211+AF1210*Q1211+AG1210*R1211+AH1210*S1211+AI1210*T1211</f>
        <v/>
      </c>
      <c r="AL1211" s="9">
        <f>AVERAGE(L951:L1210)</f>
        <v/>
      </c>
    </row>
    <row r="1212">
      <c r="A1212" s="7" t="n">
        <v>46094</v>
      </c>
      <c r="B1212" s="8" t="n">
        <v>5044.6</v>
      </c>
      <c r="C1212" s="8" t="n">
        <v>2.36</v>
      </c>
      <c r="D1212" s="8" t="n">
        <v>1.92</v>
      </c>
      <c r="E1212" s="8" t="n">
        <v>100.360001</v>
      </c>
      <c r="F1212" s="8" t="n">
        <v>98.48</v>
      </c>
      <c r="G1212" s="8" t="n">
        <v>27.19</v>
      </c>
      <c r="H1212" s="8" t="n">
        <v>91.16999800000001</v>
      </c>
      <c r="I1212" s="8" t="n">
        <v>6632.189941</v>
      </c>
      <c r="J1212" s="8" t="n">
        <v>98.214676</v>
      </c>
      <c r="L1212" s="9">
        <f>LN(B1212/B1211)</f>
        <v/>
      </c>
      <c r="M1212" s="9">
        <f>$M$1*(C1212-C1211)</f>
        <v/>
      </c>
      <c r="N1212" s="9">
        <f>$N$1*(D1212-D1211)</f>
        <v/>
      </c>
      <c r="O1212" s="9">
        <f>$O$1*LN(E1212/E1211)</f>
        <v/>
      </c>
      <c r="P1212" s="9">
        <f>$P$1*LN(F1212/F1211)</f>
        <v/>
      </c>
      <c r="Q1212" s="9">
        <f>$Q$1*(G1212-G1211)</f>
        <v/>
      </c>
      <c r="R1212" s="9">
        <f>$R$1*(H1212-H1211)</f>
        <v/>
      </c>
      <c r="S1212" s="9">
        <f>$S$1*LN(I1212/I1211)</f>
        <v/>
      </c>
      <c r="T1212" s="9">
        <f>$T$1*LN(J1212/J1211)</f>
        <v/>
      </c>
      <c r="U1212" s="9">
        <f>$W$12+$W$4*M1212+$W$5*N1212+$W$6*O1212+$W$7*P1212+$W$8*Q1212+$W$9*R1212+$W$10*S1212+$W$11*T1212</f>
        <v/>
      </c>
      <c r="AA1212" s="10">
        <f>INDEX(LINEST(L953:L1212,M953:T1212,TRUE,TRUE),1,9)*52</f>
        <v/>
      </c>
      <c r="AB1212" s="9">
        <f>INDEX(LINEST(L953:L1212,M953:T1212,TRUE,TRUE),1,8)</f>
        <v/>
      </c>
      <c r="AC1212" s="9">
        <f>INDEX(LINEST(L953:L1212,M953:T1212,TRUE,TRUE),1,7)</f>
        <v/>
      </c>
      <c r="AD1212" s="9">
        <f>INDEX(LINEST(L953:L1212,M953:T1212,TRUE,TRUE),1,6)</f>
        <v/>
      </c>
      <c r="AE1212" s="9">
        <f>INDEX(LINEST(L953:L1212,M953:T1212,TRUE,TRUE),1,5)</f>
        <v/>
      </c>
      <c r="AF1212" s="9">
        <f>INDEX(LINEST(L953:L1212,M953:T1212,TRUE,TRUE),1,4)</f>
        <v/>
      </c>
      <c r="AG1212" s="9">
        <f>INDEX(LINEST(L953:L1212,M953:T1212,TRUE,TRUE),1,3)</f>
        <v/>
      </c>
      <c r="AH1212" s="9">
        <f>INDEX(LINEST(L953:L1212,M953:T1212,TRUE,TRUE),1,2)</f>
        <v/>
      </c>
      <c r="AI1212" s="9">
        <f>INDEX(LINEST(L953:L1212,M953:T1212,TRUE,TRUE),1,1)</f>
        <v/>
      </c>
      <c r="AJ1212" s="10">
        <f>INDEX(LINEST(L953:L1212,M953:T1212,TRUE,TRUE),3,1)</f>
        <v/>
      </c>
      <c r="AK1212" s="9">
        <f>AA1211/52+AB1211*M1212+AC1211*N1212+AD1211*O1212+AE1211*P1212+AF1211*Q1212+AG1211*R1212+AH1211*S1212+AI1211*T1212</f>
        <v/>
      </c>
      <c r="AL1212" s="9">
        <f>AVERAGE(L952:L1211)</f>
        <v/>
      </c>
    </row>
    <row r="1213">
      <c r="A1213" s="7" t="n">
        <v>46101</v>
      </c>
      <c r="B1213" s="8" t="n">
        <v>4562.55</v>
      </c>
      <c r="C1213" s="8" t="n">
        <v>2.38</v>
      </c>
      <c r="D1213" s="8" t="n">
        <v>2.01</v>
      </c>
      <c r="E1213" s="8" t="n">
        <v>99.650002</v>
      </c>
      <c r="F1213" s="8" t="n">
        <v>98.70999999999999</v>
      </c>
      <c r="G1213" s="8" t="n">
        <v>26.78</v>
      </c>
      <c r="H1213" s="8" t="n">
        <v>108.839996</v>
      </c>
      <c r="I1213" s="8" t="n">
        <v>6506.47998</v>
      </c>
      <c r="J1213" s="8" t="n">
        <v>97.670204</v>
      </c>
      <c r="L1213" s="9">
        <f>LN(B1213/B1212)</f>
        <v/>
      </c>
      <c r="M1213" s="9">
        <f>$M$1*(C1213-C1212)</f>
        <v/>
      </c>
      <c r="N1213" s="9">
        <f>$N$1*(D1213-D1212)</f>
        <v/>
      </c>
      <c r="O1213" s="9">
        <f>$O$1*LN(E1213/E1212)</f>
        <v/>
      </c>
      <c r="P1213" s="9">
        <f>$P$1*LN(F1213/F1212)</f>
        <v/>
      </c>
      <c r="Q1213" s="9">
        <f>$Q$1*(G1213-G1212)</f>
        <v/>
      </c>
      <c r="R1213" s="9">
        <f>$R$1*(H1213-H1212)</f>
        <v/>
      </c>
      <c r="S1213" s="9">
        <f>$S$1*LN(I1213/I1212)</f>
        <v/>
      </c>
      <c r="T1213" s="9">
        <f>$T$1*LN(J1213/J1212)</f>
        <v/>
      </c>
      <c r="U1213" s="9">
        <f>$W$12+$W$4*M1213+$W$5*N1213+$W$6*O1213+$W$7*P1213+$W$8*Q1213+$W$9*R1213+$W$10*S1213+$W$11*T1213</f>
        <v/>
      </c>
      <c r="AA1213" s="10">
        <f>INDEX(LINEST(L954:L1213,M954:T1213,TRUE,TRUE),1,9)*52</f>
        <v/>
      </c>
      <c r="AB1213" s="9">
        <f>INDEX(LINEST(L954:L1213,M954:T1213,TRUE,TRUE),1,8)</f>
        <v/>
      </c>
      <c r="AC1213" s="9">
        <f>INDEX(LINEST(L954:L1213,M954:T1213,TRUE,TRUE),1,7)</f>
        <v/>
      </c>
      <c r="AD1213" s="9">
        <f>INDEX(LINEST(L954:L1213,M954:T1213,TRUE,TRUE),1,6)</f>
        <v/>
      </c>
      <c r="AE1213" s="9">
        <f>INDEX(LINEST(L954:L1213,M954:T1213,TRUE,TRUE),1,5)</f>
        <v/>
      </c>
      <c r="AF1213" s="9">
        <f>INDEX(LINEST(L954:L1213,M954:T1213,TRUE,TRUE),1,4)</f>
        <v/>
      </c>
      <c r="AG1213" s="9">
        <f>INDEX(LINEST(L954:L1213,M954:T1213,TRUE,TRUE),1,3)</f>
        <v/>
      </c>
      <c r="AH1213" s="9">
        <f>INDEX(LINEST(L954:L1213,M954:T1213,TRUE,TRUE),1,2)</f>
        <v/>
      </c>
      <c r="AI1213" s="9">
        <f>INDEX(LINEST(L954:L1213,M954:T1213,TRUE,TRUE),1,1)</f>
        <v/>
      </c>
      <c r="AJ1213" s="10">
        <f>INDEX(LINEST(L954:L1213,M954:T1213,TRUE,TRUE),3,1)</f>
        <v/>
      </c>
      <c r="AK1213" s="9">
        <f>AA1212/52+AB1212*M1213+AC1212*N1213+AD1212*O1213+AE1212*P1213+AF1212*Q1213+AG1212*R1213+AH1212*S1213+AI1212*T1213</f>
        <v/>
      </c>
      <c r="AL1213" s="9">
        <f>AVERAGE(L953:L1212)</f>
        <v/>
      </c>
    </row>
    <row r="1214">
      <c r="A1214" s="7" t="n">
        <v>46108</v>
      </c>
      <c r="B1214" s="8" t="n">
        <v>4504.15</v>
      </c>
      <c r="C1214" s="8" t="n">
        <v>2.31</v>
      </c>
      <c r="D1214" s="8" t="n">
        <v>2.13</v>
      </c>
      <c r="E1214" s="8" t="n">
        <v>100.150002</v>
      </c>
      <c r="F1214" s="8" t="n">
        <v>101.26</v>
      </c>
      <c r="G1214" s="8" t="n">
        <v>31.05</v>
      </c>
      <c r="H1214" s="8" t="n">
        <v>111.949997</v>
      </c>
      <c r="I1214" s="8" t="n">
        <v>6368.850098</v>
      </c>
      <c r="J1214" s="8" t="n">
        <v>97.551399</v>
      </c>
      <c r="L1214" s="9">
        <f>LN(B1214/B1213)</f>
        <v/>
      </c>
      <c r="M1214" s="9">
        <f>$M$1*(C1214-C1213)</f>
        <v/>
      </c>
      <c r="N1214" s="9">
        <f>$N$1*(D1214-D1213)</f>
        <v/>
      </c>
      <c r="O1214" s="9">
        <f>$O$1*LN(E1214/E1213)</f>
        <v/>
      </c>
      <c r="P1214" s="9">
        <f>$P$1*LN(F1214/F1213)</f>
        <v/>
      </c>
      <c r="Q1214" s="9">
        <f>$Q$1*(G1214-G1213)</f>
        <v/>
      </c>
      <c r="R1214" s="9">
        <f>$R$1*(H1214-H1213)</f>
        <v/>
      </c>
      <c r="S1214" s="9">
        <f>$S$1*LN(I1214/I1213)</f>
        <v/>
      </c>
      <c r="T1214" s="9">
        <f>$T$1*LN(J1214/J1213)</f>
        <v/>
      </c>
      <c r="U1214" s="9">
        <f>$W$12+$W$4*M1214+$W$5*N1214+$W$6*O1214+$W$7*P1214+$W$8*Q1214+$W$9*R1214+$W$10*S1214+$W$11*T1214</f>
        <v/>
      </c>
      <c r="AA1214" s="10">
        <f>INDEX(LINEST(L955:L1214,M955:T1214,TRUE,TRUE),1,9)*52</f>
        <v/>
      </c>
      <c r="AB1214" s="9">
        <f>INDEX(LINEST(L955:L1214,M955:T1214,TRUE,TRUE),1,8)</f>
        <v/>
      </c>
      <c r="AC1214" s="9">
        <f>INDEX(LINEST(L955:L1214,M955:T1214,TRUE,TRUE),1,7)</f>
        <v/>
      </c>
      <c r="AD1214" s="9">
        <f>INDEX(LINEST(L955:L1214,M955:T1214,TRUE,TRUE),1,6)</f>
        <v/>
      </c>
      <c r="AE1214" s="9">
        <f>INDEX(LINEST(L955:L1214,M955:T1214,TRUE,TRUE),1,5)</f>
        <v/>
      </c>
      <c r="AF1214" s="9">
        <f>INDEX(LINEST(L955:L1214,M955:T1214,TRUE,TRUE),1,4)</f>
        <v/>
      </c>
      <c r="AG1214" s="9">
        <f>INDEX(LINEST(L955:L1214,M955:T1214,TRUE,TRUE),1,3)</f>
        <v/>
      </c>
      <c r="AH1214" s="9">
        <f>INDEX(LINEST(L955:L1214,M955:T1214,TRUE,TRUE),1,2)</f>
        <v/>
      </c>
      <c r="AI1214" s="9">
        <f>INDEX(LINEST(L955:L1214,M955:T1214,TRUE,TRUE),1,1)</f>
        <v/>
      </c>
      <c r="AJ1214" s="10">
        <f>INDEX(LINEST(L955:L1214,M955:T1214,TRUE,TRUE),3,1)</f>
        <v/>
      </c>
      <c r="AK1214" s="9">
        <f>AA1213/52+AB1213*M1214+AC1213*N1214+AD1213*O1214+AE1213*P1214+AF1213*Q1214+AG1213*R1214+AH1213*S1214+AI1213*T1214</f>
        <v/>
      </c>
      <c r="AL1214" s="9">
        <f>AVERAGE(L954:L1213)</f>
        <v/>
      </c>
    </row>
    <row r="1215">
      <c r="A1215" s="7" t="n">
        <v>46115</v>
      </c>
      <c r="B1215" s="8" t="n">
        <v>4639.35</v>
      </c>
      <c r="C1215" s="8" t="n">
        <v>2.36</v>
      </c>
      <c r="D1215" s="8" t="n">
        <v>1.99</v>
      </c>
      <c r="E1215" s="8" t="n">
        <v>100.029999</v>
      </c>
      <c r="F1215" s="8" t="n">
        <v>113.23</v>
      </c>
      <c r="G1215" s="8" t="n">
        <v>23.87</v>
      </c>
      <c r="H1215" s="8" t="n">
        <v>84.410004</v>
      </c>
      <c r="I1215" s="8" t="n">
        <v>6582.689941</v>
      </c>
      <c r="J1215" s="8" t="n">
        <v>98.56909899999999</v>
      </c>
      <c r="L1215" s="9">
        <f>LN(B1215/B1214)</f>
        <v/>
      </c>
      <c r="M1215" s="9">
        <f>$M$1*(C1215-C1214)</f>
        <v/>
      </c>
      <c r="N1215" s="9">
        <f>$N$1*(D1215-D1214)</f>
        <v/>
      </c>
      <c r="O1215" s="9">
        <f>$O$1*LN(E1215/E1214)</f>
        <v/>
      </c>
      <c r="P1215" s="9">
        <f>$P$1*LN(F1215/F1214)</f>
        <v/>
      </c>
      <c r="Q1215" s="9">
        <f>$Q$1*(G1215-G1214)</f>
        <v/>
      </c>
      <c r="R1215" s="9">
        <f>$R$1*(H1215-H1214)</f>
        <v/>
      </c>
      <c r="S1215" s="9">
        <f>$S$1*LN(I1215/I1214)</f>
        <v/>
      </c>
      <c r="T1215" s="9">
        <f>$T$1*LN(J1215/J1214)</f>
        <v/>
      </c>
      <c r="U1215" s="9">
        <f>$W$12+$W$4*M1215+$W$5*N1215+$W$6*O1215+$W$7*P1215+$W$8*Q1215+$W$9*R1215+$W$10*S1215+$W$11*T1215</f>
        <v/>
      </c>
      <c r="AA1215" s="10">
        <f>INDEX(LINEST(L956:L1215,M956:T1215,TRUE,TRUE),1,9)*52</f>
        <v/>
      </c>
      <c r="AB1215" s="9">
        <f>INDEX(LINEST(L956:L1215,M956:T1215,TRUE,TRUE),1,8)</f>
        <v/>
      </c>
      <c r="AC1215" s="9">
        <f>INDEX(LINEST(L956:L1215,M956:T1215,TRUE,TRUE),1,7)</f>
        <v/>
      </c>
      <c r="AD1215" s="9">
        <f>INDEX(LINEST(L956:L1215,M956:T1215,TRUE,TRUE),1,6)</f>
        <v/>
      </c>
      <c r="AE1215" s="9">
        <f>INDEX(LINEST(L956:L1215,M956:T1215,TRUE,TRUE),1,5)</f>
        <v/>
      </c>
      <c r="AF1215" s="9">
        <f>INDEX(LINEST(L956:L1215,M956:T1215,TRUE,TRUE),1,4)</f>
        <v/>
      </c>
      <c r="AG1215" s="9">
        <f>INDEX(LINEST(L956:L1215,M956:T1215,TRUE,TRUE),1,3)</f>
        <v/>
      </c>
      <c r="AH1215" s="9">
        <f>INDEX(LINEST(L956:L1215,M956:T1215,TRUE,TRUE),1,2)</f>
        <v/>
      </c>
      <c r="AI1215" s="9">
        <f>INDEX(LINEST(L956:L1215,M956:T1215,TRUE,TRUE),1,1)</f>
        <v/>
      </c>
      <c r="AJ1215" s="10">
        <f>INDEX(LINEST(L956:L1215,M956:T1215,TRUE,TRUE),3,1)</f>
        <v/>
      </c>
      <c r="AK1215" s="9">
        <f>AA1214/52+AB1214*M1215+AC1214*N1215+AD1214*O1215+AE1214*P1215+AF1214*Q1215+AG1214*R1215+AH1214*S1215+AI1214*T1215</f>
        <v/>
      </c>
      <c r="AL1215" s="9">
        <f>AVERAGE(L955:L1214)</f>
        <v/>
      </c>
    </row>
    <row r="1216">
      <c r="A1216" s="7" t="n">
        <v>46122</v>
      </c>
      <c r="B1216" s="8" t="n">
        <v>4773.75</v>
      </c>
      <c r="C1216" s="8" t="n">
        <v>2.36</v>
      </c>
      <c r="D1216" s="8" t="n">
        <v>1.95</v>
      </c>
      <c r="E1216" s="8" t="n">
        <v>98.650002</v>
      </c>
      <c r="F1216" s="8" t="n">
        <v>98.34</v>
      </c>
      <c r="G1216" s="8" t="n">
        <v>19.23</v>
      </c>
      <c r="H1216" s="8" t="n">
        <v>72.150002</v>
      </c>
      <c r="I1216" s="8" t="n">
        <v>6816.890137</v>
      </c>
      <c r="J1216" s="8" t="n">
        <v>98.658501</v>
      </c>
      <c r="L1216" s="9">
        <f>LN(B1216/B1215)</f>
        <v/>
      </c>
      <c r="M1216" s="9">
        <f>$M$1*(C1216-C1215)</f>
        <v/>
      </c>
      <c r="N1216" s="9">
        <f>$N$1*(D1216-D1215)</f>
        <v/>
      </c>
      <c r="O1216" s="9">
        <f>$O$1*LN(E1216/E1215)</f>
        <v/>
      </c>
      <c r="P1216" s="9">
        <f>$P$1*LN(F1216/F1215)</f>
        <v/>
      </c>
      <c r="Q1216" s="9">
        <f>$Q$1*(G1216-G1215)</f>
        <v/>
      </c>
      <c r="R1216" s="9">
        <f>$R$1*(H1216-H1215)</f>
        <v/>
      </c>
      <c r="S1216" s="9">
        <f>$S$1*LN(I1216/I1215)</f>
        <v/>
      </c>
      <c r="T1216" s="9">
        <f>$T$1*LN(J1216/J1215)</f>
        <v/>
      </c>
      <c r="U1216" s="9">
        <f>$W$12+$W$4*M1216+$W$5*N1216+$W$6*O1216+$W$7*P1216+$W$8*Q1216+$W$9*R1216+$W$10*S1216+$W$11*T1216</f>
        <v/>
      </c>
      <c r="AA1216" s="10">
        <f>INDEX(LINEST(L957:L1216,M957:T1216,TRUE,TRUE),1,9)*52</f>
        <v/>
      </c>
      <c r="AB1216" s="9">
        <f>INDEX(LINEST(L957:L1216,M957:T1216,TRUE,TRUE),1,8)</f>
        <v/>
      </c>
      <c r="AC1216" s="9">
        <f>INDEX(LINEST(L957:L1216,M957:T1216,TRUE,TRUE),1,7)</f>
        <v/>
      </c>
      <c r="AD1216" s="9">
        <f>INDEX(LINEST(L957:L1216,M957:T1216,TRUE,TRUE),1,6)</f>
        <v/>
      </c>
      <c r="AE1216" s="9">
        <f>INDEX(LINEST(L957:L1216,M957:T1216,TRUE,TRUE),1,5)</f>
        <v/>
      </c>
      <c r="AF1216" s="9">
        <f>INDEX(LINEST(L957:L1216,M957:T1216,TRUE,TRUE),1,4)</f>
        <v/>
      </c>
      <c r="AG1216" s="9">
        <f>INDEX(LINEST(L957:L1216,M957:T1216,TRUE,TRUE),1,3)</f>
        <v/>
      </c>
      <c r="AH1216" s="9">
        <f>INDEX(LINEST(L957:L1216,M957:T1216,TRUE,TRUE),1,2)</f>
        <v/>
      </c>
      <c r="AI1216" s="9">
        <f>INDEX(LINEST(L957:L1216,M957:T1216,TRUE,TRUE),1,1)</f>
        <v/>
      </c>
      <c r="AJ1216" s="10">
        <f>INDEX(LINEST(L957:L1216,M957:T1216,TRUE,TRUE),3,1)</f>
        <v/>
      </c>
      <c r="AK1216" s="9">
        <f>AA1215/52+AB1215*M1216+AC1215*N1216+AD1215*O1216+AE1215*P1216+AF1215*Q1216+AG1215*R1216+AH1215*S1216+AI1215*T1216</f>
        <v/>
      </c>
      <c r="AL1216" s="9">
        <f>AVERAGE(L956:L1215)</f>
        <v/>
      </c>
    </row>
    <row r="1217">
      <c r="A1217" s="7" t="n">
        <v>46129</v>
      </c>
      <c r="B1217" s="8" t="n">
        <v>4870.5</v>
      </c>
      <c r="C1217" s="8" t="n">
        <v>2.36</v>
      </c>
      <c r="D1217" s="8" t="n">
        <v>1.9</v>
      </c>
      <c r="E1217" s="8" t="n">
        <v>98.099998</v>
      </c>
      <c r="F1217" s="8" t="n">
        <v>85.91</v>
      </c>
      <c r="G1217" s="8" t="n">
        <v>17.48</v>
      </c>
      <c r="H1217" s="8" t="n">
        <v>65.699997</v>
      </c>
      <c r="I1217" s="8" t="n">
        <v>7126.060059</v>
      </c>
      <c r="J1217" s="8" t="n">
        <v>99.184967</v>
      </c>
      <c r="L1217" s="9">
        <f>LN(B1217/B1216)</f>
        <v/>
      </c>
      <c r="M1217" s="9">
        <f>$M$1*(C1217-C1216)</f>
        <v/>
      </c>
      <c r="N1217" s="9">
        <f>$N$1*(D1217-D1216)</f>
        <v/>
      </c>
      <c r="O1217" s="9">
        <f>$O$1*LN(E1217/E1216)</f>
        <v/>
      </c>
      <c r="P1217" s="9">
        <f>$P$1*LN(F1217/F1216)</f>
        <v/>
      </c>
      <c r="Q1217" s="9">
        <f>$Q$1*(G1217-G1216)</f>
        <v/>
      </c>
      <c r="R1217" s="9">
        <f>$R$1*(H1217-H1216)</f>
        <v/>
      </c>
      <c r="S1217" s="9">
        <f>$S$1*LN(I1217/I1216)</f>
        <v/>
      </c>
      <c r="T1217" s="9">
        <f>$T$1*LN(J1217/J1216)</f>
        <v/>
      </c>
      <c r="U1217" s="9">
        <f>$W$12+$W$4*M1217+$W$5*N1217+$W$6*O1217+$W$7*P1217+$W$8*Q1217+$W$9*R1217+$W$10*S1217+$W$11*T1217</f>
        <v/>
      </c>
      <c r="AA1217" s="10">
        <f>INDEX(LINEST(L958:L1217,M958:T1217,TRUE,TRUE),1,9)*52</f>
        <v/>
      </c>
      <c r="AB1217" s="9">
        <f>INDEX(LINEST(L958:L1217,M958:T1217,TRUE,TRUE),1,8)</f>
        <v/>
      </c>
      <c r="AC1217" s="9">
        <f>INDEX(LINEST(L958:L1217,M958:T1217,TRUE,TRUE),1,7)</f>
        <v/>
      </c>
      <c r="AD1217" s="9">
        <f>INDEX(LINEST(L958:L1217,M958:T1217,TRUE,TRUE),1,6)</f>
        <v/>
      </c>
      <c r="AE1217" s="9">
        <f>INDEX(LINEST(L958:L1217,M958:T1217,TRUE,TRUE),1,5)</f>
        <v/>
      </c>
      <c r="AF1217" s="9">
        <f>INDEX(LINEST(L958:L1217,M958:T1217,TRUE,TRUE),1,4)</f>
        <v/>
      </c>
      <c r="AG1217" s="9">
        <f>INDEX(LINEST(L958:L1217,M958:T1217,TRUE,TRUE),1,3)</f>
        <v/>
      </c>
      <c r="AH1217" s="9">
        <f>INDEX(LINEST(L958:L1217,M958:T1217,TRUE,TRUE),1,2)</f>
        <v/>
      </c>
      <c r="AI1217" s="9">
        <f>INDEX(LINEST(L958:L1217,M958:T1217,TRUE,TRUE),1,1)</f>
        <v/>
      </c>
      <c r="AJ1217" s="10">
        <f>INDEX(LINEST(L958:L1217,M958:T1217,TRUE,TRUE),3,1)</f>
        <v/>
      </c>
      <c r="AK1217" s="9">
        <f>AA1216/52+AB1216*M1217+AC1216*N1217+AD1216*O1217+AE1216*P1217+AF1216*Q1217+AG1216*R1217+AH1216*S1217+AI1216*T1217</f>
        <v/>
      </c>
      <c r="AL1217" s="9">
        <f>AVERAGE(L957:L1216)</f>
        <v/>
      </c>
    </row>
    <row r="1218">
      <c r="A1218" s="7" t="n">
        <v>46136</v>
      </c>
      <c r="B1218" s="8" t="n">
        <v>4711.65</v>
      </c>
      <c r="C1218" s="8" t="n">
        <v>2.42</v>
      </c>
      <c r="D1218" s="8" t="n">
        <v>1.89</v>
      </c>
      <c r="E1218" s="8" t="n">
        <v>98.510002</v>
      </c>
      <c r="F1218" s="8" t="n">
        <v>98.42</v>
      </c>
      <c r="G1218" s="8" t="n">
        <v>18.71</v>
      </c>
      <c r="H1218" s="8" t="n">
        <v>66.970001</v>
      </c>
      <c r="I1218" s="8" t="n">
        <v>7165.080078</v>
      </c>
      <c r="J1218" s="8" t="n">
        <v>98.926697</v>
      </c>
      <c r="L1218" s="9">
        <f>LN(B1218/B1217)</f>
        <v/>
      </c>
      <c r="M1218" s="9">
        <f>$M$1*(C1218-C1217)</f>
        <v/>
      </c>
      <c r="N1218" s="9">
        <f>$N$1*(D1218-D1217)</f>
        <v/>
      </c>
      <c r="O1218" s="9">
        <f>$O$1*LN(E1218/E1217)</f>
        <v/>
      </c>
      <c r="P1218" s="9">
        <f>$P$1*LN(F1218/F1217)</f>
        <v/>
      </c>
      <c r="Q1218" s="9">
        <f>$Q$1*(G1218-G1217)</f>
        <v/>
      </c>
      <c r="R1218" s="9">
        <f>$R$1*(H1218-H1217)</f>
        <v/>
      </c>
      <c r="S1218" s="9">
        <f>$S$1*LN(I1218/I1217)</f>
        <v/>
      </c>
      <c r="T1218" s="9">
        <f>$T$1*LN(J1218/J1217)</f>
        <v/>
      </c>
      <c r="U1218" s="9">
        <f>$W$12+$W$4*M1218+$W$5*N1218+$W$6*O1218+$W$7*P1218+$W$8*Q1218+$W$9*R1218+$W$10*S1218+$W$11*T1218</f>
        <v/>
      </c>
      <c r="AA1218" s="10">
        <f>INDEX(LINEST(L959:L1218,M959:T1218,TRUE,TRUE),1,9)*52</f>
        <v/>
      </c>
      <c r="AB1218" s="9">
        <f>INDEX(LINEST(L959:L1218,M959:T1218,TRUE,TRUE),1,8)</f>
        <v/>
      </c>
      <c r="AC1218" s="9">
        <f>INDEX(LINEST(L959:L1218,M959:T1218,TRUE,TRUE),1,7)</f>
        <v/>
      </c>
      <c r="AD1218" s="9">
        <f>INDEX(LINEST(L959:L1218,M959:T1218,TRUE,TRUE),1,6)</f>
        <v/>
      </c>
      <c r="AE1218" s="9">
        <f>INDEX(LINEST(L959:L1218,M959:T1218,TRUE,TRUE),1,5)</f>
        <v/>
      </c>
      <c r="AF1218" s="9">
        <f>INDEX(LINEST(L959:L1218,M959:T1218,TRUE,TRUE),1,4)</f>
        <v/>
      </c>
      <c r="AG1218" s="9">
        <f>INDEX(LINEST(L959:L1218,M959:T1218,TRUE,TRUE),1,3)</f>
        <v/>
      </c>
      <c r="AH1218" s="9">
        <f>INDEX(LINEST(L959:L1218,M959:T1218,TRUE,TRUE),1,2)</f>
        <v/>
      </c>
      <c r="AI1218" s="9">
        <f>INDEX(LINEST(L959:L1218,M959:T1218,TRUE,TRUE),1,1)</f>
        <v/>
      </c>
      <c r="AJ1218" s="10">
        <f>INDEX(LINEST(L959:L1218,M959:T1218,TRUE,TRUE),3,1)</f>
        <v/>
      </c>
      <c r="AK1218" s="9">
        <f>AA1217/52+AB1217*M1218+AC1217*N1218+AD1217*O1218+AE1217*P1218+AF1217*Q1218+AG1217*R1218+AH1217*S1218+AI1217*T1218</f>
        <v/>
      </c>
      <c r="AL1218" s="9">
        <f>AVERAGE(L958:L1217)</f>
        <v/>
      </c>
    </row>
    <row r="1219">
      <c r="A1219" s="7" t="n">
        <v>46143</v>
      </c>
      <c r="B1219" s="8" t="n">
        <v>4636.9</v>
      </c>
      <c r="C1219" s="8" t="n">
        <v>2.48</v>
      </c>
      <c r="D1219" s="8" t="n">
        <v>1.91</v>
      </c>
      <c r="E1219" s="8" t="n">
        <v>98.209999</v>
      </c>
      <c r="F1219" s="8" t="n">
        <v>105.38</v>
      </c>
      <c r="G1219" s="8" t="n">
        <v>16.99</v>
      </c>
      <c r="H1219" s="8" t="n">
        <v>70.410004</v>
      </c>
      <c r="I1219" s="8" t="n">
        <v>7230.120117</v>
      </c>
      <c r="J1219" s="8" t="n">
        <v>98.569534</v>
      </c>
      <c r="L1219" s="9">
        <f>LN(B1219/B1218)</f>
        <v/>
      </c>
      <c r="M1219" s="9">
        <f>$M$1*(C1219-C1218)</f>
        <v/>
      </c>
      <c r="N1219" s="9">
        <f>$N$1*(D1219-D1218)</f>
        <v/>
      </c>
      <c r="O1219" s="9">
        <f>$O$1*LN(E1219/E1218)</f>
        <v/>
      </c>
      <c r="P1219" s="9">
        <f>$P$1*LN(F1219/F1218)</f>
        <v/>
      </c>
      <c r="Q1219" s="9">
        <f>$Q$1*(G1219-G1218)</f>
        <v/>
      </c>
      <c r="R1219" s="9">
        <f>$R$1*(H1219-H1218)</f>
        <v/>
      </c>
      <c r="S1219" s="9">
        <f>$S$1*LN(I1219/I1218)</f>
        <v/>
      </c>
      <c r="T1219" s="9">
        <f>$T$1*LN(J1219/J1218)</f>
        <v/>
      </c>
      <c r="U1219" s="9">
        <f>$W$12+$W$4*M1219+$W$5*N1219+$W$6*O1219+$W$7*P1219+$W$8*Q1219+$W$9*R1219+$W$10*S1219+$W$11*T1219</f>
        <v/>
      </c>
      <c r="AA1219" s="10">
        <f>INDEX(LINEST(L960:L1219,M960:T1219,TRUE,TRUE),1,9)*52</f>
        <v/>
      </c>
      <c r="AB1219" s="9">
        <f>INDEX(LINEST(L960:L1219,M960:T1219,TRUE,TRUE),1,8)</f>
        <v/>
      </c>
      <c r="AC1219" s="9">
        <f>INDEX(LINEST(L960:L1219,M960:T1219,TRUE,TRUE),1,7)</f>
        <v/>
      </c>
      <c r="AD1219" s="9">
        <f>INDEX(LINEST(L960:L1219,M960:T1219,TRUE,TRUE),1,6)</f>
        <v/>
      </c>
      <c r="AE1219" s="9">
        <f>INDEX(LINEST(L960:L1219,M960:T1219,TRUE,TRUE),1,5)</f>
        <v/>
      </c>
      <c r="AF1219" s="9">
        <f>INDEX(LINEST(L960:L1219,M960:T1219,TRUE,TRUE),1,4)</f>
        <v/>
      </c>
      <c r="AG1219" s="9">
        <f>INDEX(LINEST(L960:L1219,M960:T1219,TRUE,TRUE),1,3)</f>
        <v/>
      </c>
      <c r="AH1219" s="9">
        <f>INDEX(LINEST(L960:L1219,M960:T1219,TRUE,TRUE),1,2)</f>
        <v/>
      </c>
      <c r="AI1219" s="9">
        <f>INDEX(LINEST(L960:L1219,M960:T1219,TRUE,TRUE),1,1)</f>
        <v/>
      </c>
      <c r="AJ1219" s="10">
        <f>INDEX(LINEST(L960:L1219,M960:T1219,TRUE,TRUE),3,1)</f>
        <v/>
      </c>
      <c r="AK1219" s="9">
        <f>AA1218/52+AB1218*M1219+AC1218*N1219+AD1218*O1219+AE1218*P1219+AF1218*Q1219+AG1218*R1219+AH1218*S1219+AI1218*T1219</f>
        <v/>
      </c>
      <c r="AL1219" s="9">
        <f>AVERAGE(L959:L1218)</f>
        <v/>
      </c>
    </row>
    <row r="1220">
      <c r="A1220" s="7" t="n">
        <v>46150</v>
      </c>
      <c r="B1220" s="8" t="n">
        <v>4741.4</v>
      </c>
      <c r="C1220" s="8" t="n">
        <v>2.45</v>
      </c>
      <c r="D1220" s="8" t="n">
        <v>1.93</v>
      </c>
      <c r="E1220" s="8" t="n">
        <v>97.839996</v>
      </c>
      <c r="F1220" s="8" t="n">
        <v>98.87</v>
      </c>
      <c r="G1220" s="8" t="n">
        <v>17.19</v>
      </c>
      <c r="H1220" s="8" t="n">
        <v>67.25</v>
      </c>
      <c r="I1220" s="8" t="n">
        <v>7398.930176</v>
      </c>
      <c r="J1220" s="8" t="n">
        <v>98.848595</v>
      </c>
      <c r="L1220" s="9">
        <f>LN(B1220/B1219)</f>
        <v/>
      </c>
      <c r="M1220" s="9">
        <f>$M$1*(C1220-C1219)</f>
        <v/>
      </c>
      <c r="N1220" s="9">
        <f>$N$1*(D1220-D1219)</f>
        <v/>
      </c>
      <c r="O1220" s="9">
        <f>$O$1*LN(E1220/E1219)</f>
        <v/>
      </c>
      <c r="P1220" s="9">
        <f>$P$1*LN(F1220/F1219)</f>
        <v/>
      </c>
      <c r="Q1220" s="9">
        <f>$Q$1*(G1220-G1219)</f>
        <v/>
      </c>
      <c r="R1220" s="9">
        <f>$R$1*(H1220-H1219)</f>
        <v/>
      </c>
      <c r="S1220" s="9">
        <f>$S$1*LN(I1220/I1219)</f>
        <v/>
      </c>
      <c r="T1220" s="9">
        <f>$T$1*LN(J1220/J1219)</f>
        <v/>
      </c>
      <c r="U1220" s="9">
        <f>$W$12+$W$4*M1220+$W$5*N1220+$W$6*O1220+$W$7*P1220+$W$8*Q1220+$W$9*R1220+$W$10*S1220+$W$11*T1220</f>
        <v/>
      </c>
      <c r="AA1220" s="10">
        <f>INDEX(LINEST(L961:L1220,M961:T1220,TRUE,TRUE),1,9)*52</f>
        <v/>
      </c>
      <c r="AB1220" s="9">
        <f>INDEX(LINEST(L961:L1220,M961:T1220,TRUE,TRUE),1,8)</f>
        <v/>
      </c>
      <c r="AC1220" s="9">
        <f>INDEX(LINEST(L961:L1220,M961:T1220,TRUE,TRUE),1,7)</f>
        <v/>
      </c>
      <c r="AD1220" s="9">
        <f>INDEX(LINEST(L961:L1220,M961:T1220,TRUE,TRUE),1,6)</f>
        <v/>
      </c>
      <c r="AE1220" s="9">
        <f>INDEX(LINEST(L961:L1220,M961:T1220,TRUE,TRUE),1,5)</f>
        <v/>
      </c>
      <c r="AF1220" s="9">
        <f>INDEX(LINEST(L961:L1220,M961:T1220,TRUE,TRUE),1,4)</f>
        <v/>
      </c>
      <c r="AG1220" s="9">
        <f>INDEX(LINEST(L961:L1220,M961:T1220,TRUE,TRUE),1,3)</f>
        <v/>
      </c>
      <c r="AH1220" s="9">
        <f>INDEX(LINEST(L961:L1220,M961:T1220,TRUE,TRUE),1,2)</f>
        <v/>
      </c>
      <c r="AI1220" s="9">
        <f>INDEX(LINEST(L961:L1220,M961:T1220,TRUE,TRUE),1,1)</f>
        <v/>
      </c>
      <c r="AJ1220" s="10">
        <f>INDEX(LINEST(L961:L1220,M961:T1220,TRUE,TRUE),3,1)</f>
        <v/>
      </c>
      <c r="AK1220" s="9">
        <f>AA1219/52+AB1219*M1220+AC1219*N1220+AD1219*O1220+AE1219*P1220+AF1219*Q1220+AG1219*R1220+AH1219*S1220+AI1219*T1220</f>
        <v/>
      </c>
      <c r="AL1220" s="9">
        <f>AVERAGE(L960:L1219)</f>
        <v/>
      </c>
    </row>
    <row r="1221">
      <c r="A1221" s="7" t="n">
        <v>46157</v>
      </c>
      <c r="B1221" s="8" t="n">
        <v>4528</v>
      </c>
      <c r="C1221" s="8" t="n">
        <v>2.49</v>
      </c>
      <c r="D1221" s="8" t="n">
        <v>2.1</v>
      </c>
      <c r="E1221" s="8" t="n">
        <v>99.269997</v>
      </c>
      <c r="F1221" s="8" t="n">
        <v>108.99</v>
      </c>
      <c r="G1221" s="8" t="n">
        <v>18.43</v>
      </c>
      <c r="H1221" s="8" t="n">
        <v>79.870003</v>
      </c>
      <c r="I1221" s="8" t="n">
        <v>7408.5</v>
      </c>
      <c r="J1221" s="8" t="n">
        <v>97.69246699999999</v>
      </c>
      <c r="L1221" s="9">
        <f>LN(B1221/B1220)</f>
        <v/>
      </c>
      <c r="M1221" s="9">
        <f>$M$1*(C1221-C1220)</f>
        <v/>
      </c>
      <c r="N1221" s="9">
        <f>$N$1*(D1221-D1220)</f>
        <v/>
      </c>
      <c r="O1221" s="9">
        <f>$O$1*LN(E1221/E1220)</f>
        <v/>
      </c>
      <c r="P1221" s="9">
        <f>$P$1*LN(F1221/F1220)</f>
        <v/>
      </c>
      <c r="Q1221" s="9">
        <f>$Q$1*(G1221-G1220)</f>
        <v/>
      </c>
      <c r="R1221" s="9">
        <f>$R$1*(H1221-H1220)</f>
        <v/>
      </c>
      <c r="S1221" s="9">
        <f>$S$1*LN(I1221/I1220)</f>
        <v/>
      </c>
      <c r="T1221" s="9">
        <f>$T$1*LN(J1221/J1220)</f>
        <v/>
      </c>
      <c r="U1221" s="9">
        <f>$W$12+$W$4*M1221+$W$5*N1221+$W$6*O1221+$W$7*P1221+$W$8*Q1221+$W$9*R1221+$W$10*S1221+$W$11*T1221</f>
        <v/>
      </c>
      <c r="AA1221" s="10">
        <f>INDEX(LINEST(L962:L1221,M962:T1221,TRUE,TRUE),1,9)*52</f>
        <v/>
      </c>
      <c r="AB1221" s="9">
        <f>INDEX(LINEST(L962:L1221,M962:T1221,TRUE,TRUE),1,8)</f>
        <v/>
      </c>
      <c r="AC1221" s="9">
        <f>INDEX(LINEST(L962:L1221,M962:T1221,TRUE,TRUE),1,7)</f>
        <v/>
      </c>
      <c r="AD1221" s="9">
        <f>INDEX(LINEST(L962:L1221,M962:T1221,TRUE,TRUE),1,6)</f>
        <v/>
      </c>
      <c r="AE1221" s="9">
        <f>INDEX(LINEST(L962:L1221,M962:T1221,TRUE,TRUE),1,5)</f>
        <v/>
      </c>
      <c r="AF1221" s="9">
        <f>INDEX(LINEST(L962:L1221,M962:T1221,TRUE,TRUE),1,4)</f>
        <v/>
      </c>
      <c r="AG1221" s="9">
        <f>INDEX(LINEST(L962:L1221,M962:T1221,TRUE,TRUE),1,3)</f>
        <v/>
      </c>
      <c r="AH1221" s="9">
        <f>INDEX(LINEST(L962:L1221,M962:T1221,TRUE,TRUE),1,2)</f>
        <v/>
      </c>
      <c r="AI1221" s="9">
        <f>INDEX(LINEST(L962:L1221,M962:T1221,TRUE,TRUE),1,1)</f>
        <v/>
      </c>
      <c r="AJ1221" s="10">
        <f>INDEX(LINEST(L962:L1221,M962:T1221,TRUE,TRUE),3,1)</f>
        <v/>
      </c>
      <c r="AK1221" s="9">
        <f>AA1220/52+AB1220*M1221+AC1220*N1221+AD1220*O1221+AE1220*P1221+AF1220*Q1221+AG1220*R1221+AH1220*S1221+AI1220*T1221</f>
        <v/>
      </c>
      <c r="AL1221" s="9">
        <f>AVERAGE(L961:L1220)</f>
        <v/>
      </c>
    </row>
    <row r="1222">
      <c r="A1222" s="7" t="n">
        <v>46164</v>
      </c>
      <c r="B1222" s="8" t="n">
        <v>4506.15</v>
      </c>
      <c r="C1222" s="8" t="n">
        <v>2.4</v>
      </c>
      <c r="D1222" s="8" t="n">
        <v>2.16</v>
      </c>
      <c r="E1222" s="8" t="n">
        <v>99.31999999999999</v>
      </c>
      <c r="F1222" s="8" t="n">
        <v>100.35</v>
      </c>
      <c r="G1222" s="8" t="n">
        <v>16.7</v>
      </c>
      <c r="H1222" s="8" t="n">
        <v>78.43000000000001</v>
      </c>
      <c r="I1222" s="8" t="n">
        <v>7473.470215</v>
      </c>
      <c r="J1222" s="8" t="n">
        <v>98.111069</v>
      </c>
      <c r="L1222" s="9">
        <f>LN(B1222/B1221)</f>
        <v/>
      </c>
      <c r="M1222" s="9">
        <f>$M$1*(C1222-C1221)</f>
        <v/>
      </c>
      <c r="N1222" s="9">
        <f>$N$1*(D1222-D1221)</f>
        <v/>
      </c>
      <c r="O1222" s="9">
        <f>$O$1*LN(E1222/E1221)</f>
        <v/>
      </c>
      <c r="P1222" s="9">
        <f>$P$1*LN(F1222/F1221)</f>
        <v/>
      </c>
      <c r="Q1222" s="9">
        <f>$Q$1*(G1222-G1221)</f>
        <v/>
      </c>
      <c r="R1222" s="9">
        <f>$R$1*(H1222-H1221)</f>
        <v/>
      </c>
      <c r="S1222" s="9">
        <f>$S$1*LN(I1222/I1221)</f>
        <v/>
      </c>
      <c r="T1222" s="9">
        <f>$T$1*LN(J1222/J1221)</f>
        <v/>
      </c>
      <c r="U1222" s="9">
        <f>$W$12+$W$4*M1222+$W$5*N1222+$W$6*O1222+$W$7*P1222+$W$8*Q1222+$W$9*R1222+$W$10*S1222+$W$11*T1222</f>
        <v/>
      </c>
      <c r="AA1222" s="10">
        <f>INDEX(LINEST(L963:L1222,M963:T1222,TRUE,TRUE),1,9)*52</f>
        <v/>
      </c>
      <c r="AB1222" s="9">
        <f>INDEX(LINEST(L963:L1222,M963:T1222,TRUE,TRUE),1,8)</f>
        <v/>
      </c>
      <c r="AC1222" s="9">
        <f>INDEX(LINEST(L963:L1222,M963:T1222,TRUE,TRUE),1,7)</f>
        <v/>
      </c>
      <c r="AD1222" s="9">
        <f>INDEX(LINEST(L963:L1222,M963:T1222,TRUE,TRUE),1,6)</f>
        <v/>
      </c>
      <c r="AE1222" s="9">
        <f>INDEX(LINEST(L963:L1222,M963:T1222,TRUE,TRUE),1,5)</f>
        <v/>
      </c>
      <c r="AF1222" s="9">
        <f>INDEX(LINEST(L963:L1222,M963:T1222,TRUE,TRUE),1,4)</f>
        <v/>
      </c>
      <c r="AG1222" s="9">
        <f>INDEX(LINEST(L963:L1222,M963:T1222,TRUE,TRUE),1,3)</f>
        <v/>
      </c>
      <c r="AH1222" s="9">
        <f>INDEX(LINEST(L963:L1222,M963:T1222,TRUE,TRUE),1,2)</f>
        <v/>
      </c>
      <c r="AI1222" s="9">
        <f>INDEX(LINEST(L963:L1222,M963:T1222,TRUE,TRUE),1,1)</f>
        <v/>
      </c>
      <c r="AJ1222" s="10">
        <f>INDEX(LINEST(L963:L1222,M963:T1222,TRUE,TRUE),3,1)</f>
        <v/>
      </c>
      <c r="AK1222" s="9">
        <f>AA1221/52+AB1221*M1222+AC1221*N1222+AD1221*O1222+AE1221*P1222+AF1221*Q1222+AG1221*R1222+AH1221*S1222+AI1221*T1222</f>
        <v/>
      </c>
      <c r="AL1222" s="9">
        <f>AVERAGE(L962:L1221)</f>
        <v/>
      </c>
    </row>
    <row r="1223">
      <c r="A1223" s="7" t="n">
        <v>46171</v>
      </c>
      <c r="B1223" s="8" t="n">
        <v>4545.95</v>
      </c>
      <c r="C1223" s="8" t="n">
        <v>2.38</v>
      </c>
      <c r="D1223" s="8" t="n">
        <v>2.07</v>
      </c>
      <c r="E1223" s="8" t="n">
        <v>98.910004</v>
      </c>
      <c r="F1223" s="8" t="n">
        <v>91.16</v>
      </c>
      <c r="G1223" s="8" t="n">
        <v>15.32</v>
      </c>
      <c r="H1223" s="8" t="n">
        <v>70.220001</v>
      </c>
      <c r="I1223" s="8" t="n">
        <v>7580.060059</v>
      </c>
      <c r="J1223" s="8" t="n">
        <v>98.728996</v>
      </c>
      <c r="L1223" s="9">
        <f>LN(B1223/B1222)</f>
        <v/>
      </c>
      <c r="M1223" s="9">
        <f>$M$1*(C1223-C1222)</f>
        <v/>
      </c>
      <c r="N1223" s="9">
        <f>$N$1*(D1223-D1222)</f>
        <v/>
      </c>
      <c r="O1223" s="9">
        <f>$O$1*LN(E1223/E1222)</f>
        <v/>
      </c>
      <c r="P1223" s="9">
        <f>$P$1*LN(F1223/F1222)</f>
        <v/>
      </c>
      <c r="Q1223" s="9">
        <f>$Q$1*(G1223-G1222)</f>
        <v/>
      </c>
      <c r="R1223" s="9">
        <f>$R$1*(H1223-H1222)</f>
        <v/>
      </c>
      <c r="S1223" s="9">
        <f>$S$1*LN(I1223/I1222)</f>
        <v/>
      </c>
      <c r="T1223" s="9">
        <f>$T$1*LN(J1223/J1222)</f>
        <v/>
      </c>
      <c r="U1223" s="9">
        <f>$W$12+$W$4*M1223+$W$5*N1223+$W$6*O1223+$W$7*P1223+$W$8*Q1223+$W$9*R1223+$W$10*S1223+$W$11*T1223</f>
        <v/>
      </c>
      <c r="AA1223" s="10">
        <f>INDEX(LINEST(L964:L1223,M964:T1223,TRUE,TRUE),1,9)*52</f>
        <v/>
      </c>
      <c r="AB1223" s="9">
        <f>INDEX(LINEST(L964:L1223,M964:T1223,TRUE,TRUE),1,8)</f>
        <v/>
      </c>
      <c r="AC1223" s="9">
        <f>INDEX(LINEST(L964:L1223,M964:T1223,TRUE,TRUE),1,7)</f>
        <v/>
      </c>
      <c r="AD1223" s="9">
        <f>INDEX(LINEST(L964:L1223,M964:T1223,TRUE,TRUE),1,6)</f>
        <v/>
      </c>
      <c r="AE1223" s="9">
        <f>INDEX(LINEST(L964:L1223,M964:T1223,TRUE,TRUE),1,5)</f>
        <v/>
      </c>
      <c r="AF1223" s="9">
        <f>INDEX(LINEST(L964:L1223,M964:T1223,TRUE,TRUE),1,4)</f>
        <v/>
      </c>
      <c r="AG1223" s="9">
        <f>INDEX(LINEST(L964:L1223,M964:T1223,TRUE,TRUE),1,3)</f>
        <v/>
      </c>
      <c r="AH1223" s="9">
        <f>INDEX(LINEST(L964:L1223,M964:T1223,TRUE,TRUE),1,2)</f>
        <v/>
      </c>
      <c r="AI1223" s="9">
        <f>INDEX(LINEST(L964:L1223,M964:T1223,TRUE,TRUE),1,1)</f>
        <v/>
      </c>
      <c r="AJ1223" s="10">
        <f>INDEX(LINEST(L964:L1223,M964:T1223,TRUE,TRUE),3,1)</f>
        <v/>
      </c>
      <c r="AK1223" s="9">
        <f>AA1222/52+AB1222*M1223+AC1222*N1223+AD1222*O1223+AE1222*P1223+AF1222*Q1223+AG1222*R1223+AH1222*S1223+AI1222*T1223</f>
        <v/>
      </c>
      <c r="AL1223" s="9">
        <f>AVERAGE(L963:L1222)</f>
        <v/>
      </c>
    </row>
    <row r="1224">
      <c r="A1224" s="7" t="n">
        <v>46178</v>
      </c>
      <c r="B1224" s="8" t="n">
        <v>4365.15</v>
      </c>
      <c r="C1224" s="8" t="n">
        <v>2.36</v>
      </c>
      <c r="D1224" s="8" t="n">
        <v>2.19</v>
      </c>
      <c r="E1224" s="8" t="n">
        <v>100.07</v>
      </c>
      <c r="F1224" s="8" t="n">
        <v>94.31999999999999</v>
      </c>
      <c r="G1224" s="8" t="n">
        <v>21.51</v>
      </c>
      <c r="H1224" s="8" t="n">
        <v>75.199997</v>
      </c>
      <c r="I1224" s="8" t="n">
        <v>7383.740234</v>
      </c>
      <c r="J1224" s="8" t="n">
        <v>98.16999800000001</v>
      </c>
      <c r="L1224" s="9">
        <f>LN(B1224/B1223)</f>
        <v/>
      </c>
      <c r="M1224" s="9">
        <f>$M$1*(C1224-C1223)</f>
        <v/>
      </c>
      <c r="N1224" s="9">
        <f>$N$1*(D1224-D1223)</f>
        <v/>
      </c>
      <c r="O1224" s="9">
        <f>$O$1*LN(E1224/E1223)</f>
        <v/>
      </c>
      <c r="P1224" s="9">
        <f>$P$1*LN(F1224/F1223)</f>
        <v/>
      </c>
      <c r="Q1224" s="9">
        <f>$Q$1*(G1224-G1223)</f>
        <v/>
      </c>
      <c r="R1224" s="9">
        <f>$R$1*(H1224-H1223)</f>
        <v/>
      </c>
      <c r="S1224" s="9">
        <f>$S$1*LN(I1224/I1223)</f>
        <v/>
      </c>
      <c r="T1224" s="9">
        <f>$T$1*LN(J1224/J1223)</f>
        <v/>
      </c>
      <c r="U1224" s="9">
        <f>$W$12+$W$4*M1224+$W$5*N1224+$W$6*O1224+$W$7*P1224+$W$8*Q1224+$W$9*R1224+$W$10*S1224+$W$11*T1224</f>
        <v/>
      </c>
      <c r="AA1224" s="10">
        <f>INDEX(LINEST(L965:L1224,M965:T1224,TRUE,TRUE),1,9)*52</f>
        <v/>
      </c>
      <c r="AB1224" s="9">
        <f>INDEX(LINEST(L965:L1224,M965:T1224,TRUE,TRUE),1,8)</f>
        <v/>
      </c>
      <c r="AC1224" s="9">
        <f>INDEX(LINEST(L965:L1224,M965:T1224,TRUE,TRUE),1,7)</f>
        <v/>
      </c>
      <c r="AD1224" s="9">
        <f>INDEX(LINEST(L965:L1224,M965:T1224,TRUE,TRUE),1,6)</f>
        <v/>
      </c>
      <c r="AE1224" s="9">
        <f>INDEX(LINEST(L965:L1224,M965:T1224,TRUE,TRUE),1,5)</f>
        <v/>
      </c>
      <c r="AF1224" s="9">
        <f>INDEX(LINEST(L965:L1224,M965:T1224,TRUE,TRUE),1,4)</f>
        <v/>
      </c>
      <c r="AG1224" s="9">
        <f>INDEX(LINEST(L965:L1224,M965:T1224,TRUE,TRUE),1,3)</f>
        <v/>
      </c>
      <c r="AH1224" s="9">
        <f>INDEX(LINEST(L965:L1224,M965:T1224,TRUE,TRUE),1,2)</f>
        <v/>
      </c>
      <c r="AI1224" s="9">
        <f>INDEX(LINEST(L965:L1224,M965:T1224,TRUE,TRUE),1,1)</f>
        <v/>
      </c>
      <c r="AJ1224" s="10">
        <f>INDEX(LINEST(L965:L1224,M965:T1224,TRUE,TRUE),3,1)</f>
        <v/>
      </c>
      <c r="AK1224" s="9">
        <f>AA1223/52+AB1223*M1224+AC1223*N1224+AD1223*O1224+AE1223*P1224+AF1223*Q1224+AG1223*R1224+AH1223*S1224+AI1223*T1224</f>
        <v/>
      </c>
      <c r="AL1224" s="9">
        <f>AVERAGE(L964:L1223)</f>
        <v/>
      </c>
    </row>
    <row r="1225">
      <c r="A1225" s="7" t="n">
        <v>46185</v>
      </c>
      <c r="B1225" s="8" t="n">
        <v>4185.95</v>
      </c>
      <c r="C1225" s="8" t="n">
        <v>2.31</v>
      </c>
      <c r="D1225" s="8" t="n">
        <v>2.17</v>
      </c>
      <c r="E1225" s="8" t="n">
        <v>99.75</v>
      </c>
      <c r="F1225" s="8" t="n">
        <v>88.62</v>
      </c>
      <c r="G1225" s="8" t="n">
        <v>17.68</v>
      </c>
      <c r="H1225" s="8" t="n">
        <v>69.360001</v>
      </c>
      <c r="I1225" s="8" t="n">
        <v>7431.459961</v>
      </c>
      <c r="J1225" s="8" t="n">
        <v>98.760002</v>
      </c>
      <c r="L1225" s="9">
        <f>LN(B1225/B1224)</f>
        <v/>
      </c>
      <c r="M1225" s="9">
        <f>$M$1*(C1225-C1224)</f>
        <v/>
      </c>
      <c r="N1225" s="9">
        <f>$N$1*(D1225-D1224)</f>
        <v/>
      </c>
      <c r="O1225" s="9">
        <f>$O$1*LN(E1225/E1224)</f>
        <v/>
      </c>
      <c r="P1225" s="9">
        <f>$P$1*LN(F1225/F1224)</f>
        <v/>
      </c>
      <c r="Q1225" s="9">
        <f>$Q$1*(G1225-G1224)</f>
        <v/>
      </c>
      <c r="R1225" s="9">
        <f>$R$1*(H1225-H1224)</f>
        <v/>
      </c>
      <c r="S1225" s="9">
        <f>$S$1*LN(I1225/I1224)</f>
        <v/>
      </c>
      <c r="T1225" s="9">
        <f>$T$1*LN(J1225/J1224)</f>
        <v/>
      </c>
      <c r="U1225" s="9">
        <f>$W$12+$W$4*M1225+$W$5*N1225+$W$6*O1225+$W$7*P1225+$W$8*Q1225+$W$9*R1225+$W$10*S1225+$W$11*T1225</f>
        <v/>
      </c>
      <c r="AA1225" s="10">
        <f>INDEX(LINEST(L966:L1225,M966:T1225,TRUE,TRUE),1,9)*52</f>
        <v/>
      </c>
      <c r="AB1225" s="9">
        <f>INDEX(LINEST(L966:L1225,M966:T1225,TRUE,TRUE),1,8)</f>
        <v/>
      </c>
      <c r="AC1225" s="9">
        <f>INDEX(LINEST(L966:L1225,M966:T1225,TRUE,TRUE),1,7)</f>
        <v/>
      </c>
      <c r="AD1225" s="9">
        <f>INDEX(LINEST(L966:L1225,M966:T1225,TRUE,TRUE),1,6)</f>
        <v/>
      </c>
      <c r="AE1225" s="9">
        <f>INDEX(LINEST(L966:L1225,M966:T1225,TRUE,TRUE),1,5)</f>
        <v/>
      </c>
      <c r="AF1225" s="9">
        <f>INDEX(LINEST(L966:L1225,M966:T1225,TRUE,TRUE),1,4)</f>
        <v/>
      </c>
      <c r="AG1225" s="9">
        <f>INDEX(LINEST(L966:L1225,M966:T1225,TRUE,TRUE),1,3)</f>
        <v/>
      </c>
      <c r="AH1225" s="9">
        <f>INDEX(LINEST(L966:L1225,M966:T1225,TRUE,TRUE),1,2)</f>
        <v/>
      </c>
      <c r="AI1225" s="9">
        <f>INDEX(LINEST(L966:L1225,M966:T1225,TRUE,TRUE),1,1)</f>
        <v/>
      </c>
      <c r="AJ1225" s="10">
        <f>INDEX(LINEST(L966:L1225,M966:T1225,TRUE,TRUE),3,1)</f>
        <v/>
      </c>
      <c r="AK1225" s="9">
        <f>AA1224/52+AB1224*M1225+AC1224*N1225+AD1224*O1225+AE1224*P1225+AF1224*Q1225+AG1224*R1225+AH1224*S1225+AI1224*T1225</f>
        <v/>
      </c>
      <c r="AL1225" s="9">
        <f>AVERAGE(L965:L1224)</f>
        <v/>
      </c>
    </row>
    <row r="1226">
      <c r="A1226" s="7" t="n">
        <v>46192</v>
      </c>
      <c r="B1226" s="8" t="n">
        <v>4150.9</v>
      </c>
      <c r="C1226" s="8" t="n">
        <v>2.25</v>
      </c>
      <c r="D1226" s="8" t="n">
        <v>2.23</v>
      </c>
      <c r="E1226" s="8" t="n">
        <v>100.849998</v>
      </c>
      <c r="F1226" s="8" t="n">
        <v>84.65000000000001</v>
      </c>
      <c r="G1226" s="8" t="n">
        <v>16.78</v>
      </c>
      <c r="H1226" s="8" t="n">
        <v>65.389999</v>
      </c>
      <c r="I1226" s="8" t="n">
        <v>7500.580078</v>
      </c>
      <c r="J1226" s="8" t="n">
        <v>98.900002</v>
      </c>
      <c r="L1226" s="9">
        <f>LN(B1226/B1225)</f>
        <v/>
      </c>
      <c r="M1226" s="9">
        <f>$M$1*(C1226-C1225)</f>
        <v/>
      </c>
      <c r="N1226" s="9">
        <f>$N$1*(D1226-D1225)</f>
        <v/>
      </c>
      <c r="O1226" s="9">
        <f>$O$1*LN(E1226/E1225)</f>
        <v/>
      </c>
      <c r="P1226" s="9">
        <f>$P$1*LN(F1226/F1225)</f>
        <v/>
      </c>
      <c r="Q1226" s="9">
        <f>$Q$1*(G1226-G1225)</f>
        <v/>
      </c>
      <c r="R1226" s="9">
        <f>$R$1*(H1226-H1225)</f>
        <v/>
      </c>
      <c r="S1226" s="9">
        <f>$S$1*LN(I1226/I1225)</f>
        <v/>
      </c>
      <c r="T1226" s="9">
        <f>$T$1*LN(J1226/J1225)</f>
        <v/>
      </c>
      <c r="U1226" s="9">
        <f>$W$12+$W$4*M1226+$W$5*N1226+$W$6*O1226+$W$7*P1226+$W$8*Q1226+$W$9*R1226+$W$10*S1226+$W$11*T1226</f>
        <v/>
      </c>
      <c r="AA1226" s="10">
        <f>INDEX(LINEST(L967:L1226,M967:T1226,TRUE,TRUE),1,9)*52</f>
        <v/>
      </c>
      <c r="AB1226" s="9">
        <f>INDEX(LINEST(L967:L1226,M967:T1226,TRUE,TRUE),1,8)</f>
        <v/>
      </c>
      <c r="AC1226" s="9">
        <f>INDEX(LINEST(L967:L1226,M967:T1226,TRUE,TRUE),1,7)</f>
        <v/>
      </c>
      <c r="AD1226" s="9">
        <f>INDEX(LINEST(L967:L1226,M967:T1226,TRUE,TRUE),1,6)</f>
        <v/>
      </c>
      <c r="AE1226" s="9">
        <f>INDEX(LINEST(L967:L1226,M967:T1226,TRUE,TRUE),1,5)</f>
        <v/>
      </c>
      <c r="AF1226" s="9">
        <f>INDEX(LINEST(L967:L1226,M967:T1226,TRUE,TRUE),1,4)</f>
        <v/>
      </c>
      <c r="AG1226" s="9">
        <f>INDEX(LINEST(L967:L1226,M967:T1226,TRUE,TRUE),1,3)</f>
        <v/>
      </c>
      <c r="AH1226" s="9">
        <f>INDEX(LINEST(L967:L1226,M967:T1226,TRUE,TRUE),1,2)</f>
        <v/>
      </c>
      <c r="AI1226" s="9">
        <f>INDEX(LINEST(L967:L1226,M967:T1226,TRUE,TRUE),1,1)</f>
        <v/>
      </c>
      <c r="AJ1226" s="10">
        <f>INDEX(LINEST(L967:L1226,M967:T1226,TRUE,TRUE),3,1)</f>
        <v/>
      </c>
      <c r="AK1226" s="9">
        <f>AA1225/52+AB1225*M1226+AC1225*N1226+AD1225*O1226+AE1225*P1226+AF1225*Q1226+AG1225*R1226+AH1225*S1226+AI1225*T1226</f>
        <v/>
      </c>
      <c r="AL1226" s="9">
        <f>AVERAGE(L966:L1225)</f>
        <v/>
      </c>
    </row>
  </sheetData>
  <mergeCells count="1">
    <mergeCell ref="A1:J1"/>
  </mergeCells>
  <dataValidations count="1">
    <dataValidation sqref="M1 N1 O1 P1 Q1 R1 S1 T1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9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2" customWidth="1" min="22" max="22"/>
  </cols>
  <sheetData>
    <row r="1">
      <c r="A1" s="1" t="inlineStr">
        <is>
          <t>Gold factor regression — quarterly, data embedded (blue = inputs, toggles row 1)</t>
        </is>
      </c>
      <c r="L1" s="2" t="inlineStr">
        <is>
          <t>Include 1/0 →</t>
        </is>
      </c>
      <c r="M1" s="3" t="n">
        <v>1</v>
      </c>
      <c r="N1" s="3" t="n">
        <v>1</v>
      </c>
      <c r="O1" s="3" t="n">
        <v>1</v>
      </c>
      <c r="P1" s="3" t="n">
        <v>1</v>
      </c>
      <c r="Q1" s="3" t="n">
        <v>1</v>
      </c>
      <c r="R1" s="3" t="n">
        <v>1</v>
      </c>
      <c r="S1" s="3" t="n">
        <v>1</v>
      </c>
      <c r="T1" s="3" t="n">
        <v>1</v>
      </c>
    </row>
    <row r="2">
      <c r="A2" s="4" t="inlineStr">
        <is>
          <t>Date</t>
        </is>
      </c>
      <c r="B2" s="4" t="inlineStr">
        <is>
          <t>Gold (LBMA PM)</t>
        </is>
      </c>
      <c r="C2" s="4" t="inlineStr">
        <is>
          <t>10Y breakeven</t>
        </is>
      </c>
      <c r="D2" s="4" t="inlineStr">
        <is>
          <t>10Y TIPS real</t>
        </is>
      </c>
      <c r="E2" s="4" t="inlineStr">
        <is>
          <t>US Dollar Index DXY</t>
        </is>
      </c>
      <c r="F2" s="4" t="inlineStr">
        <is>
          <t>WTI crude oil</t>
        </is>
      </c>
      <c r="G2" s="4" t="inlineStr">
        <is>
          <t>Equity vol VIX</t>
        </is>
      </c>
      <c r="H2" s="4" t="inlineStr">
        <is>
          <t>Rate vol MOVE</t>
        </is>
      </c>
      <c r="I2" s="4" t="inlineStr">
        <is>
          <t>S&amp;P 500 (price)</t>
        </is>
      </c>
      <c r="J2" s="4" t="inlineStr">
        <is>
          <t>US Agg bonds TR</t>
        </is>
      </c>
      <c r="L2" s="4" t="inlineStr">
        <is>
          <t>Gold ret</t>
        </is>
      </c>
      <c r="M2" s="4" t="inlineStr">
        <is>
          <t>Δ 10Y BE</t>
        </is>
      </c>
      <c r="N2" s="4" t="inlineStr">
        <is>
          <t>Δ 10Y real</t>
        </is>
      </c>
      <c r="O2" s="4" t="inlineStr">
        <is>
          <t>DXY ret</t>
        </is>
      </c>
      <c r="P2" s="4" t="inlineStr">
        <is>
          <t>Oil ret</t>
        </is>
      </c>
      <c r="Q2" s="4" t="inlineStr">
        <is>
          <t>Δ VIX</t>
        </is>
      </c>
      <c r="R2" s="4" t="inlineStr">
        <is>
          <t>Δ MOVE</t>
        </is>
      </c>
      <c r="S2" s="4" t="inlineStr">
        <is>
          <t>S&amp;P ret</t>
        </is>
      </c>
      <c r="T2" s="4" t="inlineStr">
        <is>
          <t>Agg ret</t>
        </is>
      </c>
      <c r="U2" s="5" t="inlineStr">
        <is>
          <t>Fitted</t>
        </is>
      </c>
      <c r="V2" s="6" t="inlineStr">
        <is>
          <t>Regression (full sample)</t>
        </is>
      </c>
      <c r="AK2" s="5" t="inlineStr">
        <is>
          <t>OOS pred</t>
        </is>
      </c>
      <c r="AL2" s="5" t="inlineStr">
        <is>
          <t>trail mean</t>
        </is>
      </c>
    </row>
    <row r="3">
      <c r="A3" s="7" t="n">
        <v>37711</v>
      </c>
      <c r="B3" s="8" t="n">
        <v>334.85</v>
      </c>
      <c r="C3" s="8" t="n">
        <v>1.8</v>
      </c>
      <c r="D3" s="8" t="n">
        <v>2.03</v>
      </c>
      <c r="E3" s="8" t="n">
        <v>99.05999799999999</v>
      </c>
      <c r="F3" s="8" t="n">
        <v>31.14</v>
      </c>
      <c r="G3" s="8" t="n">
        <v>29.15</v>
      </c>
      <c r="H3" s="8" t="n">
        <v>112.089996</v>
      </c>
      <c r="I3" s="8" t="n">
        <v>848.179993</v>
      </c>
      <c r="J3" s="8" t="n">
        <v>48.633196</v>
      </c>
      <c r="V3" s="5" t="inlineStr">
        <is>
          <t>Factor</t>
        </is>
      </c>
      <c r="W3" s="5" t="inlineStr">
        <is>
          <t>β</t>
        </is>
      </c>
      <c r="X3" s="5" t="inlineStr">
        <is>
          <t>std err</t>
        </is>
      </c>
      <c r="Y3" s="5" t="inlineStr">
        <is>
          <t>t-stat</t>
        </is>
      </c>
    </row>
    <row r="4">
      <c r="A4" s="7" t="n">
        <v>37802</v>
      </c>
      <c r="B4" s="8" t="n">
        <v>346</v>
      </c>
      <c r="C4" s="8" t="n">
        <v>1.64</v>
      </c>
      <c r="D4" s="8" t="n">
        <v>1.9</v>
      </c>
      <c r="E4" s="8" t="n">
        <v>94.730003</v>
      </c>
      <c r="F4" s="8" t="n">
        <v>30.15</v>
      </c>
      <c r="G4" s="8" t="n">
        <v>19.52</v>
      </c>
      <c r="H4" s="8" t="n">
        <v>103.599998</v>
      </c>
      <c r="I4" s="8" t="n">
        <v>974.5</v>
      </c>
      <c r="J4" s="8" t="n">
        <v>49.885572</v>
      </c>
      <c r="L4" s="9">
        <f>LN(B4/B3)</f>
        <v/>
      </c>
      <c r="M4" s="9">
        <f>$M$1*(C4-C3)</f>
        <v/>
      </c>
      <c r="N4" s="9">
        <f>$N$1*(D4-D3)</f>
        <v/>
      </c>
      <c r="O4" s="9">
        <f>$O$1*LN(E4/E3)</f>
        <v/>
      </c>
      <c r="P4" s="9">
        <f>$P$1*LN(F4/F3)</f>
        <v/>
      </c>
      <c r="Q4" s="9">
        <f>$Q$1*(G4-G3)</f>
        <v/>
      </c>
      <c r="R4" s="9">
        <f>$R$1*(H4-H3)</f>
        <v/>
      </c>
      <c r="S4" s="9">
        <f>$S$1*LN(I4/I3)</f>
        <v/>
      </c>
      <c r="T4" s="9">
        <f>$T$1*LN(J4/J3)</f>
        <v/>
      </c>
      <c r="U4" s="9">
        <f>$W$12+$W$4*M4+$W$5*N4+$W$6*O4+$W$7*P4+$W$8*Q4+$W$9*R4+$W$10*S4+$W$11*T4</f>
        <v/>
      </c>
      <c r="V4" t="inlineStr">
        <is>
          <t>10Y breakeven</t>
        </is>
      </c>
      <c r="W4" s="9">
        <f>INDEX(LINEST($L$4:$L$96,$M$4:$T$96,TRUE,TRUE),1,8)</f>
        <v/>
      </c>
      <c r="X4" s="9">
        <f>INDEX(LINEST($L$4:$L$96,$M$4:$T$96,TRUE,TRUE),2,8)</f>
        <v/>
      </c>
      <c r="Y4" s="9">
        <f>W4/X4</f>
        <v/>
      </c>
    </row>
    <row r="5">
      <c r="A5" s="7" t="n">
        <v>37894</v>
      </c>
      <c r="B5" s="8" t="n">
        <v>388</v>
      </c>
      <c r="C5" s="8" t="n">
        <v>2.01</v>
      </c>
      <c r="D5" s="8" t="n">
        <v>1.95</v>
      </c>
      <c r="E5" s="8" t="n">
        <v>92.849998</v>
      </c>
      <c r="F5" s="8" t="n">
        <v>29.19</v>
      </c>
      <c r="G5" s="8" t="n">
        <v>22.72</v>
      </c>
      <c r="H5" s="8" t="n">
        <v>116.690002</v>
      </c>
      <c r="I5" s="8" t="n">
        <v>995.969971</v>
      </c>
      <c r="J5" s="8" t="n">
        <v>49.678352</v>
      </c>
      <c r="L5" s="9">
        <f>LN(B5/B4)</f>
        <v/>
      </c>
      <c r="M5" s="9">
        <f>$M$1*(C5-C4)</f>
        <v/>
      </c>
      <c r="N5" s="9">
        <f>$N$1*(D5-D4)</f>
        <v/>
      </c>
      <c r="O5" s="9">
        <f>$O$1*LN(E5/E4)</f>
        <v/>
      </c>
      <c r="P5" s="9">
        <f>$P$1*LN(F5/F4)</f>
        <v/>
      </c>
      <c r="Q5" s="9">
        <f>$Q$1*(G5-G4)</f>
        <v/>
      </c>
      <c r="R5" s="9">
        <f>$R$1*(H5-H4)</f>
        <v/>
      </c>
      <c r="S5" s="9">
        <f>$S$1*LN(I5/I4)</f>
        <v/>
      </c>
      <c r="T5" s="9">
        <f>$T$1*LN(J5/J4)</f>
        <v/>
      </c>
      <c r="U5" s="9">
        <f>$W$12+$W$4*M5+$W$5*N5+$W$6*O5+$W$7*P5+$W$8*Q5+$W$9*R5+$W$10*S5+$W$11*T5</f>
        <v/>
      </c>
      <c r="V5" t="inlineStr">
        <is>
          <t>10Y TIPS real</t>
        </is>
      </c>
      <c r="W5" s="9">
        <f>INDEX(LINEST($L$4:$L$96,$M$4:$T$96,TRUE,TRUE),1,7)</f>
        <v/>
      </c>
      <c r="X5" s="9">
        <f>INDEX(LINEST($L$4:$L$96,$M$4:$T$96,TRUE,TRUE),2,7)</f>
        <v/>
      </c>
      <c r="Y5" s="9">
        <f>W5/X5</f>
        <v/>
      </c>
    </row>
    <row r="6">
      <c r="A6" s="7" t="n">
        <v>37986</v>
      </c>
      <c r="B6" s="8" t="n">
        <v>416.25</v>
      </c>
      <c r="C6" s="8" t="n">
        <v>2.27</v>
      </c>
      <c r="D6" s="8" t="n">
        <v>2</v>
      </c>
      <c r="E6" s="8" t="n">
        <v>86.91999800000001</v>
      </c>
      <c r="F6" s="8" t="n">
        <v>32.51</v>
      </c>
      <c r="G6" s="8" t="n">
        <v>18.31</v>
      </c>
      <c r="H6" s="8" t="n">
        <v>117.910004</v>
      </c>
      <c r="I6" s="8" t="n">
        <v>1111.920044</v>
      </c>
      <c r="J6" s="8" t="n">
        <v>49.86211</v>
      </c>
      <c r="L6" s="9">
        <f>LN(B6/B5)</f>
        <v/>
      </c>
      <c r="M6" s="9">
        <f>$M$1*(C6-C5)</f>
        <v/>
      </c>
      <c r="N6" s="9">
        <f>$N$1*(D6-D5)</f>
        <v/>
      </c>
      <c r="O6" s="9">
        <f>$O$1*LN(E6/E5)</f>
        <v/>
      </c>
      <c r="P6" s="9">
        <f>$P$1*LN(F6/F5)</f>
        <v/>
      </c>
      <c r="Q6" s="9">
        <f>$Q$1*(G6-G5)</f>
        <v/>
      </c>
      <c r="R6" s="9">
        <f>$R$1*(H6-H5)</f>
        <v/>
      </c>
      <c r="S6" s="9">
        <f>$S$1*LN(I6/I5)</f>
        <v/>
      </c>
      <c r="T6" s="9">
        <f>$T$1*LN(J6/J5)</f>
        <v/>
      </c>
      <c r="U6" s="9">
        <f>$W$12+$W$4*M6+$W$5*N6+$W$6*O6+$W$7*P6+$W$8*Q6+$W$9*R6+$W$10*S6+$W$11*T6</f>
        <v/>
      </c>
      <c r="V6" t="inlineStr">
        <is>
          <t>US Dollar Index DXY</t>
        </is>
      </c>
      <c r="W6" s="9">
        <f>INDEX(LINEST($L$4:$L$96,$M$4:$T$96,TRUE,TRUE),1,6)</f>
        <v/>
      </c>
      <c r="X6" s="9">
        <f>INDEX(LINEST($L$4:$L$96,$M$4:$T$96,TRUE,TRUE),2,6)</f>
        <v/>
      </c>
      <c r="Y6" s="9">
        <f>W6/X6</f>
        <v/>
      </c>
    </row>
    <row r="7">
      <c r="A7" s="7" t="n">
        <v>38077</v>
      </c>
      <c r="B7" s="8" t="n">
        <v>423.7</v>
      </c>
      <c r="C7" s="8" t="n">
        <v>2.38</v>
      </c>
      <c r="D7" s="8" t="n">
        <v>1.48</v>
      </c>
      <c r="E7" s="8" t="n">
        <v>87.610001</v>
      </c>
      <c r="F7" s="8" t="n">
        <v>35.75</v>
      </c>
      <c r="G7" s="8" t="n">
        <v>16.74</v>
      </c>
      <c r="H7" s="8" t="n">
        <v>105.919998</v>
      </c>
      <c r="I7" s="8" t="n">
        <v>1126.209961</v>
      </c>
      <c r="J7" s="8" t="n">
        <v>50.999817</v>
      </c>
      <c r="L7" s="9">
        <f>LN(B7/B6)</f>
        <v/>
      </c>
      <c r="M7" s="9">
        <f>$M$1*(C7-C6)</f>
        <v/>
      </c>
      <c r="N7" s="9">
        <f>$N$1*(D7-D6)</f>
        <v/>
      </c>
      <c r="O7" s="9">
        <f>$O$1*LN(E7/E6)</f>
        <v/>
      </c>
      <c r="P7" s="9">
        <f>$P$1*LN(F7/F6)</f>
        <v/>
      </c>
      <c r="Q7" s="9">
        <f>$Q$1*(G7-G6)</f>
        <v/>
      </c>
      <c r="R7" s="9">
        <f>$R$1*(H7-H6)</f>
        <v/>
      </c>
      <c r="S7" s="9">
        <f>$S$1*LN(I7/I6)</f>
        <v/>
      </c>
      <c r="T7" s="9">
        <f>$T$1*LN(J7/J6)</f>
        <v/>
      </c>
      <c r="U7" s="9">
        <f>$W$12+$W$4*M7+$W$5*N7+$W$6*O7+$W$7*P7+$W$8*Q7+$W$9*R7+$W$10*S7+$W$11*T7</f>
        <v/>
      </c>
      <c r="V7" t="inlineStr">
        <is>
          <t>WTI crude oil</t>
        </is>
      </c>
      <c r="W7" s="9">
        <f>INDEX(LINEST($L$4:$L$96,$M$4:$T$96,TRUE,TRUE),1,5)</f>
        <v/>
      </c>
      <c r="X7" s="9">
        <f>INDEX(LINEST($L$4:$L$96,$M$4:$T$96,TRUE,TRUE),2,5)</f>
        <v/>
      </c>
      <c r="Y7" s="9">
        <f>W7/X7</f>
        <v/>
      </c>
    </row>
    <row r="8">
      <c r="A8" s="7" t="n">
        <v>38168</v>
      </c>
      <c r="B8" s="8" t="n">
        <v>395.8</v>
      </c>
      <c r="C8" s="8" t="n">
        <v>2.52</v>
      </c>
      <c r="D8" s="8" t="n">
        <v>2.1</v>
      </c>
      <c r="E8" s="8" t="n">
        <v>88.800003</v>
      </c>
      <c r="F8" s="8" t="n">
        <v>36.92</v>
      </c>
      <c r="G8" s="8" t="n">
        <v>14.34</v>
      </c>
      <c r="H8" s="8" t="n">
        <v>93.910004</v>
      </c>
      <c r="I8" s="8" t="n">
        <v>1140.839966</v>
      </c>
      <c r="J8" s="8" t="n">
        <v>49.74081</v>
      </c>
      <c r="L8" s="9">
        <f>LN(B8/B7)</f>
        <v/>
      </c>
      <c r="M8" s="9">
        <f>$M$1*(C8-C7)</f>
        <v/>
      </c>
      <c r="N8" s="9">
        <f>$N$1*(D8-D7)</f>
        <v/>
      </c>
      <c r="O8" s="9">
        <f>$O$1*LN(E8/E7)</f>
        <v/>
      </c>
      <c r="P8" s="9">
        <f>$P$1*LN(F8/F7)</f>
        <v/>
      </c>
      <c r="Q8" s="9">
        <f>$Q$1*(G8-G7)</f>
        <v/>
      </c>
      <c r="R8" s="9">
        <f>$R$1*(H8-H7)</f>
        <v/>
      </c>
      <c r="S8" s="9">
        <f>$S$1*LN(I8/I7)</f>
        <v/>
      </c>
      <c r="T8" s="9">
        <f>$T$1*LN(J8/J7)</f>
        <v/>
      </c>
      <c r="U8" s="9">
        <f>$W$12+$W$4*M8+$W$5*N8+$W$6*O8+$W$7*P8+$W$8*Q8+$W$9*R8+$W$10*S8+$W$11*T8</f>
        <v/>
      </c>
      <c r="V8" t="inlineStr">
        <is>
          <t>Equity vol VIX</t>
        </is>
      </c>
      <c r="W8" s="9">
        <f>INDEX(LINEST($L$4:$L$96,$M$4:$T$96,TRUE,TRUE),1,4)</f>
        <v/>
      </c>
      <c r="X8" s="9">
        <f>INDEX(LINEST($L$4:$L$96,$M$4:$T$96,TRUE,TRUE),2,4)</f>
        <v/>
      </c>
      <c r="Y8" s="9">
        <f>W8/X8</f>
        <v/>
      </c>
    </row>
    <row r="9">
      <c r="A9" s="7" t="n">
        <v>38260</v>
      </c>
      <c r="B9" s="8" t="n">
        <v>415.65</v>
      </c>
      <c r="C9" s="8" t="n">
        <v>2.37</v>
      </c>
      <c r="D9" s="8" t="n">
        <v>1.77</v>
      </c>
      <c r="E9" s="8" t="n">
        <v>87.360001</v>
      </c>
      <c r="F9" s="8" t="n">
        <v>49.56</v>
      </c>
      <c r="G9" s="8" t="n">
        <v>13.34</v>
      </c>
      <c r="H9" s="8" t="n">
        <v>92.889999</v>
      </c>
      <c r="I9" s="8" t="n">
        <v>1114.579956</v>
      </c>
      <c r="J9" s="8" t="n">
        <v>51.277126</v>
      </c>
      <c r="L9" s="9">
        <f>LN(B9/B8)</f>
        <v/>
      </c>
      <c r="M9" s="9">
        <f>$M$1*(C9-C8)</f>
        <v/>
      </c>
      <c r="N9" s="9">
        <f>$N$1*(D9-D8)</f>
        <v/>
      </c>
      <c r="O9" s="9">
        <f>$O$1*LN(E9/E8)</f>
        <v/>
      </c>
      <c r="P9" s="9">
        <f>$P$1*LN(F9/F8)</f>
        <v/>
      </c>
      <c r="Q9" s="9">
        <f>$Q$1*(G9-G8)</f>
        <v/>
      </c>
      <c r="R9" s="9">
        <f>$R$1*(H9-H8)</f>
        <v/>
      </c>
      <c r="S9" s="9">
        <f>$S$1*LN(I9/I8)</f>
        <v/>
      </c>
      <c r="T9" s="9">
        <f>$T$1*LN(J9/J8)</f>
        <v/>
      </c>
      <c r="U9" s="9">
        <f>$W$12+$W$4*M9+$W$5*N9+$W$6*O9+$W$7*P9+$W$8*Q9+$W$9*R9+$W$10*S9+$W$11*T9</f>
        <v/>
      </c>
      <c r="V9" t="inlineStr">
        <is>
          <t>Rate vol MOVE</t>
        </is>
      </c>
      <c r="W9" s="9">
        <f>INDEX(LINEST($L$4:$L$96,$M$4:$T$96,TRUE,TRUE),1,3)</f>
        <v/>
      </c>
      <c r="X9" s="9">
        <f>INDEX(LINEST($L$4:$L$96,$M$4:$T$96,TRUE,TRUE),2,3)</f>
        <v/>
      </c>
      <c r="Y9" s="9">
        <f>W9/X9</f>
        <v/>
      </c>
    </row>
    <row r="10">
      <c r="A10" s="7" t="n">
        <v>38352</v>
      </c>
      <c r="B10" s="8" t="n">
        <v>435.6</v>
      </c>
      <c r="C10" s="8" t="n">
        <v>2.56</v>
      </c>
      <c r="D10" s="8" t="n">
        <v>1.68</v>
      </c>
      <c r="E10" s="8" t="n">
        <v>80.849998</v>
      </c>
      <c r="F10" s="8" t="n">
        <v>43.36</v>
      </c>
      <c r="G10" s="8" t="n">
        <v>13.29</v>
      </c>
      <c r="H10" s="8" t="n">
        <v>86.599998</v>
      </c>
      <c r="I10" s="8" t="n">
        <v>1211.920044</v>
      </c>
      <c r="J10" s="8" t="n">
        <v>51.748566</v>
      </c>
      <c r="L10" s="9">
        <f>LN(B10/B9)</f>
        <v/>
      </c>
      <c r="M10" s="9">
        <f>$M$1*(C10-C9)</f>
        <v/>
      </c>
      <c r="N10" s="9">
        <f>$N$1*(D10-D9)</f>
        <v/>
      </c>
      <c r="O10" s="9">
        <f>$O$1*LN(E10/E9)</f>
        <v/>
      </c>
      <c r="P10" s="9">
        <f>$P$1*LN(F10/F9)</f>
        <v/>
      </c>
      <c r="Q10" s="9">
        <f>$Q$1*(G10-G9)</f>
        <v/>
      </c>
      <c r="R10" s="9">
        <f>$R$1*(H10-H9)</f>
        <v/>
      </c>
      <c r="S10" s="9">
        <f>$S$1*LN(I10/I9)</f>
        <v/>
      </c>
      <c r="T10" s="9">
        <f>$T$1*LN(J10/J9)</f>
        <v/>
      </c>
      <c r="U10" s="9">
        <f>$W$12+$W$4*M10+$W$5*N10+$W$6*O10+$W$7*P10+$W$8*Q10+$W$9*R10+$W$10*S10+$W$11*T10</f>
        <v/>
      </c>
      <c r="V10" t="inlineStr">
        <is>
          <t>S&amp;P 500 (price)</t>
        </is>
      </c>
      <c r="W10" s="9">
        <f>INDEX(LINEST($L$4:$L$96,$M$4:$T$96,TRUE,TRUE),1,2)</f>
        <v/>
      </c>
      <c r="X10" s="9">
        <f>INDEX(LINEST($L$4:$L$96,$M$4:$T$96,TRUE,TRUE),2,2)</f>
        <v/>
      </c>
      <c r="Y10" s="9">
        <f>W10/X10</f>
        <v/>
      </c>
    </row>
    <row r="11">
      <c r="A11" s="7" t="n">
        <v>38442</v>
      </c>
      <c r="B11" s="8" t="n">
        <v>427.5</v>
      </c>
      <c r="C11" s="8" t="n">
        <v>2.71</v>
      </c>
      <c r="D11" s="8" t="n">
        <v>1.79</v>
      </c>
      <c r="E11" s="8" t="n">
        <v>84.05999799999999</v>
      </c>
      <c r="F11" s="8" t="n">
        <v>55.31</v>
      </c>
      <c r="G11" s="8" t="n">
        <v>14.02</v>
      </c>
      <c r="H11" s="8" t="n">
        <v>87.699997</v>
      </c>
      <c r="I11" s="8" t="n">
        <v>1180.589966</v>
      </c>
      <c r="J11" s="8" t="n">
        <v>51.303345</v>
      </c>
      <c r="L11" s="9">
        <f>LN(B11/B10)</f>
        <v/>
      </c>
      <c r="M11" s="9">
        <f>$M$1*(C11-C10)</f>
        <v/>
      </c>
      <c r="N11" s="9">
        <f>$N$1*(D11-D10)</f>
        <v/>
      </c>
      <c r="O11" s="9">
        <f>$O$1*LN(E11/E10)</f>
        <v/>
      </c>
      <c r="P11" s="9">
        <f>$P$1*LN(F11/F10)</f>
        <v/>
      </c>
      <c r="Q11" s="9">
        <f>$Q$1*(G11-G10)</f>
        <v/>
      </c>
      <c r="R11" s="9">
        <f>$R$1*(H11-H10)</f>
        <v/>
      </c>
      <c r="S11" s="9">
        <f>$S$1*LN(I11/I10)</f>
        <v/>
      </c>
      <c r="T11" s="9">
        <f>$T$1*LN(J11/J10)</f>
        <v/>
      </c>
      <c r="U11" s="9">
        <f>$W$12+$W$4*M11+$W$5*N11+$W$6*O11+$W$7*P11+$W$8*Q11+$W$9*R11+$W$10*S11+$W$11*T11</f>
        <v/>
      </c>
      <c r="V11" t="inlineStr">
        <is>
          <t>US Agg bonds TR</t>
        </is>
      </c>
      <c r="W11" s="9">
        <f>INDEX(LINEST($L$4:$L$96,$M$4:$T$96,TRUE,TRUE),1,1)</f>
        <v/>
      </c>
      <c r="X11" s="9">
        <f>INDEX(LINEST($L$4:$L$96,$M$4:$T$96,TRUE,TRUE),2,1)</f>
        <v/>
      </c>
      <c r="Y11" s="9">
        <f>W11/X11</f>
        <v/>
      </c>
    </row>
    <row r="12">
      <c r="A12" s="7" t="n">
        <v>38533</v>
      </c>
      <c r="B12" s="8" t="n">
        <v>437.1</v>
      </c>
      <c r="C12" s="8" t="n">
        <v>2.27</v>
      </c>
      <c r="D12" s="8" t="n">
        <v>1.67</v>
      </c>
      <c r="E12" s="8" t="n">
        <v>89.110001</v>
      </c>
      <c r="F12" s="8" t="n">
        <v>56.63</v>
      </c>
      <c r="G12" s="8" t="n">
        <v>12.04</v>
      </c>
      <c r="H12" s="8" t="n">
        <v>75.599998</v>
      </c>
      <c r="I12" s="8" t="n">
        <v>1191.329956</v>
      </c>
      <c r="J12" s="8" t="n">
        <v>53.080238</v>
      </c>
      <c r="L12" s="9">
        <f>LN(B12/B11)</f>
        <v/>
      </c>
      <c r="M12" s="9">
        <f>$M$1*(C12-C11)</f>
        <v/>
      </c>
      <c r="N12" s="9">
        <f>$N$1*(D12-D11)</f>
        <v/>
      </c>
      <c r="O12" s="9">
        <f>$O$1*LN(E12/E11)</f>
        <v/>
      </c>
      <c r="P12" s="9">
        <f>$P$1*LN(F12/F11)</f>
        <v/>
      </c>
      <c r="Q12" s="9">
        <f>$Q$1*(G12-G11)</f>
        <v/>
      </c>
      <c r="R12" s="9">
        <f>$R$1*(H12-H11)</f>
        <v/>
      </c>
      <c r="S12" s="9">
        <f>$S$1*LN(I12/I11)</f>
        <v/>
      </c>
      <c r="T12" s="9">
        <f>$T$1*LN(J12/J11)</f>
        <v/>
      </c>
      <c r="U12" s="9">
        <f>$W$12+$W$4*M12+$W$5*N12+$W$6*O12+$W$7*P12+$W$8*Q12+$W$9*R12+$W$10*S12+$W$11*T12</f>
        <v/>
      </c>
      <c r="V12" t="inlineStr">
        <is>
          <t>Intercept α</t>
        </is>
      </c>
      <c r="W12" s="9">
        <f>INDEX(LINEST($L$4:$L$96,$M$4:$T$96,TRUE,TRUE),1,9)</f>
        <v/>
      </c>
      <c r="X12" s="9">
        <f>INDEX(LINEST($L$4:$L$96,$M$4:$T$96,TRUE,TRUE),2,9)</f>
        <v/>
      </c>
      <c r="Y12" s="9">
        <f>W12/X12</f>
        <v/>
      </c>
    </row>
    <row r="13">
      <c r="A13" s="7" t="n">
        <v>38625</v>
      </c>
      <c r="B13" s="8" t="n">
        <v>473.25</v>
      </c>
      <c r="C13" s="8" t="n">
        <v>2.56</v>
      </c>
      <c r="D13" s="8" t="n">
        <v>1.78</v>
      </c>
      <c r="E13" s="8" t="n">
        <v>89.519997</v>
      </c>
      <c r="F13" s="8" t="n">
        <v>66.20999999999999</v>
      </c>
      <c r="G13" s="8" t="n">
        <v>11.92</v>
      </c>
      <c r="H13" s="8" t="n">
        <v>76.709999</v>
      </c>
      <c r="I13" s="8" t="n">
        <v>1228.810059</v>
      </c>
      <c r="J13" s="8" t="n">
        <v>52.653507</v>
      </c>
      <c r="L13" s="9">
        <f>LN(B13/B12)</f>
        <v/>
      </c>
      <c r="M13" s="9">
        <f>$M$1*(C13-C12)</f>
        <v/>
      </c>
      <c r="N13" s="9">
        <f>$N$1*(D13-D12)</f>
        <v/>
      </c>
      <c r="O13" s="9">
        <f>$O$1*LN(E13/E12)</f>
        <v/>
      </c>
      <c r="P13" s="9">
        <f>$P$1*LN(F13/F12)</f>
        <v/>
      </c>
      <c r="Q13" s="9">
        <f>$Q$1*(G13-G12)</f>
        <v/>
      </c>
      <c r="R13" s="9">
        <f>$R$1*(H13-H12)</f>
        <v/>
      </c>
      <c r="S13" s="9">
        <f>$S$1*LN(I13/I12)</f>
        <v/>
      </c>
      <c r="T13" s="9">
        <f>$T$1*LN(J13/J12)</f>
        <v/>
      </c>
      <c r="U13" s="9">
        <f>$W$12+$W$4*M13+$W$5*N13+$W$6*O13+$W$7*P13+$W$8*Q13+$W$9*R13+$W$10*S13+$W$11*T13</f>
        <v/>
      </c>
    </row>
    <row r="14">
      <c r="A14" s="7" t="n">
        <v>38717</v>
      </c>
      <c r="B14" s="8" t="n">
        <v>513</v>
      </c>
      <c r="C14" s="8" t="n">
        <v>2.33</v>
      </c>
      <c r="D14" s="8" t="n">
        <v>2.06</v>
      </c>
      <c r="E14" s="8" t="n">
        <v>91.16999800000001</v>
      </c>
      <c r="F14" s="8" t="n">
        <v>61.06</v>
      </c>
      <c r="G14" s="8" t="n">
        <v>12.07</v>
      </c>
      <c r="H14" s="8" t="n">
        <v>72.089996</v>
      </c>
      <c r="I14" s="8" t="n">
        <v>1248.290039</v>
      </c>
      <c r="J14" s="8" t="n">
        <v>52.92046</v>
      </c>
      <c r="L14" s="9">
        <f>LN(B14/B13)</f>
        <v/>
      </c>
      <c r="M14" s="9">
        <f>$M$1*(C14-C13)</f>
        <v/>
      </c>
      <c r="N14" s="9">
        <f>$N$1*(D14-D13)</f>
        <v/>
      </c>
      <c r="O14" s="9">
        <f>$O$1*LN(E14/E13)</f>
        <v/>
      </c>
      <c r="P14" s="9">
        <f>$P$1*LN(F14/F13)</f>
        <v/>
      </c>
      <c r="Q14" s="9">
        <f>$Q$1*(G14-G13)</f>
        <v/>
      </c>
      <c r="R14" s="9">
        <f>$R$1*(H14-H13)</f>
        <v/>
      </c>
      <c r="S14" s="9">
        <f>$S$1*LN(I14/I13)</f>
        <v/>
      </c>
      <c r="T14" s="9">
        <f>$T$1*LN(J14/J13)</f>
        <v/>
      </c>
      <c r="U14" s="9">
        <f>$W$12+$W$4*M14+$W$5*N14+$W$6*O14+$W$7*P14+$W$8*Q14+$W$9*R14+$W$10*S14+$W$11*T14</f>
        <v/>
      </c>
      <c r="V14" t="inlineStr">
        <is>
          <t>R²</t>
        </is>
      </c>
      <c r="W14" s="10">
        <f>INDEX(LINEST($L$4:$L$96,$M$4:$T$96,TRUE,TRUE),3,1)</f>
        <v/>
      </c>
    </row>
    <row r="15">
      <c r="A15" s="7" t="n">
        <v>38807</v>
      </c>
      <c r="B15" s="8" t="n">
        <v>582</v>
      </c>
      <c r="C15" s="8" t="n">
        <v>2.51</v>
      </c>
      <c r="D15" s="8" t="n">
        <v>2.35</v>
      </c>
      <c r="E15" s="8" t="n">
        <v>89.730003</v>
      </c>
      <c r="F15" s="8" t="n">
        <v>66.25</v>
      </c>
      <c r="G15" s="8" t="n">
        <v>11.39</v>
      </c>
      <c r="H15" s="8" t="n">
        <v>68.599998</v>
      </c>
      <c r="I15" s="8" t="n">
        <v>1294.869995</v>
      </c>
      <c r="J15" s="8" t="n">
        <v>52.514412</v>
      </c>
      <c r="L15" s="9">
        <f>LN(B15/B14)</f>
        <v/>
      </c>
      <c r="M15" s="9">
        <f>$M$1*(C15-C14)</f>
        <v/>
      </c>
      <c r="N15" s="9">
        <f>$N$1*(D15-D14)</f>
        <v/>
      </c>
      <c r="O15" s="9">
        <f>$O$1*LN(E15/E14)</f>
        <v/>
      </c>
      <c r="P15" s="9">
        <f>$P$1*LN(F15/F14)</f>
        <v/>
      </c>
      <c r="Q15" s="9">
        <f>$Q$1*(G15-G14)</f>
        <v/>
      </c>
      <c r="R15" s="9">
        <f>$R$1*(H15-H14)</f>
        <v/>
      </c>
      <c r="S15" s="9">
        <f>$S$1*LN(I15/I14)</f>
        <v/>
      </c>
      <c r="T15" s="9">
        <f>$T$1*LN(J15/J14)</f>
        <v/>
      </c>
      <c r="U15" s="9">
        <f>$W$12+$W$4*M15+$W$5*N15+$W$6*O15+$W$7*P15+$W$8*Q15+$W$9*R15+$W$10*S15+$W$11*T15</f>
        <v/>
      </c>
      <c r="V15" t="inlineStr">
        <is>
          <t>α annualized</t>
        </is>
      </c>
      <c r="W15" s="10">
        <f>W12*4</f>
        <v/>
      </c>
    </row>
    <row r="16">
      <c r="A16" s="7" t="n">
        <v>38898</v>
      </c>
      <c r="B16" s="8" t="n">
        <v>613.5</v>
      </c>
      <c r="C16" s="8" t="n">
        <v>2.61</v>
      </c>
      <c r="D16" s="8" t="n">
        <v>2.54</v>
      </c>
      <c r="E16" s="8" t="n">
        <v>85.220001</v>
      </c>
      <c r="F16" s="8" t="n">
        <v>73.94</v>
      </c>
      <c r="G16" s="8" t="n">
        <v>13.08</v>
      </c>
      <c r="H16" s="8" t="n">
        <v>65.5</v>
      </c>
      <c r="I16" s="8" t="n">
        <v>1270.199951</v>
      </c>
      <c r="J16" s="8" t="n">
        <v>52.247799</v>
      </c>
      <c r="L16" s="9">
        <f>LN(B16/B15)</f>
        <v/>
      </c>
      <c r="M16" s="9">
        <f>$M$1*(C16-C15)</f>
        <v/>
      </c>
      <c r="N16" s="9">
        <f>$N$1*(D16-D15)</f>
        <v/>
      </c>
      <c r="O16" s="9">
        <f>$O$1*LN(E16/E15)</f>
        <v/>
      </c>
      <c r="P16" s="9">
        <f>$P$1*LN(F16/F15)</f>
        <v/>
      </c>
      <c r="Q16" s="9">
        <f>$Q$1*(G16-G15)</f>
        <v/>
      </c>
      <c r="R16" s="9">
        <f>$R$1*(H16-H15)</f>
        <v/>
      </c>
      <c r="S16" s="9">
        <f>$S$1*LN(I16/I15)</f>
        <v/>
      </c>
      <c r="T16" s="9">
        <f>$T$1*LN(J16/J15)</f>
        <v/>
      </c>
      <c r="U16" s="9">
        <f>$W$12+$W$4*M16+$W$5*N16+$W$6*O16+$W$7*P16+$W$8*Q16+$W$9*R16+$W$10*S16+$W$11*T16</f>
        <v/>
      </c>
    </row>
    <row r="17">
      <c r="A17" s="7" t="n">
        <v>38990</v>
      </c>
      <c r="B17" s="8" t="n">
        <v>599.25</v>
      </c>
      <c r="C17" s="8" t="n">
        <v>2.37</v>
      </c>
      <c r="D17" s="8" t="n">
        <v>2.27</v>
      </c>
      <c r="E17" s="8" t="n">
        <v>85.970001</v>
      </c>
      <c r="F17" s="8" t="n">
        <v>62.9</v>
      </c>
      <c r="G17" s="8" t="n">
        <v>11.98</v>
      </c>
      <c r="H17" s="8" t="n">
        <v>63.099998</v>
      </c>
      <c r="I17" s="8" t="n">
        <v>1335.849976</v>
      </c>
      <c r="J17" s="8" t="n">
        <v>54.360672</v>
      </c>
      <c r="L17" s="9">
        <f>LN(B17/B16)</f>
        <v/>
      </c>
      <c r="M17" s="9">
        <f>$M$1*(C17-C16)</f>
        <v/>
      </c>
      <c r="N17" s="9">
        <f>$N$1*(D17-D16)</f>
        <v/>
      </c>
      <c r="O17" s="9">
        <f>$O$1*LN(E17/E16)</f>
        <v/>
      </c>
      <c r="P17" s="9">
        <f>$P$1*LN(F17/F16)</f>
        <v/>
      </c>
      <c r="Q17" s="9">
        <f>$Q$1*(G17-G16)</f>
        <v/>
      </c>
      <c r="R17" s="9">
        <f>$R$1*(H17-H16)</f>
        <v/>
      </c>
      <c r="S17" s="9">
        <f>$S$1*LN(I17/I16)</f>
        <v/>
      </c>
      <c r="T17" s="9">
        <f>$T$1*LN(J17/J16)</f>
        <v/>
      </c>
      <c r="U17" s="9">
        <f>$W$12+$W$4*M17+$W$5*N17+$W$6*O17+$W$7*P17+$W$8*Q17+$W$9*R17+$W$10*S17+$W$11*T17</f>
        <v/>
      </c>
      <c r="V17" s="6" t="inlineStr">
        <is>
          <t>Walk-forward OOS (rolling 60m → next)</t>
        </is>
      </c>
    </row>
    <row r="18">
      <c r="A18" s="7" t="n">
        <v>39082</v>
      </c>
      <c r="B18" s="8" t="n">
        <v>632</v>
      </c>
      <c r="C18" s="8" t="n">
        <v>2.3</v>
      </c>
      <c r="D18" s="8" t="n">
        <v>2.41</v>
      </c>
      <c r="E18" s="8" t="n">
        <v>83.720001</v>
      </c>
      <c r="F18" s="8" t="n">
        <v>60.85</v>
      </c>
      <c r="G18" s="8" t="n">
        <v>11.56</v>
      </c>
      <c r="H18" s="8" t="n">
        <v>66.800003</v>
      </c>
      <c r="I18" s="8" t="n">
        <v>1418.300049</v>
      </c>
      <c r="J18" s="8" t="n">
        <v>54.982533</v>
      </c>
      <c r="L18" s="9">
        <f>LN(B18/B17)</f>
        <v/>
      </c>
      <c r="M18" s="9">
        <f>$M$1*(C18-C17)</f>
        <v/>
      </c>
      <c r="N18" s="9">
        <f>$N$1*(D18-D17)</f>
        <v/>
      </c>
      <c r="O18" s="9">
        <f>$O$1*LN(E18/E17)</f>
        <v/>
      </c>
      <c r="P18" s="9">
        <f>$P$1*LN(F18/F17)</f>
        <v/>
      </c>
      <c r="Q18" s="9">
        <f>$Q$1*(G18-G17)</f>
        <v/>
      </c>
      <c r="R18" s="9">
        <f>$R$1*(H18-H17)</f>
        <v/>
      </c>
      <c r="S18" s="9">
        <f>$S$1*LN(I18/I17)</f>
        <v/>
      </c>
      <c r="T18" s="9">
        <f>$T$1*LN(J18/J17)</f>
        <v/>
      </c>
      <c r="U18" s="9">
        <f>$W$12+$W$4*M18+$W$5*N18+$W$6*O18+$W$7*P18+$W$8*Q18+$W$9*R18+$W$10*S18+$W$11*T18</f>
        <v/>
      </c>
      <c r="V18" t="inlineStr">
        <is>
          <t>OOS R² vs RW (predict 0)</t>
        </is>
      </c>
      <c r="W18" s="10">
        <f>1-SUMPRODUCT((L24:L96-AK24:AK96)^2)/SUMPRODUCT(L24:L96,L24:L96)</f>
        <v/>
      </c>
    </row>
    <row r="19">
      <c r="A19" s="7" t="n">
        <v>39172</v>
      </c>
      <c r="B19" s="8" t="n">
        <v>661.75</v>
      </c>
      <c r="C19" s="8" t="n">
        <v>2.44</v>
      </c>
      <c r="D19" s="8" t="n">
        <v>2.21</v>
      </c>
      <c r="E19" s="8" t="n">
        <v>82.93000000000001</v>
      </c>
      <c r="F19" s="8" t="n">
        <v>65.94</v>
      </c>
      <c r="G19" s="8" t="n">
        <v>14.64</v>
      </c>
      <c r="H19" s="8" t="n">
        <v>67.900002</v>
      </c>
      <c r="I19" s="8" t="n">
        <v>1420.859985</v>
      </c>
      <c r="J19" s="8" t="n">
        <v>55.728016</v>
      </c>
      <c r="L19" s="9">
        <f>LN(B19/B18)</f>
        <v/>
      </c>
      <c r="M19" s="9">
        <f>$M$1*(C19-C18)</f>
        <v/>
      </c>
      <c r="N19" s="9">
        <f>$N$1*(D19-D18)</f>
        <v/>
      </c>
      <c r="O19" s="9">
        <f>$O$1*LN(E19/E18)</f>
        <v/>
      </c>
      <c r="P19" s="9">
        <f>$P$1*LN(F19/F18)</f>
        <v/>
      </c>
      <c r="Q19" s="9">
        <f>$Q$1*(G19-G18)</f>
        <v/>
      </c>
      <c r="R19" s="9">
        <f>$R$1*(H19-H18)</f>
        <v/>
      </c>
      <c r="S19" s="9">
        <f>$S$1*LN(I19/I18)</f>
        <v/>
      </c>
      <c r="T19" s="9">
        <f>$T$1*LN(J19/J18)</f>
        <v/>
      </c>
      <c r="U19" s="9">
        <f>$W$12+$W$4*M19+$W$5*N19+$W$6*O19+$W$7*P19+$W$8*Q19+$W$9*R19+$W$10*S19+$W$11*T19</f>
        <v/>
      </c>
      <c r="V19" t="inlineStr">
        <is>
          <t>OOS R² vs RW+drift</t>
        </is>
      </c>
      <c r="W19" s="10">
        <f>1-SUMPRODUCT((L24:L96-AK24:AK96)^2)/SUMPRODUCT((L24:L96-AL24:AL96)^2)</f>
        <v/>
      </c>
    </row>
    <row r="20">
      <c r="A20" s="7" t="n">
        <v>39263</v>
      </c>
      <c r="B20" s="8" t="n">
        <v>650.5</v>
      </c>
      <c r="C20" s="8" t="n">
        <v>2.38</v>
      </c>
      <c r="D20" s="8" t="n">
        <v>2.65</v>
      </c>
      <c r="E20" s="8" t="n">
        <v>81.91999800000001</v>
      </c>
      <c r="F20" s="8" t="n">
        <v>70.47</v>
      </c>
      <c r="G20" s="8" t="n">
        <v>16.23</v>
      </c>
      <c r="H20" s="8" t="n">
        <v>77.5</v>
      </c>
      <c r="I20" s="8" t="n">
        <v>1503.349976</v>
      </c>
      <c r="J20" s="8" t="n">
        <v>55.333248</v>
      </c>
      <c r="L20" s="9">
        <f>LN(B20/B19)</f>
        <v/>
      </c>
      <c r="M20" s="9">
        <f>$M$1*(C20-C19)</f>
        <v/>
      </c>
      <c r="N20" s="9">
        <f>$N$1*(D20-D19)</f>
        <v/>
      </c>
      <c r="O20" s="9">
        <f>$O$1*LN(E20/E19)</f>
        <v/>
      </c>
      <c r="P20" s="9">
        <f>$P$1*LN(F20/F19)</f>
        <v/>
      </c>
      <c r="Q20" s="9">
        <f>$Q$1*(G20-G19)</f>
        <v/>
      </c>
      <c r="R20" s="9">
        <f>$R$1*(H20-H19)</f>
        <v/>
      </c>
      <c r="S20" s="9">
        <f>$S$1*LN(I20/I19)</f>
        <v/>
      </c>
      <c r="T20" s="9">
        <f>$T$1*LN(J20/J19)</f>
        <v/>
      </c>
      <c r="U20" s="9">
        <f>$W$12+$W$4*M20+$W$5*N20+$W$6*O20+$W$7*P20+$W$8*Q20+$W$9*R20+$W$10*S20+$W$11*T20</f>
        <v/>
      </c>
      <c r="V20" t="inlineStr">
        <is>
          <t>RMSE ratio (model/RW)</t>
        </is>
      </c>
      <c r="W20" s="11">
        <f>SQRT(SUMPRODUCT((L24:L96-AK24:AK96)^2)/SUMPRODUCT(L24:L96,L24:L96))</f>
        <v/>
      </c>
    </row>
    <row r="21">
      <c r="A21" s="7" t="n">
        <v>39355</v>
      </c>
      <c r="B21" s="8" t="n">
        <v>743</v>
      </c>
      <c r="C21" s="8" t="n">
        <v>2.32</v>
      </c>
      <c r="D21" s="8" t="n">
        <v>2.27</v>
      </c>
      <c r="E21" s="8" t="n">
        <v>77.720001</v>
      </c>
      <c r="F21" s="8" t="n">
        <v>81.64</v>
      </c>
      <c r="G21" s="8" t="n">
        <v>18</v>
      </c>
      <c r="H21" s="8" t="n">
        <v>103.699997</v>
      </c>
      <c r="I21" s="8" t="n">
        <v>1526.75</v>
      </c>
      <c r="J21" s="8" t="n">
        <v>57.001057</v>
      </c>
      <c r="L21" s="9">
        <f>LN(B21/B20)</f>
        <v/>
      </c>
      <c r="M21" s="9">
        <f>$M$1*(C21-C20)</f>
        <v/>
      </c>
      <c r="N21" s="9">
        <f>$N$1*(D21-D20)</f>
        <v/>
      </c>
      <c r="O21" s="9">
        <f>$O$1*LN(E21/E20)</f>
        <v/>
      </c>
      <c r="P21" s="9">
        <f>$P$1*LN(F21/F20)</f>
        <v/>
      </c>
      <c r="Q21" s="9">
        <f>$Q$1*(G21-G20)</f>
        <v/>
      </c>
      <c r="R21" s="9">
        <f>$R$1*(H21-H20)</f>
        <v/>
      </c>
      <c r="S21" s="9">
        <f>$S$1*LN(I21/I20)</f>
        <v/>
      </c>
      <c r="T21" s="9">
        <f>$T$1*LN(J21/J20)</f>
        <v/>
      </c>
      <c r="U21" s="9">
        <f>$W$12+$W$4*M21+$W$5*N21+$W$6*O21+$W$7*P21+$W$8*Q21+$W$9*R21+$W$10*S21+$W$11*T21</f>
        <v/>
      </c>
      <c r="V21" t="inlineStr">
        <is>
          <t>OOS periods</t>
        </is>
      </c>
      <c r="W21" s="12">
        <f>COUNT(AK24:AK96)</f>
        <v/>
      </c>
    </row>
    <row r="22">
      <c r="A22" s="7" t="n">
        <v>39447</v>
      </c>
      <c r="B22" s="8" t="n">
        <v>833.75</v>
      </c>
      <c r="C22" s="8" t="n">
        <v>2.31</v>
      </c>
      <c r="D22" s="8" t="n">
        <v>1.73</v>
      </c>
      <c r="E22" s="8" t="n">
        <v>76.699997</v>
      </c>
      <c r="F22" s="8" t="n">
        <v>95.95</v>
      </c>
      <c r="G22" s="8" t="n">
        <v>22.5</v>
      </c>
      <c r="H22" s="8" t="n">
        <v>145.399994</v>
      </c>
      <c r="I22" s="8" t="n">
        <v>1468.359985</v>
      </c>
      <c r="J22" s="8" t="n">
        <v>58.608532</v>
      </c>
      <c r="L22" s="9">
        <f>LN(B22/B21)</f>
        <v/>
      </c>
      <c r="M22" s="9">
        <f>$M$1*(C22-C21)</f>
        <v/>
      </c>
      <c r="N22" s="9">
        <f>$N$1*(D22-D21)</f>
        <v/>
      </c>
      <c r="O22" s="9">
        <f>$O$1*LN(E22/E21)</f>
        <v/>
      </c>
      <c r="P22" s="9">
        <f>$P$1*LN(F22/F21)</f>
        <v/>
      </c>
      <c r="Q22" s="9">
        <f>$Q$1*(G22-G21)</f>
        <v/>
      </c>
      <c r="R22" s="9">
        <f>$R$1*(H22-H21)</f>
        <v/>
      </c>
      <c r="S22" s="9">
        <f>$S$1*LN(I22/I21)</f>
        <v/>
      </c>
      <c r="T22" s="9">
        <f>$T$1*LN(J22/J21)</f>
        <v/>
      </c>
      <c r="U22" s="9">
        <f>$W$12+$W$4*M22+$W$5*N22+$W$6*O22+$W$7*P22+$W$8*Q22+$W$9*R22+$W$10*S22+$W$11*T22</f>
        <v/>
      </c>
    </row>
    <row r="23">
      <c r="A23" s="7" t="n">
        <v>39538</v>
      </c>
      <c r="B23" s="8" t="n">
        <v>933.5</v>
      </c>
      <c r="C23" s="8" t="n">
        <v>2.34</v>
      </c>
      <c r="D23" s="8" t="n">
        <v>1.11</v>
      </c>
      <c r="E23" s="8" t="n">
        <v>71.800003</v>
      </c>
      <c r="F23" s="8" t="n">
        <v>101.54</v>
      </c>
      <c r="G23" s="8" t="n">
        <v>25.61</v>
      </c>
      <c r="H23" s="8" t="n">
        <v>145.5</v>
      </c>
      <c r="I23" s="8" t="n">
        <v>1322.699951</v>
      </c>
      <c r="J23" s="8" t="n">
        <v>59.945812</v>
      </c>
      <c r="L23" s="9">
        <f>LN(B23/B22)</f>
        <v/>
      </c>
      <c r="M23" s="9">
        <f>$M$1*(C23-C22)</f>
        <v/>
      </c>
      <c r="N23" s="9">
        <f>$N$1*(D23-D22)</f>
        <v/>
      </c>
      <c r="O23" s="9">
        <f>$O$1*LN(E23/E22)</f>
        <v/>
      </c>
      <c r="P23" s="9">
        <f>$P$1*LN(F23/F22)</f>
        <v/>
      </c>
      <c r="Q23" s="9">
        <f>$Q$1*(G23-G22)</f>
        <v/>
      </c>
      <c r="R23" s="9">
        <f>$R$1*(H23-H22)</f>
        <v/>
      </c>
      <c r="S23" s="9">
        <f>$S$1*LN(I23/I22)</f>
        <v/>
      </c>
      <c r="T23" s="9">
        <f>$T$1*LN(J23/J22)</f>
        <v/>
      </c>
      <c r="U23" s="9">
        <f>$W$12+$W$4*M23+$W$5*N23+$W$6*O23+$W$7*P23+$W$8*Q23+$W$9*R23+$W$10*S23+$W$11*T23</f>
        <v/>
      </c>
      <c r="AA23" s="10">
        <f>INDEX(LINEST(L4:L23,M4:T23,TRUE,TRUE),1,9)*4</f>
        <v/>
      </c>
      <c r="AB23" s="9">
        <f>INDEX(LINEST(L4:L23,M4:T23,TRUE,TRUE),1,8)</f>
        <v/>
      </c>
      <c r="AC23" s="9">
        <f>INDEX(LINEST(L4:L23,M4:T23,TRUE,TRUE),1,7)</f>
        <v/>
      </c>
      <c r="AD23" s="9">
        <f>INDEX(LINEST(L4:L23,M4:T23,TRUE,TRUE),1,6)</f>
        <v/>
      </c>
      <c r="AE23" s="9">
        <f>INDEX(LINEST(L4:L23,M4:T23,TRUE,TRUE),1,5)</f>
        <v/>
      </c>
      <c r="AF23" s="9">
        <f>INDEX(LINEST(L4:L23,M4:T23,TRUE,TRUE),1,4)</f>
        <v/>
      </c>
      <c r="AG23" s="9">
        <f>INDEX(LINEST(L4:L23,M4:T23,TRUE,TRUE),1,3)</f>
        <v/>
      </c>
      <c r="AH23" s="9">
        <f>INDEX(LINEST(L4:L23,M4:T23,TRUE,TRUE),1,2)</f>
        <v/>
      </c>
      <c r="AI23" s="9">
        <f>INDEX(LINEST(L4:L23,M4:T23,TRUE,TRUE),1,1)</f>
        <v/>
      </c>
      <c r="AJ23" s="10">
        <f>INDEX(LINEST(L4:L23,M4:T23,TRUE,TRUE),3,1)</f>
        <v/>
      </c>
    </row>
    <row r="24">
      <c r="A24" s="7" t="n">
        <v>39629</v>
      </c>
      <c r="B24" s="8" t="n">
        <v>930.25</v>
      </c>
      <c r="C24" s="8" t="n">
        <v>2.51</v>
      </c>
      <c r="D24" s="8" t="n">
        <v>1.48</v>
      </c>
      <c r="E24" s="8" t="n">
        <v>72.459999</v>
      </c>
      <c r="F24" s="8" t="n">
        <v>139.96</v>
      </c>
      <c r="G24" s="8" t="n">
        <v>23.95</v>
      </c>
      <c r="H24" s="8" t="n">
        <v>126</v>
      </c>
      <c r="I24" s="8" t="n">
        <v>1280</v>
      </c>
      <c r="J24" s="8" t="n">
        <v>59.271442</v>
      </c>
      <c r="L24" s="9">
        <f>LN(B24/B23)</f>
        <v/>
      </c>
      <c r="M24" s="9">
        <f>$M$1*(C24-C23)</f>
        <v/>
      </c>
      <c r="N24" s="9">
        <f>$N$1*(D24-D23)</f>
        <v/>
      </c>
      <c r="O24" s="9">
        <f>$O$1*LN(E24/E23)</f>
        <v/>
      </c>
      <c r="P24" s="9">
        <f>$P$1*LN(F24/F23)</f>
        <v/>
      </c>
      <c r="Q24" s="9">
        <f>$Q$1*(G24-G23)</f>
        <v/>
      </c>
      <c r="R24" s="9">
        <f>$R$1*(H24-H23)</f>
        <v/>
      </c>
      <c r="S24" s="9">
        <f>$S$1*LN(I24/I23)</f>
        <v/>
      </c>
      <c r="T24" s="9">
        <f>$T$1*LN(J24/J23)</f>
        <v/>
      </c>
      <c r="U24" s="9">
        <f>$W$12+$W$4*M24+$W$5*N24+$W$6*O24+$W$7*P24+$W$8*Q24+$W$9*R24+$W$10*S24+$W$11*T24</f>
        <v/>
      </c>
      <c r="AA24" s="10">
        <f>INDEX(LINEST(L5:L24,M5:T24,TRUE,TRUE),1,9)*4</f>
        <v/>
      </c>
      <c r="AB24" s="9">
        <f>INDEX(LINEST(L5:L24,M5:T24,TRUE,TRUE),1,8)</f>
        <v/>
      </c>
      <c r="AC24" s="9">
        <f>INDEX(LINEST(L5:L24,M5:T24,TRUE,TRUE),1,7)</f>
        <v/>
      </c>
      <c r="AD24" s="9">
        <f>INDEX(LINEST(L5:L24,M5:T24,TRUE,TRUE),1,6)</f>
        <v/>
      </c>
      <c r="AE24" s="9">
        <f>INDEX(LINEST(L5:L24,M5:T24,TRUE,TRUE),1,5)</f>
        <v/>
      </c>
      <c r="AF24" s="9">
        <f>INDEX(LINEST(L5:L24,M5:T24,TRUE,TRUE),1,4)</f>
        <v/>
      </c>
      <c r="AG24" s="9">
        <f>INDEX(LINEST(L5:L24,M5:T24,TRUE,TRUE),1,3)</f>
        <v/>
      </c>
      <c r="AH24" s="9">
        <f>INDEX(LINEST(L5:L24,M5:T24,TRUE,TRUE),1,2)</f>
        <v/>
      </c>
      <c r="AI24" s="9">
        <f>INDEX(LINEST(L5:L24,M5:T24,TRUE,TRUE),1,1)</f>
        <v/>
      </c>
      <c r="AJ24" s="10">
        <f>INDEX(LINEST(L5:L24,M5:T24,TRUE,TRUE),3,1)</f>
        <v/>
      </c>
      <c r="AK24" s="9">
        <f>AA23/4+AB23*M24+AC23*N24+AD23*O24+AE23*P24+AF23*Q24+AG23*R24+AH23*S24+AI23*T24</f>
        <v/>
      </c>
      <c r="AL24" s="9">
        <f>AVERAGE(L4:L23)</f>
        <v/>
      </c>
    </row>
    <row r="25">
      <c r="A25" s="7" t="n">
        <v>39721</v>
      </c>
      <c r="B25" s="8" t="n">
        <v>884.5</v>
      </c>
      <c r="C25" s="8" t="n">
        <v>1.6</v>
      </c>
      <c r="D25" s="8" t="n">
        <v>2.25</v>
      </c>
      <c r="E25" s="8" t="n">
        <v>79.449997</v>
      </c>
      <c r="F25" s="8" t="n">
        <v>100.7</v>
      </c>
      <c r="G25" s="8" t="n">
        <v>39.39</v>
      </c>
      <c r="H25" s="8" t="n">
        <v>208.5</v>
      </c>
      <c r="I25" s="8" t="n">
        <v>1166.359985</v>
      </c>
      <c r="J25" s="8" t="n">
        <v>58.891525</v>
      </c>
      <c r="L25" s="9">
        <f>LN(B25/B24)</f>
        <v/>
      </c>
      <c r="M25" s="9">
        <f>$M$1*(C25-C24)</f>
        <v/>
      </c>
      <c r="N25" s="9">
        <f>$N$1*(D25-D24)</f>
        <v/>
      </c>
      <c r="O25" s="9">
        <f>$O$1*LN(E25/E24)</f>
        <v/>
      </c>
      <c r="P25" s="9">
        <f>$P$1*LN(F25/F24)</f>
        <v/>
      </c>
      <c r="Q25" s="9">
        <f>$Q$1*(G25-G24)</f>
        <v/>
      </c>
      <c r="R25" s="9">
        <f>$R$1*(H25-H24)</f>
        <v/>
      </c>
      <c r="S25" s="9">
        <f>$S$1*LN(I25/I24)</f>
        <v/>
      </c>
      <c r="T25" s="9">
        <f>$T$1*LN(J25/J24)</f>
        <v/>
      </c>
      <c r="U25" s="9">
        <f>$W$12+$W$4*M25+$W$5*N25+$W$6*O25+$W$7*P25+$W$8*Q25+$W$9*R25+$W$10*S25+$W$11*T25</f>
        <v/>
      </c>
      <c r="AA25" s="10">
        <f>INDEX(LINEST(L6:L25,M6:T25,TRUE,TRUE),1,9)*4</f>
        <v/>
      </c>
      <c r="AB25" s="9">
        <f>INDEX(LINEST(L6:L25,M6:T25,TRUE,TRUE),1,8)</f>
        <v/>
      </c>
      <c r="AC25" s="9">
        <f>INDEX(LINEST(L6:L25,M6:T25,TRUE,TRUE),1,7)</f>
        <v/>
      </c>
      <c r="AD25" s="9">
        <f>INDEX(LINEST(L6:L25,M6:T25,TRUE,TRUE),1,6)</f>
        <v/>
      </c>
      <c r="AE25" s="9">
        <f>INDEX(LINEST(L6:L25,M6:T25,TRUE,TRUE),1,5)</f>
        <v/>
      </c>
      <c r="AF25" s="9">
        <f>INDEX(LINEST(L6:L25,M6:T25,TRUE,TRUE),1,4)</f>
        <v/>
      </c>
      <c r="AG25" s="9">
        <f>INDEX(LINEST(L6:L25,M6:T25,TRUE,TRUE),1,3)</f>
        <v/>
      </c>
      <c r="AH25" s="9">
        <f>INDEX(LINEST(L6:L25,M6:T25,TRUE,TRUE),1,2)</f>
        <v/>
      </c>
      <c r="AI25" s="9">
        <f>INDEX(LINEST(L6:L25,M6:T25,TRUE,TRUE),1,1)</f>
        <v/>
      </c>
      <c r="AJ25" s="10">
        <f>INDEX(LINEST(L6:L25,M6:T25,TRUE,TRUE),3,1)</f>
        <v/>
      </c>
      <c r="AK25" s="9">
        <f>AA24/4+AB24*M25+AC24*N25+AD24*O25+AE24*P25+AF24*Q25+AG24*R25+AH24*S25+AI24*T25</f>
        <v/>
      </c>
      <c r="AL25" s="9">
        <f>AVERAGE(L5:L24)</f>
        <v/>
      </c>
    </row>
    <row r="26">
      <c r="A26" s="7" t="n">
        <v>39813</v>
      </c>
      <c r="B26" s="8" t="n">
        <v>869.75</v>
      </c>
      <c r="C26" s="8" t="n">
        <v>0.11</v>
      </c>
      <c r="D26" s="8" t="n">
        <v>2.14</v>
      </c>
      <c r="E26" s="8" t="n">
        <v>81.30999799999999</v>
      </c>
      <c r="F26" s="8" t="n">
        <v>44.6</v>
      </c>
      <c r="G26" s="8" t="n">
        <v>40</v>
      </c>
      <c r="H26" s="8" t="n">
        <v>190</v>
      </c>
      <c r="I26" s="8" t="n">
        <v>903.25</v>
      </c>
      <c r="J26" s="8" t="n">
        <v>63.23864</v>
      </c>
      <c r="L26" s="9">
        <f>LN(B26/B25)</f>
        <v/>
      </c>
      <c r="M26" s="9">
        <f>$M$1*(C26-C25)</f>
        <v/>
      </c>
      <c r="N26" s="9">
        <f>$N$1*(D26-D25)</f>
        <v/>
      </c>
      <c r="O26" s="9">
        <f>$O$1*LN(E26/E25)</f>
        <v/>
      </c>
      <c r="P26" s="9">
        <f>$P$1*LN(F26/F25)</f>
        <v/>
      </c>
      <c r="Q26" s="9">
        <f>$Q$1*(G26-G25)</f>
        <v/>
      </c>
      <c r="R26" s="9">
        <f>$R$1*(H26-H25)</f>
        <v/>
      </c>
      <c r="S26" s="9">
        <f>$S$1*LN(I26/I25)</f>
        <v/>
      </c>
      <c r="T26" s="9">
        <f>$T$1*LN(J26/J25)</f>
        <v/>
      </c>
      <c r="U26" s="9">
        <f>$W$12+$W$4*M26+$W$5*N26+$W$6*O26+$W$7*P26+$W$8*Q26+$W$9*R26+$W$10*S26+$W$11*T26</f>
        <v/>
      </c>
      <c r="AA26" s="10">
        <f>INDEX(LINEST(L7:L26,M7:T26,TRUE,TRUE),1,9)*4</f>
        <v/>
      </c>
      <c r="AB26" s="9">
        <f>INDEX(LINEST(L7:L26,M7:T26,TRUE,TRUE),1,8)</f>
        <v/>
      </c>
      <c r="AC26" s="9">
        <f>INDEX(LINEST(L7:L26,M7:T26,TRUE,TRUE),1,7)</f>
        <v/>
      </c>
      <c r="AD26" s="9">
        <f>INDEX(LINEST(L7:L26,M7:T26,TRUE,TRUE),1,6)</f>
        <v/>
      </c>
      <c r="AE26" s="9">
        <f>INDEX(LINEST(L7:L26,M7:T26,TRUE,TRUE),1,5)</f>
        <v/>
      </c>
      <c r="AF26" s="9">
        <f>INDEX(LINEST(L7:L26,M7:T26,TRUE,TRUE),1,4)</f>
        <v/>
      </c>
      <c r="AG26" s="9">
        <f>INDEX(LINEST(L7:L26,M7:T26,TRUE,TRUE),1,3)</f>
        <v/>
      </c>
      <c r="AH26" s="9">
        <f>INDEX(LINEST(L7:L26,M7:T26,TRUE,TRUE),1,2)</f>
        <v/>
      </c>
      <c r="AI26" s="9">
        <f>INDEX(LINEST(L7:L26,M7:T26,TRUE,TRUE),1,1)</f>
        <v/>
      </c>
      <c r="AJ26" s="10">
        <f>INDEX(LINEST(L7:L26,M7:T26,TRUE,TRUE),3,1)</f>
        <v/>
      </c>
      <c r="AK26" s="9">
        <f>AA25/4+AB25*M26+AC25*N26+AD25*O26+AE25*P26+AF25*Q26+AG25*R26+AH25*S26+AI25*T26</f>
        <v/>
      </c>
      <c r="AL26" s="9">
        <f>AVERAGE(L6:L25)</f>
        <v/>
      </c>
    </row>
    <row r="27">
      <c r="A27" s="7" t="n">
        <v>39903</v>
      </c>
      <c r="B27" s="8" t="n">
        <v>916.5</v>
      </c>
      <c r="C27" s="8" t="n">
        <v>1.28</v>
      </c>
      <c r="D27" s="8" t="n">
        <v>1.43</v>
      </c>
      <c r="E27" s="8" t="n">
        <v>85.43000000000001</v>
      </c>
      <c r="F27" s="8" t="n">
        <v>49.64</v>
      </c>
      <c r="G27" s="8" t="n">
        <v>44.14</v>
      </c>
      <c r="H27" s="8" t="n">
        <v>117.300003</v>
      </c>
      <c r="I27" s="8" t="n">
        <v>797.869995</v>
      </c>
      <c r="J27" s="8" t="n">
        <v>62.004642</v>
      </c>
      <c r="L27" s="9">
        <f>LN(B27/B26)</f>
        <v/>
      </c>
      <c r="M27" s="9">
        <f>$M$1*(C27-C26)</f>
        <v/>
      </c>
      <c r="N27" s="9">
        <f>$N$1*(D27-D26)</f>
        <v/>
      </c>
      <c r="O27" s="9">
        <f>$O$1*LN(E27/E26)</f>
        <v/>
      </c>
      <c r="P27" s="9">
        <f>$P$1*LN(F27/F26)</f>
        <v/>
      </c>
      <c r="Q27" s="9">
        <f>$Q$1*(G27-G26)</f>
        <v/>
      </c>
      <c r="R27" s="9">
        <f>$R$1*(H27-H26)</f>
        <v/>
      </c>
      <c r="S27" s="9">
        <f>$S$1*LN(I27/I26)</f>
        <v/>
      </c>
      <c r="T27" s="9">
        <f>$T$1*LN(J27/J26)</f>
        <v/>
      </c>
      <c r="U27" s="9">
        <f>$W$12+$W$4*M27+$W$5*N27+$W$6*O27+$W$7*P27+$W$8*Q27+$W$9*R27+$W$10*S27+$W$11*T27</f>
        <v/>
      </c>
      <c r="AA27" s="10">
        <f>INDEX(LINEST(L8:L27,M8:T27,TRUE,TRUE),1,9)*4</f>
        <v/>
      </c>
      <c r="AB27" s="9">
        <f>INDEX(LINEST(L8:L27,M8:T27,TRUE,TRUE),1,8)</f>
        <v/>
      </c>
      <c r="AC27" s="9">
        <f>INDEX(LINEST(L8:L27,M8:T27,TRUE,TRUE),1,7)</f>
        <v/>
      </c>
      <c r="AD27" s="9">
        <f>INDEX(LINEST(L8:L27,M8:T27,TRUE,TRUE),1,6)</f>
        <v/>
      </c>
      <c r="AE27" s="9">
        <f>INDEX(LINEST(L8:L27,M8:T27,TRUE,TRUE),1,5)</f>
        <v/>
      </c>
      <c r="AF27" s="9">
        <f>INDEX(LINEST(L8:L27,M8:T27,TRUE,TRUE),1,4)</f>
        <v/>
      </c>
      <c r="AG27" s="9">
        <f>INDEX(LINEST(L8:L27,M8:T27,TRUE,TRUE),1,3)</f>
        <v/>
      </c>
      <c r="AH27" s="9">
        <f>INDEX(LINEST(L8:L27,M8:T27,TRUE,TRUE),1,2)</f>
        <v/>
      </c>
      <c r="AI27" s="9">
        <f>INDEX(LINEST(L8:L27,M8:T27,TRUE,TRUE),1,1)</f>
        <v/>
      </c>
      <c r="AJ27" s="10">
        <f>INDEX(LINEST(L8:L27,M8:T27,TRUE,TRUE),3,1)</f>
        <v/>
      </c>
      <c r="AK27" s="9">
        <f>AA26/4+AB26*M27+AC26*N27+AD26*O27+AE26*P27+AF26*Q27+AG26*R27+AH26*S27+AI26*T27</f>
        <v/>
      </c>
      <c r="AL27" s="9">
        <f>AVERAGE(L7:L26)</f>
        <v/>
      </c>
    </row>
    <row r="28">
      <c r="A28" s="7" t="n">
        <v>39994</v>
      </c>
      <c r="B28" s="8" t="n">
        <v>934.5</v>
      </c>
      <c r="C28" s="8" t="n">
        <v>1.75</v>
      </c>
      <c r="D28" s="8" t="n">
        <v>1.78</v>
      </c>
      <c r="E28" s="8" t="n">
        <v>80.129997</v>
      </c>
      <c r="F28" s="8" t="n">
        <v>69.81999999999999</v>
      </c>
      <c r="G28" s="8" t="n">
        <v>26.35</v>
      </c>
      <c r="H28" s="8" t="n">
        <v>162.5</v>
      </c>
      <c r="I28" s="8" t="n">
        <v>919.320007</v>
      </c>
      <c r="J28" s="8" t="n">
        <v>63.030571</v>
      </c>
      <c r="L28" s="9">
        <f>LN(B28/B27)</f>
        <v/>
      </c>
      <c r="M28" s="9">
        <f>$M$1*(C28-C27)</f>
        <v/>
      </c>
      <c r="N28" s="9">
        <f>$N$1*(D28-D27)</f>
        <v/>
      </c>
      <c r="O28" s="9">
        <f>$O$1*LN(E28/E27)</f>
        <v/>
      </c>
      <c r="P28" s="9">
        <f>$P$1*LN(F28/F27)</f>
        <v/>
      </c>
      <c r="Q28" s="9">
        <f>$Q$1*(G28-G27)</f>
        <v/>
      </c>
      <c r="R28" s="9">
        <f>$R$1*(H28-H27)</f>
        <v/>
      </c>
      <c r="S28" s="9">
        <f>$S$1*LN(I28/I27)</f>
        <v/>
      </c>
      <c r="T28" s="9">
        <f>$T$1*LN(J28/J27)</f>
        <v/>
      </c>
      <c r="U28" s="9">
        <f>$W$12+$W$4*M28+$W$5*N28+$W$6*O28+$W$7*P28+$W$8*Q28+$W$9*R28+$W$10*S28+$W$11*T28</f>
        <v/>
      </c>
      <c r="AA28" s="10">
        <f>INDEX(LINEST(L9:L28,M9:T28,TRUE,TRUE),1,9)*4</f>
        <v/>
      </c>
      <c r="AB28" s="9">
        <f>INDEX(LINEST(L9:L28,M9:T28,TRUE,TRUE),1,8)</f>
        <v/>
      </c>
      <c r="AC28" s="9">
        <f>INDEX(LINEST(L9:L28,M9:T28,TRUE,TRUE),1,7)</f>
        <v/>
      </c>
      <c r="AD28" s="9">
        <f>INDEX(LINEST(L9:L28,M9:T28,TRUE,TRUE),1,6)</f>
        <v/>
      </c>
      <c r="AE28" s="9">
        <f>INDEX(LINEST(L9:L28,M9:T28,TRUE,TRUE),1,5)</f>
        <v/>
      </c>
      <c r="AF28" s="9">
        <f>INDEX(LINEST(L9:L28,M9:T28,TRUE,TRUE),1,4)</f>
        <v/>
      </c>
      <c r="AG28" s="9">
        <f>INDEX(LINEST(L9:L28,M9:T28,TRUE,TRUE),1,3)</f>
        <v/>
      </c>
      <c r="AH28" s="9">
        <f>INDEX(LINEST(L9:L28,M9:T28,TRUE,TRUE),1,2)</f>
        <v/>
      </c>
      <c r="AI28" s="9">
        <f>INDEX(LINEST(L9:L28,M9:T28,TRUE,TRUE),1,1)</f>
        <v/>
      </c>
      <c r="AJ28" s="10">
        <f>INDEX(LINEST(L9:L28,M9:T28,TRUE,TRUE),3,1)</f>
        <v/>
      </c>
      <c r="AK28" s="9">
        <f>AA27/4+AB27*M28+AC27*N28+AD27*O28+AE27*P28+AF27*Q28+AG27*R28+AH27*S28+AI27*T28</f>
        <v/>
      </c>
      <c r="AL28" s="9">
        <f>AVERAGE(L8:L27)</f>
        <v/>
      </c>
    </row>
    <row r="29">
      <c r="A29" s="7" t="n">
        <v>40086</v>
      </c>
      <c r="B29" s="8" t="n">
        <v>995.75</v>
      </c>
      <c r="C29" s="8" t="n">
        <v>1.75</v>
      </c>
      <c r="D29" s="8" t="n">
        <v>1.56</v>
      </c>
      <c r="E29" s="8" t="n">
        <v>76.650002</v>
      </c>
      <c r="F29" s="8" t="n">
        <v>70.45999999999999</v>
      </c>
      <c r="G29" s="8" t="n">
        <v>25.61</v>
      </c>
      <c r="H29" s="8" t="n">
        <v>113.800003</v>
      </c>
      <c r="I29" s="8" t="n">
        <v>1057.079956</v>
      </c>
      <c r="J29" s="8" t="n">
        <v>65.376999</v>
      </c>
      <c r="L29" s="9">
        <f>LN(B29/B28)</f>
        <v/>
      </c>
      <c r="M29" s="9">
        <f>$M$1*(C29-C28)</f>
        <v/>
      </c>
      <c r="N29" s="9">
        <f>$N$1*(D29-D28)</f>
        <v/>
      </c>
      <c r="O29" s="9">
        <f>$O$1*LN(E29/E28)</f>
        <v/>
      </c>
      <c r="P29" s="9">
        <f>$P$1*LN(F29/F28)</f>
        <v/>
      </c>
      <c r="Q29" s="9">
        <f>$Q$1*(G29-G28)</f>
        <v/>
      </c>
      <c r="R29" s="9">
        <f>$R$1*(H29-H28)</f>
        <v/>
      </c>
      <c r="S29" s="9">
        <f>$S$1*LN(I29/I28)</f>
        <v/>
      </c>
      <c r="T29" s="9">
        <f>$T$1*LN(J29/J28)</f>
        <v/>
      </c>
      <c r="U29" s="9">
        <f>$W$12+$W$4*M29+$W$5*N29+$W$6*O29+$W$7*P29+$W$8*Q29+$W$9*R29+$W$10*S29+$W$11*T29</f>
        <v/>
      </c>
      <c r="AA29" s="10">
        <f>INDEX(LINEST(L10:L29,M10:T29,TRUE,TRUE),1,9)*4</f>
        <v/>
      </c>
      <c r="AB29" s="9">
        <f>INDEX(LINEST(L10:L29,M10:T29,TRUE,TRUE),1,8)</f>
        <v/>
      </c>
      <c r="AC29" s="9">
        <f>INDEX(LINEST(L10:L29,M10:T29,TRUE,TRUE),1,7)</f>
        <v/>
      </c>
      <c r="AD29" s="9">
        <f>INDEX(LINEST(L10:L29,M10:T29,TRUE,TRUE),1,6)</f>
        <v/>
      </c>
      <c r="AE29" s="9">
        <f>INDEX(LINEST(L10:L29,M10:T29,TRUE,TRUE),1,5)</f>
        <v/>
      </c>
      <c r="AF29" s="9">
        <f>INDEX(LINEST(L10:L29,M10:T29,TRUE,TRUE),1,4)</f>
        <v/>
      </c>
      <c r="AG29" s="9">
        <f>INDEX(LINEST(L10:L29,M10:T29,TRUE,TRUE),1,3)</f>
        <v/>
      </c>
      <c r="AH29" s="9">
        <f>INDEX(LINEST(L10:L29,M10:T29,TRUE,TRUE),1,2)</f>
        <v/>
      </c>
      <c r="AI29" s="9">
        <f>INDEX(LINEST(L10:L29,M10:T29,TRUE,TRUE),1,1)</f>
        <v/>
      </c>
      <c r="AJ29" s="10">
        <f>INDEX(LINEST(L10:L29,M10:T29,TRUE,TRUE),3,1)</f>
        <v/>
      </c>
      <c r="AK29" s="9">
        <f>AA28/4+AB28*M29+AC28*N29+AD28*O29+AE28*P29+AF28*Q29+AG28*R29+AH28*S29+AI28*T29</f>
        <v/>
      </c>
      <c r="AL29" s="9">
        <f>AVERAGE(L9:L28)</f>
        <v/>
      </c>
    </row>
    <row r="30">
      <c r="A30" s="7" t="n">
        <v>40178</v>
      </c>
      <c r="B30" s="8" t="n">
        <v>1087.5</v>
      </c>
      <c r="C30" s="8" t="n">
        <v>2.37</v>
      </c>
      <c r="D30" s="8" t="n">
        <v>1.48</v>
      </c>
      <c r="E30" s="8" t="n">
        <v>77.860001</v>
      </c>
      <c r="F30" s="8" t="n">
        <v>79.39</v>
      </c>
      <c r="G30" s="8" t="n">
        <v>21.68</v>
      </c>
      <c r="H30" s="8" t="n">
        <v>107.5</v>
      </c>
      <c r="I30" s="8" t="n">
        <v>1115.099976</v>
      </c>
      <c r="J30" s="8" t="n">
        <v>65.116364</v>
      </c>
      <c r="L30" s="9">
        <f>LN(B30/B29)</f>
        <v/>
      </c>
      <c r="M30" s="9">
        <f>$M$1*(C30-C29)</f>
        <v/>
      </c>
      <c r="N30" s="9">
        <f>$N$1*(D30-D29)</f>
        <v/>
      </c>
      <c r="O30" s="9">
        <f>$O$1*LN(E30/E29)</f>
        <v/>
      </c>
      <c r="P30" s="9">
        <f>$P$1*LN(F30/F29)</f>
        <v/>
      </c>
      <c r="Q30" s="9">
        <f>$Q$1*(G30-G29)</f>
        <v/>
      </c>
      <c r="R30" s="9">
        <f>$R$1*(H30-H29)</f>
        <v/>
      </c>
      <c r="S30" s="9">
        <f>$S$1*LN(I30/I29)</f>
        <v/>
      </c>
      <c r="T30" s="9">
        <f>$T$1*LN(J30/J29)</f>
        <v/>
      </c>
      <c r="U30" s="9">
        <f>$W$12+$W$4*M30+$W$5*N30+$W$6*O30+$W$7*P30+$W$8*Q30+$W$9*R30+$W$10*S30+$W$11*T30</f>
        <v/>
      </c>
      <c r="AA30" s="10">
        <f>INDEX(LINEST(L11:L30,M11:T30,TRUE,TRUE),1,9)*4</f>
        <v/>
      </c>
      <c r="AB30" s="9">
        <f>INDEX(LINEST(L11:L30,M11:T30,TRUE,TRUE),1,8)</f>
        <v/>
      </c>
      <c r="AC30" s="9">
        <f>INDEX(LINEST(L11:L30,M11:T30,TRUE,TRUE),1,7)</f>
        <v/>
      </c>
      <c r="AD30" s="9">
        <f>INDEX(LINEST(L11:L30,M11:T30,TRUE,TRUE),1,6)</f>
        <v/>
      </c>
      <c r="AE30" s="9">
        <f>INDEX(LINEST(L11:L30,M11:T30,TRUE,TRUE),1,5)</f>
        <v/>
      </c>
      <c r="AF30" s="9">
        <f>INDEX(LINEST(L11:L30,M11:T30,TRUE,TRUE),1,4)</f>
        <v/>
      </c>
      <c r="AG30" s="9">
        <f>INDEX(LINEST(L11:L30,M11:T30,TRUE,TRUE),1,3)</f>
        <v/>
      </c>
      <c r="AH30" s="9">
        <f>INDEX(LINEST(L11:L30,M11:T30,TRUE,TRUE),1,2)</f>
        <v/>
      </c>
      <c r="AI30" s="9">
        <f>INDEX(LINEST(L11:L30,M11:T30,TRUE,TRUE),1,1)</f>
        <v/>
      </c>
      <c r="AJ30" s="10">
        <f>INDEX(LINEST(L11:L30,M11:T30,TRUE,TRUE),3,1)</f>
        <v/>
      </c>
      <c r="AK30" s="9">
        <f>AA29/4+AB29*M30+AC29*N30+AD29*O30+AE29*P30+AF29*Q30+AG29*R30+AH29*S30+AI29*T30</f>
        <v/>
      </c>
      <c r="AL30" s="9">
        <f>AVERAGE(L10:L29)</f>
        <v/>
      </c>
    </row>
    <row r="31">
      <c r="A31" s="7" t="n">
        <v>40268</v>
      </c>
      <c r="B31" s="8" t="n">
        <v>1115.5</v>
      </c>
      <c r="C31" s="8" t="n">
        <v>2.24</v>
      </c>
      <c r="D31" s="8" t="n">
        <v>1.6</v>
      </c>
      <c r="E31" s="8" t="n">
        <v>81.06999999999999</v>
      </c>
      <c r="F31" s="8" t="n">
        <v>83.45</v>
      </c>
      <c r="G31" s="8" t="n">
        <v>17.59</v>
      </c>
      <c r="H31" s="8" t="n">
        <v>85.300003</v>
      </c>
      <c r="I31" s="8" t="n">
        <v>1169.430054</v>
      </c>
      <c r="J31" s="8" t="n">
        <v>66.16429100000001</v>
      </c>
      <c r="L31" s="9">
        <f>LN(B31/B30)</f>
        <v/>
      </c>
      <c r="M31" s="9">
        <f>$M$1*(C31-C30)</f>
        <v/>
      </c>
      <c r="N31" s="9">
        <f>$N$1*(D31-D30)</f>
        <v/>
      </c>
      <c r="O31" s="9">
        <f>$O$1*LN(E31/E30)</f>
        <v/>
      </c>
      <c r="P31" s="9">
        <f>$P$1*LN(F31/F30)</f>
        <v/>
      </c>
      <c r="Q31" s="9">
        <f>$Q$1*(G31-G30)</f>
        <v/>
      </c>
      <c r="R31" s="9">
        <f>$R$1*(H31-H30)</f>
        <v/>
      </c>
      <c r="S31" s="9">
        <f>$S$1*LN(I31/I30)</f>
        <v/>
      </c>
      <c r="T31" s="9">
        <f>$T$1*LN(J31/J30)</f>
        <v/>
      </c>
      <c r="U31" s="9">
        <f>$W$12+$W$4*M31+$W$5*N31+$W$6*O31+$W$7*P31+$W$8*Q31+$W$9*R31+$W$10*S31+$W$11*T31</f>
        <v/>
      </c>
      <c r="AA31" s="10">
        <f>INDEX(LINEST(L12:L31,M12:T31,TRUE,TRUE),1,9)*4</f>
        <v/>
      </c>
      <c r="AB31" s="9">
        <f>INDEX(LINEST(L12:L31,M12:T31,TRUE,TRUE),1,8)</f>
        <v/>
      </c>
      <c r="AC31" s="9">
        <f>INDEX(LINEST(L12:L31,M12:T31,TRUE,TRUE),1,7)</f>
        <v/>
      </c>
      <c r="AD31" s="9">
        <f>INDEX(LINEST(L12:L31,M12:T31,TRUE,TRUE),1,6)</f>
        <v/>
      </c>
      <c r="AE31" s="9">
        <f>INDEX(LINEST(L12:L31,M12:T31,TRUE,TRUE),1,5)</f>
        <v/>
      </c>
      <c r="AF31" s="9">
        <f>INDEX(LINEST(L12:L31,M12:T31,TRUE,TRUE),1,4)</f>
        <v/>
      </c>
      <c r="AG31" s="9">
        <f>INDEX(LINEST(L12:L31,M12:T31,TRUE,TRUE),1,3)</f>
        <v/>
      </c>
      <c r="AH31" s="9">
        <f>INDEX(LINEST(L12:L31,M12:T31,TRUE,TRUE),1,2)</f>
        <v/>
      </c>
      <c r="AI31" s="9">
        <f>INDEX(LINEST(L12:L31,M12:T31,TRUE,TRUE),1,1)</f>
        <v/>
      </c>
      <c r="AJ31" s="10">
        <f>INDEX(LINEST(L12:L31,M12:T31,TRUE,TRUE),3,1)</f>
        <v/>
      </c>
      <c r="AK31" s="9">
        <f>AA30/4+AB30*M31+AC30*N31+AD30*O31+AE30*P31+AF30*Q31+AG30*R31+AH30*S31+AI30*T31</f>
        <v/>
      </c>
      <c r="AL31" s="9">
        <f>AVERAGE(L11:L30)</f>
        <v/>
      </c>
    </row>
    <row r="32">
      <c r="A32" s="7" t="n">
        <v>40359</v>
      </c>
      <c r="B32" s="8" t="n">
        <v>1244</v>
      </c>
      <c r="C32" s="8" t="n">
        <v>1.82</v>
      </c>
      <c r="D32" s="8" t="n">
        <v>1.15</v>
      </c>
      <c r="E32" s="8" t="n">
        <v>86.019997</v>
      </c>
      <c r="F32" s="8" t="n">
        <v>75.59</v>
      </c>
      <c r="G32" s="8" t="n">
        <v>34.54</v>
      </c>
      <c r="H32" s="8" t="n">
        <v>89.699997</v>
      </c>
      <c r="I32" s="8" t="n">
        <v>1030.709961</v>
      </c>
      <c r="J32" s="8" t="n">
        <v>68.72580000000001</v>
      </c>
      <c r="L32" s="9">
        <f>LN(B32/B31)</f>
        <v/>
      </c>
      <c r="M32" s="9">
        <f>$M$1*(C32-C31)</f>
        <v/>
      </c>
      <c r="N32" s="9">
        <f>$N$1*(D32-D31)</f>
        <v/>
      </c>
      <c r="O32" s="9">
        <f>$O$1*LN(E32/E31)</f>
        <v/>
      </c>
      <c r="P32" s="9">
        <f>$P$1*LN(F32/F31)</f>
        <v/>
      </c>
      <c r="Q32" s="9">
        <f>$Q$1*(G32-G31)</f>
        <v/>
      </c>
      <c r="R32" s="9">
        <f>$R$1*(H32-H31)</f>
        <v/>
      </c>
      <c r="S32" s="9">
        <f>$S$1*LN(I32/I31)</f>
        <v/>
      </c>
      <c r="T32" s="9">
        <f>$T$1*LN(J32/J31)</f>
        <v/>
      </c>
      <c r="U32" s="9">
        <f>$W$12+$W$4*M32+$W$5*N32+$W$6*O32+$W$7*P32+$W$8*Q32+$W$9*R32+$W$10*S32+$W$11*T32</f>
        <v/>
      </c>
      <c r="AA32" s="10">
        <f>INDEX(LINEST(L13:L32,M13:T32,TRUE,TRUE),1,9)*4</f>
        <v/>
      </c>
      <c r="AB32" s="9">
        <f>INDEX(LINEST(L13:L32,M13:T32,TRUE,TRUE),1,8)</f>
        <v/>
      </c>
      <c r="AC32" s="9">
        <f>INDEX(LINEST(L13:L32,M13:T32,TRUE,TRUE),1,7)</f>
        <v/>
      </c>
      <c r="AD32" s="9">
        <f>INDEX(LINEST(L13:L32,M13:T32,TRUE,TRUE),1,6)</f>
        <v/>
      </c>
      <c r="AE32" s="9">
        <f>INDEX(LINEST(L13:L32,M13:T32,TRUE,TRUE),1,5)</f>
        <v/>
      </c>
      <c r="AF32" s="9">
        <f>INDEX(LINEST(L13:L32,M13:T32,TRUE,TRUE),1,4)</f>
        <v/>
      </c>
      <c r="AG32" s="9">
        <f>INDEX(LINEST(L13:L32,M13:T32,TRUE,TRUE),1,3)</f>
        <v/>
      </c>
      <c r="AH32" s="9">
        <f>INDEX(LINEST(L13:L32,M13:T32,TRUE,TRUE),1,2)</f>
        <v/>
      </c>
      <c r="AI32" s="9">
        <f>INDEX(LINEST(L13:L32,M13:T32,TRUE,TRUE),1,1)</f>
        <v/>
      </c>
      <c r="AJ32" s="10">
        <f>INDEX(LINEST(L13:L32,M13:T32,TRUE,TRUE),3,1)</f>
        <v/>
      </c>
      <c r="AK32" s="9">
        <f>AA31/4+AB31*M32+AC31*N32+AD31*O32+AE31*P32+AF31*Q32+AG31*R32+AH31*S32+AI31*T32</f>
        <v/>
      </c>
      <c r="AL32" s="9">
        <f>AVERAGE(L12:L31)</f>
        <v/>
      </c>
    </row>
    <row r="33">
      <c r="A33" s="7" t="n">
        <v>40451</v>
      </c>
      <c r="B33" s="8" t="n">
        <v>1307</v>
      </c>
      <c r="C33" s="8" t="n">
        <v>1.78</v>
      </c>
      <c r="D33" s="8" t="n">
        <v>0.75</v>
      </c>
      <c r="E33" s="8" t="n">
        <v>78.720001</v>
      </c>
      <c r="F33" s="8" t="n">
        <v>79.95</v>
      </c>
      <c r="G33" s="8" t="n">
        <v>23.7</v>
      </c>
      <c r="H33" s="8" t="n">
        <v>85.099998</v>
      </c>
      <c r="I33" s="8" t="n">
        <v>1141.199951</v>
      </c>
      <c r="J33" s="8" t="n">
        <v>70.21032</v>
      </c>
      <c r="L33" s="9">
        <f>LN(B33/B32)</f>
        <v/>
      </c>
      <c r="M33" s="9">
        <f>$M$1*(C33-C32)</f>
        <v/>
      </c>
      <c r="N33" s="9">
        <f>$N$1*(D33-D32)</f>
        <v/>
      </c>
      <c r="O33" s="9">
        <f>$O$1*LN(E33/E32)</f>
        <v/>
      </c>
      <c r="P33" s="9">
        <f>$P$1*LN(F33/F32)</f>
        <v/>
      </c>
      <c r="Q33" s="9">
        <f>$Q$1*(G33-G32)</f>
        <v/>
      </c>
      <c r="R33" s="9">
        <f>$R$1*(H33-H32)</f>
        <v/>
      </c>
      <c r="S33" s="9">
        <f>$S$1*LN(I33/I32)</f>
        <v/>
      </c>
      <c r="T33" s="9">
        <f>$T$1*LN(J33/J32)</f>
        <v/>
      </c>
      <c r="U33" s="9">
        <f>$W$12+$W$4*M33+$W$5*N33+$W$6*O33+$W$7*P33+$W$8*Q33+$W$9*R33+$W$10*S33+$W$11*T33</f>
        <v/>
      </c>
      <c r="AA33" s="10">
        <f>INDEX(LINEST(L14:L33,M14:T33,TRUE,TRUE),1,9)*4</f>
        <v/>
      </c>
      <c r="AB33" s="9">
        <f>INDEX(LINEST(L14:L33,M14:T33,TRUE,TRUE),1,8)</f>
        <v/>
      </c>
      <c r="AC33" s="9">
        <f>INDEX(LINEST(L14:L33,M14:T33,TRUE,TRUE),1,7)</f>
        <v/>
      </c>
      <c r="AD33" s="9">
        <f>INDEX(LINEST(L14:L33,M14:T33,TRUE,TRUE),1,6)</f>
        <v/>
      </c>
      <c r="AE33" s="9">
        <f>INDEX(LINEST(L14:L33,M14:T33,TRUE,TRUE),1,5)</f>
        <v/>
      </c>
      <c r="AF33" s="9">
        <f>INDEX(LINEST(L14:L33,M14:T33,TRUE,TRUE),1,4)</f>
        <v/>
      </c>
      <c r="AG33" s="9">
        <f>INDEX(LINEST(L14:L33,M14:T33,TRUE,TRUE),1,3)</f>
        <v/>
      </c>
      <c r="AH33" s="9">
        <f>INDEX(LINEST(L14:L33,M14:T33,TRUE,TRUE),1,2)</f>
        <v/>
      </c>
      <c r="AI33" s="9">
        <f>INDEX(LINEST(L14:L33,M14:T33,TRUE,TRUE),1,1)</f>
        <v/>
      </c>
      <c r="AJ33" s="10">
        <f>INDEX(LINEST(L14:L33,M14:T33,TRUE,TRUE),3,1)</f>
        <v/>
      </c>
      <c r="AK33" s="9">
        <f>AA32/4+AB32*M33+AC32*N33+AD32*O33+AE32*P33+AF32*Q33+AG32*R33+AH32*S33+AI32*T33</f>
        <v/>
      </c>
      <c r="AL33" s="9">
        <f>AVERAGE(L13:L32)</f>
        <v/>
      </c>
    </row>
    <row r="34">
      <c r="A34" s="7" t="n">
        <v>40543</v>
      </c>
      <c r="B34" s="8" t="n">
        <v>1405.5</v>
      </c>
      <c r="C34" s="8" t="n">
        <v>2.3</v>
      </c>
      <c r="D34" s="8" t="n">
        <v>1</v>
      </c>
      <c r="E34" s="8" t="n">
        <v>79.029999</v>
      </c>
      <c r="F34" s="8" t="n">
        <v>91.38</v>
      </c>
      <c r="G34" s="8" t="n">
        <v>17.75</v>
      </c>
      <c r="H34" s="8" t="n">
        <v>110.400002</v>
      </c>
      <c r="I34" s="8" t="n">
        <v>1257.640015</v>
      </c>
      <c r="J34" s="8" t="n">
        <v>69.259125</v>
      </c>
      <c r="L34" s="9">
        <f>LN(B34/B33)</f>
        <v/>
      </c>
      <c r="M34" s="9">
        <f>$M$1*(C34-C33)</f>
        <v/>
      </c>
      <c r="N34" s="9">
        <f>$N$1*(D34-D33)</f>
        <v/>
      </c>
      <c r="O34" s="9">
        <f>$O$1*LN(E34/E33)</f>
        <v/>
      </c>
      <c r="P34" s="9">
        <f>$P$1*LN(F34/F33)</f>
        <v/>
      </c>
      <c r="Q34" s="9">
        <f>$Q$1*(G34-G33)</f>
        <v/>
      </c>
      <c r="R34" s="9">
        <f>$R$1*(H34-H33)</f>
        <v/>
      </c>
      <c r="S34" s="9">
        <f>$S$1*LN(I34/I33)</f>
        <v/>
      </c>
      <c r="T34" s="9">
        <f>$T$1*LN(J34/J33)</f>
        <v/>
      </c>
      <c r="U34" s="9">
        <f>$W$12+$W$4*M34+$W$5*N34+$W$6*O34+$W$7*P34+$W$8*Q34+$W$9*R34+$W$10*S34+$W$11*T34</f>
        <v/>
      </c>
      <c r="AA34" s="10">
        <f>INDEX(LINEST(L15:L34,M15:T34,TRUE,TRUE),1,9)*4</f>
        <v/>
      </c>
      <c r="AB34" s="9">
        <f>INDEX(LINEST(L15:L34,M15:T34,TRUE,TRUE),1,8)</f>
        <v/>
      </c>
      <c r="AC34" s="9">
        <f>INDEX(LINEST(L15:L34,M15:T34,TRUE,TRUE),1,7)</f>
        <v/>
      </c>
      <c r="AD34" s="9">
        <f>INDEX(LINEST(L15:L34,M15:T34,TRUE,TRUE),1,6)</f>
        <v/>
      </c>
      <c r="AE34" s="9">
        <f>INDEX(LINEST(L15:L34,M15:T34,TRUE,TRUE),1,5)</f>
        <v/>
      </c>
      <c r="AF34" s="9">
        <f>INDEX(LINEST(L15:L34,M15:T34,TRUE,TRUE),1,4)</f>
        <v/>
      </c>
      <c r="AG34" s="9">
        <f>INDEX(LINEST(L15:L34,M15:T34,TRUE,TRUE),1,3)</f>
        <v/>
      </c>
      <c r="AH34" s="9">
        <f>INDEX(LINEST(L15:L34,M15:T34,TRUE,TRUE),1,2)</f>
        <v/>
      </c>
      <c r="AI34" s="9">
        <f>INDEX(LINEST(L15:L34,M15:T34,TRUE,TRUE),1,1)</f>
        <v/>
      </c>
      <c r="AJ34" s="10">
        <f>INDEX(LINEST(L15:L34,M15:T34,TRUE,TRUE),3,1)</f>
        <v/>
      </c>
      <c r="AK34" s="9">
        <f>AA33/4+AB33*M34+AC33*N34+AD33*O34+AE33*P34+AF33*Q34+AG33*R34+AH33*S34+AI33*T34</f>
        <v/>
      </c>
      <c r="AL34" s="9">
        <f>AVERAGE(L14:L33)</f>
        <v/>
      </c>
    </row>
    <row r="35">
      <c r="A35" s="7" t="n">
        <v>40633</v>
      </c>
      <c r="B35" s="8" t="n">
        <v>1439</v>
      </c>
      <c r="C35" s="8" t="n">
        <v>2.48</v>
      </c>
      <c r="D35" s="8" t="n">
        <v>0.99</v>
      </c>
      <c r="E35" s="8" t="n">
        <v>75.860001</v>
      </c>
      <c r="F35" s="8" t="n">
        <v>106.19</v>
      </c>
      <c r="G35" s="8" t="n">
        <v>17.74</v>
      </c>
      <c r="H35" s="8" t="n">
        <v>90.900002</v>
      </c>
      <c r="I35" s="8" t="n">
        <v>1325.829956</v>
      </c>
      <c r="J35" s="8" t="n">
        <v>69.246391</v>
      </c>
      <c r="L35" s="9">
        <f>LN(B35/B34)</f>
        <v/>
      </c>
      <c r="M35" s="9">
        <f>$M$1*(C35-C34)</f>
        <v/>
      </c>
      <c r="N35" s="9">
        <f>$N$1*(D35-D34)</f>
        <v/>
      </c>
      <c r="O35" s="9">
        <f>$O$1*LN(E35/E34)</f>
        <v/>
      </c>
      <c r="P35" s="9">
        <f>$P$1*LN(F35/F34)</f>
        <v/>
      </c>
      <c r="Q35" s="9">
        <f>$Q$1*(G35-G34)</f>
        <v/>
      </c>
      <c r="R35" s="9">
        <f>$R$1*(H35-H34)</f>
        <v/>
      </c>
      <c r="S35" s="9">
        <f>$S$1*LN(I35/I34)</f>
        <v/>
      </c>
      <c r="T35" s="9">
        <f>$T$1*LN(J35/J34)</f>
        <v/>
      </c>
      <c r="U35" s="9">
        <f>$W$12+$W$4*M35+$W$5*N35+$W$6*O35+$W$7*P35+$W$8*Q35+$W$9*R35+$W$10*S35+$W$11*T35</f>
        <v/>
      </c>
      <c r="AA35" s="10">
        <f>INDEX(LINEST(L16:L35,M16:T35,TRUE,TRUE),1,9)*4</f>
        <v/>
      </c>
      <c r="AB35" s="9">
        <f>INDEX(LINEST(L16:L35,M16:T35,TRUE,TRUE),1,8)</f>
        <v/>
      </c>
      <c r="AC35" s="9">
        <f>INDEX(LINEST(L16:L35,M16:T35,TRUE,TRUE),1,7)</f>
        <v/>
      </c>
      <c r="AD35" s="9">
        <f>INDEX(LINEST(L16:L35,M16:T35,TRUE,TRUE),1,6)</f>
        <v/>
      </c>
      <c r="AE35" s="9">
        <f>INDEX(LINEST(L16:L35,M16:T35,TRUE,TRUE),1,5)</f>
        <v/>
      </c>
      <c r="AF35" s="9">
        <f>INDEX(LINEST(L16:L35,M16:T35,TRUE,TRUE),1,4)</f>
        <v/>
      </c>
      <c r="AG35" s="9">
        <f>INDEX(LINEST(L16:L35,M16:T35,TRUE,TRUE),1,3)</f>
        <v/>
      </c>
      <c r="AH35" s="9">
        <f>INDEX(LINEST(L16:L35,M16:T35,TRUE,TRUE),1,2)</f>
        <v/>
      </c>
      <c r="AI35" s="9">
        <f>INDEX(LINEST(L16:L35,M16:T35,TRUE,TRUE),1,1)</f>
        <v/>
      </c>
      <c r="AJ35" s="10">
        <f>INDEX(LINEST(L16:L35,M16:T35,TRUE,TRUE),3,1)</f>
        <v/>
      </c>
      <c r="AK35" s="9">
        <f>AA34/4+AB34*M35+AC34*N35+AD34*O35+AE34*P35+AF34*Q35+AG34*R35+AH34*S35+AI34*T35</f>
        <v/>
      </c>
      <c r="AL35" s="9">
        <f>AVERAGE(L15:L34)</f>
        <v/>
      </c>
    </row>
    <row r="36">
      <c r="A36" s="7" t="n">
        <v>40724</v>
      </c>
      <c r="B36" s="8" t="n">
        <v>1505.5</v>
      </c>
      <c r="C36" s="8" t="n">
        <v>2.43</v>
      </c>
      <c r="D36" s="8" t="n">
        <v>0.75</v>
      </c>
      <c r="E36" s="8" t="n">
        <v>74.300003</v>
      </c>
      <c r="F36" s="8" t="n">
        <v>95.3</v>
      </c>
      <c r="G36" s="8" t="n">
        <v>16.52</v>
      </c>
      <c r="H36" s="8" t="n">
        <v>88.900002</v>
      </c>
      <c r="I36" s="8" t="n">
        <v>1320.640015</v>
      </c>
      <c r="J36" s="8" t="n">
        <v>70.88679500000001</v>
      </c>
      <c r="L36" s="9">
        <f>LN(B36/B35)</f>
        <v/>
      </c>
      <c r="M36" s="9">
        <f>$M$1*(C36-C35)</f>
        <v/>
      </c>
      <c r="N36" s="9">
        <f>$N$1*(D36-D35)</f>
        <v/>
      </c>
      <c r="O36" s="9">
        <f>$O$1*LN(E36/E35)</f>
        <v/>
      </c>
      <c r="P36" s="9">
        <f>$P$1*LN(F36/F35)</f>
        <v/>
      </c>
      <c r="Q36" s="9">
        <f>$Q$1*(G36-G35)</f>
        <v/>
      </c>
      <c r="R36" s="9">
        <f>$R$1*(H36-H35)</f>
        <v/>
      </c>
      <c r="S36" s="9">
        <f>$S$1*LN(I36/I35)</f>
        <v/>
      </c>
      <c r="T36" s="9">
        <f>$T$1*LN(J36/J35)</f>
        <v/>
      </c>
      <c r="U36" s="9">
        <f>$W$12+$W$4*M36+$W$5*N36+$W$6*O36+$W$7*P36+$W$8*Q36+$W$9*R36+$W$10*S36+$W$11*T36</f>
        <v/>
      </c>
      <c r="AA36" s="10">
        <f>INDEX(LINEST(L17:L36,M17:T36,TRUE,TRUE),1,9)*4</f>
        <v/>
      </c>
      <c r="AB36" s="9">
        <f>INDEX(LINEST(L17:L36,M17:T36,TRUE,TRUE),1,8)</f>
        <v/>
      </c>
      <c r="AC36" s="9">
        <f>INDEX(LINEST(L17:L36,M17:T36,TRUE,TRUE),1,7)</f>
        <v/>
      </c>
      <c r="AD36" s="9">
        <f>INDEX(LINEST(L17:L36,M17:T36,TRUE,TRUE),1,6)</f>
        <v/>
      </c>
      <c r="AE36" s="9">
        <f>INDEX(LINEST(L17:L36,M17:T36,TRUE,TRUE),1,5)</f>
        <v/>
      </c>
      <c r="AF36" s="9">
        <f>INDEX(LINEST(L17:L36,M17:T36,TRUE,TRUE),1,4)</f>
        <v/>
      </c>
      <c r="AG36" s="9">
        <f>INDEX(LINEST(L17:L36,M17:T36,TRUE,TRUE),1,3)</f>
        <v/>
      </c>
      <c r="AH36" s="9">
        <f>INDEX(LINEST(L17:L36,M17:T36,TRUE,TRUE),1,2)</f>
        <v/>
      </c>
      <c r="AI36" s="9">
        <f>INDEX(LINEST(L17:L36,M17:T36,TRUE,TRUE),1,1)</f>
        <v/>
      </c>
      <c r="AJ36" s="10">
        <f>INDEX(LINEST(L17:L36,M17:T36,TRUE,TRUE),3,1)</f>
        <v/>
      </c>
      <c r="AK36" s="9">
        <f>AA35/4+AB35*M36+AC35*N36+AD35*O36+AE35*P36+AF35*Q36+AG35*R36+AH35*S36+AI35*T36</f>
        <v/>
      </c>
      <c r="AL36" s="9">
        <f>AVERAGE(L16:L35)</f>
        <v/>
      </c>
    </row>
    <row r="37">
      <c r="A37" s="7" t="n">
        <v>40816</v>
      </c>
      <c r="B37" s="8" t="n">
        <v>1620</v>
      </c>
      <c r="C37" s="8" t="n">
        <v>1.75</v>
      </c>
      <c r="D37" s="8" t="n">
        <v>0.17</v>
      </c>
      <c r="E37" s="8" t="n">
        <v>78.550003</v>
      </c>
      <c r="F37" s="8" t="n">
        <v>78.93000000000001</v>
      </c>
      <c r="G37" s="8" t="n">
        <v>42.96</v>
      </c>
      <c r="H37" s="8" t="n">
        <v>100.599998</v>
      </c>
      <c r="I37" s="8" t="n">
        <v>1131.420044</v>
      </c>
      <c r="J37" s="8" t="n">
        <v>73.742401</v>
      </c>
      <c r="L37" s="9">
        <f>LN(B37/B36)</f>
        <v/>
      </c>
      <c r="M37" s="9">
        <f>$M$1*(C37-C36)</f>
        <v/>
      </c>
      <c r="N37" s="9">
        <f>$N$1*(D37-D36)</f>
        <v/>
      </c>
      <c r="O37" s="9">
        <f>$O$1*LN(E37/E36)</f>
        <v/>
      </c>
      <c r="P37" s="9">
        <f>$P$1*LN(F37/F36)</f>
        <v/>
      </c>
      <c r="Q37" s="9">
        <f>$Q$1*(G37-G36)</f>
        <v/>
      </c>
      <c r="R37" s="9">
        <f>$R$1*(H37-H36)</f>
        <v/>
      </c>
      <c r="S37" s="9">
        <f>$S$1*LN(I37/I36)</f>
        <v/>
      </c>
      <c r="T37" s="9">
        <f>$T$1*LN(J37/J36)</f>
        <v/>
      </c>
      <c r="U37" s="9">
        <f>$W$12+$W$4*M37+$W$5*N37+$W$6*O37+$W$7*P37+$W$8*Q37+$W$9*R37+$W$10*S37+$W$11*T37</f>
        <v/>
      </c>
      <c r="AA37" s="10">
        <f>INDEX(LINEST(L18:L37,M18:T37,TRUE,TRUE),1,9)*4</f>
        <v/>
      </c>
      <c r="AB37" s="9">
        <f>INDEX(LINEST(L18:L37,M18:T37,TRUE,TRUE),1,8)</f>
        <v/>
      </c>
      <c r="AC37" s="9">
        <f>INDEX(LINEST(L18:L37,M18:T37,TRUE,TRUE),1,7)</f>
        <v/>
      </c>
      <c r="AD37" s="9">
        <f>INDEX(LINEST(L18:L37,M18:T37,TRUE,TRUE),1,6)</f>
        <v/>
      </c>
      <c r="AE37" s="9">
        <f>INDEX(LINEST(L18:L37,M18:T37,TRUE,TRUE),1,5)</f>
        <v/>
      </c>
      <c r="AF37" s="9">
        <f>INDEX(LINEST(L18:L37,M18:T37,TRUE,TRUE),1,4)</f>
        <v/>
      </c>
      <c r="AG37" s="9">
        <f>INDEX(LINEST(L18:L37,M18:T37,TRUE,TRUE),1,3)</f>
        <v/>
      </c>
      <c r="AH37" s="9">
        <f>INDEX(LINEST(L18:L37,M18:T37,TRUE,TRUE),1,2)</f>
        <v/>
      </c>
      <c r="AI37" s="9">
        <f>INDEX(LINEST(L18:L37,M18:T37,TRUE,TRUE),1,1)</f>
        <v/>
      </c>
      <c r="AJ37" s="10">
        <f>INDEX(LINEST(L18:L37,M18:T37,TRUE,TRUE),3,1)</f>
        <v/>
      </c>
      <c r="AK37" s="9">
        <f>AA36/4+AB36*M37+AC36*N37+AD36*O37+AE36*P37+AF36*Q37+AG36*R37+AH36*S37+AI36*T37</f>
        <v/>
      </c>
      <c r="AL37" s="9">
        <f>AVERAGE(L17:L36)</f>
        <v/>
      </c>
    </row>
    <row r="38">
      <c r="A38" s="7" t="n">
        <v>40908</v>
      </c>
      <c r="B38" s="8" t="n">
        <v>1531</v>
      </c>
      <c r="C38" s="8" t="n">
        <v>1.96</v>
      </c>
      <c r="D38" s="8" t="n">
        <v>-0.07000000000000001</v>
      </c>
      <c r="E38" s="8" t="n">
        <v>80.16999800000001</v>
      </c>
      <c r="F38" s="8" t="n">
        <v>98.83</v>
      </c>
      <c r="G38" s="8" t="n">
        <v>23.4</v>
      </c>
      <c r="H38" s="8" t="n">
        <v>91.099998</v>
      </c>
      <c r="I38" s="8" t="n">
        <v>1257.599976</v>
      </c>
      <c r="J38" s="8" t="n">
        <v>74.58981300000001</v>
      </c>
      <c r="L38" s="9">
        <f>LN(B38/B37)</f>
        <v/>
      </c>
      <c r="M38" s="9">
        <f>$M$1*(C38-C37)</f>
        <v/>
      </c>
      <c r="N38" s="9">
        <f>$N$1*(D38-D37)</f>
        <v/>
      </c>
      <c r="O38" s="9">
        <f>$O$1*LN(E38/E37)</f>
        <v/>
      </c>
      <c r="P38" s="9">
        <f>$P$1*LN(F38/F37)</f>
        <v/>
      </c>
      <c r="Q38" s="9">
        <f>$Q$1*(G38-G37)</f>
        <v/>
      </c>
      <c r="R38" s="9">
        <f>$R$1*(H38-H37)</f>
        <v/>
      </c>
      <c r="S38" s="9">
        <f>$S$1*LN(I38/I37)</f>
        <v/>
      </c>
      <c r="T38" s="9">
        <f>$T$1*LN(J38/J37)</f>
        <v/>
      </c>
      <c r="U38" s="9">
        <f>$W$12+$W$4*M38+$W$5*N38+$W$6*O38+$W$7*P38+$W$8*Q38+$W$9*R38+$W$10*S38+$W$11*T38</f>
        <v/>
      </c>
      <c r="AA38" s="10">
        <f>INDEX(LINEST(L19:L38,M19:T38,TRUE,TRUE),1,9)*4</f>
        <v/>
      </c>
      <c r="AB38" s="9">
        <f>INDEX(LINEST(L19:L38,M19:T38,TRUE,TRUE),1,8)</f>
        <v/>
      </c>
      <c r="AC38" s="9">
        <f>INDEX(LINEST(L19:L38,M19:T38,TRUE,TRUE),1,7)</f>
        <v/>
      </c>
      <c r="AD38" s="9">
        <f>INDEX(LINEST(L19:L38,M19:T38,TRUE,TRUE),1,6)</f>
        <v/>
      </c>
      <c r="AE38" s="9">
        <f>INDEX(LINEST(L19:L38,M19:T38,TRUE,TRUE),1,5)</f>
        <v/>
      </c>
      <c r="AF38" s="9">
        <f>INDEX(LINEST(L19:L38,M19:T38,TRUE,TRUE),1,4)</f>
        <v/>
      </c>
      <c r="AG38" s="9">
        <f>INDEX(LINEST(L19:L38,M19:T38,TRUE,TRUE),1,3)</f>
        <v/>
      </c>
      <c r="AH38" s="9">
        <f>INDEX(LINEST(L19:L38,M19:T38,TRUE,TRUE),1,2)</f>
        <v/>
      </c>
      <c r="AI38" s="9">
        <f>INDEX(LINEST(L19:L38,M19:T38,TRUE,TRUE),1,1)</f>
        <v/>
      </c>
      <c r="AJ38" s="10">
        <f>INDEX(LINEST(L19:L38,M19:T38,TRUE,TRUE),3,1)</f>
        <v/>
      </c>
      <c r="AK38" s="9">
        <f>AA37/4+AB37*M38+AC37*N38+AD37*O38+AE37*P38+AF37*Q38+AG37*R38+AH37*S38+AI37*T38</f>
        <v/>
      </c>
      <c r="AL38" s="9">
        <f>AVERAGE(L18:L37)</f>
        <v/>
      </c>
    </row>
    <row r="39">
      <c r="A39" s="7" t="n">
        <v>40999</v>
      </c>
      <c r="B39" s="8" t="n">
        <v>1662.5</v>
      </c>
      <c r="C39" s="8" t="n">
        <v>2.32</v>
      </c>
      <c r="D39" s="8" t="n">
        <v>-0.09</v>
      </c>
      <c r="E39" s="8" t="n">
        <v>78.93000000000001</v>
      </c>
      <c r="F39" s="8" t="n">
        <v>103.03</v>
      </c>
      <c r="G39" s="8" t="n">
        <v>15.5</v>
      </c>
      <c r="H39" s="8" t="n">
        <v>78.599998</v>
      </c>
      <c r="I39" s="8" t="n">
        <v>1408.469971</v>
      </c>
      <c r="J39" s="8" t="n">
        <v>74.69049099999999</v>
      </c>
      <c r="L39" s="9">
        <f>LN(B39/B38)</f>
        <v/>
      </c>
      <c r="M39" s="9">
        <f>$M$1*(C39-C38)</f>
        <v/>
      </c>
      <c r="N39" s="9">
        <f>$N$1*(D39-D38)</f>
        <v/>
      </c>
      <c r="O39" s="9">
        <f>$O$1*LN(E39/E38)</f>
        <v/>
      </c>
      <c r="P39" s="9">
        <f>$P$1*LN(F39/F38)</f>
        <v/>
      </c>
      <c r="Q39" s="9">
        <f>$Q$1*(G39-G38)</f>
        <v/>
      </c>
      <c r="R39" s="9">
        <f>$R$1*(H39-H38)</f>
        <v/>
      </c>
      <c r="S39" s="9">
        <f>$S$1*LN(I39/I38)</f>
        <v/>
      </c>
      <c r="T39" s="9">
        <f>$T$1*LN(J39/J38)</f>
        <v/>
      </c>
      <c r="U39" s="9">
        <f>$W$12+$W$4*M39+$W$5*N39+$W$6*O39+$W$7*P39+$W$8*Q39+$W$9*R39+$W$10*S39+$W$11*T39</f>
        <v/>
      </c>
      <c r="AA39" s="10">
        <f>INDEX(LINEST(L20:L39,M20:T39,TRUE,TRUE),1,9)*4</f>
        <v/>
      </c>
      <c r="AB39" s="9">
        <f>INDEX(LINEST(L20:L39,M20:T39,TRUE,TRUE),1,8)</f>
        <v/>
      </c>
      <c r="AC39" s="9">
        <f>INDEX(LINEST(L20:L39,M20:T39,TRUE,TRUE),1,7)</f>
        <v/>
      </c>
      <c r="AD39" s="9">
        <f>INDEX(LINEST(L20:L39,M20:T39,TRUE,TRUE),1,6)</f>
        <v/>
      </c>
      <c r="AE39" s="9">
        <f>INDEX(LINEST(L20:L39,M20:T39,TRUE,TRUE),1,5)</f>
        <v/>
      </c>
      <c r="AF39" s="9">
        <f>INDEX(LINEST(L20:L39,M20:T39,TRUE,TRUE),1,4)</f>
        <v/>
      </c>
      <c r="AG39" s="9">
        <f>INDEX(LINEST(L20:L39,M20:T39,TRUE,TRUE),1,3)</f>
        <v/>
      </c>
      <c r="AH39" s="9">
        <f>INDEX(LINEST(L20:L39,M20:T39,TRUE,TRUE),1,2)</f>
        <v/>
      </c>
      <c r="AI39" s="9">
        <f>INDEX(LINEST(L20:L39,M20:T39,TRUE,TRUE),1,1)</f>
        <v/>
      </c>
      <c r="AJ39" s="10">
        <f>INDEX(LINEST(L20:L39,M20:T39,TRUE,TRUE),3,1)</f>
        <v/>
      </c>
      <c r="AK39" s="9">
        <f>AA38/4+AB38*M39+AC38*N39+AD38*O39+AE38*P39+AF38*Q39+AG38*R39+AH38*S39+AI38*T39</f>
        <v/>
      </c>
      <c r="AL39" s="9">
        <f>AVERAGE(L19:L38)</f>
        <v/>
      </c>
    </row>
    <row r="40">
      <c r="A40" s="7" t="n">
        <v>41090</v>
      </c>
      <c r="B40" s="8" t="n">
        <v>1598.5</v>
      </c>
      <c r="C40" s="8" t="n">
        <v>2.13</v>
      </c>
      <c r="D40" s="8" t="n">
        <v>-0.46</v>
      </c>
      <c r="E40" s="8" t="n">
        <v>81.650002</v>
      </c>
      <c r="F40" s="8" t="n">
        <v>85.04000000000001</v>
      </c>
      <c r="G40" s="8" t="n">
        <v>17.08</v>
      </c>
      <c r="H40" s="8" t="n">
        <v>73.199997</v>
      </c>
      <c r="I40" s="8" t="n">
        <v>1362.160034</v>
      </c>
      <c r="J40" s="8" t="n">
        <v>76.16471900000001</v>
      </c>
      <c r="L40" s="9">
        <f>LN(B40/B39)</f>
        <v/>
      </c>
      <c r="M40" s="9">
        <f>$M$1*(C40-C39)</f>
        <v/>
      </c>
      <c r="N40" s="9">
        <f>$N$1*(D40-D39)</f>
        <v/>
      </c>
      <c r="O40" s="9">
        <f>$O$1*LN(E40/E39)</f>
        <v/>
      </c>
      <c r="P40" s="9">
        <f>$P$1*LN(F40/F39)</f>
        <v/>
      </c>
      <c r="Q40" s="9">
        <f>$Q$1*(G40-G39)</f>
        <v/>
      </c>
      <c r="R40" s="9">
        <f>$R$1*(H40-H39)</f>
        <v/>
      </c>
      <c r="S40" s="9">
        <f>$S$1*LN(I40/I39)</f>
        <v/>
      </c>
      <c r="T40" s="9">
        <f>$T$1*LN(J40/J39)</f>
        <v/>
      </c>
      <c r="U40" s="9">
        <f>$W$12+$W$4*M40+$W$5*N40+$W$6*O40+$W$7*P40+$W$8*Q40+$W$9*R40+$W$10*S40+$W$11*T40</f>
        <v/>
      </c>
      <c r="AA40" s="10">
        <f>INDEX(LINEST(L21:L40,M21:T40,TRUE,TRUE),1,9)*4</f>
        <v/>
      </c>
      <c r="AB40" s="9">
        <f>INDEX(LINEST(L21:L40,M21:T40,TRUE,TRUE),1,8)</f>
        <v/>
      </c>
      <c r="AC40" s="9">
        <f>INDEX(LINEST(L21:L40,M21:T40,TRUE,TRUE),1,7)</f>
        <v/>
      </c>
      <c r="AD40" s="9">
        <f>INDEX(LINEST(L21:L40,M21:T40,TRUE,TRUE),1,6)</f>
        <v/>
      </c>
      <c r="AE40" s="9">
        <f>INDEX(LINEST(L21:L40,M21:T40,TRUE,TRUE),1,5)</f>
        <v/>
      </c>
      <c r="AF40" s="9">
        <f>INDEX(LINEST(L21:L40,M21:T40,TRUE,TRUE),1,4)</f>
        <v/>
      </c>
      <c r="AG40" s="9">
        <f>INDEX(LINEST(L21:L40,M21:T40,TRUE,TRUE),1,3)</f>
        <v/>
      </c>
      <c r="AH40" s="9">
        <f>INDEX(LINEST(L21:L40,M21:T40,TRUE,TRUE),1,2)</f>
        <v/>
      </c>
      <c r="AI40" s="9">
        <f>INDEX(LINEST(L21:L40,M21:T40,TRUE,TRUE),1,1)</f>
        <v/>
      </c>
      <c r="AJ40" s="10">
        <f>INDEX(LINEST(L21:L40,M21:T40,TRUE,TRUE),3,1)</f>
        <v/>
      </c>
      <c r="AK40" s="9">
        <f>AA39/4+AB39*M40+AC39*N40+AD39*O40+AE39*P40+AF39*Q40+AG39*R40+AH39*S40+AI39*T40</f>
        <v/>
      </c>
      <c r="AL40" s="9">
        <f>AVERAGE(L20:L39)</f>
        <v/>
      </c>
    </row>
    <row r="41">
      <c r="A41" s="7" t="n">
        <v>41182</v>
      </c>
      <c r="B41" s="8" t="n">
        <v>1776</v>
      </c>
      <c r="C41" s="8" t="n">
        <v>2.42</v>
      </c>
      <c r="D41" s="8" t="n">
        <v>-0.77</v>
      </c>
      <c r="E41" s="8" t="n">
        <v>79.94000200000001</v>
      </c>
      <c r="F41" s="8" t="n">
        <v>92.18000000000001</v>
      </c>
      <c r="G41" s="8" t="n">
        <v>15.73</v>
      </c>
      <c r="H41" s="8" t="n">
        <v>60.470001</v>
      </c>
      <c r="I41" s="8" t="n">
        <v>1440.670044</v>
      </c>
      <c r="J41" s="8" t="n">
        <v>77.40801999999999</v>
      </c>
      <c r="L41" s="9">
        <f>LN(B41/B40)</f>
        <v/>
      </c>
      <c r="M41" s="9">
        <f>$M$1*(C41-C40)</f>
        <v/>
      </c>
      <c r="N41" s="9">
        <f>$N$1*(D41-D40)</f>
        <v/>
      </c>
      <c r="O41" s="9">
        <f>$O$1*LN(E41/E40)</f>
        <v/>
      </c>
      <c r="P41" s="9">
        <f>$P$1*LN(F41/F40)</f>
        <v/>
      </c>
      <c r="Q41" s="9">
        <f>$Q$1*(G41-G40)</f>
        <v/>
      </c>
      <c r="R41" s="9">
        <f>$R$1*(H41-H40)</f>
        <v/>
      </c>
      <c r="S41" s="9">
        <f>$S$1*LN(I41/I40)</f>
        <v/>
      </c>
      <c r="T41" s="9">
        <f>$T$1*LN(J41/J40)</f>
        <v/>
      </c>
      <c r="U41" s="9">
        <f>$W$12+$W$4*M41+$W$5*N41+$W$6*O41+$W$7*P41+$W$8*Q41+$W$9*R41+$W$10*S41+$W$11*T41</f>
        <v/>
      </c>
      <c r="AA41" s="10">
        <f>INDEX(LINEST(L22:L41,M22:T41,TRUE,TRUE),1,9)*4</f>
        <v/>
      </c>
      <c r="AB41" s="9">
        <f>INDEX(LINEST(L22:L41,M22:T41,TRUE,TRUE),1,8)</f>
        <v/>
      </c>
      <c r="AC41" s="9">
        <f>INDEX(LINEST(L22:L41,M22:T41,TRUE,TRUE),1,7)</f>
        <v/>
      </c>
      <c r="AD41" s="9">
        <f>INDEX(LINEST(L22:L41,M22:T41,TRUE,TRUE),1,6)</f>
        <v/>
      </c>
      <c r="AE41" s="9">
        <f>INDEX(LINEST(L22:L41,M22:T41,TRUE,TRUE),1,5)</f>
        <v/>
      </c>
      <c r="AF41" s="9">
        <f>INDEX(LINEST(L22:L41,M22:T41,TRUE,TRUE),1,4)</f>
        <v/>
      </c>
      <c r="AG41" s="9">
        <f>INDEX(LINEST(L22:L41,M22:T41,TRUE,TRUE),1,3)</f>
        <v/>
      </c>
      <c r="AH41" s="9">
        <f>INDEX(LINEST(L22:L41,M22:T41,TRUE,TRUE),1,2)</f>
        <v/>
      </c>
      <c r="AI41" s="9">
        <f>INDEX(LINEST(L22:L41,M22:T41,TRUE,TRUE),1,1)</f>
        <v/>
      </c>
      <c r="AJ41" s="10">
        <f>INDEX(LINEST(L22:L41,M22:T41,TRUE,TRUE),3,1)</f>
        <v/>
      </c>
      <c r="AK41" s="9">
        <f>AA40/4+AB40*M41+AC40*N41+AD40*O41+AE40*P41+AF40*Q41+AG40*R41+AH40*S41+AI40*T41</f>
        <v/>
      </c>
      <c r="AL41" s="9">
        <f>AVERAGE(L21:L40)</f>
        <v/>
      </c>
    </row>
    <row r="42">
      <c r="A42" s="7" t="n">
        <v>41274</v>
      </c>
      <c r="B42" s="8" t="n">
        <v>1657.5</v>
      </c>
      <c r="C42" s="8" t="n">
        <v>2.45</v>
      </c>
      <c r="D42" s="8" t="n">
        <v>-0.67</v>
      </c>
      <c r="E42" s="8" t="n">
        <v>79.769997</v>
      </c>
      <c r="F42" s="8" t="n">
        <v>91.83</v>
      </c>
      <c r="G42" s="8" t="n">
        <v>18.02</v>
      </c>
      <c r="H42" s="8" t="n">
        <v>59.400002</v>
      </c>
      <c r="I42" s="8" t="n">
        <v>1426.189941</v>
      </c>
      <c r="J42" s="8" t="n">
        <v>77.390625</v>
      </c>
      <c r="L42" s="9">
        <f>LN(B42/B41)</f>
        <v/>
      </c>
      <c r="M42" s="9">
        <f>$M$1*(C42-C41)</f>
        <v/>
      </c>
      <c r="N42" s="9">
        <f>$N$1*(D42-D41)</f>
        <v/>
      </c>
      <c r="O42" s="9">
        <f>$O$1*LN(E42/E41)</f>
        <v/>
      </c>
      <c r="P42" s="9">
        <f>$P$1*LN(F42/F41)</f>
        <v/>
      </c>
      <c r="Q42" s="9">
        <f>$Q$1*(G42-G41)</f>
        <v/>
      </c>
      <c r="R42" s="9">
        <f>$R$1*(H42-H41)</f>
        <v/>
      </c>
      <c r="S42" s="9">
        <f>$S$1*LN(I42/I41)</f>
        <v/>
      </c>
      <c r="T42" s="9">
        <f>$T$1*LN(J42/J41)</f>
        <v/>
      </c>
      <c r="U42" s="9">
        <f>$W$12+$W$4*M42+$W$5*N42+$W$6*O42+$W$7*P42+$W$8*Q42+$W$9*R42+$W$10*S42+$W$11*T42</f>
        <v/>
      </c>
      <c r="AA42" s="10">
        <f>INDEX(LINEST(L23:L42,M23:T42,TRUE,TRUE),1,9)*4</f>
        <v/>
      </c>
      <c r="AB42" s="9">
        <f>INDEX(LINEST(L23:L42,M23:T42,TRUE,TRUE),1,8)</f>
        <v/>
      </c>
      <c r="AC42" s="9">
        <f>INDEX(LINEST(L23:L42,M23:T42,TRUE,TRUE),1,7)</f>
        <v/>
      </c>
      <c r="AD42" s="9">
        <f>INDEX(LINEST(L23:L42,M23:T42,TRUE,TRUE),1,6)</f>
        <v/>
      </c>
      <c r="AE42" s="9">
        <f>INDEX(LINEST(L23:L42,M23:T42,TRUE,TRUE),1,5)</f>
        <v/>
      </c>
      <c r="AF42" s="9">
        <f>INDEX(LINEST(L23:L42,M23:T42,TRUE,TRUE),1,4)</f>
        <v/>
      </c>
      <c r="AG42" s="9">
        <f>INDEX(LINEST(L23:L42,M23:T42,TRUE,TRUE),1,3)</f>
        <v/>
      </c>
      <c r="AH42" s="9">
        <f>INDEX(LINEST(L23:L42,M23:T42,TRUE,TRUE),1,2)</f>
        <v/>
      </c>
      <c r="AI42" s="9">
        <f>INDEX(LINEST(L23:L42,M23:T42,TRUE,TRUE),1,1)</f>
        <v/>
      </c>
      <c r="AJ42" s="10">
        <f>INDEX(LINEST(L23:L42,M23:T42,TRUE,TRUE),3,1)</f>
        <v/>
      </c>
      <c r="AK42" s="9">
        <f>AA41/4+AB41*M42+AC41*N42+AD41*O42+AE41*P42+AF41*Q42+AG41*R42+AH41*S42+AI41*T42</f>
        <v/>
      </c>
      <c r="AL42" s="9">
        <f>AVERAGE(L22:L41)</f>
        <v/>
      </c>
    </row>
    <row r="43">
      <c r="A43" s="7" t="n">
        <v>41364</v>
      </c>
      <c r="B43" s="8" t="n">
        <v>1598.25</v>
      </c>
      <c r="C43" s="8" t="n">
        <v>2.51</v>
      </c>
      <c r="D43" s="8" t="n">
        <v>-0.64</v>
      </c>
      <c r="E43" s="8" t="n">
        <v>82.989998</v>
      </c>
      <c r="F43" s="8" t="n">
        <v>97.23999999999999</v>
      </c>
      <c r="G43" s="8" t="n">
        <v>12.7</v>
      </c>
      <c r="H43" s="8" t="n">
        <v>57.299999</v>
      </c>
      <c r="I43" s="8" t="n">
        <v>1569.189941</v>
      </c>
      <c r="J43" s="8" t="n">
        <v>77.44053599999999</v>
      </c>
      <c r="L43" s="9">
        <f>LN(B43/B42)</f>
        <v/>
      </c>
      <c r="M43" s="9">
        <f>$M$1*(C43-C42)</f>
        <v/>
      </c>
      <c r="N43" s="9">
        <f>$N$1*(D43-D42)</f>
        <v/>
      </c>
      <c r="O43" s="9">
        <f>$O$1*LN(E43/E42)</f>
        <v/>
      </c>
      <c r="P43" s="9">
        <f>$P$1*LN(F43/F42)</f>
        <v/>
      </c>
      <c r="Q43" s="9">
        <f>$Q$1*(G43-G42)</f>
        <v/>
      </c>
      <c r="R43" s="9">
        <f>$R$1*(H43-H42)</f>
        <v/>
      </c>
      <c r="S43" s="9">
        <f>$S$1*LN(I43/I42)</f>
        <v/>
      </c>
      <c r="T43" s="9">
        <f>$T$1*LN(J43/J42)</f>
        <v/>
      </c>
      <c r="U43" s="9">
        <f>$W$12+$W$4*M43+$W$5*N43+$W$6*O43+$W$7*P43+$W$8*Q43+$W$9*R43+$W$10*S43+$W$11*T43</f>
        <v/>
      </c>
      <c r="AA43" s="10">
        <f>INDEX(LINEST(L24:L43,M24:T43,TRUE,TRUE),1,9)*4</f>
        <v/>
      </c>
      <c r="AB43" s="9">
        <f>INDEX(LINEST(L24:L43,M24:T43,TRUE,TRUE),1,8)</f>
        <v/>
      </c>
      <c r="AC43" s="9">
        <f>INDEX(LINEST(L24:L43,M24:T43,TRUE,TRUE),1,7)</f>
        <v/>
      </c>
      <c r="AD43" s="9">
        <f>INDEX(LINEST(L24:L43,M24:T43,TRUE,TRUE),1,6)</f>
        <v/>
      </c>
      <c r="AE43" s="9">
        <f>INDEX(LINEST(L24:L43,M24:T43,TRUE,TRUE),1,5)</f>
        <v/>
      </c>
      <c r="AF43" s="9">
        <f>INDEX(LINEST(L24:L43,M24:T43,TRUE,TRUE),1,4)</f>
        <v/>
      </c>
      <c r="AG43" s="9">
        <f>INDEX(LINEST(L24:L43,M24:T43,TRUE,TRUE),1,3)</f>
        <v/>
      </c>
      <c r="AH43" s="9">
        <f>INDEX(LINEST(L24:L43,M24:T43,TRUE,TRUE),1,2)</f>
        <v/>
      </c>
      <c r="AI43" s="9">
        <f>INDEX(LINEST(L24:L43,M24:T43,TRUE,TRUE),1,1)</f>
        <v/>
      </c>
      <c r="AJ43" s="10">
        <f>INDEX(LINEST(L24:L43,M24:T43,TRUE,TRUE),3,1)</f>
        <v/>
      </c>
      <c r="AK43" s="9">
        <f>AA42/4+AB42*M43+AC42*N43+AD42*O43+AE42*P43+AF42*Q43+AG42*R43+AH42*S43+AI42*T43</f>
        <v/>
      </c>
      <c r="AL43" s="9">
        <f>AVERAGE(L23:L42)</f>
        <v/>
      </c>
    </row>
    <row r="44">
      <c r="A44" s="7" t="n">
        <v>41455</v>
      </c>
      <c r="B44" s="8" t="n">
        <v>1192</v>
      </c>
      <c r="C44" s="8" t="n">
        <v>1.99</v>
      </c>
      <c r="D44" s="8" t="n">
        <v>0.53</v>
      </c>
      <c r="E44" s="8" t="n">
        <v>83.16999800000001</v>
      </c>
      <c r="F44" s="8" t="n">
        <v>96.36</v>
      </c>
      <c r="G44" s="8" t="n">
        <v>16.86</v>
      </c>
      <c r="H44" s="8" t="n">
        <v>99.800003</v>
      </c>
      <c r="I44" s="8" t="n">
        <v>1606.280029</v>
      </c>
      <c r="J44" s="8" t="n">
        <v>75.426376</v>
      </c>
      <c r="L44" s="9">
        <f>LN(B44/B43)</f>
        <v/>
      </c>
      <c r="M44" s="9">
        <f>$M$1*(C44-C43)</f>
        <v/>
      </c>
      <c r="N44" s="9">
        <f>$N$1*(D44-D43)</f>
        <v/>
      </c>
      <c r="O44" s="9">
        <f>$O$1*LN(E44/E43)</f>
        <v/>
      </c>
      <c r="P44" s="9">
        <f>$P$1*LN(F44/F43)</f>
        <v/>
      </c>
      <c r="Q44" s="9">
        <f>$Q$1*(G44-G43)</f>
        <v/>
      </c>
      <c r="R44" s="9">
        <f>$R$1*(H44-H43)</f>
        <v/>
      </c>
      <c r="S44" s="9">
        <f>$S$1*LN(I44/I43)</f>
        <v/>
      </c>
      <c r="T44" s="9">
        <f>$T$1*LN(J44/J43)</f>
        <v/>
      </c>
      <c r="U44" s="9">
        <f>$W$12+$W$4*M44+$W$5*N44+$W$6*O44+$W$7*P44+$W$8*Q44+$W$9*R44+$W$10*S44+$W$11*T44</f>
        <v/>
      </c>
      <c r="AA44" s="10">
        <f>INDEX(LINEST(L25:L44,M25:T44,TRUE,TRUE),1,9)*4</f>
        <v/>
      </c>
      <c r="AB44" s="9">
        <f>INDEX(LINEST(L25:L44,M25:T44,TRUE,TRUE),1,8)</f>
        <v/>
      </c>
      <c r="AC44" s="9">
        <f>INDEX(LINEST(L25:L44,M25:T44,TRUE,TRUE),1,7)</f>
        <v/>
      </c>
      <c r="AD44" s="9">
        <f>INDEX(LINEST(L25:L44,M25:T44,TRUE,TRUE),1,6)</f>
        <v/>
      </c>
      <c r="AE44" s="9">
        <f>INDEX(LINEST(L25:L44,M25:T44,TRUE,TRUE),1,5)</f>
        <v/>
      </c>
      <c r="AF44" s="9">
        <f>INDEX(LINEST(L25:L44,M25:T44,TRUE,TRUE),1,4)</f>
        <v/>
      </c>
      <c r="AG44" s="9">
        <f>INDEX(LINEST(L25:L44,M25:T44,TRUE,TRUE),1,3)</f>
        <v/>
      </c>
      <c r="AH44" s="9">
        <f>INDEX(LINEST(L25:L44,M25:T44,TRUE,TRUE),1,2)</f>
        <v/>
      </c>
      <c r="AI44" s="9">
        <f>INDEX(LINEST(L25:L44,M25:T44,TRUE,TRUE),1,1)</f>
        <v/>
      </c>
      <c r="AJ44" s="10">
        <f>INDEX(LINEST(L25:L44,M25:T44,TRUE,TRUE),3,1)</f>
        <v/>
      </c>
      <c r="AK44" s="9">
        <f>AA43/4+AB43*M44+AC43*N44+AD43*O44+AE43*P44+AF43*Q44+AG43*R44+AH43*S44+AI43*T44</f>
        <v/>
      </c>
      <c r="AL44" s="9">
        <f>AVERAGE(L24:L43)</f>
        <v/>
      </c>
    </row>
    <row r="45">
      <c r="A45" s="7" t="n">
        <v>41547</v>
      </c>
      <c r="B45" s="8" t="n">
        <v>1326.5</v>
      </c>
      <c r="C45" s="8" t="n">
        <v>2.19</v>
      </c>
      <c r="D45" s="8" t="n">
        <v>0.45</v>
      </c>
      <c r="E45" s="8" t="n">
        <v>80.220001</v>
      </c>
      <c r="F45" s="8" t="n">
        <v>102.36</v>
      </c>
      <c r="G45" s="8" t="n">
        <v>16.6</v>
      </c>
      <c r="H45" s="8" t="n">
        <v>80.199997</v>
      </c>
      <c r="I45" s="8" t="n">
        <v>1681.550049</v>
      </c>
      <c r="J45" s="8" t="n">
        <v>75.844917</v>
      </c>
      <c r="L45" s="9">
        <f>LN(B45/B44)</f>
        <v/>
      </c>
      <c r="M45" s="9">
        <f>$M$1*(C45-C44)</f>
        <v/>
      </c>
      <c r="N45" s="9">
        <f>$N$1*(D45-D44)</f>
        <v/>
      </c>
      <c r="O45" s="9">
        <f>$O$1*LN(E45/E44)</f>
        <v/>
      </c>
      <c r="P45" s="9">
        <f>$P$1*LN(F45/F44)</f>
        <v/>
      </c>
      <c r="Q45" s="9">
        <f>$Q$1*(G45-G44)</f>
        <v/>
      </c>
      <c r="R45" s="9">
        <f>$R$1*(H45-H44)</f>
        <v/>
      </c>
      <c r="S45" s="9">
        <f>$S$1*LN(I45/I44)</f>
        <v/>
      </c>
      <c r="T45" s="9">
        <f>$T$1*LN(J45/J44)</f>
        <v/>
      </c>
      <c r="U45" s="9">
        <f>$W$12+$W$4*M45+$W$5*N45+$W$6*O45+$W$7*P45+$W$8*Q45+$W$9*R45+$W$10*S45+$W$11*T45</f>
        <v/>
      </c>
      <c r="AA45" s="10">
        <f>INDEX(LINEST(L26:L45,M26:T45,TRUE,TRUE),1,9)*4</f>
        <v/>
      </c>
      <c r="AB45" s="9">
        <f>INDEX(LINEST(L26:L45,M26:T45,TRUE,TRUE),1,8)</f>
        <v/>
      </c>
      <c r="AC45" s="9">
        <f>INDEX(LINEST(L26:L45,M26:T45,TRUE,TRUE),1,7)</f>
        <v/>
      </c>
      <c r="AD45" s="9">
        <f>INDEX(LINEST(L26:L45,M26:T45,TRUE,TRUE),1,6)</f>
        <v/>
      </c>
      <c r="AE45" s="9">
        <f>INDEX(LINEST(L26:L45,M26:T45,TRUE,TRUE),1,5)</f>
        <v/>
      </c>
      <c r="AF45" s="9">
        <f>INDEX(LINEST(L26:L45,M26:T45,TRUE,TRUE),1,4)</f>
        <v/>
      </c>
      <c r="AG45" s="9">
        <f>INDEX(LINEST(L26:L45,M26:T45,TRUE,TRUE),1,3)</f>
        <v/>
      </c>
      <c r="AH45" s="9">
        <f>INDEX(LINEST(L26:L45,M26:T45,TRUE,TRUE),1,2)</f>
        <v/>
      </c>
      <c r="AI45" s="9">
        <f>INDEX(LINEST(L26:L45,M26:T45,TRUE,TRUE),1,1)</f>
        <v/>
      </c>
      <c r="AJ45" s="10">
        <f>INDEX(LINEST(L26:L45,M26:T45,TRUE,TRUE),3,1)</f>
        <v/>
      </c>
      <c r="AK45" s="9">
        <f>AA44/4+AB44*M45+AC44*N45+AD44*O45+AE44*P45+AF44*Q45+AG44*R45+AH44*S45+AI44*T45</f>
        <v/>
      </c>
      <c r="AL45" s="9">
        <f>AVERAGE(L25:L44)</f>
        <v/>
      </c>
    </row>
    <row r="46">
      <c r="A46" s="7" t="n">
        <v>41639</v>
      </c>
      <c r="B46" s="8" t="n">
        <v>1204.5</v>
      </c>
      <c r="C46" s="8" t="n">
        <v>2.24</v>
      </c>
      <c r="D46" s="8" t="n">
        <v>0.8</v>
      </c>
      <c r="E46" s="8" t="n">
        <v>80.040001</v>
      </c>
      <c r="F46" s="8" t="n">
        <v>98.17</v>
      </c>
      <c r="G46" s="8" t="n">
        <v>13.72</v>
      </c>
      <c r="H46" s="8" t="n">
        <v>73.5</v>
      </c>
      <c r="I46" s="8" t="n">
        <v>1848.359985</v>
      </c>
      <c r="J46" s="8" t="n">
        <v>75.860016</v>
      </c>
      <c r="L46" s="9">
        <f>LN(B46/B45)</f>
        <v/>
      </c>
      <c r="M46" s="9">
        <f>$M$1*(C46-C45)</f>
        <v/>
      </c>
      <c r="N46" s="9">
        <f>$N$1*(D46-D45)</f>
        <v/>
      </c>
      <c r="O46" s="9">
        <f>$O$1*LN(E46/E45)</f>
        <v/>
      </c>
      <c r="P46" s="9">
        <f>$P$1*LN(F46/F45)</f>
        <v/>
      </c>
      <c r="Q46" s="9">
        <f>$Q$1*(G46-G45)</f>
        <v/>
      </c>
      <c r="R46" s="9">
        <f>$R$1*(H46-H45)</f>
        <v/>
      </c>
      <c r="S46" s="9">
        <f>$S$1*LN(I46/I45)</f>
        <v/>
      </c>
      <c r="T46" s="9">
        <f>$T$1*LN(J46/J45)</f>
        <v/>
      </c>
      <c r="U46" s="9">
        <f>$W$12+$W$4*M46+$W$5*N46+$W$6*O46+$W$7*P46+$W$8*Q46+$W$9*R46+$W$10*S46+$W$11*T46</f>
        <v/>
      </c>
      <c r="AA46" s="10">
        <f>INDEX(LINEST(L27:L46,M27:T46,TRUE,TRUE),1,9)*4</f>
        <v/>
      </c>
      <c r="AB46" s="9">
        <f>INDEX(LINEST(L27:L46,M27:T46,TRUE,TRUE),1,8)</f>
        <v/>
      </c>
      <c r="AC46" s="9">
        <f>INDEX(LINEST(L27:L46,M27:T46,TRUE,TRUE),1,7)</f>
        <v/>
      </c>
      <c r="AD46" s="9">
        <f>INDEX(LINEST(L27:L46,M27:T46,TRUE,TRUE),1,6)</f>
        <v/>
      </c>
      <c r="AE46" s="9">
        <f>INDEX(LINEST(L27:L46,M27:T46,TRUE,TRUE),1,5)</f>
        <v/>
      </c>
      <c r="AF46" s="9">
        <f>INDEX(LINEST(L27:L46,M27:T46,TRUE,TRUE),1,4)</f>
        <v/>
      </c>
      <c r="AG46" s="9">
        <f>INDEX(LINEST(L27:L46,M27:T46,TRUE,TRUE),1,3)</f>
        <v/>
      </c>
      <c r="AH46" s="9">
        <f>INDEX(LINEST(L27:L46,M27:T46,TRUE,TRUE),1,2)</f>
        <v/>
      </c>
      <c r="AI46" s="9">
        <f>INDEX(LINEST(L27:L46,M27:T46,TRUE,TRUE),1,1)</f>
        <v/>
      </c>
      <c r="AJ46" s="10">
        <f>INDEX(LINEST(L27:L46,M27:T46,TRUE,TRUE),3,1)</f>
        <v/>
      </c>
      <c r="AK46" s="9">
        <f>AA45/4+AB45*M46+AC45*N46+AD45*O46+AE45*P46+AF45*Q46+AG45*R46+AH45*S46+AI45*T46</f>
        <v/>
      </c>
      <c r="AL46" s="9">
        <f>AVERAGE(L26:L45)</f>
        <v/>
      </c>
    </row>
    <row r="47">
      <c r="A47" s="7" t="n">
        <v>41729</v>
      </c>
      <c r="B47" s="8" t="n">
        <v>1291.75</v>
      </c>
      <c r="C47" s="8" t="n">
        <v>2.13</v>
      </c>
      <c r="D47" s="8" t="n">
        <v>0.6</v>
      </c>
      <c r="E47" s="8" t="n">
        <v>80.099998</v>
      </c>
      <c r="F47" s="8" t="n">
        <v>101.57</v>
      </c>
      <c r="G47" s="8" t="n">
        <v>13.88</v>
      </c>
      <c r="H47" s="8" t="n">
        <v>61.799999</v>
      </c>
      <c r="I47" s="8" t="n">
        <v>1872.339966</v>
      </c>
      <c r="J47" s="8" t="n">
        <v>77.20442199999999</v>
      </c>
      <c r="L47" s="9">
        <f>LN(B47/B46)</f>
        <v/>
      </c>
      <c r="M47" s="9">
        <f>$M$1*(C47-C46)</f>
        <v/>
      </c>
      <c r="N47" s="9">
        <f>$N$1*(D47-D46)</f>
        <v/>
      </c>
      <c r="O47" s="9">
        <f>$O$1*LN(E47/E46)</f>
        <v/>
      </c>
      <c r="P47" s="9">
        <f>$P$1*LN(F47/F46)</f>
        <v/>
      </c>
      <c r="Q47" s="9">
        <f>$Q$1*(G47-G46)</f>
        <v/>
      </c>
      <c r="R47" s="9">
        <f>$R$1*(H47-H46)</f>
        <v/>
      </c>
      <c r="S47" s="9">
        <f>$S$1*LN(I47/I46)</f>
        <v/>
      </c>
      <c r="T47" s="9">
        <f>$T$1*LN(J47/J46)</f>
        <v/>
      </c>
      <c r="U47" s="9">
        <f>$W$12+$W$4*M47+$W$5*N47+$W$6*O47+$W$7*P47+$W$8*Q47+$W$9*R47+$W$10*S47+$W$11*T47</f>
        <v/>
      </c>
      <c r="AA47" s="10">
        <f>INDEX(LINEST(L28:L47,M28:T47,TRUE,TRUE),1,9)*4</f>
        <v/>
      </c>
      <c r="AB47" s="9">
        <f>INDEX(LINEST(L28:L47,M28:T47,TRUE,TRUE),1,8)</f>
        <v/>
      </c>
      <c r="AC47" s="9">
        <f>INDEX(LINEST(L28:L47,M28:T47,TRUE,TRUE),1,7)</f>
        <v/>
      </c>
      <c r="AD47" s="9">
        <f>INDEX(LINEST(L28:L47,M28:T47,TRUE,TRUE),1,6)</f>
        <v/>
      </c>
      <c r="AE47" s="9">
        <f>INDEX(LINEST(L28:L47,M28:T47,TRUE,TRUE),1,5)</f>
        <v/>
      </c>
      <c r="AF47" s="9">
        <f>INDEX(LINEST(L28:L47,M28:T47,TRUE,TRUE),1,4)</f>
        <v/>
      </c>
      <c r="AG47" s="9">
        <f>INDEX(LINEST(L28:L47,M28:T47,TRUE,TRUE),1,3)</f>
        <v/>
      </c>
      <c r="AH47" s="9">
        <f>INDEX(LINEST(L28:L47,M28:T47,TRUE,TRUE),1,2)</f>
        <v/>
      </c>
      <c r="AI47" s="9">
        <f>INDEX(LINEST(L28:L47,M28:T47,TRUE,TRUE),1,1)</f>
        <v/>
      </c>
      <c r="AJ47" s="10">
        <f>INDEX(LINEST(L28:L47,M28:T47,TRUE,TRUE),3,1)</f>
        <v/>
      </c>
      <c r="AK47" s="9">
        <f>AA46/4+AB46*M47+AC46*N47+AD46*O47+AE46*P47+AF46*Q47+AG46*R47+AH46*S47+AI46*T47</f>
        <v/>
      </c>
      <c r="AL47" s="9">
        <f>AVERAGE(L27:L46)</f>
        <v/>
      </c>
    </row>
    <row r="48">
      <c r="A48" s="7" t="n">
        <v>41820</v>
      </c>
      <c r="B48" s="8" t="n">
        <v>1315</v>
      </c>
      <c r="C48" s="8" t="n">
        <v>2.26</v>
      </c>
      <c r="D48" s="8" t="n">
        <v>0.27</v>
      </c>
      <c r="E48" s="8" t="n">
        <v>79.779999</v>
      </c>
      <c r="F48" s="8" t="n">
        <v>106.07</v>
      </c>
      <c r="G48" s="8" t="n">
        <v>11.57</v>
      </c>
      <c r="H48" s="8" t="n">
        <v>52.700001</v>
      </c>
      <c r="I48" s="8" t="n">
        <v>1960.22998</v>
      </c>
      <c r="J48" s="8" t="n">
        <v>78.71122699999999</v>
      </c>
      <c r="L48" s="9">
        <f>LN(B48/B47)</f>
        <v/>
      </c>
      <c r="M48" s="9">
        <f>$M$1*(C48-C47)</f>
        <v/>
      </c>
      <c r="N48" s="9">
        <f>$N$1*(D48-D47)</f>
        <v/>
      </c>
      <c r="O48" s="9">
        <f>$O$1*LN(E48/E47)</f>
        <v/>
      </c>
      <c r="P48" s="9">
        <f>$P$1*LN(F48/F47)</f>
        <v/>
      </c>
      <c r="Q48" s="9">
        <f>$Q$1*(G48-G47)</f>
        <v/>
      </c>
      <c r="R48" s="9">
        <f>$R$1*(H48-H47)</f>
        <v/>
      </c>
      <c r="S48" s="9">
        <f>$S$1*LN(I48/I47)</f>
        <v/>
      </c>
      <c r="T48" s="9">
        <f>$T$1*LN(J48/J47)</f>
        <v/>
      </c>
      <c r="U48" s="9">
        <f>$W$12+$W$4*M48+$W$5*N48+$W$6*O48+$W$7*P48+$W$8*Q48+$W$9*R48+$W$10*S48+$W$11*T48</f>
        <v/>
      </c>
      <c r="AA48" s="10">
        <f>INDEX(LINEST(L29:L48,M29:T48,TRUE,TRUE),1,9)*4</f>
        <v/>
      </c>
      <c r="AB48" s="9">
        <f>INDEX(LINEST(L29:L48,M29:T48,TRUE,TRUE),1,8)</f>
        <v/>
      </c>
      <c r="AC48" s="9">
        <f>INDEX(LINEST(L29:L48,M29:T48,TRUE,TRUE),1,7)</f>
        <v/>
      </c>
      <c r="AD48" s="9">
        <f>INDEX(LINEST(L29:L48,M29:T48,TRUE,TRUE),1,6)</f>
        <v/>
      </c>
      <c r="AE48" s="9">
        <f>INDEX(LINEST(L29:L48,M29:T48,TRUE,TRUE),1,5)</f>
        <v/>
      </c>
      <c r="AF48" s="9">
        <f>INDEX(LINEST(L29:L48,M29:T48,TRUE,TRUE),1,4)</f>
        <v/>
      </c>
      <c r="AG48" s="9">
        <f>INDEX(LINEST(L29:L48,M29:T48,TRUE,TRUE),1,3)</f>
        <v/>
      </c>
      <c r="AH48" s="9">
        <f>INDEX(LINEST(L29:L48,M29:T48,TRUE,TRUE),1,2)</f>
        <v/>
      </c>
      <c r="AI48" s="9">
        <f>INDEX(LINEST(L29:L48,M29:T48,TRUE,TRUE),1,1)</f>
        <v/>
      </c>
      <c r="AJ48" s="10">
        <f>INDEX(LINEST(L29:L48,M29:T48,TRUE,TRUE),3,1)</f>
        <v/>
      </c>
      <c r="AK48" s="9">
        <f>AA47/4+AB47*M48+AC47*N48+AD47*O48+AE47*P48+AF47*Q48+AG47*R48+AH47*S48+AI47*T48</f>
        <v/>
      </c>
      <c r="AL48" s="9">
        <f>AVERAGE(L28:L47)</f>
        <v/>
      </c>
    </row>
    <row r="49">
      <c r="A49" s="7" t="n">
        <v>41912</v>
      </c>
      <c r="B49" s="8" t="n">
        <v>1216.5</v>
      </c>
      <c r="C49" s="8" t="n">
        <v>1.97</v>
      </c>
      <c r="D49" s="8" t="n">
        <v>0.55</v>
      </c>
      <c r="E49" s="8" t="n">
        <v>85.94000200000001</v>
      </c>
      <c r="F49" s="8" t="n">
        <v>91.17</v>
      </c>
      <c r="G49" s="8" t="n">
        <v>16.31</v>
      </c>
      <c r="H49" s="8" t="n">
        <v>64.199997</v>
      </c>
      <c r="I49" s="8" t="n">
        <v>1972.290039</v>
      </c>
      <c r="J49" s="8" t="n">
        <v>78.928123</v>
      </c>
      <c r="L49" s="9">
        <f>LN(B49/B48)</f>
        <v/>
      </c>
      <c r="M49" s="9">
        <f>$M$1*(C49-C48)</f>
        <v/>
      </c>
      <c r="N49" s="9">
        <f>$N$1*(D49-D48)</f>
        <v/>
      </c>
      <c r="O49" s="9">
        <f>$O$1*LN(E49/E48)</f>
        <v/>
      </c>
      <c r="P49" s="9">
        <f>$P$1*LN(F49/F48)</f>
        <v/>
      </c>
      <c r="Q49" s="9">
        <f>$Q$1*(G49-G48)</f>
        <v/>
      </c>
      <c r="R49" s="9">
        <f>$R$1*(H49-H48)</f>
        <v/>
      </c>
      <c r="S49" s="9">
        <f>$S$1*LN(I49/I48)</f>
        <v/>
      </c>
      <c r="T49" s="9">
        <f>$T$1*LN(J49/J48)</f>
        <v/>
      </c>
      <c r="U49" s="9">
        <f>$W$12+$W$4*M49+$W$5*N49+$W$6*O49+$W$7*P49+$W$8*Q49+$W$9*R49+$W$10*S49+$W$11*T49</f>
        <v/>
      </c>
      <c r="AA49" s="10">
        <f>INDEX(LINEST(L30:L49,M30:T49,TRUE,TRUE),1,9)*4</f>
        <v/>
      </c>
      <c r="AB49" s="9">
        <f>INDEX(LINEST(L30:L49,M30:T49,TRUE,TRUE),1,8)</f>
        <v/>
      </c>
      <c r="AC49" s="9">
        <f>INDEX(LINEST(L30:L49,M30:T49,TRUE,TRUE),1,7)</f>
        <v/>
      </c>
      <c r="AD49" s="9">
        <f>INDEX(LINEST(L30:L49,M30:T49,TRUE,TRUE),1,6)</f>
        <v/>
      </c>
      <c r="AE49" s="9">
        <f>INDEX(LINEST(L30:L49,M30:T49,TRUE,TRUE),1,5)</f>
        <v/>
      </c>
      <c r="AF49" s="9">
        <f>INDEX(LINEST(L30:L49,M30:T49,TRUE,TRUE),1,4)</f>
        <v/>
      </c>
      <c r="AG49" s="9">
        <f>INDEX(LINEST(L30:L49,M30:T49,TRUE,TRUE),1,3)</f>
        <v/>
      </c>
      <c r="AH49" s="9">
        <f>INDEX(LINEST(L30:L49,M30:T49,TRUE,TRUE),1,2)</f>
        <v/>
      </c>
      <c r="AI49" s="9">
        <f>INDEX(LINEST(L30:L49,M30:T49,TRUE,TRUE),1,1)</f>
        <v/>
      </c>
      <c r="AJ49" s="10">
        <f>INDEX(LINEST(L30:L49,M30:T49,TRUE,TRUE),3,1)</f>
        <v/>
      </c>
      <c r="AK49" s="9">
        <f>AA48/4+AB48*M49+AC48*N49+AD48*O49+AE48*P49+AF48*Q49+AG48*R49+AH48*S49+AI48*T49</f>
        <v/>
      </c>
      <c r="AL49" s="9">
        <f>AVERAGE(L29:L48)</f>
        <v/>
      </c>
    </row>
    <row r="50">
      <c r="A50" s="7" t="n">
        <v>42004</v>
      </c>
      <c r="B50" s="8" t="n">
        <v>1206</v>
      </c>
      <c r="C50" s="8" t="n">
        <v>1.68</v>
      </c>
      <c r="D50" s="8" t="n">
        <v>0.49</v>
      </c>
      <c r="E50" s="8" t="n">
        <v>90.269997</v>
      </c>
      <c r="F50" s="8" t="n">
        <v>53.45</v>
      </c>
      <c r="G50" s="8" t="n">
        <v>19.2</v>
      </c>
      <c r="H50" s="8" t="n">
        <v>68.900002</v>
      </c>
      <c r="I50" s="8" t="n">
        <v>2058.899902</v>
      </c>
      <c r="J50" s="8" t="n">
        <v>80.41057600000001</v>
      </c>
      <c r="L50" s="9">
        <f>LN(B50/B49)</f>
        <v/>
      </c>
      <c r="M50" s="9">
        <f>$M$1*(C50-C49)</f>
        <v/>
      </c>
      <c r="N50" s="9">
        <f>$N$1*(D50-D49)</f>
        <v/>
      </c>
      <c r="O50" s="9">
        <f>$O$1*LN(E50/E49)</f>
        <v/>
      </c>
      <c r="P50" s="9">
        <f>$P$1*LN(F50/F49)</f>
        <v/>
      </c>
      <c r="Q50" s="9">
        <f>$Q$1*(G50-G49)</f>
        <v/>
      </c>
      <c r="R50" s="9">
        <f>$R$1*(H50-H49)</f>
        <v/>
      </c>
      <c r="S50" s="9">
        <f>$S$1*LN(I50/I49)</f>
        <v/>
      </c>
      <c r="T50" s="9">
        <f>$T$1*LN(J50/J49)</f>
        <v/>
      </c>
      <c r="U50" s="9">
        <f>$W$12+$W$4*M50+$W$5*N50+$W$6*O50+$W$7*P50+$W$8*Q50+$W$9*R50+$W$10*S50+$W$11*T50</f>
        <v/>
      </c>
      <c r="AA50" s="10">
        <f>INDEX(LINEST(L31:L50,M31:T50,TRUE,TRUE),1,9)*4</f>
        <v/>
      </c>
      <c r="AB50" s="9">
        <f>INDEX(LINEST(L31:L50,M31:T50,TRUE,TRUE),1,8)</f>
        <v/>
      </c>
      <c r="AC50" s="9">
        <f>INDEX(LINEST(L31:L50,M31:T50,TRUE,TRUE),1,7)</f>
        <v/>
      </c>
      <c r="AD50" s="9">
        <f>INDEX(LINEST(L31:L50,M31:T50,TRUE,TRUE),1,6)</f>
        <v/>
      </c>
      <c r="AE50" s="9">
        <f>INDEX(LINEST(L31:L50,M31:T50,TRUE,TRUE),1,5)</f>
        <v/>
      </c>
      <c r="AF50" s="9">
        <f>INDEX(LINEST(L31:L50,M31:T50,TRUE,TRUE),1,4)</f>
        <v/>
      </c>
      <c r="AG50" s="9">
        <f>INDEX(LINEST(L31:L50,M31:T50,TRUE,TRUE),1,3)</f>
        <v/>
      </c>
      <c r="AH50" s="9">
        <f>INDEX(LINEST(L31:L50,M31:T50,TRUE,TRUE),1,2)</f>
        <v/>
      </c>
      <c r="AI50" s="9">
        <f>INDEX(LINEST(L31:L50,M31:T50,TRUE,TRUE),1,1)</f>
        <v/>
      </c>
      <c r="AJ50" s="10">
        <f>INDEX(LINEST(L31:L50,M31:T50,TRUE,TRUE),3,1)</f>
        <v/>
      </c>
      <c r="AK50" s="9">
        <f>AA49/4+AB49*M50+AC49*N50+AD49*O50+AE49*P50+AF49*Q50+AG49*R50+AH49*S50+AI49*T50</f>
        <v/>
      </c>
      <c r="AL50" s="9">
        <f>AVERAGE(L30:L49)</f>
        <v/>
      </c>
    </row>
    <row r="51">
      <c r="A51" s="7" t="n">
        <v>42094</v>
      </c>
      <c r="B51" s="8" t="n">
        <v>1187</v>
      </c>
      <c r="C51" s="8" t="n">
        <v>1.76</v>
      </c>
      <c r="D51" s="8" t="n">
        <v>0.18</v>
      </c>
      <c r="E51" s="8" t="n">
        <v>98.360001</v>
      </c>
      <c r="F51" s="8" t="n">
        <v>47.72</v>
      </c>
      <c r="G51" s="8" t="n">
        <v>15.29</v>
      </c>
      <c r="H51" s="8" t="n">
        <v>86.099998</v>
      </c>
      <c r="I51" s="8" t="n">
        <v>2067.889893</v>
      </c>
      <c r="J51" s="8" t="n">
        <v>81.63131</v>
      </c>
      <c r="L51" s="9">
        <f>LN(B51/B50)</f>
        <v/>
      </c>
      <c r="M51" s="9">
        <f>$M$1*(C51-C50)</f>
        <v/>
      </c>
      <c r="N51" s="9">
        <f>$N$1*(D51-D50)</f>
        <v/>
      </c>
      <c r="O51" s="9">
        <f>$O$1*LN(E51/E50)</f>
        <v/>
      </c>
      <c r="P51" s="9">
        <f>$P$1*LN(F51/F50)</f>
        <v/>
      </c>
      <c r="Q51" s="9">
        <f>$Q$1*(G51-G50)</f>
        <v/>
      </c>
      <c r="R51" s="9">
        <f>$R$1*(H51-H50)</f>
        <v/>
      </c>
      <c r="S51" s="9">
        <f>$S$1*LN(I51/I50)</f>
        <v/>
      </c>
      <c r="T51" s="9">
        <f>$T$1*LN(J51/J50)</f>
        <v/>
      </c>
      <c r="U51" s="9">
        <f>$W$12+$W$4*M51+$W$5*N51+$W$6*O51+$W$7*P51+$W$8*Q51+$W$9*R51+$W$10*S51+$W$11*T51</f>
        <v/>
      </c>
      <c r="AA51" s="10">
        <f>INDEX(LINEST(L32:L51,M32:T51,TRUE,TRUE),1,9)*4</f>
        <v/>
      </c>
      <c r="AB51" s="9">
        <f>INDEX(LINEST(L32:L51,M32:T51,TRUE,TRUE),1,8)</f>
        <v/>
      </c>
      <c r="AC51" s="9">
        <f>INDEX(LINEST(L32:L51,M32:T51,TRUE,TRUE),1,7)</f>
        <v/>
      </c>
      <c r="AD51" s="9">
        <f>INDEX(LINEST(L32:L51,M32:T51,TRUE,TRUE),1,6)</f>
        <v/>
      </c>
      <c r="AE51" s="9">
        <f>INDEX(LINEST(L32:L51,M32:T51,TRUE,TRUE),1,5)</f>
        <v/>
      </c>
      <c r="AF51" s="9">
        <f>INDEX(LINEST(L32:L51,M32:T51,TRUE,TRUE),1,4)</f>
        <v/>
      </c>
      <c r="AG51" s="9">
        <f>INDEX(LINEST(L32:L51,M32:T51,TRUE,TRUE),1,3)</f>
        <v/>
      </c>
      <c r="AH51" s="9">
        <f>INDEX(LINEST(L32:L51,M32:T51,TRUE,TRUE),1,2)</f>
        <v/>
      </c>
      <c r="AI51" s="9">
        <f>INDEX(LINEST(L32:L51,M32:T51,TRUE,TRUE),1,1)</f>
        <v/>
      </c>
      <c r="AJ51" s="10">
        <f>INDEX(LINEST(L32:L51,M32:T51,TRUE,TRUE),3,1)</f>
        <v/>
      </c>
      <c r="AK51" s="9">
        <f>AA50/4+AB50*M51+AC50*N51+AD50*O51+AE50*P51+AF50*Q51+AG50*R51+AH50*S51+AI50*T51</f>
        <v/>
      </c>
      <c r="AL51" s="9">
        <f>AVERAGE(L31:L50)</f>
        <v/>
      </c>
    </row>
    <row r="52">
      <c r="A52" s="7" t="n">
        <v>42185</v>
      </c>
      <c r="B52" s="8" t="n">
        <v>1171</v>
      </c>
      <c r="C52" s="8" t="n">
        <v>1.87</v>
      </c>
      <c r="D52" s="8" t="n">
        <v>0.48</v>
      </c>
      <c r="E52" s="8" t="n">
        <v>95.489998</v>
      </c>
      <c r="F52" s="8" t="n">
        <v>59.48</v>
      </c>
      <c r="G52" s="8" t="n">
        <v>18.23</v>
      </c>
      <c r="H52" s="8" t="n">
        <v>92.300003</v>
      </c>
      <c r="I52" s="8" t="n">
        <v>2063.110107</v>
      </c>
      <c r="J52" s="8" t="n">
        <v>80.13967100000001</v>
      </c>
      <c r="L52" s="9">
        <f>LN(B52/B51)</f>
        <v/>
      </c>
      <c r="M52" s="9">
        <f>$M$1*(C52-C51)</f>
        <v/>
      </c>
      <c r="N52" s="9">
        <f>$N$1*(D52-D51)</f>
        <v/>
      </c>
      <c r="O52" s="9">
        <f>$O$1*LN(E52/E51)</f>
        <v/>
      </c>
      <c r="P52" s="9">
        <f>$P$1*LN(F52/F51)</f>
        <v/>
      </c>
      <c r="Q52" s="9">
        <f>$Q$1*(G52-G51)</f>
        <v/>
      </c>
      <c r="R52" s="9">
        <f>$R$1*(H52-H51)</f>
        <v/>
      </c>
      <c r="S52" s="9">
        <f>$S$1*LN(I52/I51)</f>
        <v/>
      </c>
      <c r="T52" s="9">
        <f>$T$1*LN(J52/J51)</f>
        <v/>
      </c>
      <c r="U52" s="9">
        <f>$W$12+$W$4*M52+$W$5*N52+$W$6*O52+$W$7*P52+$W$8*Q52+$W$9*R52+$W$10*S52+$W$11*T52</f>
        <v/>
      </c>
      <c r="AA52" s="10">
        <f>INDEX(LINEST(L33:L52,M33:T52,TRUE,TRUE),1,9)*4</f>
        <v/>
      </c>
      <c r="AB52" s="9">
        <f>INDEX(LINEST(L33:L52,M33:T52,TRUE,TRUE),1,8)</f>
        <v/>
      </c>
      <c r="AC52" s="9">
        <f>INDEX(LINEST(L33:L52,M33:T52,TRUE,TRUE),1,7)</f>
        <v/>
      </c>
      <c r="AD52" s="9">
        <f>INDEX(LINEST(L33:L52,M33:T52,TRUE,TRUE),1,6)</f>
        <v/>
      </c>
      <c r="AE52" s="9">
        <f>INDEX(LINEST(L33:L52,M33:T52,TRUE,TRUE),1,5)</f>
        <v/>
      </c>
      <c r="AF52" s="9">
        <f>INDEX(LINEST(L33:L52,M33:T52,TRUE,TRUE),1,4)</f>
        <v/>
      </c>
      <c r="AG52" s="9">
        <f>INDEX(LINEST(L33:L52,M33:T52,TRUE,TRUE),1,3)</f>
        <v/>
      </c>
      <c r="AH52" s="9">
        <f>INDEX(LINEST(L33:L52,M33:T52,TRUE,TRUE),1,2)</f>
        <v/>
      </c>
      <c r="AI52" s="9">
        <f>INDEX(LINEST(L33:L52,M33:T52,TRUE,TRUE),1,1)</f>
        <v/>
      </c>
      <c r="AJ52" s="10">
        <f>INDEX(LINEST(L33:L52,M33:T52,TRUE,TRUE),3,1)</f>
        <v/>
      </c>
      <c r="AK52" s="9">
        <f>AA51/4+AB51*M52+AC51*N52+AD51*O52+AE51*P52+AF51*Q52+AG51*R52+AH51*S52+AI51*T52</f>
        <v/>
      </c>
      <c r="AL52" s="9">
        <f>AVERAGE(L32:L51)</f>
        <v/>
      </c>
    </row>
    <row r="53">
      <c r="A53" s="7" t="n">
        <v>42277</v>
      </c>
      <c r="B53" s="8" t="n">
        <v>1114</v>
      </c>
      <c r="C53" s="8" t="n">
        <v>1.41</v>
      </c>
      <c r="D53" s="8" t="n">
        <v>0.65</v>
      </c>
      <c r="E53" s="8" t="n">
        <v>96.349998</v>
      </c>
      <c r="F53" s="8" t="n">
        <v>45.06</v>
      </c>
      <c r="G53" s="8" t="n">
        <v>24.5</v>
      </c>
      <c r="H53" s="8" t="n">
        <v>81.599998</v>
      </c>
      <c r="I53" s="8" t="n">
        <v>1920.030029</v>
      </c>
      <c r="J53" s="8" t="n">
        <v>81.212799</v>
      </c>
      <c r="L53" s="9">
        <f>LN(B53/B52)</f>
        <v/>
      </c>
      <c r="M53" s="9">
        <f>$M$1*(C53-C52)</f>
        <v/>
      </c>
      <c r="N53" s="9">
        <f>$N$1*(D53-D52)</f>
        <v/>
      </c>
      <c r="O53" s="9">
        <f>$O$1*LN(E53/E52)</f>
        <v/>
      </c>
      <c r="P53" s="9">
        <f>$P$1*LN(F53/F52)</f>
        <v/>
      </c>
      <c r="Q53" s="9">
        <f>$Q$1*(G53-G52)</f>
        <v/>
      </c>
      <c r="R53" s="9">
        <f>$R$1*(H53-H52)</f>
        <v/>
      </c>
      <c r="S53" s="9">
        <f>$S$1*LN(I53/I52)</f>
        <v/>
      </c>
      <c r="T53" s="9">
        <f>$T$1*LN(J53/J52)</f>
        <v/>
      </c>
      <c r="U53" s="9">
        <f>$W$12+$W$4*M53+$W$5*N53+$W$6*O53+$W$7*P53+$W$8*Q53+$W$9*R53+$W$10*S53+$W$11*T53</f>
        <v/>
      </c>
      <c r="AA53" s="10">
        <f>INDEX(LINEST(L34:L53,M34:T53,TRUE,TRUE),1,9)*4</f>
        <v/>
      </c>
      <c r="AB53" s="9">
        <f>INDEX(LINEST(L34:L53,M34:T53,TRUE,TRUE),1,8)</f>
        <v/>
      </c>
      <c r="AC53" s="9">
        <f>INDEX(LINEST(L34:L53,M34:T53,TRUE,TRUE),1,7)</f>
        <v/>
      </c>
      <c r="AD53" s="9">
        <f>INDEX(LINEST(L34:L53,M34:T53,TRUE,TRUE),1,6)</f>
        <v/>
      </c>
      <c r="AE53" s="9">
        <f>INDEX(LINEST(L34:L53,M34:T53,TRUE,TRUE),1,5)</f>
        <v/>
      </c>
      <c r="AF53" s="9">
        <f>INDEX(LINEST(L34:L53,M34:T53,TRUE,TRUE),1,4)</f>
        <v/>
      </c>
      <c r="AG53" s="9">
        <f>INDEX(LINEST(L34:L53,M34:T53,TRUE,TRUE),1,3)</f>
        <v/>
      </c>
      <c r="AH53" s="9">
        <f>INDEX(LINEST(L34:L53,M34:T53,TRUE,TRUE),1,2)</f>
        <v/>
      </c>
      <c r="AI53" s="9">
        <f>INDEX(LINEST(L34:L53,M34:T53,TRUE,TRUE),1,1)</f>
        <v/>
      </c>
      <c r="AJ53" s="10">
        <f>INDEX(LINEST(L34:L53,M34:T53,TRUE,TRUE),3,1)</f>
        <v/>
      </c>
      <c r="AK53" s="9">
        <f>AA52/4+AB52*M53+AC52*N53+AD52*O53+AE52*P53+AF52*Q53+AG52*R53+AH52*S53+AI52*T53</f>
        <v/>
      </c>
      <c r="AL53" s="9">
        <f>AVERAGE(L33:L52)</f>
        <v/>
      </c>
    </row>
    <row r="54">
      <c r="A54" s="7" t="n">
        <v>42369</v>
      </c>
      <c r="B54" s="8" t="n">
        <v>1060</v>
      </c>
      <c r="C54" s="8" t="n">
        <v>1.54</v>
      </c>
      <c r="D54" s="8" t="n">
        <v>0.73</v>
      </c>
      <c r="E54" s="8" t="n">
        <v>98.629997</v>
      </c>
      <c r="F54" s="8" t="n">
        <v>37.13</v>
      </c>
      <c r="G54" s="8" t="n">
        <v>18.21</v>
      </c>
      <c r="H54" s="8" t="n">
        <v>67.800003</v>
      </c>
      <c r="I54" s="8" t="n">
        <v>2043.939941</v>
      </c>
      <c r="J54" s="8" t="n">
        <v>80.797134</v>
      </c>
      <c r="L54" s="9">
        <f>LN(B54/B53)</f>
        <v/>
      </c>
      <c r="M54" s="9">
        <f>$M$1*(C54-C53)</f>
        <v/>
      </c>
      <c r="N54" s="9">
        <f>$N$1*(D54-D53)</f>
        <v/>
      </c>
      <c r="O54" s="9">
        <f>$O$1*LN(E54/E53)</f>
        <v/>
      </c>
      <c r="P54" s="9">
        <f>$P$1*LN(F54/F53)</f>
        <v/>
      </c>
      <c r="Q54" s="9">
        <f>$Q$1*(G54-G53)</f>
        <v/>
      </c>
      <c r="R54" s="9">
        <f>$R$1*(H54-H53)</f>
        <v/>
      </c>
      <c r="S54" s="9">
        <f>$S$1*LN(I54/I53)</f>
        <v/>
      </c>
      <c r="T54" s="9">
        <f>$T$1*LN(J54/J53)</f>
        <v/>
      </c>
      <c r="U54" s="9">
        <f>$W$12+$W$4*M54+$W$5*N54+$W$6*O54+$W$7*P54+$W$8*Q54+$W$9*R54+$W$10*S54+$W$11*T54</f>
        <v/>
      </c>
      <c r="AA54" s="10">
        <f>INDEX(LINEST(L35:L54,M35:T54,TRUE,TRUE),1,9)*4</f>
        <v/>
      </c>
      <c r="AB54" s="9">
        <f>INDEX(LINEST(L35:L54,M35:T54,TRUE,TRUE),1,8)</f>
        <v/>
      </c>
      <c r="AC54" s="9">
        <f>INDEX(LINEST(L35:L54,M35:T54,TRUE,TRUE),1,7)</f>
        <v/>
      </c>
      <c r="AD54" s="9">
        <f>INDEX(LINEST(L35:L54,M35:T54,TRUE,TRUE),1,6)</f>
        <v/>
      </c>
      <c r="AE54" s="9">
        <f>INDEX(LINEST(L35:L54,M35:T54,TRUE,TRUE),1,5)</f>
        <v/>
      </c>
      <c r="AF54" s="9">
        <f>INDEX(LINEST(L35:L54,M35:T54,TRUE,TRUE),1,4)</f>
        <v/>
      </c>
      <c r="AG54" s="9">
        <f>INDEX(LINEST(L35:L54,M35:T54,TRUE,TRUE),1,3)</f>
        <v/>
      </c>
      <c r="AH54" s="9">
        <f>INDEX(LINEST(L35:L54,M35:T54,TRUE,TRUE),1,2)</f>
        <v/>
      </c>
      <c r="AI54" s="9">
        <f>INDEX(LINEST(L35:L54,M35:T54,TRUE,TRUE),1,1)</f>
        <v/>
      </c>
      <c r="AJ54" s="10">
        <f>INDEX(LINEST(L35:L54,M35:T54,TRUE,TRUE),3,1)</f>
        <v/>
      </c>
      <c r="AK54" s="9">
        <f>AA53/4+AB53*M54+AC53*N54+AD53*O54+AE53*P54+AF53*Q54+AG53*R54+AH53*S54+AI53*T54</f>
        <v/>
      </c>
      <c r="AL54" s="9">
        <f>AVERAGE(L34:L53)</f>
        <v/>
      </c>
    </row>
    <row r="55">
      <c r="A55" s="7" t="n">
        <v>42460</v>
      </c>
      <c r="B55" s="8" t="n">
        <v>1237</v>
      </c>
      <c r="C55" s="8" t="n">
        <v>1.62</v>
      </c>
      <c r="D55" s="8" t="n">
        <v>0.16</v>
      </c>
      <c r="E55" s="8" t="n">
        <v>94.589996</v>
      </c>
      <c r="F55" s="8" t="n">
        <v>36.94</v>
      </c>
      <c r="G55" s="8" t="n">
        <v>13.95</v>
      </c>
      <c r="H55" s="8" t="n">
        <v>68.800003</v>
      </c>
      <c r="I55" s="8" t="n">
        <v>2059.73999</v>
      </c>
      <c r="J55" s="8" t="n">
        <v>83.246979</v>
      </c>
      <c r="L55" s="9">
        <f>LN(B55/B54)</f>
        <v/>
      </c>
      <c r="M55" s="9">
        <f>$M$1*(C55-C54)</f>
        <v/>
      </c>
      <c r="N55" s="9">
        <f>$N$1*(D55-D54)</f>
        <v/>
      </c>
      <c r="O55" s="9">
        <f>$O$1*LN(E55/E54)</f>
        <v/>
      </c>
      <c r="P55" s="9">
        <f>$P$1*LN(F55/F54)</f>
        <v/>
      </c>
      <c r="Q55" s="9">
        <f>$Q$1*(G55-G54)</f>
        <v/>
      </c>
      <c r="R55" s="9">
        <f>$R$1*(H55-H54)</f>
        <v/>
      </c>
      <c r="S55" s="9">
        <f>$S$1*LN(I55/I54)</f>
        <v/>
      </c>
      <c r="T55" s="9">
        <f>$T$1*LN(J55/J54)</f>
        <v/>
      </c>
      <c r="U55" s="9">
        <f>$W$12+$W$4*M55+$W$5*N55+$W$6*O55+$W$7*P55+$W$8*Q55+$W$9*R55+$W$10*S55+$W$11*T55</f>
        <v/>
      </c>
      <c r="AA55" s="10">
        <f>INDEX(LINEST(L36:L55,M36:T55,TRUE,TRUE),1,9)*4</f>
        <v/>
      </c>
      <c r="AB55" s="9">
        <f>INDEX(LINEST(L36:L55,M36:T55,TRUE,TRUE),1,8)</f>
        <v/>
      </c>
      <c r="AC55" s="9">
        <f>INDEX(LINEST(L36:L55,M36:T55,TRUE,TRUE),1,7)</f>
        <v/>
      </c>
      <c r="AD55" s="9">
        <f>INDEX(LINEST(L36:L55,M36:T55,TRUE,TRUE),1,6)</f>
        <v/>
      </c>
      <c r="AE55" s="9">
        <f>INDEX(LINEST(L36:L55,M36:T55,TRUE,TRUE),1,5)</f>
        <v/>
      </c>
      <c r="AF55" s="9">
        <f>INDEX(LINEST(L36:L55,M36:T55,TRUE,TRUE),1,4)</f>
        <v/>
      </c>
      <c r="AG55" s="9">
        <f>INDEX(LINEST(L36:L55,M36:T55,TRUE,TRUE),1,3)</f>
        <v/>
      </c>
      <c r="AH55" s="9">
        <f>INDEX(LINEST(L36:L55,M36:T55,TRUE,TRUE),1,2)</f>
        <v/>
      </c>
      <c r="AI55" s="9">
        <f>INDEX(LINEST(L36:L55,M36:T55,TRUE,TRUE),1,1)</f>
        <v/>
      </c>
      <c r="AJ55" s="10">
        <f>INDEX(LINEST(L36:L55,M36:T55,TRUE,TRUE),3,1)</f>
        <v/>
      </c>
      <c r="AK55" s="9">
        <f>AA54/4+AB54*M55+AC54*N55+AD54*O55+AE54*P55+AF54*Q55+AG54*R55+AH54*S55+AI54*T55</f>
        <v/>
      </c>
      <c r="AL55" s="9">
        <f>AVERAGE(L35:L54)</f>
        <v/>
      </c>
    </row>
    <row r="56">
      <c r="A56" s="7" t="n">
        <v>42551</v>
      </c>
      <c r="B56" s="8" t="n">
        <v>1320.75</v>
      </c>
      <c r="C56" s="8" t="n">
        <v>1.4</v>
      </c>
      <c r="D56" s="8" t="n">
        <v>0.09</v>
      </c>
      <c r="E56" s="8" t="n">
        <v>96.139999</v>
      </c>
      <c r="F56" s="8" t="n">
        <v>48.27</v>
      </c>
      <c r="G56" s="8" t="n">
        <v>15.63</v>
      </c>
      <c r="H56" s="8" t="n">
        <v>72.639999</v>
      </c>
      <c r="I56" s="8" t="n">
        <v>2098.860107</v>
      </c>
      <c r="J56" s="8" t="n">
        <v>85.085838</v>
      </c>
      <c r="L56" s="9">
        <f>LN(B56/B55)</f>
        <v/>
      </c>
      <c r="M56" s="9">
        <f>$M$1*(C56-C55)</f>
        <v/>
      </c>
      <c r="N56" s="9">
        <f>$N$1*(D56-D55)</f>
        <v/>
      </c>
      <c r="O56" s="9">
        <f>$O$1*LN(E56/E55)</f>
        <v/>
      </c>
      <c r="P56" s="9">
        <f>$P$1*LN(F56/F55)</f>
        <v/>
      </c>
      <c r="Q56" s="9">
        <f>$Q$1*(G56-G55)</f>
        <v/>
      </c>
      <c r="R56" s="9">
        <f>$R$1*(H56-H55)</f>
        <v/>
      </c>
      <c r="S56" s="9">
        <f>$S$1*LN(I56/I55)</f>
        <v/>
      </c>
      <c r="T56" s="9">
        <f>$T$1*LN(J56/J55)</f>
        <v/>
      </c>
      <c r="U56" s="9">
        <f>$W$12+$W$4*M56+$W$5*N56+$W$6*O56+$W$7*P56+$W$8*Q56+$W$9*R56+$W$10*S56+$W$11*T56</f>
        <v/>
      </c>
      <c r="AA56" s="10">
        <f>INDEX(LINEST(L37:L56,M37:T56,TRUE,TRUE),1,9)*4</f>
        <v/>
      </c>
      <c r="AB56" s="9">
        <f>INDEX(LINEST(L37:L56,M37:T56,TRUE,TRUE),1,8)</f>
        <v/>
      </c>
      <c r="AC56" s="9">
        <f>INDEX(LINEST(L37:L56,M37:T56,TRUE,TRUE),1,7)</f>
        <v/>
      </c>
      <c r="AD56" s="9">
        <f>INDEX(LINEST(L37:L56,M37:T56,TRUE,TRUE),1,6)</f>
        <v/>
      </c>
      <c r="AE56" s="9">
        <f>INDEX(LINEST(L37:L56,M37:T56,TRUE,TRUE),1,5)</f>
        <v/>
      </c>
      <c r="AF56" s="9">
        <f>INDEX(LINEST(L37:L56,M37:T56,TRUE,TRUE),1,4)</f>
        <v/>
      </c>
      <c r="AG56" s="9">
        <f>INDEX(LINEST(L37:L56,M37:T56,TRUE,TRUE),1,3)</f>
        <v/>
      </c>
      <c r="AH56" s="9">
        <f>INDEX(LINEST(L37:L56,M37:T56,TRUE,TRUE),1,2)</f>
        <v/>
      </c>
      <c r="AI56" s="9">
        <f>INDEX(LINEST(L37:L56,M37:T56,TRUE,TRUE),1,1)</f>
        <v/>
      </c>
      <c r="AJ56" s="10">
        <f>INDEX(LINEST(L37:L56,M37:T56,TRUE,TRUE),3,1)</f>
        <v/>
      </c>
      <c r="AK56" s="9">
        <f>AA55/4+AB55*M56+AC55*N56+AD55*O56+AE55*P56+AF55*Q56+AG55*R56+AH55*S56+AI55*T56</f>
        <v/>
      </c>
      <c r="AL56" s="9">
        <f>AVERAGE(L36:L55)</f>
        <v/>
      </c>
    </row>
    <row r="57">
      <c r="A57" s="7" t="n">
        <v>42643</v>
      </c>
      <c r="B57" s="8" t="n">
        <v>1322.5</v>
      </c>
      <c r="C57" s="8" t="n">
        <v>1.6</v>
      </c>
      <c r="D57" s="8" t="n">
        <v>0</v>
      </c>
      <c r="E57" s="8" t="n">
        <v>95.459999</v>
      </c>
      <c r="F57" s="8" t="n">
        <v>47.72</v>
      </c>
      <c r="G57" s="8" t="n">
        <v>13.29</v>
      </c>
      <c r="H57" s="8" t="n">
        <v>60.560001</v>
      </c>
      <c r="I57" s="8" t="n">
        <v>2168.27002</v>
      </c>
      <c r="J57" s="8" t="n">
        <v>85.408829</v>
      </c>
      <c r="L57" s="9">
        <f>LN(B57/B56)</f>
        <v/>
      </c>
      <c r="M57" s="9">
        <f>$M$1*(C57-C56)</f>
        <v/>
      </c>
      <c r="N57" s="9">
        <f>$N$1*(D57-D56)</f>
        <v/>
      </c>
      <c r="O57" s="9">
        <f>$O$1*LN(E57/E56)</f>
        <v/>
      </c>
      <c r="P57" s="9">
        <f>$P$1*LN(F57/F56)</f>
        <v/>
      </c>
      <c r="Q57" s="9">
        <f>$Q$1*(G57-G56)</f>
        <v/>
      </c>
      <c r="R57" s="9">
        <f>$R$1*(H57-H56)</f>
        <v/>
      </c>
      <c r="S57" s="9">
        <f>$S$1*LN(I57/I56)</f>
        <v/>
      </c>
      <c r="T57" s="9">
        <f>$T$1*LN(J57/J56)</f>
        <v/>
      </c>
      <c r="U57" s="9">
        <f>$W$12+$W$4*M57+$W$5*N57+$W$6*O57+$W$7*P57+$W$8*Q57+$W$9*R57+$W$10*S57+$W$11*T57</f>
        <v/>
      </c>
      <c r="AA57" s="10">
        <f>INDEX(LINEST(L38:L57,M38:T57,TRUE,TRUE),1,9)*4</f>
        <v/>
      </c>
      <c r="AB57" s="9">
        <f>INDEX(LINEST(L38:L57,M38:T57,TRUE,TRUE),1,8)</f>
        <v/>
      </c>
      <c r="AC57" s="9">
        <f>INDEX(LINEST(L38:L57,M38:T57,TRUE,TRUE),1,7)</f>
        <v/>
      </c>
      <c r="AD57" s="9">
        <f>INDEX(LINEST(L38:L57,M38:T57,TRUE,TRUE),1,6)</f>
        <v/>
      </c>
      <c r="AE57" s="9">
        <f>INDEX(LINEST(L38:L57,M38:T57,TRUE,TRUE),1,5)</f>
        <v/>
      </c>
      <c r="AF57" s="9">
        <f>INDEX(LINEST(L38:L57,M38:T57,TRUE,TRUE),1,4)</f>
        <v/>
      </c>
      <c r="AG57" s="9">
        <f>INDEX(LINEST(L38:L57,M38:T57,TRUE,TRUE),1,3)</f>
        <v/>
      </c>
      <c r="AH57" s="9">
        <f>INDEX(LINEST(L38:L57,M38:T57,TRUE,TRUE),1,2)</f>
        <v/>
      </c>
      <c r="AI57" s="9">
        <f>INDEX(LINEST(L38:L57,M38:T57,TRUE,TRUE),1,1)</f>
        <v/>
      </c>
      <c r="AJ57" s="10">
        <f>INDEX(LINEST(L38:L57,M38:T57,TRUE,TRUE),3,1)</f>
        <v/>
      </c>
      <c r="AK57" s="9">
        <f>AA56/4+AB56*M57+AC56*N57+AD56*O57+AE56*P57+AF56*Q57+AG56*R57+AH56*S57+AI56*T57</f>
        <v/>
      </c>
      <c r="AL57" s="9">
        <f>AVERAGE(L37:L56)</f>
        <v/>
      </c>
    </row>
    <row r="58">
      <c r="A58" s="7" t="n">
        <v>42735</v>
      </c>
      <c r="B58" s="8" t="n">
        <v>1145.9</v>
      </c>
      <c r="C58" s="8" t="n">
        <v>1.95</v>
      </c>
      <c r="D58" s="8" t="n">
        <v>0.5</v>
      </c>
      <c r="E58" s="8" t="n">
        <v>102.389999</v>
      </c>
      <c r="F58" s="8" t="n">
        <v>53.75</v>
      </c>
      <c r="G58" s="8" t="n">
        <v>14.04</v>
      </c>
      <c r="H58" s="8" t="n">
        <v>71.629997</v>
      </c>
      <c r="I58" s="8" t="n">
        <v>2238.830078</v>
      </c>
      <c r="J58" s="8" t="n">
        <v>82.74741400000001</v>
      </c>
      <c r="L58" s="9">
        <f>LN(B58/B57)</f>
        <v/>
      </c>
      <c r="M58" s="9">
        <f>$M$1*(C58-C57)</f>
        <v/>
      </c>
      <c r="N58" s="9">
        <f>$N$1*(D58-D57)</f>
        <v/>
      </c>
      <c r="O58" s="9">
        <f>$O$1*LN(E58/E57)</f>
        <v/>
      </c>
      <c r="P58" s="9">
        <f>$P$1*LN(F58/F57)</f>
        <v/>
      </c>
      <c r="Q58" s="9">
        <f>$Q$1*(G58-G57)</f>
        <v/>
      </c>
      <c r="R58" s="9">
        <f>$R$1*(H58-H57)</f>
        <v/>
      </c>
      <c r="S58" s="9">
        <f>$S$1*LN(I58/I57)</f>
        <v/>
      </c>
      <c r="T58" s="9">
        <f>$T$1*LN(J58/J57)</f>
        <v/>
      </c>
      <c r="U58" s="9">
        <f>$W$12+$W$4*M58+$W$5*N58+$W$6*O58+$W$7*P58+$W$8*Q58+$W$9*R58+$W$10*S58+$W$11*T58</f>
        <v/>
      </c>
      <c r="AA58" s="10">
        <f>INDEX(LINEST(L39:L58,M39:T58,TRUE,TRUE),1,9)*4</f>
        <v/>
      </c>
      <c r="AB58" s="9">
        <f>INDEX(LINEST(L39:L58,M39:T58,TRUE,TRUE),1,8)</f>
        <v/>
      </c>
      <c r="AC58" s="9">
        <f>INDEX(LINEST(L39:L58,M39:T58,TRUE,TRUE),1,7)</f>
        <v/>
      </c>
      <c r="AD58" s="9">
        <f>INDEX(LINEST(L39:L58,M39:T58,TRUE,TRUE),1,6)</f>
        <v/>
      </c>
      <c r="AE58" s="9">
        <f>INDEX(LINEST(L39:L58,M39:T58,TRUE,TRUE),1,5)</f>
        <v/>
      </c>
      <c r="AF58" s="9">
        <f>INDEX(LINEST(L39:L58,M39:T58,TRUE,TRUE),1,4)</f>
        <v/>
      </c>
      <c r="AG58" s="9">
        <f>INDEX(LINEST(L39:L58,M39:T58,TRUE,TRUE),1,3)</f>
        <v/>
      </c>
      <c r="AH58" s="9">
        <f>INDEX(LINEST(L39:L58,M39:T58,TRUE,TRUE),1,2)</f>
        <v/>
      </c>
      <c r="AI58" s="9">
        <f>INDEX(LINEST(L39:L58,M39:T58,TRUE,TRUE),1,1)</f>
        <v/>
      </c>
      <c r="AJ58" s="10">
        <f>INDEX(LINEST(L39:L58,M39:T58,TRUE,TRUE),3,1)</f>
        <v/>
      </c>
      <c r="AK58" s="9">
        <f>AA57/4+AB57*M58+AC57*N58+AD57*O58+AE57*P58+AF57*Q58+AG57*R58+AH57*S58+AI57*T58</f>
        <v/>
      </c>
      <c r="AL58" s="9">
        <f>AVERAGE(L38:L57)</f>
        <v/>
      </c>
    </row>
    <row r="59">
      <c r="A59" s="7" t="n">
        <v>42825</v>
      </c>
      <c r="B59" s="8" t="n">
        <v>1244.85</v>
      </c>
      <c r="C59" s="8" t="n">
        <v>1.97</v>
      </c>
      <c r="D59" s="8" t="n">
        <v>0.43</v>
      </c>
      <c r="E59" s="8" t="n">
        <v>100.349998</v>
      </c>
      <c r="F59" s="8" t="n">
        <v>50.54</v>
      </c>
      <c r="G59" s="8" t="n">
        <v>12.37</v>
      </c>
      <c r="H59" s="8" t="n">
        <v>60.700001</v>
      </c>
      <c r="I59" s="8" t="n">
        <v>2362.719971</v>
      </c>
      <c r="J59" s="8" t="n">
        <v>83.412971</v>
      </c>
      <c r="L59" s="9">
        <f>LN(B59/B58)</f>
        <v/>
      </c>
      <c r="M59" s="9">
        <f>$M$1*(C59-C58)</f>
        <v/>
      </c>
      <c r="N59" s="9">
        <f>$N$1*(D59-D58)</f>
        <v/>
      </c>
      <c r="O59" s="9">
        <f>$O$1*LN(E59/E58)</f>
        <v/>
      </c>
      <c r="P59" s="9">
        <f>$P$1*LN(F59/F58)</f>
        <v/>
      </c>
      <c r="Q59" s="9">
        <f>$Q$1*(G59-G58)</f>
        <v/>
      </c>
      <c r="R59" s="9">
        <f>$R$1*(H59-H58)</f>
        <v/>
      </c>
      <c r="S59" s="9">
        <f>$S$1*LN(I59/I58)</f>
        <v/>
      </c>
      <c r="T59" s="9">
        <f>$T$1*LN(J59/J58)</f>
        <v/>
      </c>
      <c r="U59" s="9">
        <f>$W$12+$W$4*M59+$W$5*N59+$W$6*O59+$W$7*P59+$W$8*Q59+$W$9*R59+$W$10*S59+$W$11*T59</f>
        <v/>
      </c>
      <c r="AA59" s="10">
        <f>INDEX(LINEST(L40:L59,M40:T59,TRUE,TRUE),1,9)*4</f>
        <v/>
      </c>
      <c r="AB59" s="9">
        <f>INDEX(LINEST(L40:L59,M40:T59,TRUE,TRUE),1,8)</f>
        <v/>
      </c>
      <c r="AC59" s="9">
        <f>INDEX(LINEST(L40:L59,M40:T59,TRUE,TRUE),1,7)</f>
        <v/>
      </c>
      <c r="AD59" s="9">
        <f>INDEX(LINEST(L40:L59,M40:T59,TRUE,TRUE),1,6)</f>
        <v/>
      </c>
      <c r="AE59" s="9">
        <f>INDEX(LINEST(L40:L59,M40:T59,TRUE,TRUE),1,5)</f>
        <v/>
      </c>
      <c r="AF59" s="9">
        <f>INDEX(LINEST(L40:L59,M40:T59,TRUE,TRUE),1,4)</f>
        <v/>
      </c>
      <c r="AG59" s="9">
        <f>INDEX(LINEST(L40:L59,M40:T59,TRUE,TRUE),1,3)</f>
        <v/>
      </c>
      <c r="AH59" s="9">
        <f>INDEX(LINEST(L40:L59,M40:T59,TRUE,TRUE),1,2)</f>
        <v/>
      </c>
      <c r="AI59" s="9">
        <f>INDEX(LINEST(L40:L59,M40:T59,TRUE,TRUE),1,1)</f>
        <v/>
      </c>
      <c r="AJ59" s="10">
        <f>INDEX(LINEST(L40:L59,M40:T59,TRUE,TRUE),3,1)</f>
        <v/>
      </c>
      <c r="AK59" s="9">
        <f>AA58/4+AB58*M59+AC58*N59+AD58*O59+AE58*P59+AF58*Q59+AG58*R59+AH58*S59+AI58*T59</f>
        <v/>
      </c>
      <c r="AL59" s="9">
        <f>AVERAGE(L39:L58)</f>
        <v/>
      </c>
    </row>
    <row r="60">
      <c r="A60" s="7" t="n">
        <v>42916</v>
      </c>
      <c r="B60" s="8" t="n">
        <v>1242.25</v>
      </c>
      <c r="C60" s="8" t="n">
        <v>1.73</v>
      </c>
      <c r="D60" s="8" t="n">
        <v>0.58</v>
      </c>
      <c r="E60" s="8" t="n">
        <v>95.660004</v>
      </c>
      <c r="F60" s="8" t="n">
        <v>46.02</v>
      </c>
      <c r="G60" s="8" t="n">
        <v>11.18</v>
      </c>
      <c r="H60" s="8" t="n">
        <v>55.220001</v>
      </c>
      <c r="I60" s="8" t="n">
        <v>2423.409912</v>
      </c>
      <c r="J60" s="8" t="n">
        <v>84.732399</v>
      </c>
      <c r="L60" s="9">
        <f>LN(B60/B59)</f>
        <v/>
      </c>
      <c r="M60" s="9">
        <f>$M$1*(C60-C59)</f>
        <v/>
      </c>
      <c r="N60" s="9">
        <f>$N$1*(D60-D59)</f>
        <v/>
      </c>
      <c r="O60" s="9">
        <f>$O$1*LN(E60/E59)</f>
        <v/>
      </c>
      <c r="P60" s="9">
        <f>$P$1*LN(F60/F59)</f>
        <v/>
      </c>
      <c r="Q60" s="9">
        <f>$Q$1*(G60-G59)</f>
        <v/>
      </c>
      <c r="R60" s="9">
        <f>$R$1*(H60-H59)</f>
        <v/>
      </c>
      <c r="S60" s="9">
        <f>$S$1*LN(I60/I59)</f>
        <v/>
      </c>
      <c r="T60" s="9">
        <f>$T$1*LN(J60/J59)</f>
        <v/>
      </c>
      <c r="U60" s="9">
        <f>$W$12+$W$4*M60+$W$5*N60+$W$6*O60+$W$7*P60+$W$8*Q60+$W$9*R60+$W$10*S60+$W$11*T60</f>
        <v/>
      </c>
      <c r="AA60" s="10">
        <f>INDEX(LINEST(L41:L60,M41:T60,TRUE,TRUE),1,9)*4</f>
        <v/>
      </c>
      <c r="AB60" s="9">
        <f>INDEX(LINEST(L41:L60,M41:T60,TRUE,TRUE),1,8)</f>
        <v/>
      </c>
      <c r="AC60" s="9">
        <f>INDEX(LINEST(L41:L60,M41:T60,TRUE,TRUE),1,7)</f>
        <v/>
      </c>
      <c r="AD60" s="9">
        <f>INDEX(LINEST(L41:L60,M41:T60,TRUE,TRUE),1,6)</f>
        <v/>
      </c>
      <c r="AE60" s="9">
        <f>INDEX(LINEST(L41:L60,M41:T60,TRUE,TRUE),1,5)</f>
        <v/>
      </c>
      <c r="AF60" s="9">
        <f>INDEX(LINEST(L41:L60,M41:T60,TRUE,TRUE),1,4)</f>
        <v/>
      </c>
      <c r="AG60" s="9">
        <f>INDEX(LINEST(L41:L60,M41:T60,TRUE,TRUE),1,3)</f>
        <v/>
      </c>
      <c r="AH60" s="9">
        <f>INDEX(LINEST(L41:L60,M41:T60,TRUE,TRUE),1,2)</f>
        <v/>
      </c>
      <c r="AI60" s="9">
        <f>INDEX(LINEST(L41:L60,M41:T60,TRUE,TRUE),1,1)</f>
        <v/>
      </c>
      <c r="AJ60" s="10">
        <f>INDEX(LINEST(L41:L60,M41:T60,TRUE,TRUE),3,1)</f>
        <v/>
      </c>
      <c r="AK60" s="9">
        <f>AA59/4+AB59*M60+AC59*N60+AD59*O60+AE59*P60+AF59*Q60+AG59*R60+AH59*S60+AI59*T60</f>
        <v/>
      </c>
      <c r="AL60" s="9">
        <f>AVERAGE(L40:L59)</f>
        <v/>
      </c>
    </row>
    <row r="61">
      <c r="A61" s="7" t="n">
        <v>43008</v>
      </c>
      <c r="B61" s="8" t="n">
        <v>1283.1</v>
      </c>
      <c r="C61" s="8" t="n">
        <v>1.84</v>
      </c>
      <c r="D61" s="8" t="n">
        <v>0.49</v>
      </c>
      <c r="E61" s="8" t="n">
        <v>93.08000199999999</v>
      </c>
      <c r="F61" s="8" t="n">
        <v>51.67</v>
      </c>
      <c r="G61" s="8" t="n">
        <v>9.51</v>
      </c>
      <c r="H61" s="8" t="n">
        <v>52.880001</v>
      </c>
      <c r="I61" s="8" t="n">
        <v>2519.360107</v>
      </c>
      <c r="J61" s="8" t="n">
        <v>85.325165</v>
      </c>
      <c r="L61" s="9">
        <f>LN(B61/B60)</f>
        <v/>
      </c>
      <c r="M61" s="9">
        <f>$M$1*(C61-C60)</f>
        <v/>
      </c>
      <c r="N61" s="9">
        <f>$N$1*(D61-D60)</f>
        <v/>
      </c>
      <c r="O61" s="9">
        <f>$O$1*LN(E61/E60)</f>
        <v/>
      </c>
      <c r="P61" s="9">
        <f>$P$1*LN(F61/F60)</f>
        <v/>
      </c>
      <c r="Q61" s="9">
        <f>$Q$1*(G61-G60)</f>
        <v/>
      </c>
      <c r="R61" s="9">
        <f>$R$1*(H61-H60)</f>
        <v/>
      </c>
      <c r="S61" s="9">
        <f>$S$1*LN(I61/I60)</f>
        <v/>
      </c>
      <c r="T61" s="9">
        <f>$T$1*LN(J61/J60)</f>
        <v/>
      </c>
      <c r="U61" s="9">
        <f>$W$12+$W$4*M61+$W$5*N61+$W$6*O61+$W$7*P61+$W$8*Q61+$W$9*R61+$W$10*S61+$W$11*T61</f>
        <v/>
      </c>
      <c r="AA61" s="10">
        <f>INDEX(LINEST(L42:L61,M42:T61,TRUE,TRUE),1,9)*4</f>
        <v/>
      </c>
      <c r="AB61" s="9">
        <f>INDEX(LINEST(L42:L61,M42:T61,TRUE,TRUE),1,8)</f>
        <v/>
      </c>
      <c r="AC61" s="9">
        <f>INDEX(LINEST(L42:L61,M42:T61,TRUE,TRUE),1,7)</f>
        <v/>
      </c>
      <c r="AD61" s="9">
        <f>INDEX(LINEST(L42:L61,M42:T61,TRUE,TRUE),1,6)</f>
        <v/>
      </c>
      <c r="AE61" s="9">
        <f>INDEX(LINEST(L42:L61,M42:T61,TRUE,TRUE),1,5)</f>
        <v/>
      </c>
      <c r="AF61" s="9">
        <f>INDEX(LINEST(L42:L61,M42:T61,TRUE,TRUE),1,4)</f>
        <v/>
      </c>
      <c r="AG61" s="9">
        <f>INDEX(LINEST(L42:L61,M42:T61,TRUE,TRUE),1,3)</f>
        <v/>
      </c>
      <c r="AH61" s="9">
        <f>INDEX(LINEST(L42:L61,M42:T61,TRUE,TRUE),1,2)</f>
        <v/>
      </c>
      <c r="AI61" s="9">
        <f>INDEX(LINEST(L42:L61,M42:T61,TRUE,TRUE),1,1)</f>
        <v/>
      </c>
      <c r="AJ61" s="10">
        <f>INDEX(LINEST(L42:L61,M42:T61,TRUE,TRUE),3,1)</f>
        <v/>
      </c>
      <c r="AK61" s="9">
        <f>AA60/4+AB60*M61+AC60*N61+AD60*O61+AE60*P61+AF60*Q61+AG60*R61+AH60*S61+AI60*T61</f>
        <v/>
      </c>
      <c r="AL61" s="9">
        <f>AVERAGE(L41:L60)</f>
        <v/>
      </c>
    </row>
    <row r="62">
      <c r="A62" s="7" t="n">
        <v>43100</v>
      </c>
      <c r="B62" s="8" t="n">
        <v>1291</v>
      </c>
      <c r="C62" s="8" t="n">
        <v>1.96</v>
      </c>
      <c r="D62" s="8" t="n">
        <v>0.44</v>
      </c>
      <c r="E62" s="8" t="n">
        <v>92.120003</v>
      </c>
      <c r="F62" s="8" t="n">
        <v>60.46</v>
      </c>
      <c r="G62" s="8" t="n">
        <v>11.04</v>
      </c>
      <c r="H62" s="8" t="n">
        <v>46.599998</v>
      </c>
      <c r="I62" s="8" t="n">
        <v>2673.610107</v>
      </c>
      <c r="J62" s="8" t="n">
        <v>85.687195</v>
      </c>
      <c r="L62" s="9">
        <f>LN(B62/B61)</f>
        <v/>
      </c>
      <c r="M62" s="9">
        <f>$M$1*(C62-C61)</f>
        <v/>
      </c>
      <c r="N62" s="9">
        <f>$N$1*(D62-D61)</f>
        <v/>
      </c>
      <c r="O62" s="9">
        <f>$O$1*LN(E62/E61)</f>
        <v/>
      </c>
      <c r="P62" s="9">
        <f>$P$1*LN(F62/F61)</f>
        <v/>
      </c>
      <c r="Q62" s="9">
        <f>$Q$1*(G62-G61)</f>
        <v/>
      </c>
      <c r="R62" s="9">
        <f>$R$1*(H62-H61)</f>
        <v/>
      </c>
      <c r="S62" s="9">
        <f>$S$1*LN(I62/I61)</f>
        <v/>
      </c>
      <c r="T62" s="9">
        <f>$T$1*LN(J62/J61)</f>
        <v/>
      </c>
      <c r="U62" s="9">
        <f>$W$12+$W$4*M62+$W$5*N62+$W$6*O62+$W$7*P62+$W$8*Q62+$W$9*R62+$W$10*S62+$W$11*T62</f>
        <v/>
      </c>
      <c r="AA62" s="10">
        <f>INDEX(LINEST(L43:L62,M43:T62,TRUE,TRUE),1,9)*4</f>
        <v/>
      </c>
      <c r="AB62" s="9">
        <f>INDEX(LINEST(L43:L62,M43:T62,TRUE,TRUE),1,8)</f>
        <v/>
      </c>
      <c r="AC62" s="9">
        <f>INDEX(LINEST(L43:L62,M43:T62,TRUE,TRUE),1,7)</f>
        <v/>
      </c>
      <c r="AD62" s="9">
        <f>INDEX(LINEST(L43:L62,M43:T62,TRUE,TRUE),1,6)</f>
        <v/>
      </c>
      <c r="AE62" s="9">
        <f>INDEX(LINEST(L43:L62,M43:T62,TRUE,TRUE),1,5)</f>
        <v/>
      </c>
      <c r="AF62" s="9">
        <f>INDEX(LINEST(L43:L62,M43:T62,TRUE,TRUE),1,4)</f>
        <v/>
      </c>
      <c r="AG62" s="9">
        <f>INDEX(LINEST(L43:L62,M43:T62,TRUE,TRUE),1,3)</f>
        <v/>
      </c>
      <c r="AH62" s="9">
        <f>INDEX(LINEST(L43:L62,M43:T62,TRUE,TRUE),1,2)</f>
        <v/>
      </c>
      <c r="AI62" s="9">
        <f>INDEX(LINEST(L43:L62,M43:T62,TRUE,TRUE),1,1)</f>
        <v/>
      </c>
      <c r="AJ62" s="10">
        <f>INDEX(LINEST(L43:L62,M43:T62,TRUE,TRUE),3,1)</f>
        <v/>
      </c>
      <c r="AK62" s="9">
        <f>AA61/4+AB61*M62+AC61*N62+AD61*O62+AE61*P62+AF61*Q62+AG61*R62+AH61*S62+AI61*T62</f>
        <v/>
      </c>
      <c r="AL62" s="9">
        <f>AVERAGE(L42:L61)</f>
        <v/>
      </c>
    </row>
    <row r="63">
      <c r="A63" s="7" t="n">
        <v>43190</v>
      </c>
      <c r="B63" s="8" t="n">
        <v>1323.85</v>
      </c>
      <c r="C63" s="8" t="n">
        <v>2.05</v>
      </c>
      <c r="D63" s="8" t="n">
        <v>0.6899999999999999</v>
      </c>
      <c r="E63" s="8" t="n">
        <v>90.150002</v>
      </c>
      <c r="F63" s="8" t="n">
        <v>64.87</v>
      </c>
      <c r="G63" s="8" t="n">
        <v>19.97</v>
      </c>
      <c r="H63" s="8" t="n">
        <v>58.540001</v>
      </c>
      <c r="I63" s="8" t="n">
        <v>2640.870117</v>
      </c>
      <c r="J63" s="8" t="n">
        <v>84.431442</v>
      </c>
      <c r="L63" s="9">
        <f>LN(B63/B62)</f>
        <v/>
      </c>
      <c r="M63" s="9">
        <f>$M$1*(C63-C62)</f>
        <v/>
      </c>
      <c r="N63" s="9">
        <f>$N$1*(D63-D62)</f>
        <v/>
      </c>
      <c r="O63" s="9">
        <f>$O$1*LN(E63/E62)</f>
        <v/>
      </c>
      <c r="P63" s="9">
        <f>$P$1*LN(F63/F62)</f>
        <v/>
      </c>
      <c r="Q63" s="9">
        <f>$Q$1*(G63-G62)</f>
        <v/>
      </c>
      <c r="R63" s="9">
        <f>$R$1*(H63-H62)</f>
        <v/>
      </c>
      <c r="S63" s="9">
        <f>$S$1*LN(I63/I62)</f>
        <v/>
      </c>
      <c r="T63" s="9">
        <f>$T$1*LN(J63/J62)</f>
        <v/>
      </c>
      <c r="U63" s="9">
        <f>$W$12+$W$4*M63+$W$5*N63+$W$6*O63+$W$7*P63+$W$8*Q63+$W$9*R63+$W$10*S63+$W$11*T63</f>
        <v/>
      </c>
      <c r="AA63" s="10">
        <f>INDEX(LINEST(L44:L63,M44:T63,TRUE,TRUE),1,9)*4</f>
        <v/>
      </c>
      <c r="AB63" s="9">
        <f>INDEX(LINEST(L44:L63,M44:T63,TRUE,TRUE),1,8)</f>
        <v/>
      </c>
      <c r="AC63" s="9">
        <f>INDEX(LINEST(L44:L63,M44:T63,TRUE,TRUE),1,7)</f>
        <v/>
      </c>
      <c r="AD63" s="9">
        <f>INDEX(LINEST(L44:L63,M44:T63,TRUE,TRUE),1,6)</f>
        <v/>
      </c>
      <c r="AE63" s="9">
        <f>INDEX(LINEST(L44:L63,M44:T63,TRUE,TRUE),1,5)</f>
        <v/>
      </c>
      <c r="AF63" s="9">
        <f>INDEX(LINEST(L44:L63,M44:T63,TRUE,TRUE),1,4)</f>
        <v/>
      </c>
      <c r="AG63" s="9">
        <f>INDEX(LINEST(L44:L63,M44:T63,TRUE,TRUE),1,3)</f>
        <v/>
      </c>
      <c r="AH63" s="9">
        <f>INDEX(LINEST(L44:L63,M44:T63,TRUE,TRUE),1,2)</f>
        <v/>
      </c>
      <c r="AI63" s="9">
        <f>INDEX(LINEST(L44:L63,M44:T63,TRUE,TRUE),1,1)</f>
        <v/>
      </c>
      <c r="AJ63" s="10">
        <f>INDEX(LINEST(L44:L63,M44:T63,TRUE,TRUE),3,1)</f>
        <v/>
      </c>
      <c r="AK63" s="9">
        <f>AA62/4+AB62*M63+AC62*N63+AD62*O63+AE62*P63+AF62*Q63+AG62*R63+AH62*S63+AI62*T63</f>
        <v/>
      </c>
      <c r="AL63" s="9">
        <f>AVERAGE(L43:L62)</f>
        <v/>
      </c>
    </row>
    <row r="64">
      <c r="A64" s="7" t="n">
        <v>43281</v>
      </c>
      <c r="B64" s="8" t="n">
        <v>1250.45</v>
      </c>
      <c r="C64" s="8" t="n">
        <v>2.11</v>
      </c>
      <c r="D64" s="8" t="n">
        <v>0.74</v>
      </c>
      <c r="E64" s="8" t="n">
        <v>94.629997</v>
      </c>
      <c r="F64" s="8" t="n">
        <v>74.13</v>
      </c>
      <c r="G64" s="8" t="n">
        <v>16.09</v>
      </c>
      <c r="H64" s="8" t="n">
        <v>51.169998</v>
      </c>
      <c r="I64" s="8" t="n">
        <v>2718.370117</v>
      </c>
      <c r="J64" s="8" t="n">
        <v>84.276825</v>
      </c>
      <c r="L64" s="9">
        <f>LN(B64/B63)</f>
        <v/>
      </c>
      <c r="M64" s="9">
        <f>$M$1*(C64-C63)</f>
        <v/>
      </c>
      <c r="N64" s="9">
        <f>$N$1*(D64-D63)</f>
        <v/>
      </c>
      <c r="O64" s="9">
        <f>$O$1*LN(E64/E63)</f>
        <v/>
      </c>
      <c r="P64" s="9">
        <f>$P$1*LN(F64/F63)</f>
        <v/>
      </c>
      <c r="Q64" s="9">
        <f>$Q$1*(G64-G63)</f>
        <v/>
      </c>
      <c r="R64" s="9">
        <f>$R$1*(H64-H63)</f>
        <v/>
      </c>
      <c r="S64" s="9">
        <f>$S$1*LN(I64/I63)</f>
        <v/>
      </c>
      <c r="T64" s="9">
        <f>$T$1*LN(J64/J63)</f>
        <v/>
      </c>
      <c r="U64" s="9">
        <f>$W$12+$W$4*M64+$W$5*N64+$W$6*O64+$W$7*P64+$W$8*Q64+$W$9*R64+$W$10*S64+$W$11*T64</f>
        <v/>
      </c>
      <c r="AA64" s="10">
        <f>INDEX(LINEST(L45:L64,M45:T64,TRUE,TRUE),1,9)*4</f>
        <v/>
      </c>
      <c r="AB64" s="9">
        <f>INDEX(LINEST(L45:L64,M45:T64,TRUE,TRUE),1,8)</f>
        <v/>
      </c>
      <c r="AC64" s="9">
        <f>INDEX(LINEST(L45:L64,M45:T64,TRUE,TRUE),1,7)</f>
        <v/>
      </c>
      <c r="AD64" s="9">
        <f>INDEX(LINEST(L45:L64,M45:T64,TRUE,TRUE),1,6)</f>
        <v/>
      </c>
      <c r="AE64" s="9">
        <f>INDEX(LINEST(L45:L64,M45:T64,TRUE,TRUE),1,5)</f>
        <v/>
      </c>
      <c r="AF64" s="9">
        <f>INDEX(LINEST(L45:L64,M45:T64,TRUE,TRUE),1,4)</f>
        <v/>
      </c>
      <c r="AG64" s="9">
        <f>INDEX(LINEST(L45:L64,M45:T64,TRUE,TRUE),1,3)</f>
        <v/>
      </c>
      <c r="AH64" s="9">
        <f>INDEX(LINEST(L45:L64,M45:T64,TRUE,TRUE),1,2)</f>
        <v/>
      </c>
      <c r="AI64" s="9">
        <f>INDEX(LINEST(L45:L64,M45:T64,TRUE,TRUE),1,1)</f>
        <v/>
      </c>
      <c r="AJ64" s="10">
        <f>INDEX(LINEST(L45:L64,M45:T64,TRUE,TRUE),3,1)</f>
        <v/>
      </c>
      <c r="AK64" s="9">
        <f>AA63/4+AB63*M64+AC63*N64+AD63*O64+AE63*P64+AF63*Q64+AG63*R64+AH63*S64+AI63*T64</f>
        <v/>
      </c>
      <c r="AL64" s="9">
        <f>AVERAGE(L44:L63)</f>
        <v/>
      </c>
    </row>
    <row r="65">
      <c r="A65" s="7" t="n">
        <v>43373</v>
      </c>
      <c r="B65" s="8" t="n">
        <v>1187.25</v>
      </c>
      <c r="C65" s="8" t="n">
        <v>2.14</v>
      </c>
      <c r="D65" s="8" t="n">
        <v>0.91</v>
      </c>
      <c r="E65" s="8" t="n">
        <v>95.19000200000001</v>
      </c>
      <c r="F65" s="8" t="n">
        <v>73.16</v>
      </c>
      <c r="G65" s="8" t="n">
        <v>12.12</v>
      </c>
      <c r="H65" s="8" t="n">
        <v>46.16</v>
      </c>
      <c r="I65" s="8" t="n">
        <v>2913.97998</v>
      </c>
      <c r="J65" s="8" t="n">
        <v>84.20568799999999</v>
      </c>
      <c r="L65" s="9">
        <f>LN(B65/B64)</f>
        <v/>
      </c>
      <c r="M65" s="9">
        <f>$M$1*(C65-C64)</f>
        <v/>
      </c>
      <c r="N65" s="9">
        <f>$N$1*(D65-D64)</f>
        <v/>
      </c>
      <c r="O65" s="9">
        <f>$O$1*LN(E65/E64)</f>
        <v/>
      </c>
      <c r="P65" s="9">
        <f>$P$1*LN(F65/F64)</f>
        <v/>
      </c>
      <c r="Q65" s="9">
        <f>$Q$1*(G65-G64)</f>
        <v/>
      </c>
      <c r="R65" s="9">
        <f>$R$1*(H65-H64)</f>
        <v/>
      </c>
      <c r="S65" s="9">
        <f>$S$1*LN(I65/I64)</f>
        <v/>
      </c>
      <c r="T65" s="9">
        <f>$T$1*LN(J65/J64)</f>
        <v/>
      </c>
      <c r="U65" s="9">
        <f>$W$12+$W$4*M65+$W$5*N65+$W$6*O65+$W$7*P65+$W$8*Q65+$W$9*R65+$W$10*S65+$W$11*T65</f>
        <v/>
      </c>
      <c r="AA65" s="10">
        <f>INDEX(LINEST(L46:L65,M46:T65,TRUE,TRUE),1,9)*4</f>
        <v/>
      </c>
      <c r="AB65" s="9">
        <f>INDEX(LINEST(L46:L65,M46:T65,TRUE,TRUE),1,8)</f>
        <v/>
      </c>
      <c r="AC65" s="9">
        <f>INDEX(LINEST(L46:L65,M46:T65,TRUE,TRUE),1,7)</f>
        <v/>
      </c>
      <c r="AD65" s="9">
        <f>INDEX(LINEST(L46:L65,M46:T65,TRUE,TRUE),1,6)</f>
        <v/>
      </c>
      <c r="AE65" s="9">
        <f>INDEX(LINEST(L46:L65,M46:T65,TRUE,TRUE),1,5)</f>
        <v/>
      </c>
      <c r="AF65" s="9">
        <f>INDEX(LINEST(L46:L65,M46:T65,TRUE,TRUE),1,4)</f>
        <v/>
      </c>
      <c r="AG65" s="9">
        <f>INDEX(LINEST(L46:L65,M46:T65,TRUE,TRUE),1,3)</f>
        <v/>
      </c>
      <c r="AH65" s="9">
        <f>INDEX(LINEST(L46:L65,M46:T65,TRUE,TRUE),1,2)</f>
        <v/>
      </c>
      <c r="AI65" s="9">
        <f>INDEX(LINEST(L46:L65,M46:T65,TRUE,TRUE),1,1)</f>
        <v/>
      </c>
      <c r="AJ65" s="10">
        <f>INDEX(LINEST(L46:L65,M46:T65,TRUE,TRUE),3,1)</f>
        <v/>
      </c>
      <c r="AK65" s="9">
        <f>AA64/4+AB64*M65+AC64*N65+AD64*O65+AE64*P65+AF64*Q65+AG64*R65+AH64*S65+AI64*T65</f>
        <v/>
      </c>
      <c r="AL65" s="9">
        <f>AVERAGE(L45:L64)</f>
        <v/>
      </c>
    </row>
    <row r="66">
      <c r="A66" s="7" t="n">
        <v>43465</v>
      </c>
      <c r="B66" s="8" t="n">
        <v>1279</v>
      </c>
      <c r="C66" s="8" t="n">
        <v>1.71</v>
      </c>
      <c r="D66" s="8" t="n">
        <v>0.98</v>
      </c>
      <c r="E66" s="8" t="n">
        <v>96.16999800000001</v>
      </c>
      <c r="F66" s="8" t="n">
        <v>45.15</v>
      </c>
      <c r="G66" s="8" t="n">
        <v>25.42</v>
      </c>
      <c r="H66" s="8" t="n">
        <v>66.58000199999999</v>
      </c>
      <c r="I66" s="8" t="n">
        <v>2506.850098</v>
      </c>
      <c r="J66" s="8" t="n">
        <v>85.979187</v>
      </c>
      <c r="L66" s="9">
        <f>LN(B66/B65)</f>
        <v/>
      </c>
      <c r="M66" s="9">
        <f>$M$1*(C66-C65)</f>
        <v/>
      </c>
      <c r="N66" s="9">
        <f>$N$1*(D66-D65)</f>
        <v/>
      </c>
      <c r="O66" s="9">
        <f>$O$1*LN(E66/E65)</f>
        <v/>
      </c>
      <c r="P66" s="9">
        <f>$P$1*LN(F66/F65)</f>
        <v/>
      </c>
      <c r="Q66" s="9">
        <f>$Q$1*(G66-G65)</f>
        <v/>
      </c>
      <c r="R66" s="9">
        <f>$R$1*(H66-H65)</f>
        <v/>
      </c>
      <c r="S66" s="9">
        <f>$S$1*LN(I66/I65)</f>
        <v/>
      </c>
      <c r="T66" s="9">
        <f>$T$1*LN(J66/J65)</f>
        <v/>
      </c>
      <c r="U66" s="9">
        <f>$W$12+$W$4*M66+$W$5*N66+$W$6*O66+$W$7*P66+$W$8*Q66+$W$9*R66+$W$10*S66+$W$11*T66</f>
        <v/>
      </c>
      <c r="AA66" s="10">
        <f>INDEX(LINEST(L47:L66,M47:T66,TRUE,TRUE),1,9)*4</f>
        <v/>
      </c>
      <c r="AB66" s="9">
        <f>INDEX(LINEST(L47:L66,M47:T66,TRUE,TRUE),1,8)</f>
        <v/>
      </c>
      <c r="AC66" s="9">
        <f>INDEX(LINEST(L47:L66,M47:T66,TRUE,TRUE),1,7)</f>
        <v/>
      </c>
      <c r="AD66" s="9">
        <f>INDEX(LINEST(L47:L66,M47:T66,TRUE,TRUE),1,6)</f>
        <v/>
      </c>
      <c r="AE66" s="9">
        <f>INDEX(LINEST(L47:L66,M47:T66,TRUE,TRUE),1,5)</f>
        <v/>
      </c>
      <c r="AF66" s="9">
        <f>INDEX(LINEST(L47:L66,M47:T66,TRUE,TRUE),1,4)</f>
        <v/>
      </c>
      <c r="AG66" s="9">
        <f>INDEX(LINEST(L47:L66,M47:T66,TRUE,TRUE),1,3)</f>
        <v/>
      </c>
      <c r="AH66" s="9">
        <f>INDEX(LINEST(L47:L66,M47:T66,TRUE,TRUE),1,2)</f>
        <v/>
      </c>
      <c r="AI66" s="9">
        <f>INDEX(LINEST(L47:L66,M47:T66,TRUE,TRUE),1,1)</f>
        <v/>
      </c>
      <c r="AJ66" s="10">
        <f>INDEX(LINEST(L47:L66,M47:T66,TRUE,TRUE),3,1)</f>
        <v/>
      </c>
      <c r="AK66" s="9">
        <f>AA65/4+AB65*M66+AC65*N66+AD65*O66+AE65*P66+AF65*Q66+AG65*R66+AH65*S66+AI65*T66</f>
        <v/>
      </c>
      <c r="AL66" s="9">
        <f>AVERAGE(L46:L65)</f>
        <v/>
      </c>
    </row>
    <row r="67">
      <c r="A67" s="7" t="n">
        <v>43555</v>
      </c>
      <c r="B67" s="8" t="n">
        <v>1295.4</v>
      </c>
      <c r="C67" s="8" t="n">
        <v>1.88</v>
      </c>
      <c r="D67" s="8" t="n">
        <v>0.53</v>
      </c>
      <c r="E67" s="8" t="n">
        <v>97.279999</v>
      </c>
      <c r="F67" s="8" t="n">
        <v>60.19</v>
      </c>
      <c r="G67" s="8" t="n">
        <v>13.71</v>
      </c>
      <c r="H67" s="8" t="n">
        <v>58.549999</v>
      </c>
      <c r="I67" s="8" t="n">
        <v>2834.399902</v>
      </c>
      <c r="J67" s="8" t="n">
        <v>88.503128</v>
      </c>
      <c r="L67" s="9">
        <f>LN(B67/B66)</f>
        <v/>
      </c>
      <c r="M67" s="9">
        <f>$M$1*(C67-C66)</f>
        <v/>
      </c>
      <c r="N67" s="9">
        <f>$N$1*(D67-D66)</f>
        <v/>
      </c>
      <c r="O67" s="9">
        <f>$O$1*LN(E67/E66)</f>
        <v/>
      </c>
      <c r="P67" s="9">
        <f>$P$1*LN(F67/F66)</f>
        <v/>
      </c>
      <c r="Q67" s="9">
        <f>$Q$1*(G67-G66)</f>
        <v/>
      </c>
      <c r="R67" s="9">
        <f>$R$1*(H67-H66)</f>
        <v/>
      </c>
      <c r="S67" s="9">
        <f>$S$1*LN(I67/I66)</f>
        <v/>
      </c>
      <c r="T67" s="9">
        <f>$T$1*LN(J67/J66)</f>
        <v/>
      </c>
      <c r="U67" s="9">
        <f>$W$12+$W$4*M67+$W$5*N67+$W$6*O67+$W$7*P67+$W$8*Q67+$W$9*R67+$W$10*S67+$W$11*T67</f>
        <v/>
      </c>
      <c r="AA67" s="10">
        <f>INDEX(LINEST(L48:L67,M48:T67,TRUE,TRUE),1,9)*4</f>
        <v/>
      </c>
      <c r="AB67" s="9">
        <f>INDEX(LINEST(L48:L67,M48:T67,TRUE,TRUE),1,8)</f>
        <v/>
      </c>
      <c r="AC67" s="9">
        <f>INDEX(LINEST(L48:L67,M48:T67,TRUE,TRUE),1,7)</f>
        <v/>
      </c>
      <c r="AD67" s="9">
        <f>INDEX(LINEST(L48:L67,M48:T67,TRUE,TRUE),1,6)</f>
        <v/>
      </c>
      <c r="AE67" s="9">
        <f>INDEX(LINEST(L48:L67,M48:T67,TRUE,TRUE),1,5)</f>
        <v/>
      </c>
      <c r="AF67" s="9">
        <f>INDEX(LINEST(L48:L67,M48:T67,TRUE,TRUE),1,4)</f>
        <v/>
      </c>
      <c r="AG67" s="9">
        <f>INDEX(LINEST(L48:L67,M48:T67,TRUE,TRUE),1,3)</f>
        <v/>
      </c>
      <c r="AH67" s="9">
        <f>INDEX(LINEST(L48:L67,M48:T67,TRUE,TRUE),1,2)</f>
        <v/>
      </c>
      <c r="AI67" s="9">
        <f>INDEX(LINEST(L48:L67,M48:T67,TRUE,TRUE),1,1)</f>
        <v/>
      </c>
      <c r="AJ67" s="10">
        <f>INDEX(LINEST(L48:L67,M48:T67,TRUE,TRUE),3,1)</f>
        <v/>
      </c>
      <c r="AK67" s="9">
        <f>AA66/4+AB66*M67+AC66*N67+AD66*O67+AE66*P67+AF66*Q67+AG66*R67+AH66*S67+AI66*T67</f>
        <v/>
      </c>
      <c r="AL67" s="9">
        <f>AVERAGE(L47:L66)</f>
        <v/>
      </c>
    </row>
    <row r="68">
      <c r="A68" s="7" t="n">
        <v>43646</v>
      </c>
      <c r="B68" s="8" t="n">
        <v>1409</v>
      </c>
      <c r="C68" s="8" t="n">
        <v>1.69</v>
      </c>
      <c r="D68" s="8" t="n">
        <v>0.31</v>
      </c>
      <c r="E68" s="8" t="n">
        <v>96.129997</v>
      </c>
      <c r="F68" s="8" t="n">
        <v>58.2</v>
      </c>
      <c r="G68" s="8" t="n">
        <v>15.08</v>
      </c>
      <c r="H68" s="8" t="n">
        <v>70.43000000000001</v>
      </c>
      <c r="I68" s="8" t="n">
        <v>2941.76001</v>
      </c>
      <c r="J68" s="8" t="n">
        <v>91.002441</v>
      </c>
      <c r="L68" s="9">
        <f>LN(B68/B67)</f>
        <v/>
      </c>
      <c r="M68" s="9">
        <f>$M$1*(C68-C67)</f>
        <v/>
      </c>
      <c r="N68" s="9">
        <f>$N$1*(D68-D67)</f>
        <v/>
      </c>
      <c r="O68" s="9">
        <f>$O$1*LN(E68/E67)</f>
        <v/>
      </c>
      <c r="P68" s="9">
        <f>$P$1*LN(F68/F67)</f>
        <v/>
      </c>
      <c r="Q68" s="9">
        <f>$Q$1*(G68-G67)</f>
        <v/>
      </c>
      <c r="R68" s="9">
        <f>$R$1*(H68-H67)</f>
        <v/>
      </c>
      <c r="S68" s="9">
        <f>$S$1*LN(I68/I67)</f>
        <v/>
      </c>
      <c r="T68" s="9">
        <f>$T$1*LN(J68/J67)</f>
        <v/>
      </c>
      <c r="U68" s="9">
        <f>$W$12+$W$4*M68+$W$5*N68+$W$6*O68+$W$7*P68+$W$8*Q68+$W$9*R68+$W$10*S68+$W$11*T68</f>
        <v/>
      </c>
      <c r="AA68" s="10">
        <f>INDEX(LINEST(L49:L68,M49:T68,TRUE,TRUE),1,9)*4</f>
        <v/>
      </c>
      <c r="AB68" s="9">
        <f>INDEX(LINEST(L49:L68,M49:T68,TRUE,TRUE),1,8)</f>
        <v/>
      </c>
      <c r="AC68" s="9">
        <f>INDEX(LINEST(L49:L68,M49:T68,TRUE,TRUE),1,7)</f>
        <v/>
      </c>
      <c r="AD68" s="9">
        <f>INDEX(LINEST(L49:L68,M49:T68,TRUE,TRUE),1,6)</f>
        <v/>
      </c>
      <c r="AE68" s="9">
        <f>INDEX(LINEST(L49:L68,M49:T68,TRUE,TRUE),1,5)</f>
        <v/>
      </c>
      <c r="AF68" s="9">
        <f>INDEX(LINEST(L49:L68,M49:T68,TRUE,TRUE),1,4)</f>
        <v/>
      </c>
      <c r="AG68" s="9">
        <f>INDEX(LINEST(L49:L68,M49:T68,TRUE,TRUE),1,3)</f>
        <v/>
      </c>
      <c r="AH68" s="9">
        <f>INDEX(LINEST(L49:L68,M49:T68,TRUE,TRUE),1,2)</f>
        <v/>
      </c>
      <c r="AI68" s="9">
        <f>INDEX(LINEST(L49:L68,M49:T68,TRUE,TRUE),1,1)</f>
        <v/>
      </c>
      <c r="AJ68" s="10">
        <f>INDEX(LINEST(L49:L68,M49:T68,TRUE,TRUE),3,1)</f>
        <v/>
      </c>
      <c r="AK68" s="9">
        <f>AA67/4+AB67*M68+AC67*N68+AD67*O68+AE67*P68+AF67*Q68+AG67*R68+AH67*S68+AI67*T68</f>
        <v/>
      </c>
      <c r="AL68" s="9">
        <f>AVERAGE(L48:L67)</f>
        <v/>
      </c>
    </row>
    <row r="69">
      <c r="A69" s="7" t="n">
        <v>43738</v>
      </c>
      <c r="B69" s="8" t="n">
        <v>1485.3</v>
      </c>
      <c r="C69" s="8" t="n">
        <v>1.53</v>
      </c>
      <c r="D69" s="8" t="n">
        <v>0.15</v>
      </c>
      <c r="E69" s="8" t="n">
        <v>99.379997</v>
      </c>
      <c r="F69" s="8" t="n">
        <v>54.09</v>
      </c>
      <c r="G69" s="8" t="n">
        <v>16.24</v>
      </c>
      <c r="H69" s="8" t="n">
        <v>77.199997</v>
      </c>
      <c r="I69" s="8" t="n">
        <v>2976.73999</v>
      </c>
      <c r="J69" s="8" t="n">
        <v>93.131332</v>
      </c>
      <c r="L69" s="9">
        <f>LN(B69/B68)</f>
        <v/>
      </c>
      <c r="M69" s="9">
        <f>$M$1*(C69-C68)</f>
        <v/>
      </c>
      <c r="N69" s="9">
        <f>$N$1*(D69-D68)</f>
        <v/>
      </c>
      <c r="O69" s="9">
        <f>$O$1*LN(E69/E68)</f>
        <v/>
      </c>
      <c r="P69" s="9">
        <f>$P$1*LN(F69/F68)</f>
        <v/>
      </c>
      <c r="Q69" s="9">
        <f>$Q$1*(G69-G68)</f>
        <v/>
      </c>
      <c r="R69" s="9">
        <f>$R$1*(H69-H68)</f>
        <v/>
      </c>
      <c r="S69" s="9">
        <f>$S$1*LN(I69/I68)</f>
        <v/>
      </c>
      <c r="T69" s="9">
        <f>$T$1*LN(J69/J68)</f>
        <v/>
      </c>
      <c r="U69" s="9">
        <f>$W$12+$W$4*M69+$W$5*N69+$W$6*O69+$W$7*P69+$W$8*Q69+$W$9*R69+$W$10*S69+$W$11*T69</f>
        <v/>
      </c>
      <c r="AA69" s="10">
        <f>INDEX(LINEST(L50:L69,M50:T69,TRUE,TRUE),1,9)*4</f>
        <v/>
      </c>
      <c r="AB69" s="9">
        <f>INDEX(LINEST(L50:L69,M50:T69,TRUE,TRUE),1,8)</f>
        <v/>
      </c>
      <c r="AC69" s="9">
        <f>INDEX(LINEST(L50:L69,M50:T69,TRUE,TRUE),1,7)</f>
        <v/>
      </c>
      <c r="AD69" s="9">
        <f>INDEX(LINEST(L50:L69,M50:T69,TRUE,TRUE),1,6)</f>
        <v/>
      </c>
      <c r="AE69" s="9">
        <f>INDEX(LINEST(L50:L69,M50:T69,TRUE,TRUE),1,5)</f>
        <v/>
      </c>
      <c r="AF69" s="9">
        <f>INDEX(LINEST(L50:L69,M50:T69,TRUE,TRUE),1,4)</f>
        <v/>
      </c>
      <c r="AG69" s="9">
        <f>INDEX(LINEST(L50:L69,M50:T69,TRUE,TRUE),1,3)</f>
        <v/>
      </c>
      <c r="AH69" s="9">
        <f>INDEX(LINEST(L50:L69,M50:T69,TRUE,TRUE),1,2)</f>
        <v/>
      </c>
      <c r="AI69" s="9">
        <f>INDEX(LINEST(L50:L69,M50:T69,TRUE,TRUE),1,1)</f>
        <v/>
      </c>
      <c r="AJ69" s="10">
        <f>INDEX(LINEST(L50:L69,M50:T69,TRUE,TRUE),3,1)</f>
        <v/>
      </c>
      <c r="AK69" s="9">
        <f>AA68/4+AB68*M69+AC68*N69+AD68*O69+AE68*P69+AF68*Q69+AG68*R69+AH68*S69+AI68*T69</f>
        <v/>
      </c>
      <c r="AL69" s="9">
        <f>AVERAGE(L49:L68)</f>
        <v/>
      </c>
    </row>
    <row r="70">
      <c r="A70" s="7" t="n">
        <v>43830</v>
      </c>
      <c r="B70" s="8" t="n">
        <v>1514.75</v>
      </c>
      <c r="C70" s="8" t="n">
        <v>1.77</v>
      </c>
      <c r="D70" s="8" t="n">
        <v>0.15</v>
      </c>
      <c r="E70" s="8" t="n">
        <v>96.389999</v>
      </c>
      <c r="F70" s="8" t="n">
        <v>61.14</v>
      </c>
      <c r="G70" s="8" t="n">
        <v>13.78</v>
      </c>
      <c r="H70" s="8" t="n">
        <v>58.279999</v>
      </c>
      <c r="I70" s="8" t="n">
        <v>3230.780029</v>
      </c>
      <c r="J70" s="8" t="n">
        <v>93.249306</v>
      </c>
      <c r="L70" s="9">
        <f>LN(B70/B69)</f>
        <v/>
      </c>
      <c r="M70" s="9">
        <f>$M$1*(C70-C69)</f>
        <v/>
      </c>
      <c r="N70" s="9">
        <f>$N$1*(D70-D69)</f>
        <v/>
      </c>
      <c r="O70" s="9">
        <f>$O$1*LN(E70/E69)</f>
        <v/>
      </c>
      <c r="P70" s="9">
        <f>$P$1*LN(F70/F69)</f>
        <v/>
      </c>
      <c r="Q70" s="9">
        <f>$Q$1*(G70-G69)</f>
        <v/>
      </c>
      <c r="R70" s="9">
        <f>$R$1*(H70-H69)</f>
        <v/>
      </c>
      <c r="S70" s="9">
        <f>$S$1*LN(I70/I69)</f>
        <v/>
      </c>
      <c r="T70" s="9">
        <f>$T$1*LN(J70/J69)</f>
        <v/>
      </c>
      <c r="U70" s="9">
        <f>$W$12+$W$4*M70+$W$5*N70+$W$6*O70+$W$7*P70+$W$8*Q70+$W$9*R70+$W$10*S70+$W$11*T70</f>
        <v/>
      </c>
      <c r="AA70" s="10">
        <f>INDEX(LINEST(L51:L70,M51:T70,TRUE,TRUE),1,9)*4</f>
        <v/>
      </c>
      <c r="AB70" s="9">
        <f>INDEX(LINEST(L51:L70,M51:T70,TRUE,TRUE),1,8)</f>
        <v/>
      </c>
      <c r="AC70" s="9">
        <f>INDEX(LINEST(L51:L70,M51:T70,TRUE,TRUE),1,7)</f>
        <v/>
      </c>
      <c r="AD70" s="9">
        <f>INDEX(LINEST(L51:L70,M51:T70,TRUE,TRUE),1,6)</f>
        <v/>
      </c>
      <c r="AE70" s="9">
        <f>INDEX(LINEST(L51:L70,M51:T70,TRUE,TRUE),1,5)</f>
        <v/>
      </c>
      <c r="AF70" s="9">
        <f>INDEX(LINEST(L51:L70,M51:T70,TRUE,TRUE),1,4)</f>
        <v/>
      </c>
      <c r="AG70" s="9">
        <f>INDEX(LINEST(L51:L70,M51:T70,TRUE,TRUE),1,3)</f>
        <v/>
      </c>
      <c r="AH70" s="9">
        <f>INDEX(LINEST(L51:L70,M51:T70,TRUE,TRUE),1,2)</f>
        <v/>
      </c>
      <c r="AI70" s="9">
        <f>INDEX(LINEST(L51:L70,M51:T70,TRUE,TRUE),1,1)</f>
        <v/>
      </c>
      <c r="AJ70" s="10">
        <f>INDEX(LINEST(L51:L70,M51:T70,TRUE,TRUE),3,1)</f>
        <v/>
      </c>
      <c r="AK70" s="9">
        <f>AA69/4+AB69*M70+AC69*N70+AD69*O70+AE69*P70+AF69*Q70+AG69*R70+AH69*S70+AI69*T70</f>
        <v/>
      </c>
      <c r="AL70" s="9">
        <f>AVERAGE(L50:L69)</f>
        <v/>
      </c>
    </row>
    <row r="71">
      <c r="A71" s="7" t="n">
        <v>43921</v>
      </c>
      <c r="B71" s="8" t="n">
        <v>1608.95</v>
      </c>
      <c r="C71" s="8" t="n">
        <v>0.87</v>
      </c>
      <c r="D71" s="8" t="n">
        <v>-0.17</v>
      </c>
      <c r="E71" s="8" t="n">
        <v>99.050003</v>
      </c>
      <c r="F71" s="8" t="n">
        <v>20.51</v>
      </c>
      <c r="G71" s="8" t="n">
        <v>53.54</v>
      </c>
      <c r="H71" s="8" t="n">
        <v>83.870003</v>
      </c>
      <c r="I71" s="8" t="n">
        <v>2584.590088</v>
      </c>
      <c r="J71" s="8" t="n">
        <v>96.13986199999999</v>
      </c>
      <c r="L71" s="9">
        <f>LN(B71/B70)</f>
        <v/>
      </c>
      <c r="M71" s="9">
        <f>$M$1*(C71-C70)</f>
        <v/>
      </c>
      <c r="N71" s="9">
        <f>$N$1*(D71-D70)</f>
        <v/>
      </c>
      <c r="O71" s="9">
        <f>$O$1*LN(E71/E70)</f>
        <v/>
      </c>
      <c r="P71" s="9">
        <f>$P$1*LN(F71/F70)</f>
        <v/>
      </c>
      <c r="Q71" s="9">
        <f>$Q$1*(G71-G70)</f>
        <v/>
      </c>
      <c r="R71" s="9">
        <f>$R$1*(H71-H70)</f>
        <v/>
      </c>
      <c r="S71" s="9">
        <f>$S$1*LN(I71/I70)</f>
        <v/>
      </c>
      <c r="T71" s="9">
        <f>$T$1*LN(J71/J70)</f>
        <v/>
      </c>
      <c r="U71" s="9">
        <f>$W$12+$W$4*M71+$W$5*N71+$W$6*O71+$W$7*P71+$W$8*Q71+$W$9*R71+$W$10*S71+$W$11*T71</f>
        <v/>
      </c>
      <c r="AA71" s="10">
        <f>INDEX(LINEST(L52:L71,M52:T71,TRUE,TRUE),1,9)*4</f>
        <v/>
      </c>
      <c r="AB71" s="9">
        <f>INDEX(LINEST(L52:L71,M52:T71,TRUE,TRUE),1,8)</f>
        <v/>
      </c>
      <c r="AC71" s="9">
        <f>INDEX(LINEST(L52:L71,M52:T71,TRUE,TRUE),1,7)</f>
        <v/>
      </c>
      <c r="AD71" s="9">
        <f>INDEX(LINEST(L52:L71,M52:T71,TRUE,TRUE),1,6)</f>
        <v/>
      </c>
      <c r="AE71" s="9">
        <f>INDEX(LINEST(L52:L71,M52:T71,TRUE,TRUE),1,5)</f>
        <v/>
      </c>
      <c r="AF71" s="9">
        <f>INDEX(LINEST(L52:L71,M52:T71,TRUE,TRUE),1,4)</f>
        <v/>
      </c>
      <c r="AG71" s="9">
        <f>INDEX(LINEST(L52:L71,M52:T71,TRUE,TRUE),1,3)</f>
        <v/>
      </c>
      <c r="AH71" s="9">
        <f>INDEX(LINEST(L52:L71,M52:T71,TRUE,TRUE),1,2)</f>
        <v/>
      </c>
      <c r="AI71" s="9">
        <f>INDEX(LINEST(L52:L71,M52:T71,TRUE,TRUE),1,1)</f>
        <v/>
      </c>
      <c r="AJ71" s="10">
        <f>INDEX(LINEST(L52:L71,M52:T71,TRUE,TRUE),3,1)</f>
        <v/>
      </c>
      <c r="AK71" s="9">
        <f>AA70/4+AB70*M71+AC70*N71+AD70*O71+AE70*P71+AF70*Q71+AG70*R71+AH70*S71+AI70*T71</f>
        <v/>
      </c>
      <c r="AL71" s="9">
        <f>AVERAGE(L51:L70)</f>
        <v/>
      </c>
    </row>
    <row r="72">
      <c r="A72" s="7" t="n">
        <v>44012</v>
      </c>
      <c r="B72" s="8" t="n">
        <v>1768.1</v>
      </c>
      <c r="C72" s="8" t="n">
        <v>1.34</v>
      </c>
      <c r="D72" s="8" t="n">
        <v>-0.68</v>
      </c>
      <c r="E72" s="8" t="n">
        <v>97.389999</v>
      </c>
      <c r="F72" s="8" t="n">
        <v>39.27</v>
      </c>
      <c r="G72" s="8" t="n">
        <v>30.43</v>
      </c>
      <c r="H72" s="8" t="n">
        <v>54.130001</v>
      </c>
      <c r="I72" s="8" t="n">
        <v>3100.290039</v>
      </c>
      <c r="J72" s="8" t="n">
        <v>99.099182</v>
      </c>
      <c r="L72" s="9">
        <f>LN(B72/B71)</f>
        <v/>
      </c>
      <c r="M72" s="9">
        <f>$M$1*(C72-C71)</f>
        <v/>
      </c>
      <c r="N72" s="9">
        <f>$N$1*(D72-D71)</f>
        <v/>
      </c>
      <c r="O72" s="9">
        <f>$O$1*LN(E72/E71)</f>
        <v/>
      </c>
      <c r="P72" s="9">
        <f>$P$1*LN(F72/F71)</f>
        <v/>
      </c>
      <c r="Q72" s="9">
        <f>$Q$1*(G72-G71)</f>
        <v/>
      </c>
      <c r="R72" s="9">
        <f>$R$1*(H72-H71)</f>
        <v/>
      </c>
      <c r="S72" s="9">
        <f>$S$1*LN(I72/I71)</f>
        <v/>
      </c>
      <c r="T72" s="9">
        <f>$T$1*LN(J72/J71)</f>
        <v/>
      </c>
      <c r="U72" s="9">
        <f>$W$12+$W$4*M72+$W$5*N72+$W$6*O72+$W$7*P72+$W$8*Q72+$W$9*R72+$W$10*S72+$W$11*T72</f>
        <v/>
      </c>
      <c r="AA72" s="10">
        <f>INDEX(LINEST(L53:L72,M53:T72,TRUE,TRUE),1,9)*4</f>
        <v/>
      </c>
      <c r="AB72" s="9">
        <f>INDEX(LINEST(L53:L72,M53:T72,TRUE,TRUE),1,8)</f>
        <v/>
      </c>
      <c r="AC72" s="9">
        <f>INDEX(LINEST(L53:L72,M53:T72,TRUE,TRUE),1,7)</f>
        <v/>
      </c>
      <c r="AD72" s="9">
        <f>INDEX(LINEST(L53:L72,M53:T72,TRUE,TRUE),1,6)</f>
        <v/>
      </c>
      <c r="AE72" s="9">
        <f>INDEX(LINEST(L53:L72,M53:T72,TRUE,TRUE),1,5)</f>
        <v/>
      </c>
      <c r="AF72" s="9">
        <f>INDEX(LINEST(L53:L72,M53:T72,TRUE,TRUE),1,4)</f>
        <v/>
      </c>
      <c r="AG72" s="9">
        <f>INDEX(LINEST(L53:L72,M53:T72,TRUE,TRUE),1,3)</f>
        <v/>
      </c>
      <c r="AH72" s="9">
        <f>INDEX(LINEST(L53:L72,M53:T72,TRUE,TRUE),1,2)</f>
        <v/>
      </c>
      <c r="AI72" s="9">
        <f>INDEX(LINEST(L53:L72,M53:T72,TRUE,TRUE),1,1)</f>
        <v/>
      </c>
      <c r="AJ72" s="10">
        <f>INDEX(LINEST(L53:L72,M53:T72,TRUE,TRUE),3,1)</f>
        <v/>
      </c>
      <c r="AK72" s="9">
        <f>AA71/4+AB71*M72+AC71*N72+AD71*O72+AE71*P72+AF71*Q72+AG71*R72+AH71*S72+AI71*T72</f>
        <v/>
      </c>
      <c r="AL72" s="9">
        <f>AVERAGE(L52:L71)</f>
        <v/>
      </c>
    </row>
    <row r="73">
      <c r="A73" s="7" t="n">
        <v>44104</v>
      </c>
      <c r="B73" s="8" t="n">
        <v>1886.9</v>
      </c>
      <c r="C73" s="8" t="n">
        <v>1.63</v>
      </c>
      <c r="D73" s="8" t="n">
        <v>-0.9399999999999999</v>
      </c>
      <c r="E73" s="8" t="n">
        <v>93.889999</v>
      </c>
      <c r="F73" s="8" t="n">
        <v>40.05</v>
      </c>
      <c r="G73" s="8" t="n">
        <v>26.37</v>
      </c>
      <c r="H73" s="8" t="n">
        <v>39.209999</v>
      </c>
      <c r="I73" s="8" t="n">
        <v>3363</v>
      </c>
      <c r="J73" s="8" t="n">
        <v>99.496353</v>
      </c>
      <c r="L73" s="9">
        <f>LN(B73/B72)</f>
        <v/>
      </c>
      <c r="M73" s="9">
        <f>$M$1*(C73-C72)</f>
        <v/>
      </c>
      <c r="N73" s="9">
        <f>$N$1*(D73-D72)</f>
        <v/>
      </c>
      <c r="O73" s="9">
        <f>$O$1*LN(E73/E72)</f>
        <v/>
      </c>
      <c r="P73" s="9">
        <f>$P$1*LN(F73/F72)</f>
        <v/>
      </c>
      <c r="Q73" s="9">
        <f>$Q$1*(G73-G72)</f>
        <v/>
      </c>
      <c r="R73" s="9">
        <f>$R$1*(H73-H72)</f>
        <v/>
      </c>
      <c r="S73" s="9">
        <f>$S$1*LN(I73/I72)</f>
        <v/>
      </c>
      <c r="T73" s="9">
        <f>$T$1*LN(J73/J72)</f>
        <v/>
      </c>
      <c r="U73" s="9">
        <f>$W$12+$W$4*M73+$W$5*N73+$W$6*O73+$W$7*P73+$W$8*Q73+$W$9*R73+$W$10*S73+$W$11*T73</f>
        <v/>
      </c>
      <c r="AA73" s="10">
        <f>INDEX(LINEST(L54:L73,M54:T73,TRUE,TRUE),1,9)*4</f>
        <v/>
      </c>
      <c r="AB73" s="9">
        <f>INDEX(LINEST(L54:L73,M54:T73,TRUE,TRUE),1,8)</f>
        <v/>
      </c>
      <c r="AC73" s="9">
        <f>INDEX(LINEST(L54:L73,M54:T73,TRUE,TRUE),1,7)</f>
        <v/>
      </c>
      <c r="AD73" s="9">
        <f>INDEX(LINEST(L54:L73,M54:T73,TRUE,TRUE),1,6)</f>
        <v/>
      </c>
      <c r="AE73" s="9">
        <f>INDEX(LINEST(L54:L73,M54:T73,TRUE,TRUE),1,5)</f>
        <v/>
      </c>
      <c r="AF73" s="9">
        <f>INDEX(LINEST(L54:L73,M54:T73,TRUE,TRUE),1,4)</f>
        <v/>
      </c>
      <c r="AG73" s="9">
        <f>INDEX(LINEST(L54:L73,M54:T73,TRUE,TRUE),1,3)</f>
        <v/>
      </c>
      <c r="AH73" s="9">
        <f>INDEX(LINEST(L54:L73,M54:T73,TRUE,TRUE),1,2)</f>
        <v/>
      </c>
      <c r="AI73" s="9">
        <f>INDEX(LINEST(L54:L73,M54:T73,TRUE,TRUE),1,1)</f>
        <v/>
      </c>
      <c r="AJ73" s="10">
        <f>INDEX(LINEST(L54:L73,M54:T73,TRUE,TRUE),3,1)</f>
        <v/>
      </c>
      <c r="AK73" s="9">
        <f>AA72/4+AB72*M73+AC72*N73+AD72*O73+AE72*P73+AF72*Q73+AG72*R73+AH72*S73+AI72*T73</f>
        <v/>
      </c>
      <c r="AL73" s="9">
        <f>AVERAGE(L53:L72)</f>
        <v/>
      </c>
    </row>
    <row r="74">
      <c r="A74" s="7" t="n">
        <v>44196</v>
      </c>
      <c r="B74" s="8" t="n">
        <v>1887.6</v>
      </c>
      <c r="C74" s="8" t="n">
        <v>1.99</v>
      </c>
      <c r="D74" s="8" t="n">
        <v>-1.06</v>
      </c>
      <c r="E74" s="8" t="n">
        <v>89.94000200000001</v>
      </c>
      <c r="F74" s="8" t="n">
        <v>48.35</v>
      </c>
      <c r="G74" s="8" t="n">
        <v>22.75</v>
      </c>
      <c r="H74" s="8" t="n">
        <v>48.98</v>
      </c>
      <c r="I74" s="8" t="n">
        <v>3756.070068</v>
      </c>
      <c r="J74" s="8" t="n">
        <v>100.220718</v>
      </c>
      <c r="L74" s="9">
        <f>LN(B74/B73)</f>
        <v/>
      </c>
      <c r="M74" s="9">
        <f>$M$1*(C74-C73)</f>
        <v/>
      </c>
      <c r="N74" s="9">
        <f>$N$1*(D74-D73)</f>
        <v/>
      </c>
      <c r="O74" s="9">
        <f>$O$1*LN(E74/E73)</f>
        <v/>
      </c>
      <c r="P74" s="9">
        <f>$P$1*LN(F74/F73)</f>
        <v/>
      </c>
      <c r="Q74" s="9">
        <f>$Q$1*(G74-G73)</f>
        <v/>
      </c>
      <c r="R74" s="9">
        <f>$R$1*(H74-H73)</f>
        <v/>
      </c>
      <c r="S74" s="9">
        <f>$S$1*LN(I74/I73)</f>
        <v/>
      </c>
      <c r="T74" s="9">
        <f>$T$1*LN(J74/J73)</f>
        <v/>
      </c>
      <c r="U74" s="9">
        <f>$W$12+$W$4*M74+$W$5*N74+$W$6*O74+$W$7*P74+$W$8*Q74+$W$9*R74+$W$10*S74+$W$11*T74</f>
        <v/>
      </c>
      <c r="AA74" s="10">
        <f>INDEX(LINEST(L55:L74,M55:T74,TRUE,TRUE),1,9)*4</f>
        <v/>
      </c>
      <c r="AB74" s="9">
        <f>INDEX(LINEST(L55:L74,M55:T74,TRUE,TRUE),1,8)</f>
        <v/>
      </c>
      <c r="AC74" s="9">
        <f>INDEX(LINEST(L55:L74,M55:T74,TRUE,TRUE),1,7)</f>
        <v/>
      </c>
      <c r="AD74" s="9">
        <f>INDEX(LINEST(L55:L74,M55:T74,TRUE,TRUE),1,6)</f>
        <v/>
      </c>
      <c r="AE74" s="9">
        <f>INDEX(LINEST(L55:L74,M55:T74,TRUE,TRUE),1,5)</f>
        <v/>
      </c>
      <c r="AF74" s="9">
        <f>INDEX(LINEST(L55:L74,M55:T74,TRUE,TRUE),1,4)</f>
        <v/>
      </c>
      <c r="AG74" s="9">
        <f>INDEX(LINEST(L55:L74,M55:T74,TRUE,TRUE),1,3)</f>
        <v/>
      </c>
      <c r="AH74" s="9">
        <f>INDEX(LINEST(L55:L74,M55:T74,TRUE,TRUE),1,2)</f>
        <v/>
      </c>
      <c r="AI74" s="9">
        <f>INDEX(LINEST(L55:L74,M55:T74,TRUE,TRUE),1,1)</f>
        <v/>
      </c>
      <c r="AJ74" s="10">
        <f>INDEX(LINEST(L55:L74,M55:T74,TRUE,TRUE),3,1)</f>
        <v/>
      </c>
      <c r="AK74" s="9">
        <f>AA73/4+AB73*M74+AC73*N74+AD73*O74+AE73*P74+AF73*Q74+AG73*R74+AH73*S74+AI73*T74</f>
        <v/>
      </c>
      <c r="AL74" s="9">
        <f>AVERAGE(L54:L73)</f>
        <v/>
      </c>
    </row>
    <row r="75">
      <c r="A75" s="7" t="n">
        <v>44286</v>
      </c>
      <c r="B75" s="8" t="n">
        <v>1691.05</v>
      </c>
      <c r="C75" s="8" t="n">
        <v>2.37</v>
      </c>
      <c r="D75" s="8" t="n">
        <v>-0.63</v>
      </c>
      <c r="E75" s="8" t="n">
        <v>93.230003</v>
      </c>
      <c r="F75" s="8" t="n">
        <v>59.19</v>
      </c>
      <c r="G75" s="8" t="n">
        <v>19.4</v>
      </c>
      <c r="H75" s="8" t="n">
        <v>71.269997</v>
      </c>
      <c r="I75" s="8" t="n">
        <v>3972.889893</v>
      </c>
      <c r="J75" s="8" t="n">
        <v>96.841354</v>
      </c>
      <c r="L75" s="9">
        <f>LN(B75/B74)</f>
        <v/>
      </c>
      <c r="M75" s="9">
        <f>$M$1*(C75-C74)</f>
        <v/>
      </c>
      <c r="N75" s="9">
        <f>$N$1*(D75-D74)</f>
        <v/>
      </c>
      <c r="O75" s="9">
        <f>$O$1*LN(E75/E74)</f>
        <v/>
      </c>
      <c r="P75" s="9">
        <f>$P$1*LN(F75/F74)</f>
        <v/>
      </c>
      <c r="Q75" s="9">
        <f>$Q$1*(G75-G74)</f>
        <v/>
      </c>
      <c r="R75" s="9">
        <f>$R$1*(H75-H74)</f>
        <v/>
      </c>
      <c r="S75" s="9">
        <f>$S$1*LN(I75/I74)</f>
        <v/>
      </c>
      <c r="T75" s="9">
        <f>$T$1*LN(J75/J74)</f>
        <v/>
      </c>
      <c r="U75" s="9">
        <f>$W$12+$W$4*M75+$W$5*N75+$W$6*O75+$W$7*P75+$W$8*Q75+$W$9*R75+$W$10*S75+$W$11*T75</f>
        <v/>
      </c>
      <c r="AA75" s="10">
        <f>INDEX(LINEST(L56:L75,M56:T75,TRUE,TRUE),1,9)*4</f>
        <v/>
      </c>
      <c r="AB75" s="9">
        <f>INDEX(LINEST(L56:L75,M56:T75,TRUE,TRUE),1,8)</f>
        <v/>
      </c>
      <c r="AC75" s="9">
        <f>INDEX(LINEST(L56:L75,M56:T75,TRUE,TRUE),1,7)</f>
        <v/>
      </c>
      <c r="AD75" s="9">
        <f>INDEX(LINEST(L56:L75,M56:T75,TRUE,TRUE),1,6)</f>
        <v/>
      </c>
      <c r="AE75" s="9">
        <f>INDEX(LINEST(L56:L75,M56:T75,TRUE,TRUE),1,5)</f>
        <v/>
      </c>
      <c r="AF75" s="9">
        <f>INDEX(LINEST(L56:L75,M56:T75,TRUE,TRUE),1,4)</f>
        <v/>
      </c>
      <c r="AG75" s="9">
        <f>INDEX(LINEST(L56:L75,M56:T75,TRUE,TRUE),1,3)</f>
        <v/>
      </c>
      <c r="AH75" s="9">
        <f>INDEX(LINEST(L56:L75,M56:T75,TRUE,TRUE),1,2)</f>
        <v/>
      </c>
      <c r="AI75" s="9">
        <f>INDEX(LINEST(L56:L75,M56:T75,TRUE,TRUE),1,1)</f>
        <v/>
      </c>
      <c r="AJ75" s="10">
        <f>INDEX(LINEST(L56:L75,M56:T75,TRUE,TRUE),3,1)</f>
        <v/>
      </c>
      <c r="AK75" s="9">
        <f>AA74/4+AB74*M75+AC74*N75+AD74*O75+AE74*P75+AF74*Q75+AG74*R75+AH74*S75+AI74*T75</f>
        <v/>
      </c>
      <c r="AL75" s="9">
        <f>AVERAGE(L55:L74)</f>
        <v/>
      </c>
    </row>
    <row r="76">
      <c r="A76" s="7" t="n">
        <v>44377</v>
      </c>
      <c r="B76" s="8" t="n">
        <v>1763.15</v>
      </c>
      <c r="C76" s="8" t="n">
        <v>2.32</v>
      </c>
      <c r="D76" s="8" t="n">
        <v>-0.87</v>
      </c>
      <c r="E76" s="8" t="n">
        <v>92.44000200000001</v>
      </c>
      <c r="F76" s="8" t="n">
        <v>73.52</v>
      </c>
      <c r="G76" s="8" t="n">
        <v>15.83</v>
      </c>
      <c r="H76" s="8" t="n">
        <v>57.27</v>
      </c>
      <c r="I76" s="8" t="n">
        <v>4297.5</v>
      </c>
      <c r="J76" s="8" t="n">
        <v>98.55832700000001</v>
      </c>
      <c r="L76" s="9">
        <f>LN(B76/B75)</f>
        <v/>
      </c>
      <c r="M76" s="9">
        <f>$M$1*(C76-C75)</f>
        <v/>
      </c>
      <c r="N76" s="9">
        <f>$N$1*(D76-D75)</f>
        <v/>
      </c>
      <c r="O76" s="9">
        <f>$O$1*LN(E76/E75)</f>
        <v/>
      </c>
      <c r="P76" s="9">
        <f>$P$1*LN(F76/F75)</f>
        <v/>
      </c>
      <c r="Q76" s="9">
        <f>$Q$1*(G76-G75)</f>
        <v/>
      </c>
      <c r="R76" s="9">
        <f>$R$1*(H76-H75)</f>
        <v/>
      </c>
      <c r="S76" s="9">
        <f>$S$1*LN(I76/I75)</f>
        <v/>
      </c>
      <c r="T76" s="9">
        <f>$T$1*LN(J76/J75)</f>
        <v/>
      </c>
      <c r="U76" s="9">
        <f>$W$12+$W$4*M76+$W$5*N76+$W$6*O76+$W$7*P76+$W$8*Q76+$W$9*R76+$W$10*S76+$W$11*T76</f>
        <v/>
      </c>
      <c r="AA76" s="10">
        <f>INDEX(LINEST(L57:L76,M57:T76,TRUE,TRUE),1,9)*4</f>
        <v/>
      </c>
      <c r="AB76" s="9">
        <f>INDEX(LINEST(L57:L76,M57:T76,TRUE,TRUE),1,8)</f>
        <v/>
      </c>
      <c r="AC76" s="9">
        <f>INDEX(LINEST(L57:L76,M57:T76,TRUE,TRUE),1,7)</f>
        <v/>
      </c>
      <c r="AD76" s="9">
        <f>INDEX(LINEST(L57:L76,M57:T76,TRUE,TRUE),1,6)</f>
        <v/>
      </c>
      <c r="AE76" s="9">
        <f>INDEX(LINEST(L57:L76,M57:T76,TRUE,TRUE),1,5)</f>
        <v/>
      </c>
      <c r="AF76" s="9">
        <f>INDEX(LINEST(L57:L76,M57:T76,TRUE,TRUE),1,4)</f>
        <v/>
      </c>
      <c r="AG76" s="9">
        <f>INDEX(LINEST(L57:L76,M57:T76,TRUE,TRUE),1,3)</f>
        <v/>
      </c>
      <c r="AH76" s="9">
        <f>INDEX(LINEST(L57:L76,M57:T76,TRUE,TRUE),1,2)</f>
        <v/>
      </c>
      <c r="AI76" s="9">
        <f>INDEX(LINEST(L57:L76,M57:T76,TRUE,TRUE),1,1)</f>
        <v/>
      </c>
      <c r="AJ76" s="10">
        <f>INDEX(LINEST(L57:L76,M57:T76,TRUE,TRUE),3,1)</f>
        <v/>
      </c>
      <c r="AK76" s="9">
        <f>AA75/4+AB75*M76+AC75*N76+AD75*O76+AE75*P76+AF75*Q76+AG75*R76+AH75*S76+AI75*T76</f>
        <v/>
      </c>
      <c r="AL76" s="9">
        <f>AVERAGE(L56:L75)</f>
        <v/>
      </c>
    </row>
    <row r="77">
      <c r="A77" s="7" t="n">
        <v>44469</v>
      </c>
      <c r="B77" s="8" t="n">
        <v>1742.8</v>
      </c>
      <c r="C77" s="8" t="n">
        <v>2.37</v>
      </c>
      <c r="D77" s="8" t="n">
        <v>-0.85</v>
      </c>
      <c r="E77" s="8" t="n">
        <v>94.25</v>
      </c>
      <c r="F77" s="8" t="n">
        <v>75.22</v>
      </c>
      <c r="G77" s="8" t="n">
        <v>23.14</v>
      </c>
      <c r="H77" s="8" t="n">
        <v>61.07</v>
      </c>
      <c r="I77" s="8" t="n">
        <v>4307.540039</v>
      </c>
      <c r="J77" s="8" t="n">
        <v>98.546898</v>
      </c>
      <c r="L77" s="9">
        <f>LN(B77/B76)</f>
        <v/>
      </c>
      <c r="M77" s="9">
        <f>$M$1*(C77-C76)</f>
        <v/>
      </c>
      <c r="N77" s="9">
        <f>$N$1*(D77-D76)</f>
        <v/>
      </c>
      <c r="O77" s="9">
        <f>$O$1*LN(E77/E76)</f>
        <v/>
      </c>
      <c r="P77" s="9">
        <f>$P$1*LN(F77/F76)</f>
        <v/>
      </c>
      <c r="Q77" s="9">
        <f>$Q$1*(G77-G76)</f>
        <v/>
      </c>
      <c r="R77" s="9">
        <f>$R$1*(H77-H76)</f>
        <v/>
      </c>
      <c r="S77" s="9">
        <f>$S$1*LN(I77/I76)</f>
        <v/>
      </c>
      <c r="T77" s="9">
        <f>$T$1*LN(J77/J76)</f>
        <v/>
      </c>
      <c r="U77" s="9">
        <f>$W$12+$W$4*M77+$W$5*N77+$W$6*O77+$W$7*P77+$W$8*Q77+$W$9*R77+$W$10*S77+$W$11*T77</f>
        <v/>
      </c>
      <c r="AA77" s="10">
        <f>INDEX(LINEST(L58:L77,M58:T77,TRUE,TRUE),1,9)*4</f>
        <v/>
      </c>
      <c r="AB77" s="9">
        <f>INDEX(LINEST(L58:L77,M58:T77,TRUE,TRUE),1,8)</f>
        <v/>
      </c>
      <c r="AC77" s="9">
        <f>INDEX(LINEST(L58:L77,M58:T77,TRUE,TRUE),1,7)</f>
        <v/>
      </c>
      <c r="AD77" s="9">
        <f>INDEX(LINEST(L58:L77,M58:T77,TRUE,TRUE),1,6)</f>
        <v/>
      </c>
      <c r="AE77" s="9">
        <f>INDEX(LINEST(L58:L77,M58:T77,TRUE,TRUE),1,5)</f>
        <v/>
      </c>
      <c r="AF77" s="9">
        <f>INDEX(LINEST(L58:L77,M58:T77,TRUE,TRUE),1,4)</f>
        <v/>
      </c>
      <c r="AG77" s="9">
        <f>INDEX(LINEST(L58:L77,M58:T77,TRUE,TRUE),1,3)</f>
        <v/>
      </c>
      <c r="AH77" s="9">
        <f>INDEX(LINEST(L58:L77,M58:T77,TRUE,TRUE),1,2)</f>
        <v/>
      </c>
      <c r="AI77" s="9">
        <f>INDEX(LINEST(L58:L77,M58:T77,TRUE,TRUE),1,1)</f>
        <v/>
      </c>
      <c r="AJ77" s="10">
        <f>INDEX(LINEST(L58:L77,M58:T77,TRUE,TRUE),3,1)</f>
        <v/>
      </c>
      <c r="AK77" s="9">
        <f>AA76/4+AB76*M77+AC76*N77+AD76*O77+AE76*P77+AF76*Q77+AG76*R77+AH76*S77+AI76*T77</f>
        <v/>
      </c>
      <c r="AL77" s="9">
        <f>AVERAGE(L57:L76)</f>
        <v/>
      </c>
    </row>
    <row r="78">
      <c r="A78" s="7" t="n">
        <v>44561</v>
      </c>
      <c r="B78" s="8" t="n">
        <v>1805.85</v>
      </c>
      <c r="C78" s="8" t="n">
        <v>2.56</v>
      </c>
      <c r="D78" s="8" t="n">
        <v>-1.04</v>
      </c>
      <c r="E78" s="8" t="n">
        <v>95.66999800000001</v>
      </c>
      <c r="F78" s="8" t="n">
        <v>75.33</v>
      </c>
      <c r="G78" s="8" t="n">
        <v>17.22</v>
      </c>
      <c r="H78" s="8" t="n">
        <v>77.099998</v>
      </c>
      <c r="I78" s="8" t="n">
        <v>4766.180176</v>
      </c>
      <c r="J78" s="8" t="n">
        <v>98.450729</v>
      </c>
      <c r="L78" s="9">
        <f>LN(B78/B77)</f>
        <v/>
      </c>
      <c r="M78" s="9">
        <f>$M$1*(C78-C77)</f>
        <v/>
      </c>
      <c r="N78" s="9">
        <f>$N$1*(D78-D77)</f>
        <v/>
      </c>
      <c r="O78" s="9">
        <f>$O$1*LN(E78/E77)</f>
        <v/>
      </c>
      <c r="P78" s="9">
        <f>$P$1*LN(F78/F77)</f>
        <v/>
      </c>
      <c r="Q78" s="9">
        <f>$Q$1*(G78-G77)</f>
        <v/>
      </c>
      <c r="R78" s="9">
        <f>$R$1*(H78-H77)</f>
        <v/>
      </c>
      <c r="S78" s="9">
        <f>$S$1*LN(I78/I77)</f>
        <v/>
      </c>
      <c r="T78" s="9">
        <f>$T$1*LN(J78/J77)</f>
        <v/>
      </c>
      <c r="U78" s="9">
        <f>$W$12+$W$4*M78+$W$5*N78+$W$6*O78+$W$7*P78+$W$8*Q78+$W$9*R78+$W$10*S78+$W$11*T78</f>
        <v/>
      </c>
      <c r="AA78" s="10">
        <f>INDEX(LINEST(L59:L78,M59:T78,TRUE,TRUE),1,9)*4</f>
        <v/>
      </c>
      <c r="AB78" s="9">
        <f>INDEX(LINEST(L59:L78,M59:T78,TRUE,TRUE),1,8)</f>
        <v/>
      </c>
      <c r="AC78" s="9">
        <f>INDEX(LINEST(L59:L78,M59:T78,TRUE,TRUE),1,7)</f>
        <v/>
      </c>
      <c r="AD78" s="9">
        <f>INDEX(LINEST(L59:L78,M59:T78,TRUE,TRUE),1,6)</f>
        <v/>
      </c>
      <c r="AE78" s="9">
        <f>INDEX(LINEST(L59:L78,M59:T78,TRUE,TRUE),1,5)</f>
        <v/>
      </c>
      <c r="AF78" s="9">
        <f>INDEX(LINEST(L59:L78,M59:T78,TRUE,TRUE),1,4)</f>
        <v/>
      </c>
      <c r="AG78" s="9">
        <f>INDEX(LINEST(L59:L78,M59:T78,TRUE,TRUE),1,3)</f>
        <v/>
      </c>
      <c r="AH78" s="9">
        <f>INDEX(LINEST(L59:L78,M59:T78,TRUE,TRUE),1,2)</f>
        <v/>
      </c>
      <c r="AI78" s="9">
        <f>INDEX(LINEST(L59:L78,M59:T78,TRUE,TRUE),1,1)</f>
        <v/>
      </c>
      <c r="AJ78" s="10">
        <f>INDEX(LINEST(L59:L78,M59:T78,TRUE,TRUE),3,1)</f>
        <v/>
      </c>
      <c r="AK78" s="9">
        <f>AA77/4+AB77*M78+AC77*N78+AD77*O78+AE77*P78+AF77*Q78+AG77*R78+AH77*S78+AI77*T78</f>
        <v/>
      </c>
      <c r="AL78" s="9">
        <f>AVERAGE(L58:L77)</f>
        <v/>
      </c>
    </row>
    <row r="79">
      <c r="A79" s="7" t="n">
        <v>44651</v>
      </c>
      <c r="B79" s="8" t="n">
        <v>1942.15</v>
      </c>
      <c r="C79" s="8" t="n">
        <v>2.84</v>
      </c>
      <c r="D79" s="8" t="n">
        <v>-0.52</v>
      </c>
      <c r="E79" s="8" t="n">
        <v>98.30999799999999</v>
      </c>
      <c r="F79" s="8" t="n">
        <v>100.53</v>
      </c>
      <c r="G79" s="8" t="n">
        <v>20.56</v>
      </c>
      <c r="H79" s="8" t="n">
        <v>106.879997</v>
      </c>
      <c r="I79" s="8" t="n">
        <v>4530.410156</v>
      </c>
      <c r="J79" s="8" t="n">
        <v>92.69553399999999</v>
      </c>
      <c r="L79" s="9">
        <f>LN(B79/B78)</f>
        <v/>
      </c>
      <c r="M79" s="9">
        <f>$M$1*(C79-C78)</f>
        <v/>
      </c>
      <c r="N79" s="9">
        <f>$N$1*(D79-D78)</f>
        <v/>
      </c>
      <c r="O79" s="9">
        <f>$O$1*LN(E79/E78)</f>
        <v/>
      </c>
      <c r="P79" s="9">
        <f>$P$1*LN(F79/F78)</f>
        <v/>
      </c>
      <c r="Q79" s="9">
        <f>$Q$1*(G79-G78)</f>
        <v/>
      </c>
      <c r="R79" s="9">
        <f>$R$1*(H79-H78)</f>
        <v/>
      </c>
      <c r="S79" s="9">
        <f>$S$1*LN(I79/I78)</f>
        <v/>
      </c>
      <c r="T79" s="9">
        <f>$T$1*LN(J79/J78)</f>
        <v/>
      </c>
      <c r="U79" s="9">
        <f>$W$12+$W$4*M79+$W$5*N79+$W$6*O79+$W$7*P79+$W$8*Q79+$W$9*R79+$W$10*S79+$W$11*T79</f>
        <v/>
      </c>
      <c r="AA79" s="10">
        <f>INDEX(LINEST(L60:L79,M60:T79,TRUE,TRUE),1,9)*4</f>
        <v/>
      </c>
      <c r="AB79" s="9">
        <f>INDEX(LINEST(L60:L79,M60:T79,TRUE,TRUE),1,8)</f>
        <v/>
      </c>
      <c r="AC79" s="9">
        <f>INDEX(LINEST(L60:L79,M60:T79,TRUE,TRUE),1,7)</f>
        <v/>
      </c>
      <c r="AD79" s="9">
        <f>INDEX(LINEST(L60:L79,M60:T79,TRUE,TRUE),1,6)</f>
        <v/>
      </c>
      <c r="AE79" s="9">
        <f>INDEX(LINEST(L60:L79,M60:T79,TRUE,TRUE),1,5)</f>
        <v/>
      </c>
      <c r="AF79" s="9">
        <f>INDEX(LINEST(L60:L79,M60:T79,TRUE,TRUE),1,4)</f>
        <v/>
      </c>
      <c r="AG79" s="9">
        <f>INDEX(LINEST(L60:L79,M60:T79,TRUE,TRUE),1,3)</f>
        <v/>
      </c>
      <c r="AH79" s="9">
        <f>INDEX(LINEST(L60:L79,M60:T79,TRUE,TRUE),1,2)</f>
        <v/>
      </c>
      <c r="AI79" s="9">
        <f>INDEX(LINEST(L60:L79,M60:T79,TRUE,TRUE),1,1)</f>
        <v/>
      </c>
      <c r="AJ79" s="10">
        <f>INDEX(LINEST(L60:L79,M60:T79,TRUE,TRUE),3,1)</f>
        <v/>
      </c>
      <c r="AK79" s="9">
        <f>AA78/4+AB78*M79+AC78*N79+AD78*O79+AE78*P79+AF78*Q79+AG78*R79+AH78*S79+AI78*T79</f>
        <v/>
      </c>
      <c r="AL79" s="9">
        <f>AVERAGE(L59:L78)</f>
        <v/>
      </c>
    </row>
    <row r="80">
      <c r="A80" s="7" t="n">
        <v>44742</v>
      </c>
      <c r="B80" s="8" t="n">
        <v>1817</v>
      </c>
      <c r="C80" s="8" t="n">
        <v>2.33</v>
      </c>
      <c r="D80" s="8" t="n">
        <v>0.65</v>
      </c>
      <c r="E80" s="8" t="n">
        <v>104.690002</v>
      </c>
      <c r="F80" s="8" t="n">
        <v>107.76</v>
      </c>
      <c r="G80" s="8" t="n">
        <v>28.71</v>
      </c>
      <c r="H80" s="8" t="n">
        <v>135.5</v>
      </c>
      <c r="I80" s="8" t="n">
        <v>3785.379883</v>
      </c>
      <c r="J80" s="8" t="n">
        <v>88.450508</v>
      </c>
      <c r="L80" s="9">
        <f>LN(B80/B79)</f>
        <v/>
      </c>
      <c r="M80" s="9">
        <f>$M$1*(C80-C79)</f>
        <v/>
      </c>
      <c r="N80" s="9">
        <f>$N$1*(D80-D79)</f>
        <v/>
      </c>
      <c r="O80" s="9">
        <f>$O$1*LN(E80/E79)</f>
        <v/>
      </c>
      <c r="P80" s="9">
        <f>$P$1*LN(F80/F79)</f>
        <v/>
      </c>
      <c r="Q80" s="9">
        <f>$Q$1*(G80-G79)</f>
        <v/>
      </c>
      <c r="R80" s="9">
        <f>$R$1*(H80-H79)</f>
        <v/>
      </c>
      <c r="S80" s="9">
        <f>$S$1*LN(I80/I79)</f>
        <v/>
      </c>
      <c r="T80" s="9">
        <f>$T$1*LN(J80/J79)</f>
        <v/>
      </c>
      <c r="U80" s="9">
        <f>$W$12+$W$4*M80+$W$5*N80+$W$6*O80+$W$7*P80+$W$8*Q80+$W$9*R80+$W$10*S80+$W$11*T80</f>
        <v/>
      </c>
      <c r="AA80" s="10">
        <f>INDEX(LINEST(L61:L80,M61:T80,TRUE,TRUE),1,9)*4</f>
        <v/>
      </c>
      <c r="AB80" s="9">
        <f>INDEX(LINEST(L61:L80,M61:T80,TRUE,TRUE),1,8)</f>
        <v/>
      </c>
      <c r="AC80" s="9">
        <f>INDEX(LINEST(L61:L80,M61:T80,TRUE,TRUE),1,7)</f>
        <v/>
      </c>
      <c r="AD80" s="9">
        <f>INDEX(LINEST(L61:L80,M61:T80,TRUE,TRUE),1,6)</f>
        <v/>
      </c>
      <c r="AE80" s="9">
        <f>INDEX(LINEST(L61:L80,M61:T80,TRUE,TRUE),1,5)</f>
        <v/>
      </c>
      <c r="AF80" s="9">
        <f>INDEX(LINEST(L61:L80,M61:T80,TRUE,TRUE),1,4)</f>
        <v/>
      </c>
      <c r="AG80" s="9">
        <f>INDEX(LINEST(L61:L80,M61:T80,TRUE,TRUE),1,3)</f>
        <v/>
      </c>
      <c r="AH80" s="9">
        <f>INDEX(LINEST(L61:L80,M61:T80,TRUE,TRUE),1,2)</f>
        <v/>
      </c>
      <c r="AI80" s="9">
        <f>INDEX(LINEST(L61:L80,M61:T80,TRUE,TRUE),1,1)</f>
        <v/>
      </c>
      <c r="AJ80" s="10">
        <f>INDEX(LINEST(L61:L80,M61:T80,TRUE,TRUE),3,1)</f>
        <v/>
      </c>
      <c r="AK80" s="9">
        <f>AA79/4+AB79*M80+AC79*N80+AD79*O80+AE79*P80+AF79*Q80+AG79*R80+AH79*S80+AI79*T80</f>
        <v/>
      </c>
      <c r="AL80" s="9">
        <f>AVERAGE(L60:L79)</f>
        <v/>
      </c>
    </row>
    <row r="81">
      <c r="A81" s="7" t="n">
        <v>44834</v>
      </c>
      <c r="B81" s="8" t="n">
        <v>1671.75</v>
      </c>
      <c r="C81" s="8" t="n">
        <v>2.15</v>
      </c>
      <c r="D81" s="8" t="n">
        <v>1.68</v>
      </c>
      <c r="E81" s="8" t="n">
        <v>112.120003</v>
      </c>
      <c r="F81" s="8" t="n">
        <v>79.91</v>
      </c>
      <c r="G81" s="8" t="n">
        <v>31.62</v>
      </c>
      <c r="H81" s="8" t="n">
        <v>141.889999</v>
      </c>
      <c r="I81" s="8" t="n">
        <v>3585.620117</v>
      </c>
      <c r="J81" s="8" t="n">
        <v>84.29128300000001</v>
      </c>
      <c r="L81" s="9">
        <f>LN(B81/B80)</f>
        <v/>
      </c>
      <c r="M81" s="9">
        <f>$M$1*(C81-C80)</f>
        <v/>
      </c>
      <c r="N81" s="9">
        <f>$N$1*(D81-D80)</f>
        <v/>
      </c>
      <c r="O81" s="9">
        <f>$O$1*LN(E81/E80)</f>
        <v/>
      </c>
      <c r="P81" s="9">
        <f>$P$1*LN(F81/F80)</f>
        <v/>
      </c>
      <c r="Q81" s="9">
        <f>$Q$1*(G81-G80)</f>
        <v/>
      </c>
      <c r="R81" s="9">
        <f>$R$1*(H81-H80)</f>
        <v/>
      </c>
      <c r="S81" s="9">
        <f>$S$1*LN(I81/I80)</f>
        <v/>
      </c>
      <c r="T81" s="9">
        <f>$T$1*LN(J81/J80)</f>
        <v/>
      </c>
      <c r="U81" s="9">
        <f>$W$12+$W$4*M81+$W$5*N81+$W$6*O81+$W$7*P81+$W$8*Q81+$W$9*R81+$W$10*S81+$W$11*T81</f>
        <v/>
      </c>
      <c r="AA81" s="10">
        <f>INDEX(LINEST(L62:L81,M62:T81,TRUE,TRUE),1,9)*4</f>
        <v/>
      </c>
      <c r="AB81" s="9">
        <f>INDEX(LINEST(L62:L81,M62:T81,TRUE,TRUE),1,8)</f>
        <v/>
      </c>
      <c r="AC81" s="9">
        <f>INDEX(LINEST(L62:L81,M62:T81,TRUE,TRUE),1,7)</f>
        <v/>
      </c>
      <c r="AD81" s="9">
        <f>INDEX(LINEST(L62:L81,M62:T81,TRUE,TRUE),1,6)</f>
        <v/>
      </c>
      <c r="AE81" s="9">
        <f>INDEX(LINEST(L62:L81,M62:T81,TRUE,TRUE),1,5)</f>
        <v/>
      </c>
      <c r="AF81" s="9">
        <f>INDEX(LINEST(L62:L81,M62:T81,TRUE,TRUE),1,4)</f>
        <v/>
      </c>
      <c r="AG81" s="9">
        <f>INDEX(LINEST(L62:L81,M62:T81,TRUE,TRUE),1,3)</f>
        <v/>
      </c>
      <c r="AH81" s="9">
        <f>INDEX(LINEST(L62:L81,M62:T81,TRUE,TRUE),1,2)</f>
        <v/>
      </c>
      <c r="AI81" s="9">
        <f>INDEX(LINEST(L62:L81,M62:T81,TRUE,TRUE),1,1)</f>
        <v/>
      </c>
      <c r="AJ81" s="10">
        <f>INDEX(LINEST(L62:L81,M62:T81,TRUE,TRUE),3,1)</f>
        <v/>
      </c>
      <c r="AK81" s="9">
        <f>AA80/4+AB80*M81+AC80*N81+AD80*O81+AE80*P81+AF80*Q81+AG80*R81+AH80*S81+AI80*T81</f>
        <v/>
      </c>
      <c r="AL81" s="9">
        <f>AVERAGE(L61:L80)</f>
        <v/>
      </c>
    </row>
    <row r="82">
      <c r="A82" s="7" t="n">
        <v>44926</v>
      </c>
      <c r="B82" s="8" t="n">
        <v>1813.75</v>
      </c>
      <c r="C82" s="8" t="n">
        <v>2.3</v>
      </c>
      <c r="D82" s="8" t="n">
        <v>1.58</v>
      </c>
      <c r="E82" s="8" t="n">
        <v>103.519997</v>
      </c>
      <c r="F82" s="8" t="n">
        <v>80.16</v>
      </c>
      <c r="G82" s="8" t="n">
        <v>21.67</v>
      </c>
      <c r="H82" s="8" t="n">
        <v>121.610001</v>
      </c>
      <c r="I82" s="8" t="n">
        <v>3839.5</v>
      </c>
      <c r="J82" s="8" t="n">
        <v>85.63082900000001</v>
      </c>
      <c r="L82" s="9">
        <f>LN(B82/B81)</f>
        <v/>
      </c>
      <c r="M82" s="9">
        <f>$M$1*(C82-C81)</f>
        <v/>
      </c>
      <c r="N82" s="9">
        <f>$N$1*(D82-D81)</f>
        <v/>
      </c>
      <c r="O82" s="9">
        <f>$O$1*LN(E82/E81)</f>
        <v/>
      </c>
      <c r="P82" s="9">
        <f>$P$1*LN(F82/F81)</f>
        <v/>
      </c>
      <c r="Q82" s="9">
        <f>$Q$1*(G82-G81)</f>
        <v/>
      </c>
      <c r="R82" s="9">
        <f>$R$1*(H82-H81)</f>
        <v/>
      </c>
      <c r="S82" s="9">
        <f>$S$1*LN(I82/I81)</f>
        <v/>
      </c>
      <c r="T82" s="9">
        <f>$T$1*LN(J82/J81)</f>
        <v/>
      </c>
      <c r="U82" s="9">
        <f>$W$12+$W$4*M82+$W$5*N82+$W$6*O82+$W$7*P82+$W$8*Q82+$W$9*R82+$W$10*S82+$W$11*T82</f>
        <v/>
      </c>
      <c r="AA82" s="10">
        <f>INDEX(LINEST(L63:L82,M63:T82,TRUE,TRUE),1,9)*4</f>
        <v/>
      </c>
      <c r="AB82" s="9">
        <f>INDEX(LINEST(L63:L82,M63:T82,TRUE,TRUE),1,8)</f>
        <v/>
      </c>
      <c r="AC82" s="9">
        <f>INDEX(LINEST(L63:L82,M63:T82,TRUE,TRUE),1,7)</f>
        <v/>
      </c>
      <c r="AD82" s="9">
        <f>INDEX(LINEST(L63:L82,M63:T82,TRUE,TRUE),1,6)</f>
        <v/>
      </c>
      <c r="AE82" s="9">
        <f>INDEX(LINEST(L63:L82,M63:T82,TRUE,TRUE),1,5)</f>
        <v/>
      </c>
      <c r="AF82" s="9">
        <f>INDEX(LINEST(L63:L82,M63:T82,TRUE,TRUE),1,4)</f>
        <v/>
      </c>
      <c r="AG82" s="9">
        <f>INDEX(LINEST(L63:L82,M63:T82,TRUE,TRUE),1,3)</f>
        <v/>
      </c>
      <c r="AH82" s="9">
        <f>INDEX(LINEST(L63:L82,M63:T82,TRUE,TRUE),1,2)</f>
        <v/>
      </c>
      <c r="AI82" s="9">
        <f>INDEX(LINEST(L63:L82,M63:T82,TRUE,TRUE),1,1)</f>
        <v/>
      </c>
      <c r="AJ82" s="10">
        <f>INDEX(LINEST(L63:L82,M63:T82,TRUE,TRUE),3,1)</f>
        <v/>
      </c>
      <c r="AK82" s="9">
        <f>AA81/4+AB81*M82+AC81*N82+AD81*O82+AE81*P82+AF81*Q82+AG81*R82+AH81*S82+AI81*T82</f>
        <v/>
      </c>
      <c r="AL82" s="9">
        <f>AVERAGE(L62:L81)</f>
        <v/>
      </c>
    </row>
    <row r="83">
      <c r="A83" s="7" t="n">
        <v>45016</v>
      </c>
      <c r="B83" s="8" t="n">
        <v>1979.7</v>
      </c>
      <c r="C83" s="8" t="n">
        <v>2.32</v>
      </c>
      <c r="D83" s="8" t="n">
        <v>1.16</v>
      </c>
      <c r="E83" s="8" t="n">
        <v>102.510002</v>
      </c>
      <c r="F83" s="8" t="n">
        <v>75.68000000000001</v>
      </c>
      <c r="G83" s="8" t="n">
        <v>18.7</v>
      </c>
      <c r="H83" s="8" t="n">
        <v>135.929993</v>
      </c>
      <c r="I83" s="8" t="n">
        <v>4109.310059</v>
      </c>
      <c r="J83" s="8" t="n">
        <v>88.39864300000001</v>
      </c>
      <c r="L83" s="9">
        <f>LN(B83/B82)</f>
        <v/>
      </c>
      <c r="M83" s="9">
        <f>$M$1*(C83-C82)</f>
        <v/>
      </c>
      <c r="N83" s="9">
        <f>$N$1*(D83-D82)</f>
        <v/>
      </c>
      <c r="O83" s="9">
        <f>$O$1*LN(E83/E82)</f>
        <v/>
      </c>
      <c r="P83" s="9">
        <f>$P$1*LN(F83/F82)</f>
        <v/>
      </c>
      <c r="Q83" s="9">
        <f>$Q$1*(G83-G82)</f>
        <v/>
      </c>
      <c r="R83" s="9">
        <f>$R$1*(H83-H82)</f>
        <v/>
      </c>
      <c r="S83" s="9">
        <f>$S$1*LN(I83/I82)</f>
        <v/>
      </c>
      <c r="T83" s="9">
        <f>$T$1*LN(J83/J82)</f>
        <v/>
      </c>
      <c r="U83" s="9">
        <f>$W$12+$W$4*M83+$W$5*N83+$W$6*O83+$W$7*P83+$W$8*Q83+$W$9*R83+$W$10*S83+$W$11*T83</f>
        <v/>
      </c>
      <c r="AA83" s="10">
        <f>INDEX(LINEST(L64:L83,M64:T83,TRUE,TRUE),1,9)*4</f>
        <v/>
      </c>
      <c r="AB83" s="9">
        <f>INDEX(LINEST(L64:L83,M64:T83,TRUE,TRUE),1,8)</f>
        <v/>
      </c>
      <c r="AC83" s="9">
        <f>INDEX(LINEST(L64:L83,M64:T83,TRUE,TRUE),1,7)</f>
        <v/>
      </c>
      <c r="AD83" s="9">
        <f>INDEX(LINEST(L64:L83,M64:T83,TRUE,TRUE),1,6)</f>
        <v/>
      </c>
      <c r="AE83" s="9">
        <f>INDEX(LINEST(L64:L83,M64:T83,TRUE,TRUE),1,5)</f>
        <v/>
      </c>
      <c r="AF83" s="9">
        <f>INDEX(LINEST(L64:L83,M64:T83,TRUE,TRUE),1,4)</f>
        <v/>
      </c>
      <c r="AG83" s="9">
        <f>INDEX(LINEST(L64:L83,M64:T83,TRUE,TRUE),1,3)</f>
        <v/>
      </c>
      <c r="AH83" s="9">
        <f>INDEX(LINEST(L64:L83,M64:T83,TRUE,TRUE),1,2)</f>
        <v/>
      </c>
      <c r="AI83" s="9">
        <f>INDEX(LINEST(L64:L83,M64:T83,TRUE,TRUE),1,1)</f>
        <v/>
      </c>
      <c r="AJ83" s="10">
        <f>INDEX(LINEST(L64:L83,M64:T83,TRUE,TRUE),3,1)</f>
        <v/>
      </c>
      <c r="AK83" s="9">
        <f>AA82/4+AB82*M83+AC82*N83+AD82*O83+AE82*P83+AF82*Q83+AG82*R83+AH82*S83+AI82*T83</f>
        <v/>
      </c>
      <c r="AL83" s="9">
        <f>AVERAGE(L63:L82)</f>
        <v/>
      </c>
    </row>
    <row r="84">
      <c r="A84" s="7" t="n">
        <v>45107</v>
      </c>
      <c r="B84" s="8" t="n">
        <v>1912.25</v>
      </c>
      <c r="C84" s="8" t="n">
        <v>2.22</v>
      </c>
      <c r="D84" s="8" t="n">
        <v>1.59</v>
      </c>
      <c r="E84" s="8" t="n">
        <v>102.910004</v>
      </c>
      <c r="F84" s="8" t="n">
        <v>70.66</v>
      </c>
      <c r="G84" s="8" t="n">
        <v>13.59</v>
      </c>
      <c r="H84" s="8" t="n">
        <v>110.639999</v>
      </c>
      <c r="I84" s="8" t="n">
        <v>4450.379883</v>
      </c>
      <c r="J84" s="8" t="n">
        <v>87.566383</v>
      </c>
      <c r="L84" s="9">
        <f>LN(B84/B83)</f>
        <v/>
      </c>
      <c r="M84" s="9">
        <f>$M$1*(C84-C83)</f>
        <v/>
      </c>
      <c r="N84" s="9">
        <f>$N$1*(D84-D83)</f>
        <v/>
      </c>
      <c r="O84" s="9">
        <f>$O$1*LN(E84/E83)</f>
        <v/>
      </c>
      <c r="P84" s="9">
        <f>$P$1*LN(F84/F83)</f>
        <v/>
      </c>
      <c r="Q84" s="9">
        <f>$Q$1*(G84-G83)</f>
        <v/>
      </c>
      <c r="R84" s="9">
        <f>$R$1*(H84-H83)</f>
        <v/>
      </c>
      <c r="S84" s="9">
        <f>$S$1*LN(I84/I83)</f>
        <v/>
      </c>
      <c r="T84" s="9">
        <f>$T$1*LN(J84/J83)</f>
        <v/>
      </c>
      <c r="U84" s="9">
        <f>$W$12+$W$4*M84+$W$5*N84+$W$6*O84+$W$7*P84+$W$8*Q84+$W$9*R84+$W$10*S84+$W$11*T84</f>
        <v/>
      </c>
      <c r="AA84" s="10">
        <f>INDEX(LINEST(L65:L84,M65:T84,TRUE,TRUE),1,9)*4</f>
        <v/>
      </c>
      <c r="AB84" s="9">
        <f>INDEX(LINEST(L65:L84,M65:T84,TRUE,TRUE),1,8)</f>
        <v/>
      </c>
      <c r="AC84" s="9">
        <f>INDEX(LINEST(L65:L84,M65:T84,TRUE,TRUE),1,7)</f>
        <v/>
      </c>
      <c r="AD84" s="9">
        <f>INDEX(LINEST(L65:L84,M65:T84,TRUE,TRUE),1,6)</f>
        <v/>
      </c>
      <c r="AE84" s="9">
        <f>INDEX(LINEST(L65:L84,M65:T84,TRUE,TRUE),1,5)</f>
        <v/>
      </c>
      <c r="AF84" s="9">
        <f>INDEX(LINEST(L65:L84,M65:T84,TRUE,TRUE),1,4)</f>
        <v/>
      </c>
      <c r="AG84" s="9">
        <f>INDEX(LINEST(L65:L84,M65:T84,TRUE,TRUE),1,3)</f>
        <v/>
      </c>
      <c r="AH84" s="9">
        <f>INDEX(LINEST(L65:L84,M65:T84,TRUE,TRUE),1,2)</f>
        <v/>
      </c>
      <c r="AI84" s="9">
        <f>INDEX(LINEST(L65:L84,M65:T84,TRUE,TRUE),1,1)</f>
        <v/>
      </c>
      <c r="AJ84" s="10">
        <f>INDEX(LINEST(L65:L84,M65:T84,TRUE,TRUE),3,1)</f>
        <v/>
      </c>
      <c r="AK84" s="9">
        <f>AA83/4+AB83*M84+AC83*N84+AD83*O84+AE83*P84+AF83*Q84+AG83*R84+AH83*S84+AI83*T84</f>
        <v/>
      </c>
      <c r="AL84" s="9">
        <f>AVERAGE(L64:L83)</f>
        <v/>
      </c>
    </row>
    <row r="85">
      <c r="A85" s="7" t="n">
        <v>45199</v>
      </c>
      <c r="B85" s="8" t="n">
        <v>1870.5</v>
      </c>
      <c r="C85" s="8" t="n">
        <v>2.35</v>
      </c>
      <c r="D85" s="8" t="n">
        <v>2.24</v>
      </c>
      <c r="E85" s="8" t="n">
        <v>106.169998</v>
      </c>
      <c r="F85" s="8" t="n">
        <v>90.77</v>
      </c>
      <c r="G85" s="8" t="n">
        <v>17.52</v>
      </c>
      <c r="H85" s="8" t="n">
        <v>113.550003</v>
      </c>
      <c r="I85" s="8" t="n">
        <v>4288.049805</v>
      </c>
      <c r="J85" s="8" t="n">
        <v>84.747246</v>
      </c>
      <c r="L85" s="9">
        <f>LN(B85/B84)</f>
        <v/>
      </c>
      <c r="M85" s="9">
        <f>$M$1*(C85-C84)</f>
        <v/>
      </c>
      <c r="N85" s="9">
        <f>$N$1*(D85-D84)</f>
        <v/>
      </c>
      <c r="O85" s="9">
        <f>$O$1*LN(E85/E84)</f>
        <v/>
      </c>
      <c r="P85" s="9">
        <f>$P$1*LN(F85/F84)</f>
        <v/>
      </c>
      <c r="Q85" s="9">
        <f>$Q$1*(G85-G84)</f>
        <v/>
      </c>
      <c r="R85" s="9">
        <f>$R$1*(H85-H84)</f>
        <v/>
      </c>
      <c r="S85" s="9">
        <f>$S$1*LN(I85/I84)</f>
        <v/>
      </c>
      <c r="T85" s="9">
        <f>$T$1*LN(J85/J84)</f>
        <v/>
      </c>
      <c r="U85" s="9">
        <f>$W$12+$W$4*M85+$W$5*N85+$W$6*O85+$W$7*P85+$W$8*Q85+$W$9*R85+$W$10*S85+$W$11*T85</f>
        <v/>
      </c>
      <c r="AA85" s="10">
        <f>INDEX(LINEST(L66:L85,M66:T85,TRUE,TRUE),1,9)*4</f>
        <v/>
      </c>
      <c r="AB85" s="9">
        <f>INDEX(LINEST(L66:L85,M66:T85,TRUE,TRUE),1,8)</f>
        <v/>
      </c>
      <c r="AC85" s="9">
        <f>INDEX(LINEST(L66:L85,M66:T85,TRUE,TRUE),1,7)</f>
        <v/>
      </c>
      <c r="AD85" s="9">
        <f>INDEX(LINEST(L66:L85,M66:T85,TRUE,TRUE),1,6)</f>
        <v/>
      </c>
      <c r="AE85" s="9">
        <f>INDEX(LINEST(L66:L85,M66:T85,TRUE,TRUE),1,5)</f>
        <v/>
      </c>
      <c r="AF85" s="9">
        <f>INDEX(LINEST(L66:L85,M66:T85,TRUE,TRUE),1,4)</f>
        <v/>
      </c>
      <c r="AG85" s="9">
        <f>INDEX(LINEST(L66:L85,M66:T85,TRUE,TRUE),1,3)</f>
        <v/>
      </c>
      <c r="AH85" s="9">
        <f>INDEX(LINEST(L66:L85,M66:T85,TRUE,TRUE),1,2)</f>
        <v/>
      </c>
      <c r="AI85" s="9">
        <f>INDEX(LINEST(L66:L85,M66:T85,TRUE,TRUE),1,1)</f>
        <v/>
      </c>
      <c r="AJ85" s="10">
        <f>INDEX(LINEST(L66:L85,M66:T85,TRUE,TRUE),3,1)</f>
        <v/>
      </c>
      <c r="AK85" s="9">
        <f>AA84/4+AB84*M85+AC84*N85+AD84*O85+AE84*P85+AF84*Q85+AG84*R85+AH84*S85+AI84*T85</f>
        <v/>
      </c>
      <c r="AL85" s="9">
        <f>AVERAGE(L65:L84)</f>
        <v/>
      </c>
    </row>
    <row r="86">
      <c r="A86" s="7" t="n">
        <v>45291</v>
      </c>
      <c r="B86" s="8" t="n">
        <v>2078.4</v>
      </c>
      <c r="C86" s="8" t="n">
        <v>2.16</v>
      </c>
      <c r="D86" s="8" t="n">
        <v>1.72</v>
      </c>
      <c r="E86" s="8" t="n">
        <v>101.330002</v>
      </c>
      <c r="F86" s="8" t="n">
        <v>71.89</v>
      </c>
      <c r="G86" s="8" t="n">
        <v>12.45</v>
      </c>
      <c r="H86" s="8" t="n">
        <v>114.620003</v>
      </c>
      <c r="I86" s="8" t="n">
        <v>4769.830078</v>
      </c>
      <c r="J86" s="8" t="n">
        <v>90.473488</v>
      </c>
      <c r="L86" s="9">
        <f>LN(B86/B85)</f>
        <v/>
      </c>
      <c r="M86" s="9">
        <f>$M$1*(C86-C85)</f>
        <v/>
      </c>
      <c r="N86" s="9">
        <f>$N$1*(D86-D85)</f>
        <v/>
      </c>
      <c r="O86" s="9">
        <f>$O$1*LN(E86/E85)</f>
        <v/>
      </c>
      <c r="P86" s="9">
        <f>$P$1*LN(F86/F85)</f>
        <v/>
      </c>
      <c r="Q86" s="9">
        <f>$Q$1*(G86-G85)</f>
        <v/>
      </c>
      <c r="R86" s="9">
        <f>$R$1*(H86-H85)</f>
        <v/>
      </c>
      <c r="S86" s="9">
        <f>$S$1*LN(I86/I85)</f>
        <v/>
      </c>
      <c r="T86" s="9">
        <f>$T$1*LN(J86/J85)</f>
        <v/>
      </c>
      <c r="U86" s="9">
        <f>$W$12+$W$4*M86+$W$5*N86+$W$6*O86+$W$7*P86+$W$8*Q86+$W$9*R86+$W$10*S86+$W$11*T86</f>
        <v/>
      </c>
      <c r="AA86" s="10">
        <f>INDEX(LINEST(L67:L86,M67:T86,TRUE,TRUE),1,9)*4</f>
        <v/>
      </c>
      <c r="AB86" s="9">
        <f>INDEX(LINEST(L67:L86,M67:T86,TRUE,TRUE),1,8)</f>
        <v/>
      </c>
      <c r="AC86" s="9">
        <f>INDEX(LINEST(L67:L86,M67:T86,TRUE,TRUE),1,7)</f>
        <v/>
      </c>
      <c r="AD86" s="9">
        <f>INDEX(LINEST(L67:L86,M67:T86,TRUE,TRUE),1,6)</f>
        <v/>
      </c>
      <c r="AE86" s="9">
        <f>INDEX(LINEST(L67:L86,M67:T86,TRUE,TRUE),1,5)</f>
        <v/>
      </c>
      <c r="AF86" s="9">
        <f>INDEX(LINEST(L67:L86,M67:T86,TRUE,TRUE),1,4)</f>
        <v/>
      </c>
      <c r="AG86" s="9">
        <f>INDEX(LINEST(L67:L86,M67:T86,TRUE,TRUE),1,3)</f>
        <v/>
      </c>
      <c r="AH86" s="9">
        <f>INDEX(LINEST(L67:L86,M67:T86,TRUE,TRUE),1,2)</f>
        <v/>
      </c>
      <c r="AI86" s="9">
        <f>INDEX(LINEST(L67:L86,M67:T86,TRUE,TRUE),1,1)</f>
        <v/>
      </c>
      <c r="AJ86" s="10">
        <f>INDEX(LINEST(L67:L86,M67:T86,TRUE,TRUE),3,1)</f>
        <v/>
      </c>
      <c r="AK86" s="9">
        <f>AA85/4+AB85*M86+AC85*N86+AD85*O86+AE85*P86+AF85*Q86+AG85*R86+AH85*S86+AI85*T86</f>
        <v/>
      </c>
      <c r="AL86" s="9">
        <f>AVERAGE(L66:L85)</f>
        <v/>
      </c>
    </row>
    <row r="87">
      <c r="A87" s="7" t="n">
        <v>45382</v>
      </c>
      <c r="B87" s="8" t="n">
        <v>2214.35</v>
      </c>
      <c r="C87" s="8" t="n">
        <v>2.32</v>
      </c>
      <c r="D87" s="8" t="n">
        <v>1.88</v>
      </c>
      <c r="E87" s="8" t="n">
        <v>104.550003</v>
      </c>
      <c r="F87" s="8" t="n">
        <v>83.95999999999999</v>
      </c>
      <c r="G87" s="8" t="n">
        <v>13.01</v>
      </c>
      <c r="H87" s="8" t="n">
        <v>86.379997</v>
      </c>
      <c r="I87" s="8" t="n">
        <v>5254.350098</v>
      </c>
      <c r="J87" s="8" t="n">
        <v>89.807922</v>
      </c>
      <c r="L87" s="9">
        <f>LN(B87/B86)</f>
        <v/>
      </c>
      <c r="M87" s="9">
        <f>$M$1*(C87-C86)</f>
        <v/>
      </c>
      <c r="N87" s="9">
        <f>$N$1*(D87-D86)</f>
        <v/>
      </c>
      <c r="O87" s="9">
        <f>$O$1*LN(E87/E86)</f>
        <v/>
      </c>
      <c r="P87" s="9">
        <f>$P$1*LN(F87/F86)</f>
        <v/>
      </c>
      <c r="Q87" s="9">
        <f>$Q$1*(G87-G86)</f>
        <v/>
      </c>
      <c r="R87" s="9">
        <f>$R$1*(H87-H86)</f>
        <v/>
      </c>
      <c r="S87" s="9">
        <f>$S$1*LN(I87/I86)</f>
        <v/>
      </c>
      <c r="T87" s="9">
        <f>$T$1*LN(J87/J86)</f>
        <v/>
      </c>
      <c r="U87" s="9">
        <f>$W$12+$W$4*M87+$W$5*N87+$W$6*O87+$W$7*P87+$W$8*Q87+$W$9*R87+$W$10*S87+$W$11*T87</f>
        <v/>
      </c>
      <c r="AA87" s="10">
        <f>INDEX(LINEST(L68:L87,M68:T87,TRUE,TRUE),1,9)*4</f>
        <v/>
      </c>
      <c r="AB87" s="9">
        <f>INDEX(LINEST(L68:L87,M68:T87,TRUE,TRUE),1,8)</f>
        <v/>
      </c>
      <c r="AC87" s="9">
        <f>INDEX(LINEST(L68:L87,M68:T87,TRUE,TRUE),1,7)</f>
        <v/>
      </c>
      <c r="AD87" s="9">
        <f>INDEX(LINEST(L68:L87,M68:T87,TRUE,TRUE),1,6)</f>
        <v/>
      </c>
      <c r="AE87" s="9">
        <f>INDEX(LINEST(L68:L87,M68:T87,TRUE,TRUE),1,5)</f>
        <v/>
      </c>
      <c r="AF87" s="9">
        <f>INDEX(LINEST(L68:L87,M68:T87,TRUE,TRUE),1,4)</f>
        <v/>
      </c>
      <c r="AG87" s="9">
        <f>INDEX(LINEST(L68:L87,M68:T87,TRUE,TRUE),1,3)</f>
        <v/>
      </c>
      <c r="AH87" s="9">
        <f>INDEX(LINEST(L68:L87,M68:T87,TRUE,TRUE),1,2)</f>
        <v/>
      </c>
      <c r="AI87" s="9">
        <f>INDEX(LINEST(L68:L87,M68:T87,TRUE,TRUE),1,1)</f>
        <v/>
      </c>
      <c r="AJ87" s="10">
        <f>INDEX(LINEST(L68:L87,M68:T87,TRUE,TRUE),3,1)</f>
        <v/>
      </c>
      <c r="AK87" s="9">
        <f>AA86/4+AB86*M87+AC86*N87+AD86*O87+AE86*P87+AF86*Q87+AG86*R87+AH86*S87+AI86*T87</f>
        <v/>
      </c>
      <c r="AL87" s="9">
        <f>AVERAGE(L67:L86)</f>
        <v/>
      </c>
    </row>
    <row r="88">
      <c r="A88" s="7" t="n">
        <v>45473</v>
      </c>
      <c r="B88" s="8" t="n">
        <v>2330.9</v>
      </c>
      <c r="C88" s="8" t="n">
        <v>2.28</v>
      </c>
      <c r="D88" s="8" t="n">
        <v>2.08</v>
      </c>
      <c r="E88" s="8" t="n">
        <v>105.870003</v>
      </c>
      <c r="F88" s="8" t="n">
        <v>82.83</v>
      </c>
      <c r="G88" s="8" t="n">
        <v>12.44</v>
      </c>
      <c r="H88" s="8" t="n">
        <v>98.589996</v>
      </c>
      <c r="I88" s="8" t="n">
        <v>5460.47998</v>
      </c>
      <c r="J88" s="8" t="n">
        <v>89.83300800000001</v>
      </c>
      <c r="L88" s="9">
        <f>LN(B88/B87)</f>
        <v/>
      </c>
      <c r="M88" s="9">
        <f>$M$1*(C88-C87)</f>
        <v/>
      </c>
      <c r="N88" s="9">
        <f>$N$1*(D88-D87)</f>
        <v/>
      </c>
      <c r="O88" s="9">
        <f>$O$1*LN(E88/E87)</f>
        <v/>
      </c>
      <c r="P88" s="9">
        <f>$P$1*LN(F88/F87)</f>
        <v/>
      </c>
      <c r="Q88" s="9">
        <f>$Q$1*(G88-G87)</f>
        <v/>
      </c>
      <c r="R88" s="9">
        <f>$R$1*(H88-H87)</f>
        <v/>
      </c>
      <c r="S88" s="9">
        <f>$S$1*LN(I88/I87)</f>
        <v/>
      </c>
      <c r="T88" s="9">
        <f>$T$1*LN(J88/J87)</f>
        <v/>
      </c>
      <c r="U88" s="9">
        <f>$W$12+$W$4*M88+$W$5*N88+$W$6*O88+$W$7*P88+$W$8*Q88+$W$9*R88+$W$10*S88+$W$11*T88</f>
        <v/>
      </c>
      <c r="AA88" s="10">
        <f>INDEX(LINEST(L69:L88,M69:T88,TRUE,TRUE),1,9)*4</f>
        <v/>
      </c>
      <c r="AB88" s="9">
        <f>INDEX(LINEST(L69:L88,M69:T88,TRUE,TRUE),1,8)</f>
        <v/>
      </c>
      <c r="AC88" s="9">
        <f>INDEX(LINEST(L69:L88,M69:T88,TRUE,TRUE),1,7)</f>
        <v/>
      </c>
      <c r="AD88" s="9">
        <f>INDEX(LINEST(L69:L88,M69:T88,TRUE,TRUE),1,6)</f>
        <v/>
      </c>
      <c r="AE88" s="9">
        <f>INDEX(LINEST(L69:L88,M69:T88,TRUE,TRUE),1,5)</f>
        <v/>
      </c>
      <c r="AF88" s="9">
        <f>INDEX(LINEST(L69:L88,M69:T88,TRUE,TRUE),1,4)</f>
        <v/>
      </c>
      <c r="AG88" s="9">
        <f>INDEX(LINEST(L69:L88,M69:T88,TRUE,TRUE),1,3)</f>
        <v/>
      </c>
      <c r="AH88" s="9">
        <f>INDEX(LINEST(L69:L88,M69:T88,TRUE,TRUE),1,2)</f>
        <v/>
      </c>
      <c r="AI88" s="9">
        <f>INDEX(LINEST(L69:L88,M69:T88,TRUE,TRUE),1,1)</f>
        <v/>
      </c>
      <c r="AJ88" s="10">
        <f>INDEX(LINEST(L69:L88,M69:T88,TRUE,TRUE),3,1)</f>
        <v/>
      </c>
      <c r="AK88" s="9">
        <f>AA87/4+AB87*M88+AC87*N88+AD87*O88+AE87*P88+AF87*Q88+AG87*R88+AH87*S88+AI87*T88</f>
        <v/>
      </c>
      <c r="AL88" s="9">
        <f>AVERAGE(L68:L87)</f>
        <v/>
      </c>
    </row>
    <row r="89">
      <c r="A89" s="7" t="n">
        <v>45565</v>
      </c>
      <c r="B89" s="8" t="n">
        <v>2629.95</v>
      </c>
      <c r="C89" s="8" t="n">
        <v>2.18</v>
      </c>
      <c r="D89" s="8" t="n">
        <v>1.63</v>
      </c>
      <c r="E89" s="8" t="n">
        <v>100.779999</v>
      </c>
      <c r="F89" s="8" t="n">
        <v>68.75</v>
      </c>
      <c r="G89" s="8" t="n">
        <v>16.73</v>
      </c>
      <c r="H89" s="8" t="n">
        <v>94.610001</v>
      </c>
      <c r="I89" s="8" t="n">
        <v>5762.47998</v>
      </c>
      <c r="J89" s="8" t="n">
        <v>94.595039</v>
      </c>
      <c r="L89" s="9">
        <f>LN(B89/B88)</f>
        <v/>
      </c>
      <c r="M89" s="9">
        <f>$M$1*(C89-C88)</f>
        <v/>
      </c>
      <c r="N89" s="9">
        <f>$N$1*(D89-D88)</f>
        <v/>
      </c>
      <c r="O89" s="9">
        <f>$O$1*LN(E89/E88)</f>
        <v/>
      </c>
      <c r="P89" s="9">
        <f>$P$1*LN(F89/F88)</f>
        <v/>
      </c>
      <c r="Q89" s="9">
        <f>$Q$1*(G89-G88)</f>
        <v/>
      </c>
      <c r="R89" s="9">
        <f>$R$1*(H89-H88)</f>
        <v/>
      </c>
      <c r="S89" s="9">
        <f>$S$1*LN(I89/I88)</f>
        <v/>
      </c>
      <c r="T89" s="9">
        <f>$T$1*LN(J89/J88)</f>
        <v/>
      </c>
      <c r="U89" s="9">
        <f>$W$12+$W$4*M89+$W$5*N89+$W$6*O89+$W$7*P89+$W$8*Q89+$W$9*R89+$W$10*S89+$W$11*T89</f>
        <v/>
      </c>
      <c r="AA89" s="10">
        <f>INDEX(LINEST(L70:L89,M70:T89,TRUE,TRUE),1,9)*4</f>
        <v/>
      </c>
      <c r="AB89" s="9">
        <f>INDEX(LINEST(L70:L89,M70:T89,TRUE,TRUE),1,8)</f>
        <v/>
      </c>
      <c r="AC89" s="9">
        <f>INDEX(LINEST(L70:L89,M70:T89,TRUE,TRUE),1,7)</f>
        <v/>
      </c>
      <c r="AD89" s="9">
        <f>INDEX(LINEST(L70:L89,M70:T89,TRUE,TRUE),1,6)</f>
        <v/>
      </c>
      <c r="AE89" s="9">
        <f>INDEX(LINEST(L70:L89,M70:T89,TRUE,TRUE),1,5)</f>
        <v/>
      </c>
      <c r="AF89" s="9">
        <f>INDEX(LINEST(L70:L89,M70:T89,TRUE,TRUE),1,4)</f>
        <v/>
      </c>
      <c r="AG89" s="9">
        <f>INDEX(LINEST(L70:L89,M70:T89,TRUE,TRUE),1,3)</f>
        <v/>
      </c>
      <c r="AH89" s="9">
        <f>INDEX(LINEST(L70:L89,M70:T89,TRUE,TRUE),1,2)</f>
        <v/>
      </c>
      <c r="AI89" s="9">
        <f>INDEX(LINEST(L70:L89,M70:T89,TRUE,TRUE),1,1)</f>
        <v/>
      </c>
      <c r="AJ89" s="10">
        <f>INDEX(LINEST(L70:L89,M70:T89,TRUE,TRUE),3,1)</f>
        <v/>
      </c>
      <c r="AK89" s="9">
        <f>AA88/4+AB88*M89+AC88*N89+AD88*O89+AE88*P89+AF88*Q89+AG88*R89+AH88*S89+AI88*T89</f>
        <v/>
      </c>
      <c r="AL89" s="9">
        <f>AVERAGE(L69:L88)</f>
        <v/>
      </c>
    </row>
    <row r="90">
      <c r="A90" s="7" t="n">
        <v>45657</v>
      </c>
      <c r="B90" s="8" t="n">
        <v>2609.1</v>
      </c>
      <c r="C90" s="8" t="n">
        <v>2.34</v>
      </c>
      <c r="D90" s="8" t="n">
        <v>2.24</v>
      </c>
      <c r="E90" s="8" t="n">
        <v>108.489998</v>
      </c>
      <c r="F90" s="8" t="n">
        <v>72.44</v>
      </c>
      <c r="G90" s="8" t="n">
        <v>17.35</v>
      </c>
      <c r="H90" s="8" t="n">
        <v>98.800003</v>
      </c>
      <c r="I90" s="8" t="n">
        <v>5881.629883</v>
      </c>
      <c r="J90" s="8" t="n">
        <v>91.658058</v>
      </c>
      <c r="L90" s="9">
        <f>LN(B90/B89)</f>
        <v/>
      </c>
      <c r="M90" s="9">
        <f>$M$1*(C90-C89)</f>
        <v/>
      </c>
      <c r="N90" s="9">
        <f>$N$1*(D90-D89)</f>
        <v/>
      </c>
      <c r="O90" s="9">
        <f>$O$1*LN(E90/E89)</f>
        <v/>
      </c>
      <c r="P90" s="9">
        <f>$P$1*LN(F90/F89)</f>
        <v/>
      </c>
      <c r="Q90" s="9">
        <f>$Q$1*(G90-G89)</f>
        <v/>
      </c>
      <c r="R90" s="9">
        <f>$R$1*(H90-H89)</f>
        <v/>
      </c>
      <c r="S90" s="9">
        <f>$S$1*LN(I90/I89)</f>
        <v/>
      </c>
      <c r="T90" s="9">
        <f>$T$1*LN(J90/J89)</f>
        <v/>
      </c>
      <c r="U90" s="9">
        <f>$W$12+$W$4*M90+$W$5*N90+$W$6*O90+$W$7*P90+$W$8*Q90+$W$9*R90+$W$10*S90+$W$11*T90</f>
        <v/>
      </c>
      <c r="AA90" s="10">
        <f>INDEX(LINEST(L71:L90,M71:T90,TRUE,TRUE),1,9)*4</f>
        <v/>
      </c>
      <c r="AB90" s="9">
        <f>INDEX(LINEST(L71:L90,M71:T90,TRUE,TRUE),1,8)</f>
        <v/>
      </c>
      <c r="AC90" s="9">
        <f>INDEX(LINEST(L71:L90,M71:T90,TRUE,TRUE),1,7)</f>
        <v/>
      </c>
      <c r="AD90" s="9">
        <f>INDEX(LINEST(L71:L90,M71:T90,TRUE,TRUE),1,6)</f>
        <v/>
      </c>
      <c r="AE90" s="9">
        <f>INDEX(LINEST(L71:L90,M71:T90,TRUE,TRUE),1,5)</f>
        <v/>
      </c>
      <c r="AF90" s="9">
        <f>INDEX(LINEST(L71:L90,M71:T90,TRUE,TRUE),1,4)</f>
        <v/>
      </c>
      <c r="AG90" s="9">
        <f>INDEX(LINEST(L71:L90,M71:T90,TRUE,TRUE),1,3)</f>
        <v/>
      </c>
      <c r="AH90" s="9">
        <f>INDEX(LINEST(L71:L90,M71:T90,TRUE,TRUE),1,2)</f>
        <v/>
      </c>
      <c r="AI90" s="9">
        <f>INDEX(LINEST(L71:L90,M71:T90,TRUE,TRUE),1,1)</f>
        <v/>
      </c>
      <c r="AJ90" s="10">
        <f>INDEX(LINEST(L71:L90,M71:T90,TRUE,TRUE),3,1)</f>
        <v/>
      </c>
      <c r="AK90" s="9">
        <f>AA89/4+AB89*M90+AC89*N90+AD89*O90+AE89*P90+AF89*Q90+AG89*R90+AH89*S90+AI89*T90</f>
        <v/>
      </c>
      <c r="AL90" s="9">
        <f>AVERAGE(L70:L89)</f>
        <v/>
      </c>
    </row>
    <row r="91">
      <c r="A91" s="7" t="n">
        <v>45747</v>
      </c>
      <c r="B91" s="8" t="n">
        <v>3115.1</v>
      </c>
      <c r="C91" s="8" t="n">
        <v>2.38</v>
      </c>
      <c r="D91" s="8" t="n">
        <v>1.85</v>
      </c>
      <c r="E91" s="8" t="n">
        <v>104.209999</v>
      </c>
      <c r="F91" s="8" t="n">
        <v>71.87</v>
      </c>
      <c r="G91" s="8" t="n">
        <v>22.28</v>
      </c>
      <c r="H91" s="8" t="n">
        <v>101.349998</v>
      </c>
      <c r="I91" s="8" t="n">
        <v>5611.850098</v>
      </c>
      <c r="J91" s="8" t="n">
        <v>94.16754899999999</v>
      </c>
      <c r="L91" s="9">
        <f>LN(B91/B90)</f>
        <v/>
      </c>
      <c r="M91" s="9">
        <f>$M$1*(C91-C90)</f>
        <v/>
      </c>
      <c r="N91" s="9">
        <f>$N$1*(D91-D90)</f>
        <v/>
      </c>
      <c r="O91" s="9">
        <f>$O$1*LN(E91/E90)</f>
        <v/>
      </c>
      <c r="P91" s="9">
        <f>$P$1*LN(F91/F90)</f>
        <v/>
      </c>
      <c r="Q91" s="9">
        <f>$Q$1*(G91-G90)</f>
        <v/>
      </c>
      <c r="R91" s="9">
        <f>$R$1*(H91-H90)</f>
        <v/>
      </c>
      <c r="S91" s="9">
        <f>$S$1*LN(I91/I90)</f>
        <v/>
      </c>
      <c r="T91" s="9">
        <f>$T$1*LN(J91/J90)</f>
        <v/>
      </c>
      <c r="U91" s="9">
        <f>$W$12+$W$4*M91+$W$5*N91+$W$6*O91+$W$7*P91+$W$8*Q91+$W$9*R91+$W$10*S91+$W$11*T91</f>
        <v/>
      </c>
      <c r="AA91" s="10">
        <f>INDEX(LINEST(L72:L91,M72:T91,TRUE,TRUE),1,9)*4</f>
        <v/>
      </c>
      <c r="AB91" s="9">
        <f>INDEX(LINEST(L72:L91,M72:T91,TRUE,TRUE),1,8)</f>
        <v/>
      </c>
      <c r="AC91" s="9">
        <f>INDEX(LINEST(L72:L91,M72:T91,TRUE,TRUE),1,7)</f>
        <v/>
      </c>
      <c r="AD91" s="9">
        <f>INDEX(LINEST(L72:L91,M72:T91,TRUE,TRUE),1,6)</f>
        <v/>
      </c>
      <c r="AE91" s="9">
        <f>INDEX(LINEST(L72:L91,M72:T91,TRUE,TRUE),1,5)</f>
        <v/>
      </c>
      <c r="AF91" s="9">
        <f>INDEX(LINEST(L72:L91,M72:T91,TRUE,TRUE),1,4)</f>
        <v/>
      </c>
      <c r="AG91" s="9">
        <f>INDEX(LINEST(L72:L91,M72:T91,TRUE,TRUE),1,3)</f>
        <v/>
      </c>
      <c r="AH91" s="9">
        <f>INDEX(LINEST(L72:L91,M72:T91,TRUE,TRUE),1,2)</f>
        <v/>
      </c>
      <c r="AI91" s="9">
        <f>INDEX(LINEST(L72:L91,M72:T91,TRUE,TRUE),1,1)</f>
        <v/>
      </c>
      <c r="AJ91" s="10">
        <f>INDEX(LINEST(L72:L91,M72:T91,TRUE,TRUE),3,1)</f>
        <v/>
      </c>
      <c r="AK91" s="9">
        <f>AA90/4+AB90*M91+AC90*N91+AD90*O91+AE90*P91+AF90*Q91+AG90*R91+AH90*S91+AI90*T91</f>
        <v/>
      </c>
      <c r="AL91" s="9">
        <f>AVERAGE(L71:L90)</f>
        <v/>
      </c>
    </row>
    <row r="92">
      <c r="A92" s="7" t="n">
        <v>45838</v>
      </c>
      <c r="B92" s="8" t="n">
        <v>3287.45</v>
      </c>
      <c r="C92" s="8" t="n">
        <v>2.29</v>
      </c>
      <c r="D92" s="8" t="n">
        <v>1.95</v>
      </c>
      <c r="E92" s="8" t="n">
        <v>96.879997</v>
      </c>
      <c r="F92" s="8" t="n">
        <v>66.3</v>
      </c>
      <c r="G92" s="8" t="n">
        <v>16.73</v>
      </c>
      <c r="H92" s="8" t="n">
        <v>90.260002</v>
      </c>
      <c r="I92" s="8" t="n">
        <v>6204.950195</v>
      </c>
      <c r="J92" s="8" t="n">
        <v>95.367531</v>
      </c>
      <c r="L92" s="9">
        <f>LN(B92/B91)</f>
        <v/>
      </c>
      <c r="M92" s="9">
        <f>$M$1*(C92-C91)</f>
        <v/>
      </c>
      <c r="N92" s="9">
        <f>$N$1*(D92-D91)</f>
        <v/>
      </c>
      <c r="O92" s="9">
        <f>$O$1*LN(E92/E91)</f>
        <v/>
      </c>
      <c r="P92" s="9">
        <f>$P$1*LN(F92/F91)</f>
        <v/>
      </c>
      <c r="Q92" s="9">
        <f>$Q$1*(G92-G91)</f>
        <v/>
      </c>
      <c r="R92" s="9">
        <f>$R$1*(H92-H91)</f>
        <v/>
      </c>
      <c r="S92" s="9">
        <f>$S$1*LN(I92/I91)</f>
        <v/>
      </c>
      <c r="T92" s="9">
        <f>$T$1*LN(J92/J91)</f>
        <v/>
      </c>
      <c r="U92" s="9">
        <f>$W$12+$W$4*M92+$W$5*N92+$W$6*O92+$W$7*P92+$W$8*Q92+$W$9*R92+$W$10*S92+$W$11*T92</f>
        <v/>
      </c>
      <c r="AA92" s="10">
        <f>INDEX(LINEST(L73:L92,M73:T92,TRUE,TRUE),1,9)*4</f>
        <v/>
      </c>
      <c r="AB92" s="9">
        <f>INDEX(LINEST(L73:L92,M73:T92,TRUE,TRUE),1,8)</f>
        <v/>
      </c>
      <c r="AC92" s="9">
        <f>INDEX(LINEST(L73:L92,M73:T92,TRUE,TRUE),1,7)</f>
        <v/>
      </c>
      <c r="AD92" s="9">
        <f>INDEX(LINEST(L73:L92,M73:T92,TRUE,TRUE),1,6)</f>
        <v/>
      </c>
      <c r="AE92" s="9">
        <f>INDEX(LINEST(L73:L92,M73:T92,TRUE,TRUE),1,5)</f>
        <v/>
      </c>
      <c r="AF92" s="9">
        <f>INDEX(LINEST(L73:L92,M73:T92,TRUE,TRUE),1,4)</f>
        <v/>
      </c>
      <c r="AG92" s="9">
        <f>INDEX(LINEST(L73:L92,M73:T92,TRUE,TRUE),1,3)</f>
        <v/>
      </c>
      <c r="AH92" s="9">
        <f>INDEX(LINEST(L73:L92,M73:T92,TRUE,TRUE),1,2)</f>
        <v/>
      </c>
      <c r="AI92" s="9">
        <f>INDEX(LINEST(L73:L92,M73:T92,TRUE,TRUE),1,1)</f>
        <v/>
      </c>
      <c r="AJ92" s="10">
        <f>INDEX(LINEST(L73:L92,M73:T92,TRUE,TRUE),3,1)</f>
        <v/>
      </c>
      <c r="AK92" s="9">
        <f>AA91/4+AB91*M92+AC91*N92+AD91*O92+AE91*P92+AF91*Q92+AG91*R92+AH91*S92+AI91*T92</f>
        <v/>
      </c>
      <c r="AL92" s="9">
        <f>AVERAGE(L72:L91)</f>
        <v/>
      </c>
    </row>
    <row r="93">
      <c r="A93" s="7" t="n">
        <v>45930</v>
      </c>
      <c r="B93" s="8" t="n">
        <v>3825.3</v>
      </c>
      <c r="C93" s="8" t="n">
        <v>2.36</v>
      </c>
      <c r="D93" s="8" t="n">
        <v>1.8</v>
      </c>
      <c r="E93" s="8" t="n">
        <v>97.769997</v>
      </c>
      <c r="F93" s="8" t="n">
        <v>63.17</v>
      </c>
      <c r="G93" s="8" t="n">
        <v>16.28</v>
      </c>
      <c r="H93" s="8" t="n">
        <v>77.93000000000001</v>
      </c>
      <c r="I93" s="8" t="n">
        <v>6688.459961</v>
      </c>
      <c r="J93" s="8" t="n">
        <v>97.33251199999999</v>
      </c>
      <c r="L93" s="9">
        <f>LN(B93/B92)</f>
        <v/>
      </c>
      <c r="M93" s="9">
        <f>$M$1*(C93-C92)</f>
        <v/>
      </c>
      <c r="N93" s="9">
        <f>$N$1*(D93-D92)</f>
        <v/>
      </c>
      <c r="O93" s="9">
        <f>$O$1*LN(E93/E92)</f>
        <v/>
      </c>
      <c r="P93" s="9">
        <f>$P$1*LN(F93/F92)</f>
        <v/>
      </c>
      <c r="Q93" s="9">
        <f>$Q$1*(G93-G92)</f>
        <v/>
      </c>
      <c r="R93" s="9">
        <f>$R$1*(H93-H92)</f>
        <v/>
      </c>
      <c r="S93" s="9">
        <f>$S$1*LN(I93/I92)</f>
        <v/>
      </c>
      <c r="T93" s="9">
        <f>$T$1*LN(J93/J92)</f>
        <v/>
      </c>
      <c r="U93" s="9">
        <f>$W$12+$W$4*M93+$W$5*N93+$W$6*O93+$W$7*P93+$W$8*Q93+$W$9*R93+$W$10*S93+$W$11*T93</f>
        <v/>
      </c>
      <c r="AA93" s="10">
        <f>INDEX(LINEST(L74:L93,M74:T93,TRUE,TRUE),1,9)*4</f>
        <v/>
      </c>
      <c r="AB93" s="9">
        <f>INDEX(LINEST(L74:L93,M74:T93,TRUE,TRUE),1,8)</f>
        <v/>
      </c>
      <c r="AC93" s="9">
        <f>INDEX(LINEST(L74:L93,M74:T93,TRUE,TRUE),1,7)</f>
        <v/>
      </c>
      <c r="AD93" s="9">
        <f>INDEX(LINEST(L74:L93,M74:T93,TRUE,TRUE),1,6)</f>
        <v/>
      </c>
      <c r="AE93" s="9">
        <f>INDEX(LINEST(L74:L93,M74:T93,TRUE,TRUE),1,5)</f>
        <v/>
      </c>
      <c r="AF93" s="9">
        <f>INDEX(LINEST(L74:L93,M74:T93,TRUE,TRUE),1,4)</f>
        <v/>
      </c>
      <c r="AG93" s="9">
        <f>INDEX(LINEST(L74:L93,M74:T93,TRUE,TRUE),1,3)</f>
        <v/>
      </c>
      <c r="AH93" s="9">
        <f>INDEX(LINEST(L74:L93,M74:T93,TRUE,TRUE),1,2)</f>
        <v/>
      </c>
      <c r="AI93" s="9">
        <f>INDEX(LINEST(L74:L93,M74:T93,TRUE,TRUE),1,1)</f>
        <v/>
      </c>
      <c r="AJ93" s="10">
        <f>INDEX(LINEST(L74:L93,M74:T93,TRUE,TRUE),3,1)</f>
        <v/>
      </c>
      <c r="AK93" s="9">
        <f>AA92/4+AB92*M93+AC92*N93+AD92*O93+AE92*P93+AF92*Q93+AG92*R93+AH92*S93+AI92*T93</f>
        <v/>
      </c>
      <c r="AL93" s="9">
        <f>AVERAGE(L73:L92)</f>
        <v/>
      </c>
    </row>
    <row r="94">
      <c r="A94" s="7" t="n">
        <v>46022</v>
      </c>
      <c r="B94" s="8" t="n">
        <v>4367.8</v>
      </c>
      <c r="C94" s="8" t="n">
        <v>2.25</v>
      </c>
      <c r="D94" s="8" t="n">
        <v>1.93</v>
      </c>
      <c r="E94" s="8" t="n">
        <v>98.279999</v>
      </c>
      <c r="F94" s="8" t="n">
        <v>57.26</v>
      </c>
      <c r="G94" s="8" t="n">
        <v>14.95</v>
      </c>
      <c r="H94" s="8" t="n">
        <v>63.959999</v>
      </c>
      <c r="I94" s="8" t="n">
        <v>6845.5</v>
      </c>
      <c r="J94" s="8" t="n">
        <v>98.249886</v>
      </c>
      <c r="L94" s="9">
        <f>LN(B94/B93)</f>
        <v/>
      </c>
      <c r="M94" s="9">
        <f>$M$1*(C94-C93)</f>
        <v/>
      </c>
      <c r="N94" s="9">
        <f>$N$1*(D94-D93)</f>
        <v/>
      </c>
      <c r="O94" s="9">
        <f>$O$1*LN(E94/E93)</f>
        <v/>
      </c>
      <c r="P94" s="9">
        <f>$P$1*LN(F94/F93)</f>
        <v/>
      </c>
      <c r="Q94" s="9">
        <f>$Q$1*(G94-G93)</f>
        <v/>
      </c>
      <c r="R94" s="9">
        <f>$R$1*(H94-H93)</f>
        <v/>
      </c>
      <c r="S94" s="9">
        <f>$S$1*LN(I94/I93)</f>
        <v/>
      </c>
      <c r="T94" s="9">
        <f>$T$1*LN(J94/J93)</f>
        <v/>
      </c>
      <c r="U94" s="9">
        <f>$W$12+$W$4*M94+$W$5*N94+$W$6*O94+$W$7*P94+$W$8*Q94+$W$9*R94+$W$10*S94+$W$11*T94</f>
        <v/>
      </c>
      <c r="AA94" s="10">
        <f>INDEX(LINEST(L75:L94,M75:T94,TRUE,TRUE),1,9)*4</f>
        <v/>
      </c>
      <c r="AB94" s="9">
        <f>INDEX(LINEST(L75:L94,M75:T94,TRUE,TRUE),1,8)</f>
        <v/>
      </c>
      <c r="AC94" s="9">
        <f>INDEX(LINEST(L75:L94,M75:T94,TRUE,TRUE),1,7)</f>
        <v/>
      </c>
      <c r="AD94" s="9">
        <f>INDEX(LINEST(L75:L94,M75:T94,TRUE,TRUE),1,6)</f>
        <v/>
      </c>
      <c r="AE94" s="9">
        <f>INDEX(LINEST(L75:L94,M75:T94,TRUE,TRUE),1,5)</f>
        <v/>
      </c>
      <c r="AF94" s="9">
        <f>INDEX(LINEST(L75:L94,M75:T94,TRUE,TRUE),1,4)</f>
        <v/>
      </c>
      <c r="AG94" s="9">
        <f>INDEX(LINEST(L75:L94,M75:T94,TRUE,TRUE),1,3)</f>
        <v/>
      </c>
      <c r="AH94" s="9">
        <f>INDEX(LINEST(L75:L94,M75:T94,TRUE,TRUE),1,2)</f>
        <v/>
      </c>
      <c r="AI94" s="9">
        <f>INDEX(LINEST(L75:L94,M75:T94,TRUE,TRUE),1,1)</f>
        <v/>
      </c>
      <c r="AJ94" s="10">
        <f>INDEX(LINEST(L75:L94,M75:T94,TRUE,TRUE),3,1)</f>
        <v/>
      </c>
      <c r="AK94" s="9">
        <f>AA93/4+AB93*M94+AC93*N94+AD93*O94+AE93*P94+AF93*Q94+AG93*R94+AH93*S94+AI93*T94</f>
        <v/>
      </c>
      <c r="AL94" s="9">
        <f>AVERAGE(L74:L93)</f>
        <v/>
      </c>
    </row>
    <row r="95">
      <c r="A95" s="7" t="n">
        <v>46112</v>
      </c>
      <c r="B95" s="8" t="n">
        <v>4608.35</v>
      </c>
      <c r="C95" s="8" t="n">
        <v>2.3</v>
      </c>
      <c r="D95" s="8" t="n">
        <v>2</v>
      </c>
      <c r="E95" s="8" t="n">
        <v>99.959999</v>
      </c>
      <c r="F95" s="8" t="n">
        <v>102.86</v>
      </c>
      <c r="G95" s="8" t="n">
        <v>25.25</v>
      </c>
      <c r="H95" s="8" t="n">
        <v>96.050003</v>
      </c>
      <c r="I95" s="8" t="n">
        <v>6528.52002</v>
      </c>
      <c r="J95" s="8" t="n">
        <v>98.274078</v>
      </c>
      <c r="L95" s="9">
        <f>LN(B95/B94)</f>
        <v/>
      </c>
      <c r="M95" s="9">
        <f>$M$1*(C95-C94)</f>
        <v/>
      </c>
      <c r="N95" s="9">
        <f>$N$1*(D95-D94)</f>
        <v/>
      </c>
      <c r="O95" s="9">
        <f>$O$1*LN(E95/E94)</f>
        <v/>
      </c>
      <c r="P95" s="9">
        <f>$P$1*LN(F95/F94)</f>
        <v/>
      </c>
      <c r="Q95" s="9">
        <f>$Q$1*(G95-G94)</f>
        <v/>
      </c>
      <c r="R95" s="9">
        <f>$R$1*(H95-H94)</f>
        <v/>
      </c>
      <c r="S95" s="9">
        <f>$S$1*LN(I95/I94)</f>
        <v/>
      </c>
      <c r="T95" s="9">
        <f>$T$1*LN(J95/J94)</f>
        <v/>
      </c>
      <c r="U95" s="9">
        <f>$W$12+$W$4*M95+$W$5*N95+$W$6*O95+$W$7*P95+$W$8*Q95+$W$9*R95+$W$10*S95+$W$11*T95</f>
        <v/>
      </c>
      <c r="AA95" s="10">
        <f>INDEX(LINEST(L76:L95,M76:T95,TRUE,TRUE),1,9)*4</f>
        <v/>
      </c>
      <c r="AB95" s="9">
        <f>INDEX(LINEST(L76:L95,M76:T95,TRUE,TRUE),1,8)</f>
        <v/>
      </c>
      <c r="AC95" s="9">
        <f>INDEX(LINEST(L76:L95,M76:T95,TRUE,TRUE),1,7)</f>
        <v/>
      </c>
      <c r="AD95" s="9">
        <f>INDEX(LINEST(L76:L95,M76:T95,TRUE,TRUE),1,6)</f>
        <v/>
      </c>
      <c r="AE95" s="9">
        <f>INDEX(LINEST(L76:L95,M76:T95,TRUE,TRUE),1,5)</f>
        <v/>
      </c>
      <c r="AF95" s="9">
        <f>INDEX(LINEST(L76:L95,M76:T95,TRUE,TRUE),1,4)</f>
        <v/>
      </c>
      <c r="AG95" s="9">
        <f>INDEX(LINEST(L76:L95,M76:T95,TRUE,TRUE),1,3)</f>
        <v/>
      </c>
      <c r="AH95" s="9">
        <f>INDEX(LINEST(L76:L95,M76:T95,TRUE,TRUE),1,2)</f>
        <v/>
      </c>
      <c r="AI95" s="9">
        <f>INDEX(LINEST(L76:L95,M76:T95,TRUE,TRUE),1,1)</f>
        <v/>
      </c>
      <c r="AJ95" s="10">
        <f>INDEX(LINEST(L76:L95,M76:T95,TRUE,TRUE),3,1)</f>
        <v/>
      </c>
      <c r="AK95" s="9">
        <f>AA94/4+AB94*M95+AC94*N95+AD94*O95+AE94*P95+AF94*Q95+AG94*R95+AH94*S95+AI94*T95</f>
        <v/>
      </c>
      <c r="AL95" s="9">
        <f>AVERAGE(L75:L94)</f>
        <v/>
      </c>
    </row>
    <row r="96">
      <c r="A96" s="7" t="n">
        <v>46203</v>
      </c>
      <c r="B96" s="8" t="n">
        <v>4150.9</v>
      </c>
      <c r="C96" s="8" t="n">
        <v>2.23</v>
      </c>
      <c r="D96" s="8" t="n">
        <v>2.23</v>
      </c>
      <c r="E96" s="8" t="n">
        <v>101.417</v>
      </c>
      <c r="F96" s="8" t="n">
        <v>84.65000000000001</v>
      </c>
      <c r="G96" s="8" t="n">
        <v>17.28</v>
      </c>
      <c r="H96" s="8" t="n">
        <v>68.77979999999999</v>
      </c>
      <c r="I96" s="8" t="n">
        <v>7365.459961</v>
      </c>
      <c r="J96" s="8" t="n">
        <v>98.709999</v>
      </c>
      <c r="L96" s="9">
        <f>LN(B96/B95)</f>
        <v/>
      </c>
      <c r="M96" s="9">
        <f>$M$1*(C96-C95)</f>
        <v/>
      </c>
      <c r="N96" s="9">
        <f>$N$1*(D96-D95)</f>
        <v/>
      </c>
      <c r="O96" s="9">
        <f>$O$1*LN(E96/E95)</f>
        <v/>
      </c>
      <c r="P96" s="9">
        <f>$P$1*LN(F96/F95)</f>
        <v/>
      </c>
      <c r="Q96" s="9">
        <f>$Q$1*(G96-G95)</f>
        <v/>
      </c>
      <c r="R96" s="9">
        <f>$R$1*(H96-H95)</f>
        <v/>
      </c>
      <c r="S96" s="9">
        <f>$S$1*LN(I96/I95)</f>
        <v/>
      </c>
      <c r="T96" s="9">
        <f>$T$1*LN(J96/J95)</f>
        <v/>
      </c>
      <c r="U96" s="9">
        <f>$W$12+$W$4*M96+$W$5*N96+$W$6*O96+$W$7*P96+$W$8*Q96+$W$9*R96+$W$10*S96+$W$11*T96</f>
        <v/>
      </c>
      <c r="AA96" s="10">
        <f>INDEX(LINEST(L77:L96,M77:T96,TRUE,TRUE),1,9)*4</f>
        <v/>
      </c>
      <c r="AB96" s="9">
        <f>INDEX(LINEST(L77:L96,M77:T96,TRUE,TRUE),1,8)</f>
        <v/>
      </c>
      <c r="AC96" s="9">
        <f>INDEX(LINEST(L77:L96,M77:T96,TRUE,TRUE),1,7)</f>
        <v/>
      </c>
      <c r="AD96" s="9">
        <f>INDEX(LINEST(L77:L96,M77:T96,TRUE,TRUE),1,6)</f>
        <v/>
      </c>
      <c r="AE96" s="9">
        <f>INDEX(LINEST(L77:L96,M77:T96,TRUE,TRUE),1,5)</f>
        <v/>
      </c>
      <c r="AF96" s="9">
        <f>INDEX(LINEST(L77:L96,M77:T96,TRUE,TRUE),1,4)</f>
        <v/>
      </c>
      <c r="AG96" s="9">
        <f>INDEX(LINEST(L77:L96,M77:T96,TRUE,TRUE),1,3)</f>
        <v/>
      </c>
      <c r="AH96" s="9">
        <f>INDEX(LINEST(L77:L96,M77:T96,TRUE,TRUE),1,2)</f>
        <v/>
      </c>
      <c r="AI96" s="9">
        <f>INDEX(LINEST(L77:L96,M77:T96,TRUE,TRUE),1,1)</f>
        <v/>
      </c>
      <c r="AJ96" s="10">
        <f>INDEX(LINEST(L77:L96,M77:T96,TRUE,TRUE),3,1)</f>
        <v/>
      </c>
      <c r="AK96" s="9">
        <f>AA95/4+AB95*M96+AC95*N96+AD95*O96+AE95*P96+AF95*Q96+AG95*R96+AH95*S96+AI95*T96</f>
        <v/>
      </c>
      <c r="AL96" s="9">
        <f>AVERAGE(L76:L95)</f>
        <v/>
      </c>
    </row>
  </sheetData>
  <mergeCells count="1">
    <mergeCell ref="A1:J1"/>
  </mergeCells>
  <dataValidations count="1">
    <dataValidation sqref="M1 N1 O1 P1 Q1 R1 S1 T1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2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2" customWidth="1" min="22" max="22"/>
  </cols>
  <sheetData>
    <row r="1">
      <c r="A1" s="1" t="inlineStr">
        <is>
          <t>Gold factor regression — Bloomberg BDH (monthly; change Per= for W/Q)</t>
        </is>
      </c>
      <c r="L1" s="2" t="inlineStr">
        <is>
          <t>Include 1/0 →</t>
        </is>
      </c>
      <c r="M1" s="3" t="n">
        <v>1</v>
      </c>
      <c r="N1" s="3" t="n">
        <v>1</v>
      </c>
      <c r="O1" s="3" t="n">
        <v>1</v>
      </c>
      <c r="P1" s="3" t="n">
        <v>1</v>
      </c>
      <c r="Q1" s="3" t="n">
        <v>1</v>
      </c>
      <c r="R1" s="3" t="n">
        <v>1</v>
      </c>
      <c r="S1" s="3" t="n">
        <v>1</v>
      </c>
      <c r="T1" s="3" t="n">
        <v>1</v>
      </c>
    </row>
    <row r="2">
      <c r="A2" s="4" t="inlineStr">
        <is>
          <t>Date</t>
        </is>
      </c>
      <c r="B2" s="4" t="inlineStr">
        <is>
          <t>Gold (LBMA PM)</t>
        </is>
      </c>
      <c r="C2" s="4" t="inlineStr">
        <is>
          <t>10Y breakeven</t>
        </is>
      </c>
      <c r="D2" s="4" t="inlineStr">
        <is>
          <t>10Y TIPS real</t>
        </is>
      </c>
      <c r="E2" s="4" t="inlineStr">
        <is>
          <t>US Dollar Index DXY</t>
        </is>
      </c>
      <c r="F2" s="4" t="inlineStr">
        <is>
          <t>WTI crude oil</t>
        </is>
      </c>
      <c r="G2" s="4" t="inlineStr">
        <is>
          <t>Equity vol VIX</t>
        </is>
      </c>
      <c r="H2" s="4" t="inlineStr">
        <is>
          <t>Rate vol MOVE</t>
        </is>
      </c>
      <c r="I2" s="4" t="inlineStr">
        <is>
          <t>S&amp;P 500 (price)</t>
        </is>
      </c>
      <c r="J2" s="4" t="inlineStr">
        <is>
          <t>US Agg bonds TR</t>
        </is>
      </c>
      <c r="L2" s="4" t="inlineStr">
        <is>
          <t>Gold ret</t>
        </is>
      </c>
      <c r="M2" s="4" t="inlineStr">
        <is>
          <t>Δ 10Y BE</t>
        </is>
      </c>
      <c r="N2" s="4" t="inlineStr">
        <is>
          <t>Δ 10Y real</t>
        </is>
      </c>
      <c r="O2" s="4" t="inlineStr">
        <is>
          <t>DXY ret</t>
        </is>
      </c>
      <c r="P2" s="4" t="inlineStr">
        <is>
          <t>Oil ret</t>
        </is>
      </c>
      <c r="Q2" s="4" t="inlineStr">
        <is>
          <t>Δ VIX</t>
        </is>
      </c>
      <c r="R2" s="4" t="inlineStr">
        <is>
          <t>Δ MOVE</t>
        </is>
      </c>
      <c r="S2" s="4" t="inlineStr">
        <is>
          <t>S&amp;P ret</t>
        </is>
      </c>
      <c r="T2" s="4" t="inlineStr">
        <is>
          <t>Agg ret</t>
        </is>
      </c>
      <c r="U2" s="5" t="inlineStr">
        <is>
          <t>Fitted</t>
        </is>
      </c>
      <c r="V2" s="6" t="inlineStr">
        <is>
          <t>Regression (full sample)</t>
        </is>
      </c>
      <c r="AK2" s="5" t="inlineStr">
        <is>
          <t>OOS pred</t>
        </is>
      </c>
      <c r="AL2" s="5" t="inlineStr">
        <is>
          <t>trail mean</t>
        </is>
      </c>
    </row>
    <row r="3">
      <c r="A3" s="13">
        <f>BDH("GOLDLNPM Index, USGGBE10 Index, USGGT10Y Index, DXY Curncy, CL1 Comdty, VIX Index, MOVE Index, SPX Index, LBUSTRUU Index","PX_LAST",DATE(2003,1,31),TODAY(),"Per=cm","Dts=S","Sort=A","cols=10;rows=282")</f>
        <v/>
      </c>
      <c r="V3" s="5" t="inlineStr">
        <is>
          <t>Factor</t>
        </is>
      </c>
      <c r="W3" s="5" t="inlineStr">
        <is>
          <t>β</t>
        </is>
      </c>
      <c r="X3" s="5" t="inlineStr">
        <is>
          <t>std err</t>
        </is>
      </c>
      <c r="Y3" s="5" t="inlineStr">
        <is>
          <t>t-stat</t>
        </is>
      </c>
    </row>
    <row r="4">
      <c r="L4" s="9">
        <f>LN(B4/B3)</f>
        <v/>
      </c>
      <c r="M4" s="9">
        <f>$M$1*(C4-C3)</f>
        <v/>
      </c>
      <c r="N4" s="9">
        <f>$N$1*(D4-D3)</f>
        <v/>
      </c>
      <c r="O4" s="9">
        <f>$O$1*LN(E4/E3)</f>
        <v/>
      </c>
      <c r="P4" s="9">
        <f>$P$1*LN(F4/F3)</f>
        <v/>
      </c>
      <c r="Q4" s="9">
        <f>$Q$1*(G4-G3)</f>
        <v/>
      </c>
      <c r="R4" s="9">
        <f>$R$1*(H4-H3)</f>
        <v/>
      </c>
      <c r="S4" s="9">
        <f>$S$1*LN(I4/I3)</f>
        <v/>
      </c>
      <c r="T4" s="9">
        <f>$T$1*LN(J4/J3)</f>
        <v/>
      </c>
      <c r="U4" s="9">
        <f>$W$12+$W$4*M4+$W$5*N4+$W$6*O4+$W$7*P4+$W$8*Q4+$W$9*R4+$W$10*S4+$W$11*T4</f>
        <v/>
      </c>
      <c r="V4" t="inlineStr">
        <is>
          <t>10Y breakeven</t>
        </is>
      </c>
      <c r="W4" s="9">
        <f>INDEX(LINEST($L$4:$L$284,$M$4:$T$284,TRUE,TRUE),1,8)</f>
        <v/>
      </c>
      <c r="X4" s="9">
        <f>INDEX(LINEST($L$4:$L$284,$M$4:$T$284,TRUE,TRUE),2,8)</f>
        <v/>
      </c>
      <c r="Y4" s="9">
        <f>W4/X4</f>
        <v/>
      </c>
    </row>
    <row r="5">
      <c r="L5" s="9">
        <f>LN(B5/B4)</f>
        <v/>
      </c>
      <c r="M5" s="9">
        <f>$M$1*(C5-C4)</f>
        <v/>
      </c>
      <c r="N5" s="9">
        <f>$N$1*(D5-D4)</f>
        <v/>
      </c>
      <c r="O5" s="9">
        <f>$O$1*LN(E5/E4)</f>
        <v/>
      </c>
      <c r="P5" s="9">
        <f>$P$1*LN(F5/F4)</f>
        <v/>
      </c>
      <c r="Q5" s="9">
        <f>$Q$1*(G5-G4)</f>
        <v/>
      </c>
      <c r="R5" s="9">
        <f>$R$1*(H5-H4)</f>
        <v/>
      </c>
      <c r="S5" s="9">
        <f>$S$1*LN(I5/I4)</f>
        <v/>
      </c>
      <c r="T5" s="9">
        <f>$T$1*LN(J5/J4)</f>
        <v/>
      </c>
      <c r="U5" s="9">
        <f>$W$12+$W$4*M5+$W$5*N5+$W$6*O5+$W$7*P5+$W$8*Q5+$W$9*R5+$W$10*S5+$W$11*T5</f>
        <v/>
      </c>
      <c r="V5" t="inlineStr">
        <is>
          <t>10Y TIPS real</t>
        </is>
      </c>
      <c r="W5" s="9">
        <f>INDEX(LINEST($L$4:$L$284,$M$4:$T$284,TRUE,TRUE),1,7)</f>
        <v/>
      </c>
      <c r="X5" s="9">
        <f>INDEX(LINEST($L$4:$L$284,$M$4:$T$284,TRUE,TRUE),2,7)</f>
        <v/>
      </c>
      <c r="Y5" s="9">
        <f>W5/X5</f>
        <v/>
      </c>
    </row>
    <row r="6">
      <c r="L6" s="9">
        <f>LN(B6/B5)</f>
        <v/>
      </c>
      <c r="M6" s="9">
        <f>$M$1*(C6-C5)</f>
        <v/>
      </c>
      <c r="N6" s="9">
        <f>$N$1*(D6-D5)</f>
        <v/>
      </c>
      <c r="O6" s="9">
        <f>$O$1*LN(E6/E5)</f>
        <v/>
      </c>
      <c r="P6" s="9">
        <f>$P$1*LN(F6/F5)</f>
        <v/>
      </c>
      <c r="Q6" s="9">
        <f>$Q$1*(G6-G5)</f>
        <v/>
      </c>
      <c r="R6" s="9">
        <f>$R$1*(H6-H5)</f>
        <v/>
      </c>
      <c r="S6" s="9">
        <f>$S$1*LN(I6/I5)</f>
        <v/>
      </c>
      <c r="T6" s="9">
        <f>$T$1*LN(J6/J5)</f>
        <v/>
      </c>
      <c r="U6" s="9">
        <f>$W$12+$W$4*M6+$W$5*N6+$W$6*O6+$W$7*P6+$W$8*Q6+$W$9*R6+$W$10*S6+$W$11*T6</f>
        <v/>
      </c>
      <c r="V6" t="inlineStr">
        <is>
          <t>US Dollar Index DXY</t>
        </is>
      </c>
      <c r="W6" s="9">
        <f>INDEX(LINEST($L$4:$L$284,$M$4:$T$284,TRUE,TRUE),1,6)</f>
        <v/>
      </c>
      <c r="X6" s="9">
        <f>INDEX(LINEST($L$4:$L$284,$M$4:$T$284,TRUE,TRUE),2,6)</f>
        <v/>
      </c>
      <c r="Y6" s="9">
        <f>W6/X6</f>
        <v/>
      </c>
    </row>
    <row r="7">
      <c r="L7" s="9">
        <f>LN(B7/B6)</f>
        <v/>
      </c>
      <c r="M7" s="9">
        <f>$M$1*(C7-C6)</f>
        <v/>
      </c>
      <c r="N7" s="9">
        <f>$N$1*(D7-D6)</f>
        <v/>
      </c>
      <c r="O7" s="9">
        <f>$O$1*LN(E7/E6)</f>
        <v/>
      </c>
      <c r="P7" s="9">
        <f>$P$1*LN(F7/F6)</f>
        <v/>
      </c>
      <c r="Q7" s="9">
        <f>$Q$1*(G7-G6)</f>
        <v/>
      </c>
      <c r="R7" s="9">
        <f>$R$1*(H7-H6)</f>
        <v/>
      </c>
      <c r="S7" s="9">
        <f>$S$1*LN(I7/I6)</f>
        <v/>
      </c>
      <c r="T7" s="9">
        <f>$T$1*LN(J7/J6)</f>
        <v/>
      </c>
      <c r="U7" s="9">
        <f>$W$12+$W$4*M7+$W$5*N7+$W$6*O7+$W$7*P7+$W$8*Q7+$W$9*R7+$W$10*S7+$W$11*T7</f>
        <v/>
      </c>
      <c r="V7" t="inlineStr">
        <is>
          <t>WTI crude oil</t>
        </is>
      </c>
      <c r="W7" s="9">
        <f>INDEX(LINEST($L$4:$L$284,$M$4:$T$284,TRUE,TRUE),1,5)</f>
        <v/>
      </c>
      <c r="X7" s="9">
        <f>INDEX(LINEST($L$4:$L$284,$M$4:$T$284,TRUE,TRUE),2,5)</f>
        <v/>
      </c>
      <c r="Y7" s="9">
        <f>W7/X7</f>
        <v/>
      </c>
    </row>
    <row r="8">
      <c r="L8" s="9">
        <f>LN(B8/B7)</f>
        <v/>
      </c>
      <c r="M8" s="9">
        <f>$M$1*(C8-C7)</f>
        <v/>
      </c>
      <c r="N8" s="9">
        <f>$N$1*(D8-D7)</f>
        <v/>
      </c>
      <c r="O8" s="9">
        <f>$O$1*LN(E8/E7)</f>
        <v/>
      </c>
      <c r="P8" s="9">
        <f>$P$1*LN(F8/F7)</f>
        <v/>
      </c>
      <c r="Q8" s="9">
        <f>$Q$1*(G8-G7)</f>
        <v/>
      </c>
      <c r="R8" s="9">
        <f>$R$1*(H8-H7)</f>
        <v/>
      </c>
      <c r="S8" s="9">
        <f>$S$1*LN(I8/I7)</f>
        <v/>
      </c>
      <c r="T8" s="9">
        <f>$T$1*LN(J8/J7)</f>
        <v/>
      </c>
      <c r="U8" s="9">
        <f>$W$12+$W$4*M8+$W$5*N8+$W$6*O8+$W$7*P8+$W$8*Q8+$W$9*R8+$W$10*S8+$W$11*T8</f>
        <v/>
      </c>
      <c r="V8" t="inlineStr">
        <is>
          <t>Equity vol VIX</t>
        </is>
      </c>
      <c r="W8" s="9">
        <f>INDEX(LINEST($L$4:$L$284,$M$4:$T$284,TRUE,TRUE),1,4)</f>
        <v/>
      </c>
      <c r="X8" s="9">
        <f>INDEX(LINEST($L$4:$L$284,$M$4:$T$284,TRUE,TRUE),2,4)</f>
        <v/>
      </c>
      <c r="Y8" s="9">
        <f>W8/X8</f>
        <v/>
      </c>
    </row>
    <row r="9">
      <c r="L9" s="9">
        <f>LN(B9/B8)</f>
        <v/>
      </c>
      <c r="M9" s="9">
        <f>$M$1*(C9-C8)</f>
        <v/>
      </c>
      <c r="N9" s="9">
        <f>$N$1*(D9-D8)</f>
        <v/>
      </c>
      <c r="O9" s="9">
        <f>$O$1*LN(E9/E8)</f>
        <v/>
      </c>
      <c r="P9" s="9">
        <f>$P$1*LN(F9/F8)</f>
        <v/>
      </c>
      <c r="Q9" s="9">
        <f>$Q$1*(G9-G8)</f>
        <v/>
      </c>
      <c r="R9" s="9">
        <f>$R$1*(H9-H8)</f>
        <v/>
      </c>
      <c r="S9" s="9">
        <f>$S$1*LN(I9/I8)</f>
        <v/>
      </c>
      <c r="T9" s="9">
        <f>$T$1*LN(J9/J8)</f>
        <v/>
      </c>
      <c r="U9" s="9">
        <f>$W$12+$W$4*M9+$W$5*N9+$W$6*O9+$W$7*P9+$W$8*Q9+$W$9*R9+$W$10*S9+$W$11*T9</f>
        <v/>
      </c>
      <c r="V9" t="inlineStr">
        <is>
          <t>Rate vol MOVE</t>
        </is>
      </c>
      <c r="W9" s="9">
        <f>INDEX(LINEST($L$4:$L$284,$M$4:$T$284,TRUE,TRUE),1,3)</f>
        <v/>
      </c>
      <c r="X9" s="9">
        <f>INDEX(LINEST($L$4:$L$284,$M$4:$T$284,TRUE,TRUE),2,3)</f>
        <v/>
      </c>
      <c r="Y9" s="9">
        <f>W9/X9</f>
        <v/>
      </c>
    </row>
    <row r="10">
      <c r="L10" s="9">
        <f>LN(B10/B9)</f>
        <v/>
      </c>
      <c r="M10" s="9">
        <f>$M$1*(C10-C9)</f>
        <v/>
      </c>
      <c r="N10" s="9">
        <f>$N$1*(D10-D9)</f>
        <v/>
      </c>
      <c r="O10" s="9">
        <f>$O$1*LN(E10/E9)</f>
        <v/>
      </c>
      <c r="P10" s="9">
        <f>$P$1*LN(F10/F9)</f>
        <v/>
      </c>
      <c r="Q10" s="9">
        <f>$Q$1*(G10-G9)</f>
        <v/>
      </c>
      <c r="R10" s="9">
        <f>$R$1*(H10-H9)</f>
        <v/>
      </c>
      <c r="S10" s="9">
        <f>$S$1*LN(I10/I9)</f>
        <v/>
      </c>
      <c r="T10" s="9">
        <f>$T$1*LN(J10/J9)</f>
        <v/>
      </c>
      <c r="U10" s="9">
        <f>$W$12+$W$4*M10+$W$5*N10+$W$6*O10+$W$7*P10+$W$8*Q10+$W$9*R10+$W$10*S10+$W$11*T10</f>
        <v/>
      </c>
      <c r="V10" t="inlineStr">
        <is>
          <t>S&amp;P 500 (price)</t>
        </is>
      </c>
      <c r="W10" s="9">
        <f>INDEX(LINEST($L$4:$L$284,$M$4:$T$284,TRUE,TRUE),1,2)</f>
        <v/>
      </c>
      <c r="X10" s="9">
        <f>INDEX(LINEST($L$4:$L$284,$M$4:$T$284,TRUE,TRUE),2,2)</f>
        <v/>
      </c>
      <c r="Y10" s="9">
        <f>W10/X10</f>
        <v/>
      </c>
    </row>
    <row r="11">
      <c r="L11" s="9">
        <f>LN(B11/B10)</f>
        <v/>
      </c>
      <c r="M11" s="9">
        <f>$M$1*(C11-C10)</f>
        <v/>
      </c>
      <c r="N11" s="9">
        <f>$N$1*(D11-D10)</f>
        <v/>
      </c>
      <c r="O11" s="9">
        <f>$O$1*LN(E11/E10)</f>
        <v/>
      </c>
      <c r="P11" s="9">
        <f>$P$1*LN(F11/F10)</f>
        <v/>
      </c>
      <c r="Q11" s="9">
        <f>$Q$1*(G11-G10)</f>
        <v/>
      </c>
      <c r="R11" s="9">
        <f>$R$1*(H11-H10)</f>
        <v/>
      </c>
      <c r="S11" s="9">
        <f>$S$1*LN(I11/I10)</f>
        <v/>
      </c>
      <c r="T11" s="9">
        <f>$T$1*LN(J11/J10)</f>
        <v/>
      </c>
      <c r="U11" s="9">
        <f>$W$12+$W$4*M11+$W$5*N11+$W$6*O11+$W$7*P11+$W$8*Q11+$W$9*R11+$W$10*S11+$W$11*T11</f>
        <v/>
      </c>
      <c r="V11" t="inlineStr">
        <is>
          <t>US Agg bonds TR</t>
        </is>
      </c>
      <c r="W11" s="9">
        <f>INDEX(LINEST($L$4:$L$284,$M$4:$T$284,TRUE,TRUE),1,1)</f>
        <v/>
      </c>
      <c r="X11" s="9">
        <f>INDEX(LINEST($L$4:$L$284,$M$4:$T$284,TRUE,TRUE),2,1)</f>
        <v/>
      </c>
      <c r="Y11" s="9">
        <f>W11/X11</f>
        <v/>
      </c>
    </row>
    <row r="12">
      <c r="L12" s="9">
        <f>LN(B12/B11)</f>
        <v/>
      </c>
      <c r="M12" s="9">
        <f>$M$1*(C12-C11)</f>
        <v/>
      </c>
      <c r="N12" s="9">
        <f>$N$1*(D12-D11)</f>
        <v/>
      </c>
      <c r="O12" s="9">
        <f>$O$1*LN(E12/E11)</f>
        <v/>
      </c>
      <c r="P12" s="9">
        <f>$P$1*LN(F12/F11)</f>
        <v/>
      </c>
      <c r="Q12" s="9">
        <f>$Q$1*(G12-G11)</f>
        <v/>
      </c>
      <c r="R12" s="9">
        <f>$R$1*(H12-H11)</f>
        <v/>
      </c>
      <c r="S12" s="9">
        <f>$S$1*LN(I12/I11)</f>
        <v/>
      </c>
      <c r="T12" s="9">
        <f>$T$1*LN(J12/J11)</f>
        <v/>
      </c>
      <c r="U12" s="9">
        <f>$W$12+$W$4*M12+$W$5*N12+$W$6*O12+$W$7*P12+$W$8*Q12+$W$9*R12+$W$10*S12+$W$11*T12</f>
        <v/>
      </c>
      <c r="V12" t="inlineStr">
        <is>
          <t>Intercept α</t>
        </is>
      </c>
      <c r="W12" s="9">
        <f>INDEX(LINEST($L$4:$L$284,$M$4:$T$284,TRUE,TRUE),1,9)</f>
        <v/>
      </c>
      <c r="X12" s="9">
        <f>INDEX(LINEST($L$4:$L$284,$M$4:$T$284,TRUE,TRUE),2,9)</f>
        <v/>
      </c>
      <c r="Y12" s="9">
        <f>W12/X12</f>
        <v/>
      </c>
    </row>
    <row r="13">
      <c r="L13" s="9">
        <f>LN(B13/B12)</f>
        <v/>
      </c>
      <c r="M13" s="9">
        <f>$M$1*(C13-C12)</f>
        <v/>
      </c>
      <c r="N13" s="9">
        <f>$N$1*(D13-D12)</f>
        <v/>
      </c>
      <c r="O13" s="9">
        <f>$O$1*LN(E13/E12)</f>
        <v/>
      </c>
      <c r="P13" s="9">
        <f>$P$1*LN(F13/F12)</f>
        <v/>
      </c>
      <c r="Q13" s="9">
        <f>$Q$1*(G13-G12)</f>
        <v/>
      </c>
      <c r="R13" s="9">
        <f>$R$1*(H13-H12)</f>
        <v/>
      </c>
      <c r="S13" s="9">
        <f>$S$1*LN(I13/I12)</f>
        <v/>
      </c>
      <c r="T13" s="9">
        <f>$T$1*LN(J13/J12)</f>
        <v/>
      </c>
      <c r="U13" s="9">
        <f>$W$12+$W$4*M13+$W$5*N13+$W$6*O13+$W$7*P13+$W$8*Q13+$W$9*R13+$W$10*S13+$W$11*T13</f>
        <v/>
      </c>
    </row>
    <row r="14">
      <c r="L14" s="9">
        <f>LN(B14/B13)</f>
        <v/>
      </c>
      <c r="M14" s="9">
        <f>$M$1*(C14-C13)</f>
        <v/>
      </c>
      <c r="N14" s="9">
        <f>$N$1*(D14-D13)</f>
        <v/>
      </c>
      <c r="O14" s="9">
        <f>$O$1*LN(E14/E13)</f>
        <v/>
      </c>
      <c r="P14" s="9">
        <f>$P$1*LN(F14/F13)</f>
        <v/>
      </c>
      <c r="Q14" s="9">
        <f>$Q$1*(G14-G13)</f>
        <v/>
      </c>
      <c r="R14" s="9">
        <f>$R$1*(H14-H13)</f>
        <v/>
      </c>
      <c r="S14" s="9">
        <f>$S$1*LN(I14/I13)</f>
        <v/>
      </c>
      <c r="T14" s="9">
        <f>$T$1*LN(J14/J13)</f>
        <v/>
      </c>
      <c r="U14" s="9">
        <f>$W$12+$W$4*M14+$W$5*N14+$W$6*O14+$W$7*P14+$W$8*Q14+$W$9*R14+$W$10*S14+$W$11*T14</f>
        <v/>
      </c>
      <c r="V14" t="inlineStr">
        <is>
          <t>R²</t>
        </is>
      </c>
      <c r="W14" s="10">
        <f>INDEX(LINEST($L$4:$L$284,$M$4:$T$284,TRUE,TRUE),3,1)</f>
        <v/>
      </c>
    </row>
    <row r="15">
      <c r="L15" s="9">
        <f>LN(B15/B14)</f>
        <v/>
      </c>
      <c r="M15" s="9">
        <f>$M$1*(C15-C14)</f>
        <v/>
      </c>
      <c r="N15" s="9">
        <f>$N$1*(D15-D14)</f>
        <v/>
      </c>
      <c r="O15" s="9">
        <f>$O$1*LN(E15/E14)</f>
        <v/>
      </c>
      <c r="P15" s="9">
        <f>$P$1*LN(F15/F14)</f>
        <v/>
      </c>
      <c r="Q15" s="9">
        <f>$Q$1*(G15-G14)</f>
        <v/>
      </c>
      <c r="R15" s="9">
        <f>$R$1*(H15-H14)</f>
        <v/>
      </c>
      <c r="S15" s="9">
        <f>$S$1*LN(I15/I14)</f>
        <v/>
      </c>
      <c r="T15" s="9">
        <f>$T$1*LN(J15/J14)</f>
        <v/>
      </c>
      <c r="U15" s="9">
        <f>$W$12+$W$4*M15+$W$5*N15+$W$6*O15+$W$7*P15+$W$8*Q15+$W$9*R15+$W$10*S15+$W$11*T15</f>
        <v/>
      </c>
      <c r="V15" t="inlineStr">
        <is>
          <t>α annualized</t>
        </is>
      </c>
      <c r="W15" s="10">
        <f>W12*12</f>
        <v/>
      </c>
    </row>
    <row r="16">
      <c r="L16" s="9">
        <f>LN(B16/B15)</f>
        <v/>
      </c>
      <c r="M16" s="9">
        <f>$M$1*(C16-C15)</f>
        <v/>
      </c>
      <c r="N16" s="9">
        <f>$N$1*(D16-D15)</f>
        <v/>
      </c>
      <c r="O16" s="9">
        <f>$O$1*LN(E16/E15)</f>
        <v/>
      </c>
      <c r="P16" s="9">
        <f>$P$1*LN(F16/F15)</f>
        <v/>
      </c>
      <c r="Q16" s="9">
        <f>$Q$1*(G16-G15)</f>
        <v/>
      </c>
      <c r="R16" s="9">
        <f>$R$1*(H16-H15)</f>
        <v/>
      </c>
      <c r="S16" s="9">
        <f>$S$1*LN(I16/I15)</f>
        <v/>
      </c>
      <c r="T16" s="9">
        <f>$T$1*LN(J16/J15)</f>
        <v/>
      </c>
      <c r="U16" s="9">
        <f>$W$12+$W$4*M16+$W$5*N16+$W$6*O16+$W$7*P16+$W$8*Q16+$W$9*R16+$W$10*S16+$W$11*T16</f>
        <v/>
      </c>
    </row>
    <row r="17">
      <c r="L17" s="9">
        <f>LN(B17/B16)</f>
        <v/>
      </c>
      <c r="M17" s="9">
        <f>$M$1*(C17-C16)</f>
        <v/>
      </c>
      <c r="N17" s="9">
        <f>$N$1*(D17-D16)</f>
        <v/>
      </c>
      <c r="O17" s="9">
        <f>$O$1*LN(E17/E16)</f>
        <v/>
      </c>
      <c r="P17" s="9">
        <f>$P$1*LN(F17/F16)</f>
        <v/>
      </c>
      <c r="Q17" s="9">
        <f>$Q$1*(G17-G16)</f>
        <v/>
      </c>
      <c r="R17" s="9">
        <f>$R$1*(H17-H16)</f>
        <v/>
      </c>
      <c r="S17" s="9">
        <f>$S$1*LN(I17/I16)</f>
        <v/>
      </c>
      <c r="T17" s="9">
        <f>$T$1*LN(J17/J16)</f>
        <v/>
      </c>
      <c r="U17" s="9">
        <f>$W$12+$W$4*M17+$W$5*N17+$W$6*O17+$W$7*P17+$W$8*Q17+$W$9*R17+$W$10*S17+$W$11*T17</f>
        <v/>
      </c>
      <c r="V17" s="6" t="inlineStr">
        <is>
          <t>Walk-forward OOS (rolling 60m → next)</t>
        </is>
      </c>
    </row>
    <row r="18">
      <c r="L18" s="9">
        <f>LN(B18/B17)</f>
        <v/>
      </c>
      <c r="M18" s="9">
        <f>$M$1*(C18-C17)</f>
        <v/>
      </c>
      <c r="N18" s="9">
        <f>$N$1*(D18-D17)</f>
        <v/>
      </c>
      <c r="O18" s="9">
        <f>$O$1*LN(E18/E17)</f>
        <v/>
      </c>
      <c r="P18" s="9">
        <f>$P$1*LN(F18/F17)</f>
        <v/>
      </c>
      <c r="Q18" s="9">
        <f>$Q$1*(G18-G17)</f>
        <v/>
      </c>
      <c r="R18" s="9">
        <f>$R$1*(H18-H17)</f>
        <v/>
      </c>
      <c r="S18" s="9">
        <f>$S$1*LN(I18/I17)</f>
        <v/>
      </c>
      <c r="T18" s="9">
        <f>$T$1*LN(J18/J17)</f>
        <v/>
      </c>
      <c r="U18" s="9">
        <f>$W$12+$W$4*M18+$W$5*N18+$W$6*O18+$W$7*P18+$W$8*Q18+$W$9*R18+$W$10*S18+$W$11*T18</f>
        <v/>
      </c>
      <c r="V18" t="inlineStr">
        <is>
          <t>OOS R² vs RW (predict 0)</t>
        </is>
      </c>
      <c r="W18" s="10">
        <f>1-SUMPRODUCT((L64:L284-AK64:AK284)^2)/SUMPRODUCT(L64:L284,L64:L284)</f>
        <v/>
      </c>
    </row>
    <row r="19">
      <c r="L19" s="9">
        <f>LN(B19/B18)</f>
        <v/>
      </c>
      <c r="M19" s="9">
        <f>$M$1*(C19-C18)</f>
        <v/>
      </c>
      <c r="N19" s="9">
        <f>$N$1*(D19-D18)</f>
        <v/>
      </c>
      <c r="O19" s="9">
        <f>$O$1*LN(E19/E18)</f>
        <v/>
      </c>
      <c r="P19" s="9">
        <f>$P$1*LN(F19/F18)</f>
        <v/>
      </c>
      <c r="Q19" s="9">
        <f>$Q$1*(G19-G18)</f>
        <v/>
      </c>
      <c r="R19" s="9">
        <f>$R$1*(H19-H18)</f>
        <v/>
      </c>
      <c r="S19" s="9">
        <f>$S$1*LN(I19/I18)</f>
        <v/>
      </c>
      <c r="T19" s="9">
        <f>$T$1*LN(J19/J18)</f>
        <v/>
      </c>
      <c r="U19" s="9">
        <f>$W$12+$W$4*M19+$W$5*N19+$W$6*O19+$W$7*P19+$W$8*Q19+$W$9*R19+$W$10*S19+$W$11*T19</f>
        <v/>
      </c>
      <c r="V19" t="inlineStr">
        <is>
          <t>OOS R² vs RW+drift</t>
        </is>
      </c>
      <c r="W19" s="10">
        <f>1-SUMPRODUCT((L64:L284-AK64:AK284)^2)/SUMPRODUCT((L64:L284-AL64:AL284)^2)</f>
        <v/>
      </c>
    </row>
    <row r="20">
      <c r="L20" s="9">
        <f>LN(B20/B19)</f>
        <v/>
      </c>
      <c r="M20" s="9">
        <f>$M$1*(C20-C19)</f>
        <v/>
      </c>
      <c r="N20" s="9">
        <f>$N$1*(D20-D19)</f>
        <v/>
      </c>
      <c r="O20" s="9">
        <f>$O$1*LN(E20/E19)</f>
        <v/>
      </c>
      <c r="P20" s="9">
        <f>$P$1*LN(F20/F19)</f>
        <v/>
      </c>
      <c r="Q20" s="9">
        <f>$Q$1*(G20-G19)</f>
        <v/>
      </c>
      <c r="R20" s="9">
        <f>$R$1*(H20-H19)</f>
        <v/>
      </c>
      <c r="S20" s="9">
        <f>$S$1*LN(I20/I19)</f>
        <v/>
      </c>
      <c r="T20" s="9">
        <f>$T$1*LN(J20/J19)</f>
        <v/>
      </c>
      <c r="U20" s="9">
        <f>$W$12+$W$4*M20+$W$5*N20+$W$6*O20+$W$7*P20+$W$8*Q20+$W$9*R20+$W$10*S20+$W$11*T20</f>
        <v/>
      </c>
      <c r="V20" t="inlineStr">
        <is>
          <t>RMSE ratio (model/RW)</t>
        </is>
      </c>
      <c r="W20" s="11">
        <f>SQRT(SUMPRODUCT((L64:L284-AK64:AK284)^2)/SUMPRODUCT(L64:L284,L64:L284))</f>
        <v/>
      </c>
    </row>
    <row r="21">
      <c r="L21" s="9">
        <f>LN(B21/B20)</f>
        <v/>
      </c>
      <c r="M21" s="9">
        <f>$M$1*(C21-C20)</f>
        <v/>
      </c>
      <c r="N21" s="9">
        <f>$N$1*(D21-D20)</f>
        <v/>
      </c>
      <c r="O21" s="9">
        <f>$O$1*LN(E21/E20)</f>
        <v/>
      </c>
      <c r="P21" s="9">
        <f>$P$1*LN(F21/F20)</f>
        <v/>
      </c>
      <c r="Q21" s="9">
        <f>$Q$1*(G21-G20)</f>
        <v/>
      </c>
      <c r="R21" s="9">
        <f>$R$1*(H21-H20)</f>
        <v/>
      </c>
      <c r="S21" s="9">
        <f>$S$1*LN(I21/I20)</f>
        <v/>
      </c>
      <c r="T21" s="9">
        <f>$T$1*LN(J21/J20)</f>
        <v/>
      </c>
      <c r="U21" s="9">
        <f>$W$12+$W$4*M21+$W$5*N21+$W$6*O21+$W$7*P21+$W$8*Q21+$W$9*R21+$W$10*S21+$W$11*T21</f>
        <v/>
      </c>
      <c r="V21" t="inlineStr">
        <is>
          <t>OOS periods</t>
        </is>
      </c>
      <c r="W21" s="12">
        <f>COUNT(AK64:AK284)</f>
        <v/>
      </c>
    </row>
    <row r="22">
      <c r="L22" s="9">
        <f>LN(B22/B21)</f>
        <v/>
      </c>
      <c r="M22" s="9">
        <f>$M$1*(C22-C21)</f>
        <v/>
      </c>
      <c r="N22" s="9">
        <f>$N$1*(D22-D21)</f>
        <v/>
      </c>
      <c r="O22" s="9">
        <f>$O$1*LN(E22/E21)</f>
        <v/>
      </c>
      <c r="P22" s="9">
        <f>$P$1*LN(F22/F21)</f>
        <v/>
      </c>
      <c r="Q22" s="9">
        <f>$Q$1*(G22-G21)</f>
        <v/>
      </c>
      <c r="R22" s="9">
        <f>$R$1*(H22-H21)</f>
        <v/>
      </c>
      <c r="S22" s="9">
        <f>$S$1*LN(I22/I21)</f>
        <v/>
      </c>
      <c r="T22" s="9">
        <f>$T$1*LN(J22/J21)</f>
        <v/>
      </c>
      <c r="U22" s="9">
        <f>$W$12+$W$4*M22+$W$5*N22+$W$6*O22+$W$7*P22+$W$8*Q22+$W$9*R22+$W$10*S22+$W$11*T22</f>
        <v/>
      </c>
    </row>
    <row r="23">
      <c r="L23" s="9">
        <f>LN(B23/B22)</f>
        <v/>
      </c>
      <c r="M23" s="9">
        <f>$M$1*(C23-C22)</f>
        <v/>
      </c>
      <c r="N23" s="9">
        <f>$N$1*(D23-D22)</f>
        <v/>
      </c>
      <c r="O23" s="9">
        <f>$O$1*LN(E23/E22)</f>
        <v/>
      </c>
      <c r="P23" s="9">
        <f>$P$1*LN(F23/F22)</f>
        <v/>
      </c>
      <c r="Q23" s="9">
        <f>$Q$1*(G23-G22)</f>
        <v/>
      </c>
      <c r="R23" s="9">
        <f>$R$1*(H23-H22)</f>
        <v/>
      </c>
      <c r="S23" s="9">
        <f>$S$1*LN(I23/I22)</f>
        <v/>
      </c>
      <c r="T23" s="9">
        <f>$T$1*LN(J23/J22)</f>
        <v/>
      </c>
      <c r="U23" s="9">
        <f>$W$12+$W$4*M23+$W$5*N23+$W$6*O23+$W$7*P23+$W$8*Q23+$W$9*R23+$W$10*S23+$W$11*T23</f>
        <v/>
      </c>
    </row>
    <row r="24">
      <c r="L24" s="9">
        <f>LN(B24/B23)</f>
        <v/>
      </c>
      <c r="M24" s="9">
        <f>$M$1*(C24-C23)</f>
        <v/>
      </c>
      <c r="N24" s="9">
        <f>$N$1*(D24-D23)</f>
        <v/>
      </c>
      <c r="O24" s="9">
        <f>$O$1*LN(E24/E23)</f>
        <v/>
      </c>
      <c r="P24" s="9">
        <f>$P$1*LN(F24/F23)</f>
        <v/>
      </c>
      <c r="Q24" s="9">
        <f>$Q$1*(G24-G23)</f>
        <v/>
      </c>
      <c r="R24" s="9">
        <f>$R$1*(H24-H23)</f>
        <v/>
      </c>
      <c r="S24" s="9">
        <f>$S$1*LN(I24/I23)</f>
        <v/>
      </c>
      <c r="T24" s="9">
        <f>$T$1*LN(J24/J23)</f>
        <v/>
      </c>
      <c r="U24" s="9">
        <f>$W$12+$W$4*M24+$W$5*N24+$W$6*O24+$W$7*P24+$W$8*Q24+$W$9*R24+$W$10*S24+$W$11*T24</f>
        <v/>
      </c>
    </row>
    <row r="25">
      <c r="L25" s="9">
        <f>LN(B25/B24)</f>
        <v/>
      </c>
      <c r="M25" s="9">
        <f>$M$1*(C25-C24)</f>
        <v/>
      </c>
      <c r="N25" s="9">
        <f>$N$1*(D25-D24)</f>
        <v/>
      </c>
      <c r="O25" s="9">
        <f>$O$1*LN(E25/E24)</f>
        <v/>
      </c>
      <c r="P25" s="9">
        <f>$P$1*LN(F25/F24)</f>
        <v/>
      </c>
      <c r="Q25" s="9">
        <f>$Q$1*(G25-G24)</f>
        <v/>
      </c>
      <c r="R25" s="9">
        <f>$R$1*(H25-H24)</f>
        <v/>
      </c>
      <c r="S25" s="9">
        <f>$S$1*LN(I25/I24)</f>
        <v/>
      </c>
      <c r="T25" s="9">
        <f>$T$1*LN(J25/J24)</f>
        <v/>
      </c>
      <c r="U25" s="9">
        <f>$W$12+$W$4*M25+$W$5*N25+$W$6*O25+$W$7*P25+$W$8*Q25+$W$9*R25+$W$10*S25+$W$11*T25</f>
        <v/>
      </c>
    </row>
    <row r="26">
      <c r="L26" s="9">
        <f>LN(B26/B25)</f>
        <v/>
      </c>
      <c r="M26" s="9">
        <f>$M$1*(C26-C25)</f>
        <v/>
      </c>
      <c r="N26" s="9">
        <f>$N$1*(D26-D25)</f>
        <v/>
      </c>
      <c r="O26" s="9">
        <f>$O$1*LN(E26/E25)</f>
        <v/>
      </c>
      <c r="P26" s="9">
        <f>$P$1*LN(F26/F25)</f>
        <v/>
      </c>
      <c r="Q26" s="9">
        <f>$Q$1*(G26-G25)</f>
        <v/>
      </c>
      <c r="R26" s="9">
        <f>$R$1*(H26-H25)</f>
        <v/>
      </c>
      <c r="S26" s="9">
        <f>$S$1*LN(I26/I25)</f>
        <v/>
      </c>
      <c r="T26" s="9">
        <f>$T$1*LN(J26/J25)</f>
        <v/>
      </c>
      <c r="U26" s="9">
        <f>$W$12+$W$4*M26+$W$5*N26+$W$6*O26+$W$7*P26+$W$8*Q26+$W$9*R26+$W$10*S26+$W$11*T26</f>
        <v/>
      </c>
    </row>
    <row r="27">
      <c r="L27" s="9">
        <f>LN(B27/B26)</f>
        <v/>
      </c>
      <c r="M27" s="9">
        <f>$M$1*(C27-C26)</f>
        <v/>
      </c>
      <c r="N27" s="9">
        <f>$N$1*(D27-D26)</f>
        <v/>
      </c>
      <c r="O27" s="9">
        <f>$O$1*LN(E27/E26)</f>
        <v/>
      </c>
      <c r="P27" s="9">
        <f>$P$1*LN(F27/F26)</f>
        <v/>
      </c>
      <c r="Q27" s="9">
        <f>$Q$1*(G27-G26)</f>
        <v/>
      </c>
      <c r="R27" s="9">
        <f>$R$1*(H27-H26)</f>
        <v/>
      </c>
      <c r="S27" s="9">
        <f>$S$1*LN(I27/I26)</f>
        <v/>
      </c>
      <c r="T27" s="9">
        <f>$T$1*LN(J27/J26)</f>
        <v/>
      </c>
      <c r="U27" s="9">
        <f>$W$12+$W$4*M27+$W$5*N27+$W$6*O27+$W$7*P27+$W$8*Q27+$W$9*R27+$W$10*S27+$W$11*T27</f>
        <v/>
      </c>
    </row>
    <row r="28">
      <c r="L28" s="9">
        <f>LN(B28/B27)</f>
        <v/>
      </c>
      <c r="M28" s="9">
        <f>$M$1*(C28-C27)</f>
        <v/>
      </c>
      <c r="N28" s="9">
        <f>$N$1*(D28-D27)</f>
        <v/>
      </c>
      <c r="O28" s="9">
        <f>$O$1*LN(E28/E27)</f>
        <v/>
      </c>
      <c r="P28" s="9">
        <f>$P$1*LN(F28/F27)</f>
        <v/>
      </c>
      <c r="Q28" s="9">
        <f>$Q$1*(G28-G27)</f>
        <v/>
      </c>
      <c r="R28" s="9">
        <f>$R$1*(H28-H27)</f>
        <v/>
      </c>
      <c r="S28" s="9">
        <f>$S$1*LN(I28/I27)</f>
        <v/>
      </c>
      <c r="T28" s="9">
        <f>$T$1*LN(J28/J27)</f>
        <v/>
      </c>
      <c r="U28" s="9">
        <f>$W$12+$W$4*M28+$W$5*N28+$W$6*O28+$W$7*P28+$W$8*Q28+$W$9*R28+$W$10*S28+$W$11*T28</f>
        <v/>
      </c>
    </row>
    <row r="29">
      <c r="L29" s="9">
        <f>LN(B29/B28)</f>
        <v/>
      </c>
      <c r="M29" s="9">
        <f>$M$1*(C29-C28)</f>
        <v/>
      </c>
      <c r="N29" s="9">
        <f>$N$1*(D29-D28)</f>
        <v/>
      </c>
      <c r="O29" s="9">
        <f>$O$1*LN(E29/E28)</f>
        <v/>
      </c>
      <c r="P29" s="9">
        <f>$P$1*LN(F29/F28)</f>
        <v/>
      </c>
      <c r="Q29" s="9">
        <f>$Q$1*(G29-G28)</f>
        <v/>
      </c>
      <c r="R29" s="9">
        <f>$R$1*(H29-H28)</f>
        <v/>
      </c>
      <c r="S29" s="9">
        <f>$S$1*LN(I29/I28)</f>
        <v/>
      </c>
      <c r="T29" s="9">
        <f>$T$1*LN(J29/J28)</f>
        <v/>
      </c>
      <c r="U29" s="9">
        <f>$W$12+$W$4*M29+$W$5*N29+$W$6*O29+$W$7*P29+$W$8*Q29+$W$9*R29+$W$10*S29+$W$11*T29</f>
        <v/>
      </c>
    </row>
    <row r="30">
      <c r="L30" s="9">
        <f>LN(B30/B29)</f>
        <v/>
      </c>
      <c r="M30" s="9">
        <f>$M$1*(C30-C29)</f>
        <v/>
      </c>
      <c r="N30" s="9">
        <f>$N$1*(D30-D29)</f>
        <v/>
      </c>
      <c r="O30" s="9">
        <f>$O$1*LN(E30/E29)</f>
        <v/>
      </c>
      <c r="P30" s="9">
        <f>$P$1*LN(F30/F29)</f>
        <v/>
      </c>
      <c r="Q30" s="9">
        <f>$Q$1*(G30-G29)</f>
        <v/>
      </c>
      <c r="R30" s="9">
        <f>$R$1*(H30-H29)</f>
        <v/>
      </c>
      <c r="S30" s="9">
        <f>$S$1*LN(I30/I29)</f>
        <v/>
      </c>
      <c r="T30" s="9">
        <f>$T$1*LN(J30/J29)</f>
        <v/>
      </c>
      <c r="U30" s="9">
        <f>$W$12+$W$4*M30+$W$5*N30+$W$6*O30+$W$7*P30+$W$8*Q30+$W$9*R30+$W$10*S30+$W$11*T30</f>
        <v/>
      </c>
    </row>
    <row r="31">
      <c r="L31" s="9">
        <f>LN(B31/B30)</f>
        <v/>
      </c>
      <c r="M31" s="9">
        <f>$M$1*(C31-C30)</f>
        <v/>
      </c>
      <c r="N31" s="9">
        <f>$N$1*(D31-D30)</f>
        <v/>
      </c>
      <c r="O31" s="9">
        <f>$O$1*LN(E31/E30)</f>
        <v/>
      </c>
      <c r="P31" s="9">
        <f>$P$1*LN(F31/F30)</f>
        <v/>
      </c>
      <c r="Q31" s="9">
        <f>$Q$1*(G31-G30)</f>
        <v/>
      </c>
      <c r="R31" s="9">
        <f>$R$1*(H31-H30)</f>
        <v/>
      </c>
      <c r="S31" s="9">
        <f>$S$1*LN(I31/I30)</f>
        <v/>
      </c>
      <c r="T31" s="9">
        <f>$T$1*LN(J31/J30)</f>
        <v/>
      </c>
      <c r="U31" s="9">
        <f>$W$12+$W$4*M31+$W$5*N31+$W$6*O31+$W$7*P31+$W$8*Q31+$W$9*R31+$W$10*S31+$W$11*T31</f>
        <v/>
      </c>
    </row>
    <row r="32">
      <c r="L32" s="9">
        <f>LN(B32/B31)</f>
        <v/>
      </c>
      <c r="M32" s="9">
        <f>$M$1*(C32-C31)</f>
        <v/>
      </c>
      <c r="N32" s="9">
        <f>$N$1*(D32-D31)</f>
        <v/>
      </c>
      <c r="O32" s="9">
        <f>$O$1*LN(E32/E31)</f>
        <v/>
      </c>
      <c r="P32" s="9">
        <f>$P$1*LN(F32/F31)</f>
        <v/>
      </c>
      <c r="Q32" s="9">
        <f>$Q$1*(G32-G31)</f>
        <v/>
      </c>
      <c r="R32" s="9">
        <f>$R$1*(H32-H31)</f>
        <v/>
      </c>
      <c r="S32" s="9">
        <f>$S$1*LN(I32/I31)</f>
        <v/>
      </c>
      <c r="T32" s="9">
        <f>$T$1*LN(J32/J31)</f>
        <v/>
      </c>
      <c r="U32" s="9">
        <f>$W$12+$W$4*M32+$W$5*N32+$W$6*O32+$W$7*P32+$W$8*Q32+$W$9*R32+$W$10*S32+$W$11*T32</f>
        <v/>
      </c>
    </row>
    <row r="33">
      <c r="L33" s="9">
        <f>LN(B33/B32)</f>
        <v/>
      </c>
      <c r="M33" s="9">
        <f>$M$1*(C33-C32)</f>
        <v/>
      </c>
      <c r="N33" s="9">
        <f>$N$1*(D33-D32)</f>
        <v/>
      </c>
      <c r="O33" s="9">
        <f>$O$1*LN(E33/E32)</f>
        <v/>
      </c>
      <c r="P33" s="9">
        <f>$P$1*LN(F33/F32)</f>
        <v/>
      </c>
      <c r="Q33" s="9">
        <f>$Q$1*(G33-G32)</f>
        <v/>
      </c>
      <c r="R33" s="9">
        <f>$R$1*(H33-H32)</f>
        <v/>
      </c>
      <c r="S33" s="9">
        <f>$S$1*LN(I33/I32)</f>
        <v/>
      </c>
      <c r="T33" s="9">
        <f>$T$1*LN(J33/J32)</f>
        <v/>
      </c>
      <c r="U33" s="9">
        <f>$W$12+$W$4*M33+$W$5*N33+$W$6*O33+$W$7*P33+$W$8*Q33+$W$9*R33+$W$10*S33+$W$11*T33</f>
        <v/>
      </c>
    </row>
    <row r="34">
      <c r="L34" s="9">
        <f>LN(B34/B33)</f>
        <v/>
      </c>
      <c r="M34" s="9">
        <f>$M$1*(C34-C33)</f>
        <v/>
      </c>
      <c r="N34" s="9">
        <f>$N$1*(D34-D33)</f>
        <v/>
      </c>
      <c r="O34" s="9">
        <f>$O$1*LN(E34/E33)</f>
        <v/>
      </c>
      <c r="P34" s="9">
        <f>$P$1*LN(F34/F33)</f>
        <v/>
      </c>
      <c r="Q34" s="9">
        <f>$Q$1*(G34-G33)</f>
        <v/>
      </c>
      <c r="R34" s="9">
        <f>$R$1*(H34-H33)</f>
        <v/>
      </c>
      <c r="S34" s="9">
        <f>$S$1*LN(I34/I33)</f>
        <v/>
      </c>
      <c r="T34" s="9">
        <f>$T$1*LN(J34/J33)</f>
        <v/>
      </c>
      <c r="U34" s="9">
        <f>$W$12+$W$4*M34+$W$5*N34+$W$6*O34+$W$7*P34+$W$8*Q34+$W$9*R34+$W$10*S34+$W$11*T34</f>
        <v/>
      </c>
    </row>
    <row r="35">
      <c r="L35" s="9">
        <f>LN(B35/B34)</f>
        <v/>
      </c>
      <c r="M35" s="9">
        <f>$M$1*(C35-C34)</f>
        <v/>
      </c>
      <c r="N35" s="9">
        <f>$N$1*(D35-D34)</f>
        <v/>
      </c>
      <c r="O35" s="9">
        <f>$O$1*LN(E35/E34)</f>
        <v/>
      </c>
      <c r="P35" s="9">
        <f>$P$1*LN(F35/F34)</f>
        <v/>
      </c>
      <c r="Q35" s="9">
        <f>$Q$1*(G35-G34)</f>
        <v/>
      </c>
      <c r="R35" s="9">
        <f>$R$1*(H35-H34)</f>
        <v/>
      </c>
      <c r="S35" s="9">
        <f>$S$1*LN(I35/I34)</f>
        <v/>
      </c>
      <c r="T35" s="9">
        <f>$T$1*LN(J35/J34)</f>
        <v/>
      </c>
      <c r="U35" s="9">
        <f>$W$12+$W$4*M35+$W$5*N35+$W$6*O35+$W$7*P35+$W$8*Q35+$W$9*R35+$W$10*S35+$W$11*T35</f>
        <v/>
      </c>
    </row>
    <row r="36">
      <c r="L36" s="9">
        <f>LN(B36/B35)</f>
        <v/>
      </c>
      <c r="M36" s="9">
        <f>$M$1*(C36-C35)</f>
        <v/>
      </c>
      <c r="N36" s="9">
        <f>$N$1*(D36-D35)</f>
        <v/>
      </c>
      <c r="O36" s="9">
        <f>$O$1*LN(E36/E35)</f>
        <v/>
      </c>
      <c r="P36" s="9">
        <f>$P$1*LN(F36/F35)</f>
        <v/>
      </c>
      <c r="Q36" s="9">
        <f>$Q$1*(G36-G35)</f>
        <v/>
      </c>
      <c r="R36" s="9">
        <f>$R$1*(H36-H35)</f>
        <v/>
      </c>
      <c r="S36" s="9">
        <f>$S$1*LN(I36/I35)</f>
        <v/>
      </c>
      <c r="T36" s="9">
        <f>$T$1*LN(J36/J35)</f>
        <v/>
      </c>
      <c r="U36" s="9">
        <f>$W$12+$W$4*M36+$W$5*N36+$W$6*O36+$W$7*P36+$W$8*Q36+$W$9*R36+$W$10*S36+$W$11*T36</f>
        <v/>
      </c>
    </row>
    <row r="37">
      <c r="L37" s="9">
        <f>LN(B37/B36)</f>
        <v/>
      </c>
      <c r="M37" s="9">
        <f>$M$1*(C37-C36)</f>
        <v/>
      </c>
      <c r="N37" s="9">
        <f>$N$1*(D37-D36)</f>
        <v/>
      </c>
      <c r="O37" s="9">
        <f>$O$1*LN(E37/E36)</f>
        <v/>
      </c>
      <c r="P37" s="9">
        <f>$P$1*LN(F37/F36)</f>
        <v/>
      </c>
      <c r="Q37" s="9">
        <f>$Q$1*(G37-G36)</f>
        <v/>
      </c>
      <c r="R37" s="9">
        <f>$R$1*(H37-H36)</f>
        <v/>
      </c>
      <c r="S37" s="9">
        <f>$S$1*LN(I37/I36)</f>
        <v/>
      </c>
      <c r="T37" s="9">
        <f>$T$1*LN(J37/J36)</f>
        <v/>
      </c>
      <c r="U37" s="9">
        <f>$W$12+$W$4*M37+$W$5*N37+$W$6*O37+$W$7*P37+$W$8*Q37+$W$9*R37+$W$10*S37+$W$11*T37</f>
        <v/>
      </c>
    </row>
    <row r="38">
      <c r="L38" s="9">
        <f>LN(B38/B37)</f>
        <v/>
      </c>
      <c r="M38" s="9">
        <f>$M$1*(C38-C37)</f>
        <v/>
      </c>
      <c r="N38" s="9">
        <f>$N$1*(D38-D37)</f>
        <v/>
      </c>
      <c r="O38" s="9">
        <f>$O$1*LN(E38/E37)</f>
        <v/>
      </c>
      <c r="P38" s="9">
        <f>$P$1*LN(F38/F37)</f>
        <v/>
      </c>
      <c r="Q38" s="9">
        <f>$Q$1*(G38-G37)</f>
        <v/>
      </c>
      <c r="R38" s="9">
        <f>$R$1*(H38-H37)</f>
        <v/>
      </c>
      <c r="S38" s="9">
        <f>$S$1*LN(I38/I37)</f>
        <v/>
      </c>
      <c r="T38" s="9">
        <f>$T$1*LN(J38/J37)</f>
        <v/>
      </c>
      <c r="U38" s="9">
        <f>$W$12+$W$4*M38+$W$5*N38+$W$6*O38+$W$7*P38+$W$8*Q38+$W$9*R38+$W$10*S38+$W$11*T38</f>
        <v/>
      </c>
    </row>
    <row r="39">
      <c r="L39" s="9">
        <f>LN(B39/B38)</f>
        <v/>
      </c>
      <c r="M39" s="9">
        <f>$M$1*(C39-C38)</f>
        <v/>
      </c>
      <c r="N39" s="9">
        <f>$N$1*(D39-D38)</f>
        <v/>
      </c>
      <c r="O39" s="9">
        <f>$O$1*LN(E39/E38)</f>
        <v/>
      </c>
      <c r="P39" s="9">
        <f>$P$1*LN(F39/F38)</f>
        <v/>
      </c>
      <c r="Q39" s="9">
        <f>$Q$1*(G39-G38)</f>
        <v/>
      </c>
      <c r="R39" s="9">
        <f>$R$1*(H39-H38)</f>
        <v/>
      </c>
      <c r="S39" s="9">
        <f>$S$1*LN(I39/I38)</f>
        <v/>
      </c>
      <c r="T39" s="9">
        <f>$T$1*LN(J39/J38)</f>
        <v/>
      </c>
      <c r="U39" s="9">
        <f>$W$12+$W$4*M39+$W$5*N39+$W$6*O39+$W$7*P39+$W$8*Q39+$W$9*R39+$W$10*S39+$W$11*T39</f>
        <v/>
      </c>
    </row>
    <row r="40">
      <c r="L40" s="9">
        <f>LN(B40/B39)</f>
        <v/>
      </c>
      <c r="M40" s="9">
        <f>$M$1*(C40-C39)</f>
        <v/>
      </c>
      <c r="N40" s="9">
        <f>$N$1*(D40-D39)</f>
        <v/>
      </c>
      <c r="O40" s="9">
        <f>$O$1*LN(E40/E39)</f>
        <v/>
      </c>
      <c r="P40" s="9">
        <f>$P$1*LN(F40/F39)</f>
        <v/>
      </c>
      <c r="Q40" s="9">
        <f>$Q$1*(G40-G39)</f>
        <v/>
      </c>
      <c r="R40" s="9">
        <f>$R$1*(H40-H39)</f>
        <v/>
      </c>
      <c r="S40" s="9">
        <f>$S$1*LN(I40/I39)</f>
        <v/>
      </c>
      <c r="T40" s="9">
        <f>$T$1*LN(J40/J39)</f>
        <v/>
      </c>
      <c r="U40" s="9">
        <f>$W$12+$W$4*M40+$W$5*N40+$W$6*O40+$W$7*P40+$W$8*Q40+$W$9*R40+$W$10*S40+$W$11*T40</f>
        <v/>
      </c>
    </row>
    <row r="41">
      <c r="L41" s="9">
        <f>LN(B41/B40)</f>
        <v/>
      </c>
      <c r="M41" s="9">
        <f>$M$1*(C41-C40)</f>
        <v/>
      </c>
      <c r="N41" s="9">
        <f>$N$1*(D41-D40)</f>
        <v/>
      </c>
      <c r="O41" s="9">
        <f>$O$1*LN(E41/E40)</f>
        <v/>
      </c>
      <c r="P41" s="9">
        <f>$P$1*LN(F41/F40)</f>
        <v/>
      </c>
      <c r="Q41" s="9">
        <f>$Q$1*(G41-G40)</f>
        <v/>
      </c>
      <c r="R41" s="9">
        <f>$R$1*(H41-H40)</f>
        <v/>
      </c>
      <c r="S41" s="9">
        <f>$S$1*LN(I41/I40)</f>
        <v/>
      </c>
      <c r="T41" s="9">
        <f>$T$1*LN(J41/J40)</f>
        <v/>
      </c>
      <c r="U41" s="9">
        <f>$W$12+$W$4*M41+$W$5*N41+$W$6*O41+$W$7*P41+$W$8*Q41+$W$9*R41+$W$10*S41+$W$11*T41</f>
        <v/>
      </c>
    </row>
    <row r="42">
      <c r="L42" s="9">
        <f>LN(B42/B41)</f>
        <v/>
      </c>
      <c r="M42" s="9">
        <f>$M$1*(C42-C41)</f>
        <v/>
      </c>
      <c r="N42" s="9">
        <f>$N$1*(D42-D41)</f>
        <v/>
      </c>
      <c r="O42" s="9">
        <f>$O$1*LN(E42/E41)</f>
        <v/>
      </c>
      <c r="P42" s="9">
        <f>$P$1*LN(F42/F41)</f>
        <v/>
      </c>
      <c r="Q42" s="9">
        <f>$Q$1*(G42-G41)</f>
        <v/>
      </c>
      <c r="R42" s="9">
        <f>$R$1*(H42-H41)</f>
        <v/>
      </c>
      <c r="S42" s="9">
        <f>$S$1*LN(I42/I41)</f>
        <v/>
      </c>
      <c r="T42" s="9">
        <f>$T$1*LN(J42/J41)</f>
        <v/>
      </c>
      <c r="U42" s="9">
        <f>$W$12+$W$4*M42+$W$5*N42+$W$6*O42+$W$7*P42+$W$8*Q42+$W$9*R42+$W$10*S42+$W$11*T42</f>
        <v/>
      </c>
    </row>
    <row r="43">
      <c r="L43" s="9">
        <f>LN(B43/B42)</f>
        <v/>
      </c>
      <c r="M43" s="9">
        <f>$M$1*(C43-C42)</f>
        <v/>
      </c>
      <c r="N43" s="9">
        <f>$N$1*(D43-D42)</f>
        <v/>
      </c>
      <c r="O43" s="9">
        <f>$O$1*LN(E43/E42)</f>
        <v/>
      </c>
      <c r="P43" s="9">
        <f>$P$1*LN(F43/F42)</f>
        <v/>
      </c>
      <c r="Q43" s="9">
        <f>$Q$1*(G43-G42)</f>
        <v/>
      </c>
      <c r="R43" s="9">
        <f>$R$1*(H43-H42)</f>
        <v/>
      </c>
      <c r="S43" s="9">
        <f>$S$1*LN(I43/I42)</f>
        <v/>
      </c>
      <c r="T43" s="9">
        <f>$T$1*LN(J43/J42)</f>
        <v/>
      </c>
      <c r="U43" s="9">
        <f>$W$12+$W$4*M43+$W$5*N43+$W$6*O43+$W$7*P43+$W$8*Q43+$W$9*R43+$W$10*S43+$W$11*T43</f>
        <v/>
      </c>
    </row>
    <row r="44">
      <c r="L44" s="9">
        <f>LN(B44/B43)</f>
        <v/>
      </c>
      <c r="M44" s="9">
        <f>$M$1*(C44-C43)</f>
        <v/>
      </c>
      <c r="N44" s="9">
        <f>$N$1*(D44-D43)</f>
        <v/>
      </c>
      <c r="O44" s="9">
        <f>$O$1*LN(E44/E43)</f>
        <v/>
      </c>
      <c r="P44" s="9">
        <f>$P$1*LN(F44/F43)</f>
        <v/>
      </c>
      <c r="Q44" s="9">
        <f>$Q$1*(G44-G43)</f>
        <v/>
      </c>
      <c r="R44" s="9">
        <f>$R$1*(H44-H43)</f>
        <v/>
      </c>
      <c r="S44" s="9">
        <f>$S$1*LN(I44/I43)</f>
        <v/>
      </c>
      <c r="T44" s="9">
        <f>$T$1*LN(J44/J43)</f>
        <v/>
      </c>
      <c r="U44" s="9">
        <f>$W$12+$W$4*M44+$W$5*N44+$W$6*O44+$W$7*P44+$W$8*Q44+$W$9*R44+$W$10*S44+$W$11*T44</f>
        <v/>
      </c>
    </row>
    <row r="45">
      <c r="L45" s="9">
        <f>LN(B45/B44)</f>
        <v/>
      </c>
      <c r="M45" s="9">
        <f>$M$1*(C45-C44)</f>
        <v/>
      </c>
      <c r="N45" s="9">
        <f>$N$1*(D45-D44)</f>
        <v/>
      </c>
      <c r="O45" s="9">
        <f>$O$1*LN(E45/E44)</f>
        <v/>
      </c>
      <c r="P45" s="9">
        <f>$P$1*LN(F45/F44)</f>
        <v/>
      </c>
      <c r="Q45" s="9">
        <f>$Q$1*(G45-G44)</f>
        <v/>
      </c>
      <c r="R45" s="9">
        <f>$R$1*(H45-H44)</f>
        <v/>
      </c>
      <c r="S45" s="9">
        <f>$S$1*LN(I45/I44)</f>
        <v/>
      </c>
      <c r="T45" s="9">
        <f>$T$1*LN(J45/J44)</f>
        <v/>
      </c>
      <c r="U45" s="9">
        <f>$W$12+$W$4*M45+$W$5*N45+$W$6*O45+$W$7*P45+$W$8*Q45+$W$9*R45+$W$10*S45+$W$11*T45</f>
        <v/>
      </c>
    </row>
    <row r="46">
      <c r="L46" s="9">
        <f>LN(B46/B45)</f>
        <v/>
      </c>
      <c r="M46" s="9">
        <f>$M$1*(C46-C45)</f>
        <v/>
      </c>
      <c r="N46" s="9">
        <f>$N$1*(D46-D45)</f>
        <v/>
      </c>
      <c r="O46" s="9">
        <f>$O$1*LN(E46/E45)</f>
        <v/>
      </c>
      <c r="P46" s="9">
        <f>$P$1*LN(F46/F45)</f>
        <v/>
      </c>
      <c r="Q46" s="9">
        <f>$Q$1*(G46-G45)</f>
        <v/>
      </c>
      <c r="R46" s="9">
        <f>$R$1*(H46-H45)</f>
        <v/>
      </c>
      <c r="S46" s="9">
        <f>$S$1*LN(I46/I45)</f>
        <v/>
      </c>
      <c r="T46" s="9">
        <f>$T$1*LN(J46/J45)</f>
        <v/>
      </c>
      <c r="U46" s="9">
        <f>$W$12+$W$4*M46+$W$5*N46+$W$6*O46+$W$7*P46+$W$8*Q46+$W$9*R46+$W$10*S46+$W$11*T46</f>
        <v/>
      </c>
    </row>
    <row r="47">
      <c r="L47" s="9">
        <f>LN(B47/B46)</f>
        <v/>
      </c>
      <c r="M47" s="9">
        <f>$M$1*(C47-C46)</f>
        <v/>
      </c>
      <c r="N47" s="9">
        <f>$N$1*(D47-D46)</f>
        <v/>
      </c>
      <c r="O47" s="9">
        <f>$O$1*LN(E47/E46)</f>
        <v/>
      </c>
      <c r="P47" s="9">
        <f>$P$1*LN(F47/F46)</f>
        <v/>
      </c>
      <c r="Q47" s="9">
        <f>$Q$1*(G47-G46)</f>
        <v/>
      </c>
      <c r="R47" s="9">
        <f>$R$1*(H47-H46)</f>
        <v/>
      </c>
      <c r="S47" s="9">
        <f>$S$1*LN(I47/I46)</f>
        <v/>
      </c>
      <c r="T47" s="9">
        <f>$T$1*LN(J47/J46)</f>
        <v/>
      </c>
      <c r="U47" s="9">
        <f>$W$12+$W$4*M47+$W$5*N47+$W$6*O47+$W$7*P47+$W$8*Q47+$W$9*R47+$W$10*S47+$W$11*T47</f>
        <v/>
      </c>
    </row>
    <row r="48">
      <c r="L48" s="9">
        <f>LN(B48/B47)</f>
        <v/>
      </c>
      <c r="M48" s="9">
        <f>$M$1*(C48-C47)</f>
        <v/>
      </c>
      <c r="N48" s="9">
        <f>$N$1*(D48-D47)</f>
        <v/>
      </c>
      <c r="O48" s="9">
        <f>$O$1*LN(E48/E47)</f>
        <v/>
      </c>
      <c r="P48" s="9">
        <f>$P$1*LN(F48/F47)</f>
        <v/>
      </c>
      <c r="Q48" s="9">
        <f>$Q$1*(G48-G47)</f>
        <v/>
      </c>
      <c r="R48" s="9">
        <f>$R$1*(H48-H47)</f>
        <v/>
      </c>
      <c r="S48" s="9">
        <f>$S$1*LN(I48/I47)</f>
        <v/>
      </c>
      <c r="T48" s="9">
        <f>$T$1*LN(J48/J47)</f>
        <v/>
      </c>
      <c r="U48" s="9">
        <f>$W$12+$W$4*M48+$W$5*N48+$W$6*O48+$W$7*P48+$W$8*Q48+$W$9*R48+$W$10*S48+$W$11*T48</f>
        <v/>
      </c>
    </row>
    <row r="49">
      <c r="L49" s="9">
        <f>LN(B49/B48)</f>
        <v/>
      </c>
      <c r="M49" s="9">
        <f>$M$1*(C49-C48)</f>
        <v/>
      </c>
      <c r="N49" s="9">
        <f>$N$1*(D49-D48)</f>
        <v/>
      </c>
      <c r="O49" s="9">
        <f>$O$1*LN(E49/E48)</f>
        <v/>
      </c>
      <c r="P49" s="9">
        <f>$P$1*LN(F49/F48)</f>
        <v/>
      </c>
      <c r="Q49" s="9">
        <f>$Q$1*(G49-G48)</f>
        <v/>
      </c>
      <c r="R49" s="9">
        <f>$R$1*(H49-H48)</f>
        <v/>
      </c>
      <c r="S49" s="9">
        <f>$S$1*LN(I49/I48)</f>
        <v/>
      </c>
      <c r="T49" s="9">
        <f>$T$1*LN(J49/J48)</f>
        <v/>
      </c>
      <c r="U49" s="9">
        <f>$W$12+$W$4*M49+$W$5*N49+$W$6*O49+$W$7*P49+$W$8*Q49+$W$9*R49+$W$10*S49+$W$11*T49</f>
        <v/>
      </c>
    </row>
    <row r="50">
      <c r="L50" s="9">
        <f>LN(B50/B49)</f>
        <v/>
      </c>
      <c r="M50" s="9">
        <f>$M$1*(C50-C49)</f>
        <v/>
      </c>
      <c r="N50" s="9">
        <f>$N$1*(D50-D49)</f>
        <v/>
      </c>
      <c r="O50" s="9">
        <f>$O$1*LN(E50/E49)</f>
        <v/>
      </c>
      <c r="P50" s="9">
        <f>$P$1*LN(F50/F49)</f>
        <v/>
      </c>
      <c r="Q50" s="9">
        <f>$Q$1*(G50-G49)</f>
        <v/>
      </c>
      <c r="R50" s="9">
        <f>$R$1*(H50-H49)</f>
        <v/>
      </c>
      <c r="S50" s="9">
        <f>$S$1*LN(I50/I49)</f>
        <v/>
      </c>
      <c r="T50" s="9">
        <f>$T$1*LN(J50/J49)</f>
        <v/>
      </c>
      <c r="U50" s="9">
        <f>$W$12+$W$4*M50+$W$5*N50+$W$6*O50+$W$7*P50+$W$8*Q50+$W$9*R50+$W$10*S50+$W$11*T50</f>
        <v/>
      </c>
    </row>
    <row r="51">
      <c r="L51" s="9">
        <f>LN(B51/B50)</f>
        <v/>
      </c>
      <c r="M51" s="9">
        <f>$M$1*(C51-C50)</f>
        <v/>
      </c>
      <c r="N51" s="9">
        <f>$N$1*(D51-D50)</f>
        <v/>
      </c>
      <c r="O51" s="9">
        <f>$O$1*LN(E51/E50)</f>
        <v/>
      </c>
      <c r="P51" s="9">
        <f>$P$1*LN(F51/F50)</f>
        <v/>
      </c>
      <c r="Q51" s="9">
        <f>$Q$1*(G51-G50)</f>
        <v/>
      </c>
      <c r="R51" s="9">
        <f>$R$1*(H51-H50)</f>
        <v/>
      </c>
      <c r="S51" s="9">
        <f>$S$1*LN(I51/I50)</f>
        <v/>
      </c>
      <c r="T51" s="9">
        <f>$T$1*LN(J51/J50)</f>
        <v/>
      </c>
      <c r="U51" s="9">
        <f>$W$12+$W$4*M51+$W$5*N51+$W$6*O51+$W$7*P51+$W$8*Q51+$W$9*R51+$W$10*S51+$W$11*T51</f>
        <v/>
      </c>
    </row>
    <row r="52">
      <c r="L52" s="9">
        <f>LN(B52/B51)</f>
        <v/>
      </c>
      <c r="M52" s="9">
        <f>$M$1*(C52-C51)</f>
        <v/>
      </c>
      <c r="N52" s="9">
        <f>$N$1*(D52-D51)</f>
        <v/>
      </c>
      <c r="O52" s="9">
        <f>$O$1*LN(E52/E51)</f>
        <v/>
      </c>
      <c r="P52" s="9">
        <f>$P$1*LN(F52/F51)</f>
        <v/>
      </c>
      <c r="Q52" s="9">
        <f>$Q$1*(G52-G51)</f>
        <v/>
      </c>
      <c r="R52" s="9">
        <f>$R$1*(H52-H51)</f>
        <v/>
      </c>
      <c r="S52" s="9">
        <f>$S$1*LN(I52/I51)</f>
        <v/>
      </c>
      <c r="T52" s="9">
        <f>$T$1*LN(J52/J51)</f>
        <v/>
      </c>
      <c r="U52" s="9">
        <f>$W$12+$W$4*M52+$W$5*N52+$W$6*O52+$W$7*P52+$W$8*Q52+$W$9*R52+$W$10*S52+$W$11*T52</f>
        <v/>
      </c>
    </row>
    <row r="53">
      <c r="L53" s="9">
        <f>LN(B53/B52)</f>
        <v/>
      </c>
      <c r="M53" s="9">
        <f>$M$1*(C53-C52)</f>
        <v/>
      </c>
      <c r="N53" s="9">
        <f>$N$1*(D53-D52)</f>
        <v/>
      </c>
      <c r="O53" s="9">
        <f>$O$1*LN(E53/E52)</f>
        <v/>
      </c>
      <c r="P53" s="9">
        <f>$P$1*LN(F53/F52)</f>
        <v/>
      </c>
      <c r="Q53" s="9">
        <f>$Q$1*(G53-G52)</f>
        <v/>
      </c>
      <c r="R53" s="9">
        <f>$R$1*(H53-H52)</f>
        <v/>
      </c>
      <c r="S53" s="9">
        <f>$S$1*LN(I53/I52)</f>
        <v/>
      </c>
      <c r="T53" s="9">
        <f>$T$1*LN(J53/J52)</f>
        <v/>
      </c>
      <c r="U53" s="9">
        <f>$W$12+$W$4*M53+$W$5*N53+$W$6*O53+$W$7*P53+$W$8*Q53+$W$9*R53+$W$10*S53+$W$11*T53</f>
        <v/>
      </c>
    </row>
    <row r="54">
      <c r="L54" s="9">
        <f>LN(B54/B53)</f>
        <v/>
      </c>
      <c r="M54" s="9">
        <f>$M$1*(C54-C53)</f>
        <v/>
      </c>
      <c r="N54" s="9">
        <f>$N$1*(D54-D53)</f>
        <v/>
      </c>
      <c r="O54" s="9">
        <f>$O$1*LN(E54/E53)</f>
        <v/>
      </c>
      <c r="P54" s="9">
        <f>$P$1*LN(F54/F53)</f>
        <v/>
      </c>
      <c r="Q54" s="9">
        <f>$Q$1*(G54-G53)</f>
        <v/>
      </c>
      <c r="R54" s="9">
        <f>$R$1*(H54-H53)</f>
        <v/>
      </c>
      <c r="S54" s="9">
        <f>$S$1*LN(I54/I53)</f>
        <v/>
      </c>
      <c r="T54" s="9">
        <f>$T$1*LN(J54/J53)</f>
        <v/>
      </c>
      <c r="U54" s="9">
        <f>$W$12+$W$4*M54+$W$5*N54+$W$6*O54+$W$7*P54+$W$8*Q54+$W$9*R54+$W$10*S54+$W$11*T54</f>
        <v/>
      </c>
    </row>
    <row r="55">
      <c r="L55" s="9">
        <f>LN(B55/B54)</f>
        <v/>
      </c>
      <c r="M55" s="9">
        <f>$M$1*(C55-C54)</f>
        <v/>
      </c>
      <c r="N55" s="9">
        <f>$N$1*(D55-D54)</f>
        <v/>
      </c>
      <c r="O55" s="9">
        <f>$O$1*LN(E55/E54)</f>
        <v/>
      </c>
      <c r="P55" s="9">
        <f>$P$1*LN(F55/F54)</f>
        <v/>
      </c>
      <c r="Q55" s="9">
        <f>$Q$1*(G55-G54)</f>
        <v/>
      </c>
      <c r="R55" s="9">
        <f>$R$1*(H55-H54)</f>
        <v/>
      </c>
      <c r="S55" s="9">
        <f>$S$1*LN(I55/I54)</f>
        <v/>
      </c>
      <c r="T55" s="9">
        <f>$T$1*LN(J55/J54)</f>
        <v/>
      </c>
      <c r="U55" s="9">
        <f>$W$12+$W$4*M55+$W$5*N55+$W$6*O55+$W$7*P55+$W$8*Q55+$W$9*R55+$W$10*S55+$W$11*T55</f>
        <v/>
      </c>
    </row>
    <row r="56">
      <c r="L56" s="9">
        <f>LN(B56/B55)</f>
        <v/>
      </c>
      <c r="M56" s="9">
        <f>$M$1*(C56-C55)</f>
        <v/>
      </c>
      <c r="N56" s="9">
        <f>$N$1*(D56-D55)</f>
        <v/>
      </c>
      <c r="O56" s="9">
        <f>$O$1*LN(E56/E55)</f>
        <v/>
      </c>
      <c r="P56" s="9">
        <f>$P$1*LN(F56/F55)</f>
        <v/>
      </c>
      <c r="Q56" s="9">
        <f>$Q$1*(G56-G55)</f>
        <v/>
      </c>
      <c r="R56" s="9">
        <f>$R$1*(H56-H55)</f>
        <v/>
      </c>
      <c r="S56" s="9">
        <f>$S$1*LN(I56/I55)</f>
        <v/>
      </c>
      <c r="T56" s="9">
        <f>$T$1*LN(J56/J55)</f>
        <v/>
      </c>
      <c r="U56" s="9">
        <f>$W$12+$W$4*M56+$W$5*N56+$W$6*O56+$W$7*P56+$W$8*Q56+$W$9*R56+$W$10*S56+$W$11*T56</f>
        <v/>
      </c>
    </row>
    <row r="57">
      <c r="L57" s="9">
        <f>LN(B57/B56)</f>
        <v/>
      </c>
      <c r="M57" s="9">
        <f>$M$1*(C57-C56)</f>
        <v/>
      </c>
      <c r="N57" s="9">
        <f>$N$1*(D57-D56)</f>
        <v/>
      </c>
      <c r="O57" s="9">
        <f>$O$1*LN(E57/E56)</f>
        <v/>
      </c>
      <c r="P57" s="9">
        <f>$P$1*LN(F57/F56)</f>
        <v/>
      </c>
      <c r="Q57" s="9">
        <f>$Q$1*(G57-G56)</f>
        <v/>
      </c>
      <c r="R57" s="9">
        <f>$R$1*(H57-H56)</f>
        <v/>
      </c>
      <c r="S57" s="9">
        <f>$S$1*LN(I57/I56)</f>
        <v/>
      </c>
      <c r="T57" s="9">
        <f>$T$1*LN(J57/J56)</f>
        <v/>
      </c>
      <c r="U57" s="9">
        <f>$W$12+$W$4*M57+$W$5*N57+$W$6*O57+$W$7*P57+$W$8*Q57+$W$9*R57+$W$10*S57+$W$11*T57</f>
        <v/>
      </c>
    </row>
    <row r="58">
      <c r="L58" s="9">
        <f>LN(B58/B57)</f>
        <v/>
      </c>
      <c r="M58" s="9">
        <f>$M$1*(C58-C57)</f>
        <v/>
      </c>
      <c r="N58" s="9">
        <f>$N$1*(D58-D57)</f>
        <v/>
      </c>
      <c r="O58" s="9">
        <f>$O$1*LN(E58/E57)</f>
        <v/>
      </c>
      <c r="P58" s="9">
        <f>$P$1*LN(F58/F57)</f>
        <v/>
      </c>
      <c r="Q58" s="9">
        <f>$Q$1*(G58-G57)</f>
        <v/>
      </c>
      <c r="R58" s="9">
        <f>$R$1*(H58-H57)</f>
        <v/>
      </c>
      <c r="S58" s="9">
        <f>$S$1*LN(I58/I57)</f>
        <v/>
      </c>
      <c r="T58" s="9">
        <f>$T$1*LN(J58/J57)</f>
        <v/>
      </c>
      <c r="U58" s="9">
        <f>$W$12+$W$4*M58+$W$5*N58+$W$6*O58+$W$7*P58+$W$8*Q58+$W$9*R58+$W$10*S58+$W$11*T58</f>
        <v/>
      </c>
    </row>
    <row r="59">
      <c r="L59" s="9">
        <f>LN(B59/B58)</f>
        <v/>
      </c>
      <c r="M59" s="9">
        <f>$M$1*(C59-C58)</f>
        <v/>
      </c>
      <c r="N59" s="9">
        <f>$N$1*(D59-D58)</f>
        <v/>
      </c>
      <c r="O59" s="9">
        <f>$O$1*LN(E59/E58)</f>
        <v/>
      </c>
      <c r="P59" s="9">
        <f>$P$1*LN(F59/F58)</f>
        <v/>
      </c>
      <c r="Q59" s="9">
        <f>$Q$1*(G59-G58)</f>
        <v/>
      </c>
      <c r="R59" s="9">
        <f>$R$1*(H59-H58)</f>
        <v/>
      </c>
      <c r="S59" s="9">
        <f>$S$1*LN(I59/I58)</f>
        <v/>
      </c>
      <c r="T59" s="9">
        <f>$T$1*LN(J59/J58)</f>
        <v/>
      </c>
      <c r="U59" s="9">
        <f>$W$12+$W$4*M59+$W$5*N59+$W$6*O59+$W$7*P59+$W$8*Q59+$W$9*R59+$W$10*S59+$W$11*T59</f>
        <v/>
      </c>
    </row>
    <row r="60">
      <c r="L60" s="9">
        <f>LN(B60/B59)</f>
        <v/>
      </c>
      <c r="M60" s="9">
        <f>$M$1*(C60-C59)</f>
        <v/>
      </c>
      <c r="N60" s="9">
        <f>$N$1*(D60-D59)</f>
        <v/>
      </c>
      <c r="O60" s="9">
        <f>$O$1*LN(E60/E59)</f>
        <v/>
      </c>
      <c r="P60" s="9">
        <f>$P$1*LN(F60/F59)</f>
        <v/>
      </c>
      <c r="Q60" s="9">
        <f>$Q$1*(G60-G59)</f>
        <v/>
      </c>
      <c r="R60" s="9">
        <f>$R$1*(H60-H59)</f>
        <v/>
      </c>
      <c r="S60" s="9">
        <f>$S$1*LN(I60/I59)</f>
        <v/>
      </c>
      <c r="T60" s="9">
        <f>$T$1*LN(J60/J59)</f>
        <v/>
      </c>
      <c r="U60" s="9">
        <f>$W$12+$W$4*M60+$W$5*N60+$W$6*O60+$W$7*P60+$W$8*Q60+$W$9*R60+$W$10*S60+$W$11*T60</f>
        <v/>
      </c>
    </row>
    <row r="61">
      <c r="L61" s="9">
        <f>LN(B61/B60)</f>
        <v/>
      </c>
      <c r="M61" s="9">
        <f>$M$1*(C61-C60)</f>
        <v/>
      </c>
      <c r="N61" s="9">
        <f>$N$1*(D61-D60)</f>
        <v/>
      </c>
      <c r="O61" s="9">
        <f>$O$1*LN(E61/E60)</f>
        <v/>
      </c>
      <c r="P61" s="9">
        <f>$P$1*LN(F61/F60)</f>
        <v/>
      </c>
      <c r="Q61" s="9">
        <f>$Q$1*(G61-G60)</f>
        <v/>
      </c>
      <c r="R61" s="9">
        <f>$R$1*(H61-H60)</f>
        <v/>
      </c>
      <c r="S61" s="9">
        <f>$S$1*LN(I61/I60)</f>
        <v/>
      </c>
      <c r="T61" s="9">
        <f>$T$1*LN(J61/J60)</f>
        <v/>
      </c>
      <c r="U61" s="9">
        <f>$W$12+$W$4*M61+$W$5*N61+$W$6*O61+$W$7*P61+$W$8*Q61+$W$9*R61+$W$10*S61+$W$11*T61</f>
        <v/>
      </c>
    </row>
    <row r="62">
      <c r="L62" s="9">
        <f>LN(B62/B61)</f>
        <v/>
      </c>
      <c r="M62" s="9">
        <f>$M$1*(C62-C61)</f>
        <v/>
      </c>
      <c r="N62" s="9">
        <f>$N$1*(D62-D61)</f>
        <v/>
      </c>
      <c r="O62" s="9">
        <f>$O$1*LN(E62/E61)</f>
        <v/>
      </c>
      <c r="P62" s="9">
        <f>$P$1*LN(F62/F61)</f>
        <v/>
      </c>
      <c r="Q62" s="9">
        <f>$Q$1*(G62-G61)</f>
        <v/>
      </c>
      <c r="R62" s="9">
        <f>$R$1*(H62-H61)</f>
        <v/>
      </c>
      <c r="S62" s="9">
        <f>$S$1*LN(I62/I61)</f>
        <v/>
      </c>
      <c r="T62" s="9">
        <f>$T$1*LN(J62/J61)</f>
        <v/>
      </c>
      <c r="U62" s="9">
        <f>$W$12+$W$4*M62+$W$5*N62+$W$6*O62+$W$7*P62+$W$8*Q62+$W$9*R62+$W$10*S62+$W$11*T62</f>
        <v/>
      </c>
    </row>
    <row r="63">
      <c r="L63" s="9">
        <f>LN(B63/B62)</f>
        <v/>
      </c>
      <c r="M63" s="9">
        <f>$M$1*(C63-C62)</f>
        <v/>
      </c>
      <c r="N63" s="9">
        <f>$N$1*(D63-D62)</f>
        <v/>
      </c>
      <c r="O63" s="9">
        <f>$O$1*LN(E63/E62)</f>
        <v/>
      </c>
      <c r="P63" s="9">
        <f>$P$1*LN(F63/F62)</f>
        <v/>
      </c>
      <c r="Q63" s="9">
        <f>$Q$1*(G63-G62)</f>
        <v/>
      </c>
      <c r="R63" s="9">
        <f>$R$1*(H63-H62)</f>
        <v/>
      </c>
      <c r="S63" s="9">
        <f>$S$1*LN(I63/I62)</f>
        <v/>
      </c>
      <c r="T63" s="9">
        <f>$T$1*LN(J63/J62)</f>
        <v/>
      </c>
      <c r="U63" s="9">
        <f>$W$12+$W$4*M63+$W$5*N63+$W$6*O63+$W$7*P63+$W$8*Q63+$W$9*R63+$W$10*S63+$W$11*T63</f>
        <v/>
      </c>
      <c r="AA63" s="10">
        <f>INDEX(LINEST(L4:L63,M4:T63,TRUE,TRUE),1,9)*12</f>
        <v/>
      </c>
      <c r="AB63" s="9">
        <f>INDEX(LINEST(L4:L63,M4:T63,TRUE,TRUE),1,8)</f>
        <v/>
      </c>
      <c r="AC63" s="9">
        <f>INDEX(LINEST(L4:L63,M4:T63,TRUE,TRUE),1,7)</f>
        <v/>
      </c>
      <c r="AD63" s="9">
        <f>INDEX(LINEST(L4:L63,M4:T63,TRUE,TRUE),1,6)</f>
        <v/>
      </c>
      <c r="AE63" s="9">
        <f>INDEX(LINEST(L4:L63,M4:T63,TRUE,TRUE),1,5)</f>
        <v/>
      </c>
      <c r="AF63" s="9">
        <f>INDEX(LINEST(L4:L63,M4:T63,TRUE,TRUE),1,4)</f>
        <v/>
      </c>
      <c r="AG63" s="9">
        <f>INDEX(LINEST(L4:L63,M4:T63,TRUE,TRUE),1,3)</f>
        <v/>
      </c>
      <c r="AH63" s="9">
        <f>INDEX(LINEST(L4:L63,M4:T63,TRUE,TRUE),1,2)</f>
        <v/>
      </c>
      <c r="AI63" s="9">
        <f>INDEX(LINEST(L4:L63,M4:T63,TRUE,TRUE),1,1)</f>
        <v/>
      </c>
      <c r="AJ63" s="10">
        <f>INDEX(LINEST(L4:L63,M4:T63,TRUE,TRUE),3,1)</f>
        <v/>
      </c>
    </row>
    <row r="64">
      <c r="L64" s="9">
        <f>LN(B64/B63)</f>
        <v/>
      </c>
      <c r="M64" s="9">
        <f>$M$1*(C64-C63)</f>
        <v/>
      </c>
      <c r="N64" s="9">
        <f>$N$1*(D64-D63)</f>
        <v/>
      </c>
      <c r="O64" s="9">
        <f>$O$1*LN(E64/E63)</f>
        <v/>
      </c>
      <c r="P64" s="9">
        <f>$P$1*LN(F64/F63)</f>
        <v/>
      </c>
      <c r="Q64" s="9">
        <f>$Q$1*(G64-G63)</f>
        <v/>
      </c>
      <c r="R64" s="9">
        <f>$R$1*(H64-H63)</f>
        <v/>
      </c>
      <c r="S64" s="9">
        <f>$S$1*LN(I64/I63)</f>
        <v/>
      </c>
      <c r="T64" s="9">
        <f>$T$1*LN(J64/J63)</f>
        <v/>
      </c>
      <c r="U64" s="9">
        <f>$W$12+$W$4*M64+$W$5*N64+$W$6*O64+$W$7*P64+$W$8*Q64+$W$9*R64+$W$10*S64+$W$11*T64</f>
        <v/>
      </c>
      <c r="AA64" s="10">
        <f>INDEX(LINEST(L5:L64,M5:T64,TRUE,TRUE),1,9)*12</f>
        <v/>
      </c>
      <c r="AB64" s="9">
        <f>INDEX(LINEST(L5:L64,M5:T64,TRUE,TRUE),1,8)</f>
        <v/>
      </c>
      <c r="AC64" s="9">
        <f>INDEX(LINEST(L5:L64,M5:T64,TRUE,TRUE),1,7)</f>
        <v/>
      </c>
      <c r="AD64" s="9">
        <f>INDEX(LINEST(L5:L64,M5:T64,TRUE,TRUE),1,6)</f>
        <v/>
      </c>
      <c r="AE64" s="9">
        <f>INDEX(LINEST(L5:L64,M5:T64,TRUE,TRUE),1,5)</f>
        <v/>
      </c>
      <c r="AF64" s="9">
        <f>INDEX(LINEST(L5:L64,M5:T64,TRUE,TRUE),1,4)</f>
        <v/>
      </c>
      <c r="AG64" s="9">
        <f>INDEX(LINEST(L5:L64,M5:T64,TRUE,TRUE),1,3)</f>
        <v/>
      </c>
      <c r="AH64" s="9">
        <f>INDEX(LINEST(L5:L64,M5:T64,TRUE,TRUE),1,2)</f>
        <v/>
      </c>
      <c r="AI64" s="9">
        <f>INDEX(LINEST(L5:L64,M5:T64,TRUE,TRUE),1,1)</f>
        <v/>
      </c>
      <c r="AJ64" s="10">
        <f>INDEX(LINEST(L5:L64,M5:T64,TRUE,TRUE),3,1)</f>
        <v/>
      </c>
      <c r="AK64" s="9">
        <f>AA63/12+AB63*M64+AC63*N64+AD63*O64+AE63*P64+AF63*Q64+AG63*R64+AH63*S64+AI63*T64</f>
        <v/>
      </c>
      <c r="AL64" s="9">
        <f>AVERAGE(L4:L63)</f>
        <v/>
      </c>
    </row>
    <row r="65">
      <c r="L65" s="9">
        <f>LN(B65/B64)</f>
        <v/>
      </c>
      <c r="M65" s="9">
        <f>$M$1*(C65-C64)</f>
        <v/>
      </c>
      <c r="N65" s="9">
        <f>$N$1*(D65-D64)</f>
        <v/>
      </c>
      <c r="O65" s="9">
        <f>$O$1*LN(E65/E64)</f>
        <v/>
      </c>
      <c r="P65" s="9">
        <f>$P$1*LN(F65/F64)</f>
        <v/>
      </c>
      <c r="Q65" s="9">
        <f>$Q$1*(G65-G64)</f>
        <v/>
      </c>
      <c r="R65" s="9">
        <f>$R$1*(H65-H64)</f>
        <v/>
      </c>
      <c r="S65" s="9">
        <f>$S$1*LN(I65/I64)</f>
        <v/>
      </c>
      <c r="T65" s="9">
        <f>$T$1*LN(J65/J64)</f>
        <v/>
      </c>
      <c r="U65" s="9">
        <f>$W$12+$W$4*M65+$W$5*N65+$W$6*O65+$W$7*P65+$W$8*Q65+$W$9*R65+$W$10*S65+$W$11*T65</f>
        <v/>
      </c>
      <c r="AA65" s="10">
        <f>INDEX(LINEST(L6:L65,M6:T65,TRUE,TRUE),1,9)*12</f>
        <v/>
      </c>
      <c r="AB65" s="9">
        <f>INDEX(LINEST(L6:L65,M6:T65,TRUE,TRUE),1,8)</f>
        <v/>
      </c>
      <c r="AC65" s="9">
        <f>INDEX(LINEST(L6:L65,M6:T65,TRUE,TRUE),1,7)</f>
        <v/>
      </c>
      <c r="AD65" s="9">
        <f>INDEX(LINEST(L6:L65,M6:T65,TRUE,TRUE),1,6)</f>
        <v/>
      </c>
      <c r="AE65" s="9">
        <f>INDEX(LINEST(L6:L65,M6:T65,TRUE,TRUE),1,5)</f>
        <v/>
      </c>
      <c r="AF65" s="9">
        <f>INDEX(LINEST(L6:L65,M6:T65,TRUE,TRUE),1,4)</f>
        <v/>
      </c>
      <c r="AG65" s="9">
        <f>INDEX(LINEST(L6:L65,M6:T65,TRUE,TRUE),1,3)</f>
        <v/>
      </c>
      <c r="AH65" s="9">
        <f>INDEX(LINEST(L6:L65,M6:T65,TRUE,TRUE),1,2)</f>
        <v/>
      </c>
      <c r="AI65" s="9">
        <f>INDEX(LINEST(L6:L65,M6:T65,TRUE,TRUE),1,1)</f>
        <v/>
      </c>
      <c r="AJ65" s="10">
        <f>INDEX(LINEST(L6:L65,M6:T65,TRUE,TRUE),3,1)</f>
        <v/>
      </c>
      <c r="AK65" s="9">
        <f>AA64/12+AB64*M65+AC64*N65+AD64*O65+AE64*P65+AF64*Q65+AG64*R65+AH64*S65+AI64*T65</f>
        <v/>
      </c>
      <c r="AL65" s="9">
        <f>AVERAGE(L5:L64)</f>
        <v/>
      </c>
    </row>
    <row r="66">
      <c r="L66" s="9">
        <f>LN(B66/B65)</f>
        <v/>
      </c>
      <c r="M66" s="9">
        <f>$M$1*(C66-C65)</f>
        <v/>
      </c>
      <c r="N66" s="9">
        <f>$N$1*(D66-D65)</f>
        <v/>
      </c>
      <c r="O66" s="9">
        <f>$O$1*LN(E66/E65)</f>
        <v/>
      </c>
      <c r="P66" s="9">
        <f>$P$1*LN(F66/F65)</f>
        <v/>
      </c>
      <c r="Q66" s="9">
        <f>$Q$1*(G66-G65)</f>
        <v/>
      </c>
      <c r="R66" s="9">
        <f>$R$1*(H66-H65)</f>
        <v/>
      </c>
      <c r="S66" s="9">
        <f>$S$1*LN(I66/I65)</f>
        <v/>
      </c>
      <c r="T66" s="9">
        <f>$T$1*LN(J66/J65)</f>
        <v/>
      </c>
      <c r="U66" s="9">
        <f>$W$12+$W$4*M66+$W$5*N66+$W$6*O66+$W$7*P66+$W$8*Q66+$W$9*R66+$W$10*S66+$W$11*T66</f>
        <v/>
      </c>
      <c r="AA66" s="10">
        <f>INDEX(LINEST(L7:L66,M7:T66,TRUE,TRUE),1,9)*12</f>
        <v/>
      </c>
      <c r="AB66" s="9">
        <f>INDEX(LINEST(L7:L66,M7:T66,TRUE,TRUE),1,8)</f>
        <v/>
      </c>
      <c r="AC66" s="9">
        <f>INDEX(LINEST(L7:L66,M7:T66,TRUE,TRUE),1,7)</f>
        <v/>
      </c>
      <c r="AD66" s="9">
        <f>INDEX(LINEST(L7:L66,M7:T66,TRUE,TRUE),1,6)</f>
        <v/>
      </c>
      <c r="AE66" s="9">
        <f>INDEX(LINEST(L7:L66,M7:T66,TRUE,TRUE),1,5)</f>
        <v/>
      </c>
      <c r="AF66" s="9">
        <f>INDEX(LINEST(L7:L66,M7:T66,TRUE,TRUE),1,4)</f>
        <v/>
      </c>
      <c r="AG66" s="9">
        <f>INDEX(LINEST(L7:L66,M7:T66,TRUE,TRUE),1,3)</f>
        <v/>
      </c>
      <c r="AH66" s="9">
        <f>INDEX(LINEST(L7:L66,M7:T66,TRUE,TRUE),1,2)</f>
        <v/>
      </c>
      <c r="AI66" s="9">
        <f>INDEX(LINEST(L7:L66,M7:T66,TRUE,TRUE),1,1)</f>
        <v/>
      </c>
      <c r="AJ66" s="10">
        <f>INDEX(LINEST(L7:L66,M7:T66,TRUE,TRUE),3,1)</f>
        <v/>
      </c>
      <c r="AK66" s="9">
        <f>AA65/12+AB65*M66+AC65*N66+AD65*O66+AE65*P66+AF65*Q66+AG65*R66+AH65*S66+AI65*T66</f>
        <v/>
      </c>
      <c r="AL66" s="9">
        <f>AVERAGE(L6:L65)</f>
        <v/>
      </c>
    </row>
    <row r="67">
      <c r="L67" s="9">
        <f>LN(B67/B66)</f>
        <v/>
      </c>
      <c r="M67" s="9">
        <f>$M$1*(C67-C66)</f>
        <v/>
      </c>
      <c r="N67" s="9">
        <f>$N$1*(D67-D66)</f>
        <v/>
      </c>
      <c r="O67" s="9">
        <f>$O$1*LN(E67/E66)</f>
        <v/>
      </c>
      <c r="P67" s="9">
        <f>$P$1*LN(F67/F66)</f>
        <v/>
      </c>
      <c r="Q67" s="9">
        <f>$Q$1*(G67-G66)</f>
        <v/>
      </c>
      <c r="R67" s="9">
        <f>$R$1*(H67-H66)</f>
        <v/>
      </c>
      <c r="S67" s="9">
        <f>$S$1*LN(I67/I66)</f>
        <v/>
      </c>
      <c r="T67" s="9">
        <f>$T$1*LN(J67/J66)</f>
        <v/>
      </c>
      <c r="U67" s="9">
        <f>$W$12+$W$4*M67+$W$5*N67+$W$6*O67+$W$7*P67+$W$8*Q67+$W$9*R67+$W$10*S67+$W$11*T67</f>
        <v/>
      </c>
      <c r="AA67" s="10">
        <f>INDEX(LINEST(L8:L67,M8:T67,TRUE,TRUE),1,9)*12</f>
        <v/>
      </c>
      <c r="AB67" s="9">
        <f>INDEX(LINEST(L8:L67,M8:T67,TRUE,TRUE),1,8)</f>
        <v/>
      </c>
      <c r="AC67" s="9">
        <f>INDEX(LINEST(L8:L67,M8:T67,TRUE,TRUE),1,7)</f>
        <v/>
      </c>
      <c r="AD67" s="9">
        <f>INDEX(LINEST(L8:L67,M8:T67,TRUE,TRUE),1,6)</f>
        <v/>
      </c>
      <c r="AE67" s="9">
        <f>INDEX(LINEST(L8:L67,M8:T67,TRUE,TRUE),1,5)</f>
        <v/>
      </c>
      <c r="AF67" s="9">
        <f>INDEX(LINEST(L8:L67,M8:T67,TRUE,TRUE),1,4)</f>
        <v/>
      </c>
      <c r="AG67" s="9">
        <f>INDEX(LINEST(L8:L67,M8:T67,TRUE,TRUE),1,3)</f>
        <v/>
      </c>
      <c r="AH67" s="9">
        <f>INDEX(LINEST(L8:L67,M8:T67,TRUE,TRUE),1,2)</f>
        <v/>
      </c>
      <c r="AI67" s="9">
        <f>INDEX(LINEST(L8:L67,M8:T67,TRUE,TRUE),1,1)</f>
        <v/>
      </c>
      <c r="AJ67" s="10">
        <f>INDEX(LINEST(L8:L67,M8:T67,TRUE,TRUE),3,1)</f>
        <v/>
      </c>
      <c r="AK67" s="9">
        <f>AA66/12+AB66*M67+AC66*N67+AD66*O67+AE66*P67+AF66*Q67+AG66*R67+AH66*S67+AI66*T67</f>
        <v/>
      </c>
      <c r="AL67" s="9">
        <f>AVERAGE(L7:L66)</f>
        <v/>
      </c>
    </row>
    <row r="68">
      <c r="L68" s="9">
        <f>LN(B68/B67)</f>
        <v/>
      </c>
      <c r="M68" s="9">
        <f>$M$1*(C68-C67)</f>
        <v/>
      </c>
      <c r="N68" s="9">
        <f>$N$1*(D68-D67)</f>
        <v/>
      </c>
      <c r="O68" s="9">
        <f>$O$1*LN(E68/E67)</f>
        <v/>
      </c>
      <c r="P68" s="9">
        <f>$P$1*LN(F68/F67)</f>
        <v/>
      </c>
      <c r="Q68" s="9">
        <f>$Q$1*(G68-G67)</f>
        <v/>
      </c>
      <c r="R68" s="9">
        <f>$R$1*(H68-H67)</f>
        <v/>
      </c>
      <c r="S68" s="9">
        <f>$S$1*LN(I68/I67)</f>
        <v/>
      </c>
      <c r="T68" s="9">
        <f>$T$1*LN(J68/J67)</f>
        <v/>
      </c>
      <c r="U68" s="9">
        <f>$W$12+$W$4*M68+$W$5*N68+$W$6*O68+$W$7*P68+$W$8*Q68+$W$9*R68+$W$10*S68+$W$11*T68</f>
        <v/>
      </c>
      <c r="AA68" s="10">
        <f>INDEX(LINEST(L9:L68,M9:T68,TRUE,TRUE),1,9)*12</f>
        <v/>
      </c>
      <c r="AB68" s="9">
        <f>INDEX(LINEST(L9:L68,M9:T68,TRUE,TRUE),1,8)</f>
        <v/>
      </c>
      <c r="AC68" s="9">
        <f>INDEX(LINEST(L9:L68,M9:T68,TRUE,TRUE),1,7)</f>
        <v/>
      </c>
      <c r="AD68" s="9">
        <f>INDEX(LINEST(L9:L68,M9:T68,TRUE,TRUE),1,6)</f>
        <v/>
      </c>
      <c r="AE68" s="9">
        <f>INDEX(LINEST(L9:L68,M9:T68,TRUE,TRUE),1,5)</f>
        <v/>
      </c>
      <c r="AF68" s="9">
        <f>INDEX(LINEST(L9:L68,M9:T68,TRUE,TRUE),1,4)</f>
        <v/>
      </c>
      <c r="AG68" s="9">
        <f>INDEX(LINEST(L9:L68,M9:T68,TRUE,TRUE),1,3)</f>
        <v/>
      </c>
      <c r="AH68" s="9">
        <f>INDEX(LINEST(L9:L68,M9:T68,TRUE,TRUE),1,2)</f>
        <v/>
      </c>
      <c r="AI68" s="9">
        <f>INDEX(LINEST(L9:L68,M9:T68,TRUE,TRUE),1,1)</f>
        <v/>
      </c>
      <c r="AJ68" s="10">
        <f>INDEX(LINEST(L9:L68,M9:T68,TRUE,TRUE),3,1)</f>
        <v/>
      </c>
      <c r="AK68" s="9">
        <f>AA67/12+AB67*M68+AC67*N68+AD67*O68+AE67*P68+AF67*Q68+AG67*R68+AH67*S68+AI67*T68</f>
        <v/>
      </c>
      <c r="AL68" s="9">
        <f>AVERAGE(L8:L67)</f>
        <v/>
      </c>
    </row>
    <row r="69">
      <c r="L69" s="9">
        <f>LN(B69/B68)</f>
        <v/>
      </c>
      <c r="M69" s="9">
        <f>$M$1*(C69-C68)</f>
        <v/>
      </c>
      <c r="N69" s="9">
        <f>$N$1*(D69-D68)</f>
        <v/>
      </c>
      <c r="O69" s="9">
        <f>$O$1*LN(E69/E68)</f>
        <v/>
      </c>
      <c r="P69" s="9">
        <f>$P$1*LN(F69/F68)</f>
        <v/>
      </c>
      <c r="Q69" s="9">
        <f>$Q$1*(G69-G68)</f>
        <v/>
      </c>
      <c r="R69" s="9">
        <f>$R$1*(H69-H68)</f>
        <v/>
      </c>
      <c r="S69" s="9">
        <f>$S$1*LN(I69/I68)</f>
        <v/>
      </c>
      <c r="T69" s="9">
        <f>$T$1*LN(J69/J68)</f>
        <v/>
      </c>
      <c r="U69" s="9">
        <f>$W$12+$W$4*M69+$W$5*N69+$W$6*O69+$W$7*P69+$W$8*Q69+$W$9*R69+$W$10*S69+$W$11*T69</f>
        <v/>
      </c>
      <c r="AA69" s="10">
        <f>INDEX(LINEST(L10:L69,M10:T69,TRUE,TRUE),1,9)*12</f>
        <v/>
      </c>
      <c r="AB69" s="9">
        <f>INDEX(LINEST(L10:L69,M10:T69,TRUE,TRUE),1,8)</f>
        <v/>
      </c>
      <c r="AC69" s="9">
        <f>INDEX(LINEST(L10:L69,M10:T69,TRUE,TRUE),1,7)</f>
        <v/>
      </c>
      <c r="AD69" s="9">
        <f>INDEX(LINEST(L10:L69,M10:T69,TRUE,TRUE),1,6)</f>
        <v/>
      </c>
      <c r="AE69" s="9">
        <f>INDEX(LINEST(L10:L69,M10:T69,TRUE,TRUE),1,5)</f>
        <v/>
      </c>
      <c r="AF69" s="9">
        <f>INDEX(LINEST(L10:L69,M10:T69,TRUE,TRUE),1,4)</f>
        <v/>
      </c>
      <c r="AG69" s="9">
        <f>INDEX(LINEST(L10:L69,M10:T69,TRUE,TRUE),1,3)</f>
        <v/>
      </c>
      <c r="AH69" s="9">
        <f>INDEX(LINEST(L10:L69,M10:T69,TRUE,TRUE),1,2)</f>
        <v/>
      </c>
      <c r="AI69" s="9">
        <f>INDEX(LINEST(L10:L69,M10:T69,TRUE,TRUE),1,1)</f>
        <v/>
      </c>
      <c r="AJ69" s="10">
        <f>INDEX(LINEST(L10:L69,M10:T69,TRUE,TRUE),3,1)</f>
        <v/>
      </c>
      <c r="AK69" s="9">
        <f>AA68/12+AB68*M69+AC68*N69+AD68*O69+AE68*P69+AF68*Q69+AG68*R69+AH68*S69+AI68*T69</f>
        <v/>
      </c>
      <c r="AL69" s="9">
        <f>AVERAGE(L9:L68)</f>
        <v/>
      </c>
    </row>
    <row r="70">
      <c r="L70" s="9">
        <f>LN(B70/B69)</f>
        <v/>
      </c>
      <c r="M70" s="9">
        <f>$M$1*(C70-C69)</f>
        <v/>
      </c>
      <c r="N70" s="9">
        <f>$N$1*(D70-D69)</f>
        <v/>
      </c>
      <c r="O70" s="9">
        <f>$O$1*LN(E70/E69)</f>
        <v/>
      </c>
      <c r="P70" s="9">
        <f>$P$1*LN(F70/F69)</f>
        <v/>
      </c>
      <c r="Q70" s="9">
        <f>$Q$1*(G70-G69)</f>
        <v/>
      </c>
      <c r="R70" s="9">
        <f>$R$1*(H70-H69)</f>
        <v/>
      </c>
      <c r="S70" s="9">
        <f>$S$1*LN(I70/I69)</f>
        <v/>
      </c>
      <c r="T70" s="9">
        <f>$T$1*LN(J70/J69)</f>
        <v/>
      </c>
      <c r="U70" s="9">
        <f>$W$12+$W$4*M70+$W$5*N70+$W$6*O70+$W$7*P70+$W$8*Q70+$W$9*R70+$W$10*S70+$W$11*T70</f>
        <v/>
      </c>
      <c r="AA70" s="10">
        <f>INDEX(LINEST(L11:L70,M11:T70,TRUE,TRUE),1,9)*12</f>
        <v/>
      </c>
      <c r="AB70" s="9">
        <f>INDEX(LINEST(L11:L70,M11:T70,TRUE,TRUE),1,8)</f>
        <v/>
      </c>
      <c r="AC70" s="9">
        <f>INDEX(LINEST(L11:L70,M11:T70,TRUE,TRUE),1,7)</f>
        <v/>
      </c>
      <c r="AD70" s="9">
        <f>INDEX(LINEST(L11:L70,M11:T70,TRUE,TRUE),1,6)</f>
        <v/>
      </c>
      <c r="AE70" s="9">
        <f>INDEX(LINEST(L11:L70,M11:T70,TRUE,TRUE),1,5)</f>
        <v/>
      </c>
      <c r="AF70" s="9">
        <f>INDEX(LINEST(L11:L70,M11:T70,TRUE,TRUE),1,4)</f>
        <v/>
      </c>
      <c r="AG70" s="9">
        <f>INDEX(LINEST(L11:L70,M11:T70,TRUE,TRUE),1,3)</f>
        <v/>
      </c>
      <c r="AH70" s="9">
        <f>INDEX(LINEST(L11:L70,M11:T70,TRUE,TRUE),1,2)</f>
        <v/>
      </c>
      <c r="AI70" s="9">
        <f>INDEX(LINEST(L11:L70,M11:T70,TRUE,TRUE),1,1)</f>
        <v/>
      </c>
      <c r="AJ70" s="10">
        <f>INDEX(LINEST(L11:L70,M11:T70,TRUE,TRUE),3,1)</f>
        <v/>
      </c>
      <c r="AK70" s="9">
        <f>AA69/12+AB69*M70+AC69*N70+AD69*O70+AE69*P70+AF69*Q70+AG69*R70+AH69*S70+AI69*T70</f>
        <v/>
      </c>
      <c r="AL70" s="9">
        <f>AVERAGE(L10:L69)</f>
        <v/>
      </c>
    </row>
    <row r="71">
      <c r="L71" s="9">
        <f>LN(B71/B70)</f>
        <v/>
      </c>
      <c r="M71" s="9">
        <f>$M$1*(C71-C70)</f>
        <v/>
      </c>
      <c r="N71" s="9">
        <f>$N$1*(D71-D70)</f>
        <v/>
      </c>
      <c r="O71" s="9">
        <f>$O$1*LN(E71/E70)</f>
        <v/>
      </c>
      <c r="P71" s="9">
        <f>$P$1*LN(F71/F70)</f>
        <v/>
      </c>
      <c r="Q71" s="9">
        <f>$Q$1*(G71-G70)</f>
        <v/>
      </c>
      <c r="R71" s="9">
        <f>$R$1*(H71-H70)</f>
        <v/>
      </c>
      <c r="S71" s="9">
        <f>$S$1*LN(I71/I70)</f>
        <v/>
      </c>
      <c r="T71" s="9">
        <f>$T$1*LN(J71/J70)</f>
        <v/>
      </c>
      <c r="U71" s="9">
        <f>$W$12+$W$4*M71+$W$5*N71+$W$6*O71+$W$7*P71+$W$8*Q71+$W$9*R71+$W$10*S71+$W$11*T71</f>
        <v/>
      </c>
      <c r="AA71" s="10">
        <f>INDEX(LINEST(L12:L71,M12:T71,TRUE,TRUE),1,9)*12</f>
        <v/>
      </c>
      <c r="AB71" s="9">
        <f>INDEX(LINEST(L12:L71,M12:T71,TRUE,TRUE),1,8)</f>
        <v/>
      </c>
      <c r="AC71" s="9">
        <f>INDEX(LINEST(L12:L71,M12:T71,TRUE,TRUE),1,7)</f>
        <v/>
      </c>
      <c r="AD71" s="9">
        <f>INDEX(LINEST(L12:L71,M12:T71,TRUE,TRUE),1,6)</f>
        <v/>
      </c>
      <c r="AE71" s="9">
        <f>INDEX(LINEST(L12:L71,M12:T71,TRUE,TRUE),1,5)</f>
        <v/>
      </c>
      <c r="AF71" s="9">
        <f>INDEX(LINEST(L12:L71,M12:T71,TRUE,TRUE),1,4)</f>
        <v/>
      </c>
      <c r="AG71" s="9">
        <f>INDEX(LINEST(L12:L71,M12:T71,TRUE,TRUE),1,3)</f>
        <v/>
      </c>
      <c r="AH71" s="9">
        <f>INDEX(LINEST(L12:L71,M12:T71,TRUE,TRUE),1,2)</f>
        <v/>
      </c>
      <c r="AI71" s="9">
        <f>INDEX(LINEST(L12:L71,M12:T71,TRUE,TRUE),1,1)</f>
        <v/>
      </c>
      <c r="AJ71" s="10">
        <f>INDEX(LINEST(L12:L71,M12:T71,TRUE,TRUE),3,1)</f>
        <v/>
      </c>
      <c r="AK71" s="9">
        <f>AA70/12+AB70*M71+AC70*N71+AD70*O71+AE70*P71+AF70*Q71+AG70*R71+AH70*S71+AI70*T71</f>
        <v/>
      </c>
      <c r="AL71" s="9">
        <f>AVERAGE(L11:L70)</f>
        <v/>
      </c>
    </row>
    <row r="72">
      <c r="L72" s="9">
        <f>LN(B72/B71)</f>
        <v/>
      </c>
      <c r="M72" s="9">
        <f>$M$1*(C72-C71)</f>
        <v/>
      </c>
      <c r="N72" s="9">
        <f>$N$1*(D72-D71)</f>
        <v/>
      </c>
      <c r="O72" s="9">
        <f>$O$1*LN(E72/E71)</f>
        <v/>
      </c>
      <c r="P72" s="9">
        <f>$P$1*LN(F72/F71)</f>
        <v/>
      </c>
      <c r="Q72" s="9">
        <f>$Q$1*(G72-G71)</f>
        <v/>
      </c>
      <c r="R72" s="9">
        <f>$R$1*(H72-H71)</f>
        <v/>
      </c>
      <c r="S72" s="9">
        <f>$S$1*LN(I72/I71)</f>
        <v/>
      </c>
      <c r="T72" s="9">
        <f>$T$1*LN(J72/J71)</f>
        <v/>
      </c>
      <c r="U72" s="9">
        <f>$W$12+$W$4*M72+$W$5*N72+$W$6*O72+$W$7*P72+$W$8*Q72+$W$9*R72+$W$10*S72+$W$11*T72</f>
        <v/>
      </c>
      <c r="AA72" s="10">
        <f>INDEX(LINEST(L13:L72,M13:T72,TRUE,TRUE),1,9)*12</f>
        <v/>
      </c>
      <c r="AB72" s="9">
        <f>INDEX(LINEST(L13:L72,M13:T72,TRUE,TRUE),1,8)</f>
        <v/>
      </c>
      <c r="AC72" s="9">
        <f>INDEX(LINEST(L13:L72,M13:T72,TRUE,TRUE),1,7)</f>
        <v/>
      </c>
      <c r="AD72" s="9">
        <f>INDEX(LINEST(L13:L72,M13:T72,TRUE,TRUE),1,6)</f>
        <v/>
      </c>
      <c r="AE72" s="9">
        <f>INDEX(LINEST(L13:L72,M13:T72,TRUE,TRUE),1,5)</f>
        <v/>
      </c>
      <c r="AF72" s="9">
        <f>INDEX(LINEST(L13:L72,M13:T72,TRUE,TRUE),1,4)</f>
        <v/>
      </c>
      <c r="AG72" s="9">
        <f>INDEX(LINEST(L13:L72,M13:T72,TRUE,TRUE),1,3)</f>
        <v/>
      </c>
      <c r="AH72" s="9">
        <f>INDEX(LINEST(L13:L72,M13:T72,TRUE,TRUE),1,2)</f>
        <v/>
      </c>
      <c r="AI72" s="9">
        <f>INDEX(LINEST(L13:L72,M13:T72,TRUE,TRUE),1,1)</f>
        <v/>
      </c>
      <c r="AJ72" s="10">
        <f>INDEX(LINEST(L13:L72,M13:T72,TRUE,TRUE),3,1)</f>
        <v/>
      </c>
      <c r="AK72" s="9">
        <f>AA71/12+AB71*M72+AC71*N72+AD71*O72+AE71*P72+AF71*Q72+AG71*R72+AH71*S72+AI71*T72</f>
        <v/>
      </c>
      <c r="AL72" s="9">
        <f>AVERAGE(L12:L71)</f>
        <v/>
      </c>
    </row>
    <row r="73">
      <c r="L73" s="9">
        <f>LN(B73/B72)</f>
        <v/>
      </c>
      <c r="M73" s="9">
        <f>$M$1*(C73-C72)</f>
        <v/>
      </c>
      <c r="N73" s="9">
        <f>$N$1*(D73-D72)</f>
        <v/>
      </c>
      <c r="O73" s="9">
        <f>$O$1*LN(E73/E72)</f>
        <v/>
      </c>
      <c r="P73" s="9">
        <f>$P$1*LN(F73/F72)</f>
        <v/>
      </c>
      <c r="Q73" s="9">
        <f>$Q$1*(G73-G72)</f>
        <v/>
      </c>
      <c r="R73" s="9">
        <f>$R$1*(H73-H72)</f>
        <v/>
      </c>
      <c r="S73" s="9">
        <f>$S$1*LN(I73/I72)</f>
        <v/>
      </c>
      <c r="T73" s="9">
        <f>$T$1*LN(J73/J72)</f>
        <v/>
      </c>
      <c r="U73" s="9">
        <f>$W$12+$W$4*M73+$W$5*N73+$W$6*O73+$W$7*P73+$W$8*Q73+$W$9*R73+$W$10*S73+$W$11*T73</f>
        <v/>
      </c>
      <c r="AA73" s="10">
        <f>INDEX(LINEST(L14:L73,M14:T73,TRUE,TRUE),1,9)*12</f>
        <v/>
      </c>
      <c r="AB73" s="9">
        <f>INDEX(LINEST(L14:L73,M14:T73,TRUE,TRUE),1,8)</f>
        <v/>
      </c>
      <c r="AC73" s="9">
        <f>INDEX(LINEST(L14:L73,M14:T73,TRUE,TRUE),1,7)</f>
        <v/>
      </c>
      <c r="AD73" s="9">
        <f>INDEX(LINEST(L14:L73,M14:T73,TRUE,TRUE),1,6)</f>
        <v/>
      </c>
      <c r="AE73" s="9">
        <f>INDEX(LINEST(L14:L73,M14:T73,TRUE,TRUE),1,5)</f>
        <v/>
      </c>
      <c r="AF73" s="9">
        <f>INDEX(LINEST(L14:L73,M14:T73,TRUE,TRUE),1,4)</f>
        <v/>
      </c>
      <c r="AG73" s="9">
        <f>INDEX(LINEST(L14:L73,M14:T73,TRUE,TRUE),1,3)</f>
        <v/>
      </c>
      <c r="AH73" s="9">
        <f>INDEX(LINEST(L14:L73,M14:T73,TRUE,TRUE),1,2)</f>
        <v/>
      </c>
      <c r="AI73" s="9">
        <f>INDEX(LINEST(L14:L73,M14:T73,TRUE,TRUE),1,1)</f>
        <v/>
      </c>
      <c r="AJ73" s="10">
        <f>INDEX(LINEST(L14:L73,M14:T73,TRUE,TRUE),3,1)</f>
        <v/>
      </c>
      <c r="AK73" s="9">
        <f>AA72/12+AB72*M73+AC72*N73+AD72*O73+AE72*P73+AF72*Q73+AG72*R73+AH72*S73+AI72*T73</f>
        <v/>
      </c>
      <c r="AL73" s="9">
        <f>AVERAGE(L13:L72)</f>
        <v/>
      </c>
    </row>
    <row r="74">
      <c r="L74" s="9">
        <f>LN(B74/B73)</f>
        <v/>
      </c>
      <c r="M74" s="9">
        <f>$M$1*(C74-C73)</f>
        <v/>
      </c>
      <c r="N74" s="9">
        <f>$N$1*(D74-D73)</f>
        <v/>
      </c>
      <c r="O74" s="9">
        <f>$O$1*LN(E74/E73)</f>
        <v/>
      </c>
      <c r="P74" s="9">
        <f>$P$1*LN(F74/F73)</f>
        <v/>
      </c>
      <c r="Q74" s="9">
        <f>$Q$1*(G74-G73)</f>
        <v/>
      </c>
      <c r="R74" s="9">
        <f>$R$1*(H74-H73)</f>
        <v/>
      </c>
      <c r="S74" s="9">
        <f>$S$1*LN(I74/I73)</f>
        <v/>
      </c>
      <c r="T74" s="9">
        <f>$T$1*LN(J74/J73)</f>
        <v/>
      </c>
      <c r="U74" s="9">
        <f>$W$12+$W$4*M74+$W$5*N74+$W$6*O74+$W$7*P74+$W$8*Q74+$W$9*R74+$W$10*S74+$W$11*T74</f>
        <v/>
      </c>
      <c r="AA74" s="10">
        <f>INDEX(LINEST(L15:L74,M15:T74,TRUE,TRUE),1,9)*12</f>
        <v/>
      </c>
      <c r="AB74" s="9">
        <f>INDEX(LINEST(L15:L74,M15:T74,TRUE,TRUE),1,8)</f>
        <v/>
      </c>
      <c r="AC74" s="9">
        <f>INDEX(LINEST(L15:L74,M15:T74,TRUE,TRUE),1,7)</f>
        <v/>
      </c>
      <c r="AD74" s="9">
        <f>INDEX(LINEST(L15:L74,M15:T74,TRUE,TRUE),1,6)</f>
        <v/>
      </c>
      <c r="AE74" s="9">
        <f>INDEX(LINEST(L15:L74,M15:T74,TRUE,TRUE),1,5)</f>
        <v/>
      </c>
      <c r="AF74" s="9">
        <f>INDEX(LINEST(L15:L74,M15:T74,TRUE,TRUE),1,4)</f>
        <v/>
      </c>
      <c r="AG74" s="9">
        <f>INDEX(LINEST(L15:L74,M15:T74,TRUE,TRUE),1,3)</f>
        <v/>
      </c>
      <c r="AH74" s="9">
        <f>INDEX(LINEST(L15:L74,M15:T74,TRUE,TRUE),1,2)</f>
        <v/>
      </c>
      <c r="AI74" s="9">
        <f>INDEX(LINEST(L15:L74,M15:T74,TRUE,TRUE),1,1)</f>
        <v/>
      </c>
      <c r="AJ74" s="10">
        <f>INDEX(LINEST(L15:L74,M15:T74,TRUE,TRUE),3,1)</f>
        <v/>
      </c>
      <c r="AK74" s="9">
        <f>AA73/12+AB73*M74+AC73*N74+AD73*O74+AE73*P74+AF73*Q74+AG73*R74+AH73*S74+AI73*T74</f>
        <v/>
      </c>
      <c r="AL74" s="9">
        <f>AVERAGE(L14:L73)</f>
        <v/>
      </c>
    </row>
    <row r="75">
      <c r="L75" s="9">
        <f>LN(B75/B74)</f>
        <v/>
      </c>
      <c r="M75" s="9">
        <f>$M$1*(C75-C74)</f>
        <v/>
      </c>
      <c r="N75" s="9">
        <f>$N$1*(D75-D74)</f>
        <v/>
      </c>
      <c r="O75" s="9">
        <f>$O$1*LN(E75/E74)</f>
        <v/>
      </c>
      <c r="P75" s="9">
        <f>$P$1*LN(F75/F74)</f>
        <v/>
      </c>
      <c r="Q75" s="9">
        <f>$Q$1*(G75-G74)</f>
        <v/>
      </c>
      <c r="R75" s="9">
        <f>$R$1*(H75-H74)</f>
        <v/>
      </c>
      <c r="S75" s="9">
        <f>$S$1*LN(I75/I74)</f>
        <v/>
      </c>
      <c r="T75" s="9">
        <f>$T$1*LN(J75/J74)</f>
        <v/>
      </c>
      <c r="U75" s="9">
        <f>$W$12+$W$4*M75+$W$5*N75+$W$6*O75+$W$7*P75+$W$8*Q75+$W$9*R75+$W$10*S75+$W$11*T75</f>
        <v/>
      </c>
      <c r="AA75" s="10">
        <f>INDEX(LINEST(L16:L75,M16:T75,TRUE,TRUE),1,9)*12</f>
        <v/>
      </c>
      <c r="AB75" s="9">
        <f>INDEX(LINEST(L16:L75,M16:T75,TRUE,TRUE),1,8)</f>
        <v/>
      </c>
      <c r="AC75" s="9">
        <f>INDEX(LINEST(L16:L75,M16:T75,TRUE,TRUE),1,7)</f>
        <v/>
      </c>
      <c r="AD75" s="9">
        <f>INDEX(LINEST(L16:L75,M16:T75,TRUE,TRUE),1,6)</f>
        <v/>
      </c>
      <c r="AE75" s="9">
        <f>INDEX(LINEST(L16:L75,M16:T75,TRUE,TRUE),1,5)</f>
        <v/>
      </c>
      <c r="AF75" s="9">
        <f>INDEX(LINEST(L16:L75,M16:T75,TRUE,TRUE),1,4)</f>
        <v/>
      </c>
      <c r="AG75" s="9">
        <f>INDEX(LINEST(L16:L75,M16:T75,TRUE,TRUE),1,3)</f>
        <v/>
      </c>
      <c r="AH75" s="9">
        <f>INDEX(LINEST(L16:L75,M16:T75,TRUE,TRUE),1,2)</f>
        <v/>
      </c>
      <c r="AI75" s="9">
        <f>INDEX(LINEST(L16:L75,M16:T75,TRUE,TRUE),1,1)</f>
        <v/>
      </c>
      <c r="AJ75" s="10">
        <f>INDEX(LINEST(L16:L75,M16:T75,TRUE,TRUE),3,1)</f>
        <v/>
      </c>
      <c r="AK75" s="9">
        <f>AA74/12+AB74*M75+AC74*N75+AD74*O75+AE74*P75+AF74*Q75+AG74*R75+AH74*S75+AI74*T75</f>
        <v/>
      </c>
      <c r="AL75" s="9">
        <f>AVERAGE(L15:L74)</f>
        <v/>
      </c>
    </row>
    <row r="76">
      <c r="L76" s="9">
        <f>LN(B76/B75)</f>
        <v/>
      </c>
      <c r="M76" s="9">
        <f>$M$1*(C76-C75)</f>
        <v/>
      </c>
      <c r="N76" s="9">
        <f>$N$1*(D76-D75)</f>
        <v/>
      </c>
      <c r="O76" s="9">
        <f>$O$1*LN(E76/E75)</f>
        <v/>
      </c>
      <c r="P76" s="9">
        <f>$P$1*LN(F76/F75)</f>
        <v/>
      </c>
      <c r="Q76" s="9">
        <f>$Q$1*(G76-G75)</f>
        <v/>
      </c>
      <c r="R76" s="9">
        <f>$R$1*(H76-H75)</f>
        <v/>
      </c>
      <c r="S76" s="9">
        <f>$S$1*LN(I76/I75)</f>
        <v/>
      </c>
      <c r="T76" s="9">
        <f>$T$1*LN(J76/J75)</f>
        <v/>
      </c>
      <c r="U76" s="9">
        <f>$W$12+$W$4*M76+$W$5*N76+$W$6*O76+$W$7*P76+$W$8*Q76+$W$9*R76+$W$10*S76+$W$11*T76</f>
        <v/>
      </c>
      <c r="AA76" s="10">
        <f>INDEX(LINEST(L17:L76,M17:T76,TRUE,TRUE),1,9)*12</f>
        <v/>
      </c>
      <c r="AB76" s="9">
        <f>INDEX(LINEST(L17:L76,M17:T76,TRUE,TRUE),1,8)</f>
        <v/>
      </c>
      <c r="AC76" s="9">
        <f>INDEX(LINEST(L17:L76,M17:T76,TRUE,TRUE),1,7)</f>
        <v/>
      </c>
      <c r="AD76" s="9">
        <f>INDEX(LINEST(L17:L76,M17:T76,TRUE,TRUE),1,6)</f>
        <v/>
      </c>
      <c r="AE76" s="9">
        <f>INDEX(LINEST(L17:L76,M17:T76,TRUE,TRUE),1,5)</f>
        <v/>
      </c>
      <c r="AF76" s="9">
        <f>INDEX(LINEST(L17:L76,M17:T76,TRUE,TRUE),1,4)</f>
        <v/>
      </c>
      <c r="AG76" s="9">
        <f>INDEX(LINEST(L17:L76,M17:T76,TRUE,TRUE),1,3)</f>
        <v/>
      </c>
      <c r="AH76" s="9">
        <f>INDEX(LINEST(L17:L76,M17:T76,TRUE,TRUE),1,2)</f>
        <v/>
      </c>
      <c r="AI76" s="9">
        <f>INDEX(LINEST(L17:L76,M17:T76,TRUE,TRUE),1,1)</f>
        <v/>
      </c>
      <c r="AJ76" s="10">
        <f>INDEX(LINEST(L17:L76,M17:T76,TRUE,TRUE),3,1)</f>
        <v/>
      </c>
      <c r="AK76" s="9">
        <f>AA75/12+AB75*M76+AC75*N76+AD75*O76+AE75*P76+AF75*Q76+AG75*R76+AH75*S76+AI75*T76</f>
        <v/>
      </c>
      <c r="AL76" s="9">
        <f>AVERAGE(L16:L75)</f>
        <v/>
      </c>
    </row>
    <row r="77">
      <c r="L77" s="9">
        <f>LN(B77/B76)</f>
        <v/>
      </c>
      <c r="M77" s="9">
        <f>$M$1*(C77-C76)</f>
        <v/>
      </c>
      <c r="N77" s="9">
        <f>$N$1*(D77-D76)</f>
        <v/>
      </c>
      <c r="O77" s="9">
        <f>$O$1*LN(E77/E76)</f>
        <v/>
      </c>
      <c r="P77" s="9">
        <f>$P$1*LN(F77/F76)</f>
        <v/>
      </c>
      <c r="Q77" s="9">
        <f>$Q$1*(G77-G76)</f>
        <v/>
      </c>
      <c r="R77" s="9">
        <f>$R$1*(H77-H76)</f>
        <v/>
      </c>
      <c r="S77" s="9">
        <f>$S$1*LN(I77/I76)</f>
        <v/>
      </c>
      <c r="T77" s="9">
        <f>$T$1*LN(J77/J76)</f>
        <v/>
      </c>
      <c r="U77" s="9">
        <f>$W$12+$W$4*M77+$W$5*N77+$W$6*O77+$W$7*P77+$W$8*Q77+$W$9*R77+$W$10*S77+$W$11*T77</f>
        <v/>
      </c>
      <c r="AA77" s="10">
        <f>INDEX(LINEST(L18:L77,M18:T77,TRUE,TRUE),1,9)*12</f>
        <v/>
      </c>
      <c r="AB77" s="9">
        <f>INDEX(LINEST(L18:L77,M18:T77,TRUE,TRUE),1,8)</f>
        <v/>
      </c>
      <c r="AC77" s="9">
        <f>INDEX(LINEST(L18:L77,M18:T77,TRUE,TRUE),1,7)</f>
        <v/>
      </c>
      <c r="AD77" s="9">
        <f>INDEX(LINEST(L18:L77,M18:T77,TRUE,TRUE),1,6)</f>
        <v/>
      </c>
      <c r="AE77" s="9">
        <f>INDEX(LINEST(L18:L77,M18:T77,TRUE,TRUE),1,5)</f>
        <v/>
      </c>
      <c r="AF77" s="9">
        <f>INDEX(LINEST(L18:L77,M18:T77,TRUE,TRUE),1,4)</f>
        <v/>
      </c>
      <c r="AG77" s="9">
        <f>INDEX(LINEST(L18:L77,M18:T77,TRUE,TRUE),1,3)</f>
        <v/>
      </c>
      <c r="AH77" s="9">
        <f>INDEX(LINEST(L18:L77,M18:T77,TRUE,TRUE),1,2)</f>
        <v/>
      </c>
      <c r="AI77" s="9">
        <f>INDEX(LINEST(L18:L77,M18:T77,TRUE,TRUE),1,1)</f>
        <v/>
      </c>
      <c r="AJ77" s="10">
        <f>INDEX(LINEST(L18:L77,M18:T77,TRUE,TRUE),3,1)</f>
        <v/>
      </c>
      <c r="AK77" s="9">
        <f>AA76/12+AB76*M77+AC76*N77+AD76*O77+AE76*P77+AF76*Q77+AG76*R77+AH76*S77+AI76*T77</f>
        <v/>
      </c>
      <c r="AL77" s="9">
        <f>AVERAGE(L17:L76)</f>
        <v/>
      </c>
    </row>
    <row r="78">
      <c r="L78" s="9">
        <f>LN(B78/B77)</f>
        <v/>
      </c>
      <c r="M78" s="9">
        <f>$M$1*(C78-C77)</f>
        <v/>
      </c>
      <c r="N78" s="9">
        <f>$N$1*(D78-D77)</f>
        <v/>
      </c>
      <c r="O78" s="9">
        <f>$O$1*LN(E78/E77)</f>
        <v/>
      </c>
      <c r="P78" s="9">
        <f>$P$1*LN(F78/F77)</f>
        <v/>
      </c>
      <c r="Q78" s="9">
        <f>$Q$1*(G78-G77)</f>
        <v/>
      </c>
      <c r="R78" s="9">
        <f>$R$1*(H78-H77)</f>
        <v/>
      </c>
      <c r="S78" s="9">
        <f>$S$1*LN(I78/I77)</f>
        <v/>
      </c>
      <c r="T78" s="9">
        <f>$T$1*LN(J78/J77)</f>
        <v/>
      </c>
      <c r="U78" s="9">
        <f>$W$12+$W$4*M78+$W$5*N78+$W$6*O78+$W$7*P78+$W$8*Q78+$W$9*R78+$W$10*S78+$W$11*T78</f>
        <v/>
      </c>
      <c r="AA78" s="10">
        <f>INDEX(LINEST(L19:L78,M19:T78,TRUE,TRUE),1,9)*12</f>
        <v/>
      </c>
      <c r="AB78" s="9">
        <f>INDEX(LINEST(L19:L78,M19:T78,TRUE,TRUE),1,8)</f>
        <v/>
      </c>
      <c r="AC78" s="9">
        <f>INDEX(LINEST(L19:L78,M19:T78,TRUE,TRUE),1,7)</f>
        <v/>
      </c>
      <c r="AD78" s="9">
        <f>INDEX(LINEST(L19:L78,M19:T78,TRUE,TRUE),1,6)</f>
        <v/>
      </c>
      <c r="AE78" s="9">
        <f>INDEX(LINEST(L19:L78,M19:T78,TRUE,TRUE),1,5)</f>
        <v/>
      </c>
      <c r="AF78" s="9">
        <f>INDEX(LINEST(L19:L78,M19:T78,TRUE,TRUE),1,4)</f>
        <v/>
      </c>
      <c r="AG78" s="9">
        <f>INDEX(LINEST(L19:L78,M19:T78,TRUE,TRUE),1,3)</f>
        <v/>
      </c>
      <c r="AH78" s="9">
        <f>INDEX(LINEST(L19:L78,M19:T78,TRUE,TRUE),1,2)</f>
        <v/>
      </c>
      <c r="AI78" s="9">
        <f>INDEX(LINEST(L19:L78,M19:T78,TRUE,TRUE),1,1)</f>
        <v/>
      </c>
      <c r="AJ78" s="10">
        <f>INDEX(LINEST(L19:L78,M19:T78,TRUE,TRUE),3,1)</f>
        <v/>
      </c>
      <c r="AK78" s="9">
        <f>AA77/12+AB77*M78+AC77*N78+AD77*O78+AE77*P78+AF77*Q78+AG77*R78+AH77*S78+AI77*T78</f>
        <v/>
      </c>
      <c r="AL78" s="9">
        <f>AVERAGE(L18:L77)</f>
        <v/>
      </c>
    </row>
    <row r="79">
      <c r="L79" s="9">
        <f>LN(B79/B78)</f>
        <v/>
      </c>
      <c r="M79" s="9">
        <f>$M$1*(C79-C78)</f>
        <v/>
      </c>
      <c r="N79" s="9">
        <f>$N$1*(D79-D78)</f>
        <v/>
      </c>
      <c r="O79" s="9">
        <f>$O$1*LN(E79/E78)</f>
        <v/>
      </c>
      <c r="P79" s="9">
        <f>$P$1*LN(F79/F78)</f>
        <v/>
      </c>
      <c r="Q79" s="9">
        <f>$Q$1*(G79-G78)</f>
        <v/>
      </c>
      <c r="R79" s="9">
        <f>$R$1*(H79-H78)</f>
        <v/>
      </c>
      <c r="S79" s="9">
        <f>$S$1*LN(I79/I78)</f>
        <v/>
      </c>
      <c r="T79" s="9">
        <f>$T$1*LN(J79/J78)</f>
        <v/>
      </c>
      <c r="U79" s="9">
        <f>$W$12+$W$4*M79+$W$5*N79+$W$6*O79+$W$7*P79+$W$8*Q79+$W$9*R79+$W$10*S79+$W$11*T79</f>
        <v/>
      </c>
      <c r="AA79" s="10">
        <f>INDEX(LINEST(L20:L79,M20:T79,TRUE,TRUE),1,9)*12</f>
        <v/>
      </c>
      <c r="AB79" s="9">
        <f>INDEX(LINEST(L20:L79,M20:T79,TRUE,TRUE),1,8)</f>
        <v/>
      </c>
      <c r="AC79" s="9">
        <f>INDEX(LINEST(L20:L79,M20:T79,TRUE,TRUE),1,7)</f>
        <v/>
      </c>
      <c r="AD79" s="9">
        <f>INDEX(LINEST(L20:L79,M20:T79,TRUE,TRUE),1,6)</f>
        <v/>
      </c>
      <c r="AE79" s="9">
        <f>INDEX(LINEST(L20:L79,M20:T79,TRUE,TRUE),1,5)</f>
        <v/>
      </c>
      <c r="AF79" s="9">
        <f>INDEX(LINEST(L20:L79,M20:T79,TRUE,TRUE),1,4)</f>
        <v/>
      </c>
      <c r="AG79" s="9">
        <f>INDEX(LINEST(L20:L79,M20:T79,TRUE,TRUE),1,3)</f>
        <v/>
      </c>
      <c r="AH79" s="9">
        <f>INDEX(LINEST(L20:L79,M20:T79,TRUE,TRUE),1,2)</f>
        <v/>
      </c>
      <c r="AI79" s="9">
        <f>INDEX(LINEST(L20:L79,M20:T79,TRUE,TRUE),1,1)</f>
        <v/>
      </c>
      <c r="AJ79" s="10">
        <f>INDEX(LINEST(L20:L79,M20:T79,TRUE,TRUE),3,1)</f>
        <v/>
      </c>
      <c r="AK79" s="9">
        <f>AA78/12+AB78*M79+AC78*N79+AD78*O79+AE78*P79+AF78*Q79+AG78*R79+AH78*S79+AI78*T79</f>
        <v/>
      </c>
      <c r="AL79" s="9">
        <f>AVERAGE(L19:L78)</f>
        <v/>
      </c>
    </row>
    <row r="80">
      <c r="L80" s="9">
        <f>LN(B80/B79)</f>
        <v/>
      </c>
      <c r="M80" s="9">
        <f>$M$1*(C80-C79)</f>
        <v/>
      </c>
      <c r="N80" s="9">
        <f>$N$1*(D80-D79)</f>
        <v/>
      </c>
      <c r="O80" s="9">
        <f>$O$1*LN(E80/E79)</f>
        <v/>
      </c>
      <c r="P80" s="9">
        <f>$P$1*LN(F80/F79)</f>
        <v/>
      </c>
      <c r="Q80" s="9">
        <f>$Q$1*(G80-G79)</f>
        <v/>
      </c>
      <c r="R80" s="9">
        <f>$R$1*(H80-H79)</f>
        <v/>
      </c>
      <c r="S80" s="9">
        <f>$S$1*LN(I80/I79)</f>
        <v/>
      </c>
      <c r="T80" s="9">
        <f>$T$1*LN(J80/J79)</f>
        <v/>
      </c>
      <c r="U80" s="9">
        <f>$W$12+$W$4*M80+$W$5*N80+$W$6*O80+$W$7*P80+$W$8*Q80+$W$9*R80+$W$10*S80+$W$11*T80</f>
        <v/>
      </c>
      <c r="AA80" s="10">
        <f>INDEX(LINEST(L21:L80,M21:T80,TRUE,TRUE),1,9)*12</f>
        <v/>
      </c>
      <c r="AB80" s="9">
        <f>INDEX(LINEST(L21:L80,M21:T80,TRUE,TRUE),1,8)</f>
        <v/>
      </c>
      <c r="AC80" s="9">
        <f>INDEX(LINEST(L21:L80,M21:T80,TRUE,TRUE),1,7)</f>
        <v/>
      </c>
      <c r="AD80" s="9">
        <f>INDEX(LINEST(L21:L80,M21:T80,TRUE,TRUE),1,6)</f>
        <v/>
      </c>
      <c r="AE80" s="9">
        <f>INDEX(LINEST(L21:L80,M21:T80,TRUE,TRUE),1,5)</f>
        <v/>
      </c>
      <c r="AF80" s="9">
        <f>INDEX(LINEST(L21:L80,M21:T80,TRUE,TRUE),1,4)</f>
        <v/>
      </c>
      <c r="AG80" s="9">
        <f>INDEX(LINEST(L21:L80,M21:T80,TRUE,TRUE),1,3)</f>
        <v/>
      </c>
      <c r="AH80" s="9">
        <f>INDEX(LINEST(L21:L80,M21:T80,TRUE,TRUE),1,2)</f>
        <v/>
      </c>
      <c r="AI80" s="9">
        <f>INDEX(LINEST(L21:L80,M21:T80,TRUE,TRUE),1,1)</f>
        <v/>
      </c>
      <c r="AJ80" s="10">
        <f>INDEX(LINEST(L21:L80,M21:T80,TRUE,TRUE),3,1)</f>
        <v/>
      </c>
      <c r="AK80" s="9">
        <f>AA79/12+AB79*M80+AC79*N80+AD79*O80+AE79*P80+AF79*Q80+AG79*R80+AH79*S80+AI79*T80</f>
        <v/>
      </c>
      <c r="AL80" s="9">
        <f>AVERAGE(L20:L79)</f>
        <v/>
      </c>
    </row>
    <row r="81">
      <c r="L81" s="9">
        <f>LN(B81/B80)</f>
        <v/>
      </c>
      <c r="M81" s="9">
        <f>$M$1*(C81-C80)</f>
        <v/>
      </c>
      <c r="N81" s="9">
        <f>$N$1*(D81-D80)</f>
        <v/>
      </c>
      <c r="O81" s="9">
        <f>$O$1*LN(E81/E80)</f>
        <v/>
      </c>
      <c r="P81" s="9">
        <f>$P$1*LN(F81/F80)</f>
        <v/>
      </c>
      <c r="Q81" s="9">
        <f>$Q$1*(G81-G80)</f>
        <v/>
      </c>
      <c r="R81" s="9">
        <f>$R$1*(H81-H80)</f>
        <v/>
      </c>
      <c r="S81" s="9">
        <f>$S$1*LN(I81/I80)</f>
        <v/>
      </c>
      <c r="T81" s="9">
        <f>$T$1*LN(J81/J80)</f>
        <v/>
      </c>
      <c r="U81" s="9">
        <f>$W$12+$W$4*M81+$W$5*N81+$W$6*O81+$W$7*P81+$W$8*Q81+$W$9*R81+$W$10*S81+$W$11*T81</f>
        <v/>
      </c>
      <c r="AA81" s="10">
        <f>INDEX(LINEST(L22:L81,M22:T81,TRUE,TRUE),1,9)*12</f>
        <v/>
      </c>
      <c r="AB81" s="9">
        <f>INDEX(LINEST(L22:L81,M22:T81,TRUE,TRUE),1,8)</f>
        <v/>
      </c>
      <c r="AC81" s="9">
        <f>INDEX(LINEST(L22:L81,M22:T81,TRUE,TRUE),1,7)</f>
        <v/>
      </c>
      <c r="AD81" s="9">
        <f>INDEX(LINEST(L22:L81,M22:T81,TRUE,TRUE),1,6)</f>
        <v/>
      </c>
      <c r="AE81" s="9">
        <f>INDEX(LINEST(L22:L81,M22:T81,TRUE,TRUE),1,5)</f>
        <v/>
      </c>
      <c r="AF81" s="9">
        <f>INDEX(LINEST(L22:L81,M22:T81,TRUE,TRUE),1,4)</f>
        <v/>
      </c>
      <c r="AG81" s="9">
        <f>INDEX(LINEST(L22:L81,M22:T81,TRUE,TRUE),1,3)</f>
        <v/>
      </c>
      <c r="AH81" s="9">
        <f>INDEX(LINEST(L22:L81,M22:T81,TRUE,TRUE),1,2)</f>
        <v/>
      </c>
      <c r="AI81" s="9">
        <f>INDEX(LINEST(L22:L81,M22:T81,TRUE,TRUE),1,1)</f>
        <v/>
      </c>
      <c r="AJ81" s="10">
        <f>INDEX(LINEST(L22:L81,M22:T81,TRUE,TRUE),3,1)</f>
        <v/>
      </c>
      <c r="AK81" s="9">
        <f>AA80/12+AB80*M81+AC80*N81+AD80*O81+AE80*P81+AF80*Q81+AG80*R81+AH80*S81+AI80*T81</f>
        <v/>
      </c>
      <c r="AL81" s="9">
        <f>AVERAGE(L21:L80)</f>
        <v/>
      </c>
    </row>
    <row r="82">
      <c r="L82" s="9">
        <f>LN(B82/B81)</f>
        <v/>
      </c>
      <c r="M82" s="9">
        <f>$M$1*(C82-C81)</f>
        <v/>
      </c>
      <c r="N82" s="9">
        <f>$N$1*(D82-D81)</f>
        <v/>
      </c>
      <c r="O82" s="9">
        <f>$O$1*LN(E82/E81)</f>
        <v/>
      </c>
      <c r="P82" s="9">
        <f>$P$1*LN(F82/F81)</f>
        <v/>
      </c>
      <c r="Q82" s="9">
        <f>$Q$1*(G82-G81)</f>
        <v/>
      </c>
      <c r="R82" s="9">
        <f>$R$1*(H82-H81)</f>
        <v/>
      </c>
      <c r="S82" s="9">
        <f>$S$1*LN(I82/I81)</f>
        <v/>
      </c>
      <c r="T82" s="9">
        <f>$T$1*LN(J82/J81)</f>
        <v/>
      </c>
      <c r="U82" s="9">
        <f>$W$12+$W$4*M82+$W$5*N82+$W$6*O82+$W$7*P82+$W$8*Q82+$W$9*R82+$W$10*S82+$W$11*T82</f>
        <v/>
      </c>
      <c r="AA82" s="10">
        <f>INDEX(LINEST(L23:L82,M23:T82,TRUE,TRUE),1,9)*12</f>
        <v/>
      </c>
      <c r="AB82" s="9">
        <f>INDEX(LINEST(L23:L82,M23:T82,TRUE,TRUE),1,8)</f>
        <v/>
      </c>
      <c r="AC82" s="9">
        <f>INDEX(LINEST(L23:L82,M23:T82,TRUE,TRUE),1,7)</f>
        <v/>
      </c>
      <c r="AD82" s="9">
        <f>INDEX(LINEST(L23:L82,M23:T82,TRUE,TRUE),1,6)</f>
        <v/>
      </c>
      <c r="AE82" s="9">
        <f>INDEX(LINEST(L23:L82,M23:T82,TRUE,TRUE),1,5)</f>
        <v/>
      </c>
      <c r="AF82" s="9">
        <f>INDEX(LINEST(L23:L82,M23:T82,TRUE,TRUE),1,4)</f>
        <v/>
      </c>
      <c r="AG82" s="9">
        <f>INDEX(LINEST(L23:L82,M23:T82,TRUE,TRUE),1,3)</f>
        <v/>
      </c>
      <c r="AH82" s="9">
        <f>INDEX(LINEST(L23:L82,M23:T82,TRUE,TRUE),1,2)</f>
        <v/>
      </c>
      <c r="AI82" s="9">
        <f>INDEX(LINEST(L23:L82,M23:T82,TRUE,TRUE),1,1)</f>
        <v/>
      </c>
      <c r="AJ82" s="10">
        <f>INDEX(LINEST(L23:L82,M23:T82,TRUE,TRUE),3,1)</f>
        <v/>
      </c>
      <c r="AK82" s="9">
        <f>AA81/12+AB81*M82+AC81*N82+AD81*O82+AE81*P82+AF81*Q82+AG81*R82+AH81*S82+AI81*T82</f>
        <v/>
      </c>
      <c r="AL82" s="9">
        <f>AVERAGE(L22:L81)</f>
        <v/>
      </c>
    </row>
    <row r="83">
      <c r="L83" s="9">
        <f>LN(B83/B82)</f>
        <v/>
      </c>
      <c r="M83" s="9">
        <f>$M$1*(C83-C82)</f>
        <v/>
      </c>
      <c r="N83" s="9">
        <f>$N$1*(D83-D82)</f>
        <v/>
      </c>
      <c r="O83" s="9">
        <f>$O$1*LN(E83/E82)</f>
        <v/>
      </c>
      <c r="P83" s="9">
        <f>$P$1*LN(F83/F82)</f>
        <v/>
      </c>
      <c r="Q83" s="9">
        <f>$Q$1*(G83-G82)</f>
        <v/>
      </c>
      <c r="R83" s="9">
        <f>$R$1*(H83-H82)</f>
        <v/>
      </c>
      <c r="S83" s="9">
        <f>$S$1*LN(I83/I82)</f>
        <v/>
      </c>
      <c r="T83" s="9">
        <f>$T$1*LN(J83/J82)</f>
        <v/>
      </c>
      <c r="U83" s="9">
        <f>$W$12+$W$4*M83+$W$5*N83+$W$6*O83+$W$7*P83+$W$8*Q83+$W$9*R83+$W$10*S83+$W$11*T83</f>
        <v/>
      </c>
      <c r="AA83" s="10">
        <f>INDEX(LINEST(L24:L83,M24:T83,TRUE,TRUE),1,9)*12</f>
        <v/>
      </c>
      <c r="AB83" s="9">
        <f>INDEX(LINEST(L24:L83,M24:T83,TRUE,TRUE),1,8)</f>
        <v/>
      </c>
      <c r="AC83" s="9">
        <f>INDEX(LINEST(L24:L83,M24:T83,TRUE,TRUE),1,7)</f>
        <v/>
      </c>
      <c r="AD83" s="9">
        <f>INDEX(LINEST(L24:L83,M24:T83,TRUE,TRUE),1,6)</f>
        <v/>
      </c>
      <c r="AE83" s="9">
        <f>INDEX(LINEST(L24:L83,M24:T83,TRUE,TRUE),1,5)</f>
        <v/>
      </c>
      <c r="AF83" s="9">
        <f>INDEX(LINEST(L24:L83,M24:T83,TRUE,TRUE),1,4)</f>
        <v/>
      </c>
      <c r="AG83" s="9">
        <f>INDEX(LINEST(L24:L83,M24:T83,TRUE,TRUE),1,3)</f>
        <v/>
      </c>
      <c r="AH83" s="9">
        <f>INDEX(LINEST(L24:L83,M24:T83,TRUE,TRUE),1,2)</f>
        <v/>
      </c>
      <c r="AI83" s="9">
        <f>INDEX(LINEST(L24:L83,M24:T83,TRUE,TRUE),1,1)</f>
        <v/>
      </c>
      <c r="AJ83" s="10">
        <f>INDEX(LINEST(L24:L83,M24:T83,TRUE,TRUE),3,1)</f>
        <v/>
      </c>
      <c r="AK83" s="9">
        <f>AA82/12+AB82*M83+AC82*N83+AD82*O83+AE82*P83+AF82*Q83+AG82*R83+AH82*S83+AI82*T83</f>
        <v/>
      </c>
      <c r="AL83" s="9">
        <f>AVERAGE(L23:L82)</f>
        <v/>
      </c>
    </row>
    <row r="84">
      <c r="L84" s="9">
        <f>LN(B84/B83)</f>
        <v/>
      </c>
      <c r="M84" s="9">
        <f>$M$1*(C84-C83)</f>
        <v/>
      </c>
      <c r="N84" s="9">
        <f>$N$1*(D84-D83)</f>
        <v/>
      </c>
      <c r="O84" s="9">
        <f>$O$1*LN(E84/E83)</f>
        <v/>
      </c>
      <c r="P84" s="9">
        <f>$P$1*LN(F84/F83)</f>
        <v/>
      </c>
      <c r="Q84" s="9">
        <f>$Q$1*(G84-G83)</f>
        <v/>
      </c>
      <c r="R84" s="9">
        <f>$R$1*(H84-H83)</f>
        <v/>
      </c>
      <c r="S84" s="9">
        <f>$S$1*LN(I84/I83)</f>
        <v/>
      </c>
      <c r="T84" s="9">
        <f>$T$1*LN(J84/J83)</f>
        <v/>
      </c>
      <c r="U84" s="9">
        <f>$W$12+$W$4*M84+$W$5*N84+$W$6*O84+$W$7*P84+$W$8*Q84+$W$9*R84+$W$10*S84+$W$11*T84</f>
        <v/>
      </c>
      <c r="AA84" s="10">
        <f>INDEX(LINEST(L25:L84,M25:T84,TRUE,TRUE),1,9)*12</f>
        <v/>
      </c>
      <c r="AB84" s="9">
        <f>INDEX(LINEST(L25:L84,M25:T84,TRUE,TRUE),1,8)</f>
        <v/>
      </c>
      <c r="AC84" s="9">
        <f>INDEX(LINEST(L25:L84,M25:T84,TRUE,TRUE),1,7)</f>
        <v/>
      </c>
      <c r="AD84" s="9">
        <f>INDEX(LINEST(L25:L84,M25:T84,TRUE,TRUE),1,6)</f>
        <v/>
      </c>
      <c r="AE84" s="9">
        <f>INDEX(LINEST(L25:L84,M25:T84,TRUE,TRUE),1,5)</f>
        <v/>
      </c>
      <c r="AF84" s="9">
        <f>INDEX(LINEST(L25:L84,M25:T84,TRUE,TRUE),1,4)</f>
        <v/>
      </c>
      <c r="AG84" s="9">
        <f>INDEX(LINEST(L25:L84,M25:T84,TRUE,TRUE),1,3)</f>
        <v/>
      </c>
      <c r="AH84" s="9">
        <f>INDEX(LINEST(L25:L84,M25:T84,TRUE,TRUE),1,2)</f>
        <v/>
      </c>
      <c r="AI84" s="9">
        <f>INDEX(LINEST(L25:L84,M25:T84,TRUE,TRUE),1,1)</f>
        <v/>
      </c>
      <c r="AJ84" s="10">
        <f>INDEX(LINEST(L25:L84,M25:T84,TRUE,TRUE),3,1)</f>
        <v/>
      </c>
      <c r="AK84" s="9">
        <f>AA83/12+AB83*M84+AC83*N84+AD83*O84+AE83*P84+AF83*Q84+AG83*R84+AH83*S84+AI83*T84</f>
        <v/>
      </c>
      <c r="AL84" s="9">
        <f>AVERAGE(L24:L83)</f>
        <v/>
      </c>
    </row>
    <row r="85">
      <c r="L85" s="9">
        <f>LN(B85/B84)</f>
        <v/>
      </c>
      <c r="M85" s="9">
        <f>$M$1*(C85-C84)</f>
        <v/>
      </c>
      <c r="N85" s="9">
        <f>$N$1*(D85-D84)</f>
        <v/>
      </c>
      <c r="O85" s="9">
        <f>$O$1*LN(E85/E84)</f>
        <v/>
      </c>
      <c r="P85" s="9">
        <f>$P$1*LN(F85/F84)</f>
        <v/>
      </c>
      <c r="Q85" s="9">
        <f>$Q$1*(G85-G84)</f>
        <v/>
      </c>
      <c r="R85" s="9">
        <f>$R$1*(H85-H84)</f>
        <v/>
      </c>
      <c r="S85" s="9">
        <f>$S$1*LN(I85/I84)</f>
        <v/>
      </c>
      <c r="T85" s="9">
        <f>$T$1*LN(J85/J84)</f>
        <v/>
      </c>
      <c r="U85" s="9">
        <f>$W$12+$W$4*M85+$W$5*N85+$W$6*O85+$W$7*P85+$W$8*Q85+$W$9*R85+$W$10*S85+$W$11*T85</f>
        <v/>
      </c>
      <c r="AA85" s="10">
        <f>INDEX(LINEST(L26:L85,M26:T85,TRUE,TRUE),1,9)*12</f>
        <v/>
      </c>
      <c r="AB85" s="9">
        <f>INDEX(LINEST(L26:L85,M26:T85,TRUE,TRUE),1,8)</f>
        <v/>
      </c>
      <c r="AC85" s="9">
        <f>INDEX(LINEST(L26:L85,M26:T85,TRUE,TRUE),1,7)</f>
        <v/>
      </c>
      <c r="AD85" s="9">
        <f>INDEX(LINEST(L26:L85,M26:T85,TRUE,TRUE),1,6)</f>
        <v/>
      </c>
      <c r="AE85" s="9">
        <f>INDEX(LINEST(L26:L85,M26:T85,TRUE,TRUE),1,5)</f>
        <v/>
      </c>
      <c r="AF85" s="9">
        <f>INDEX(LINEST(L26:L85,M26:T85,TRUE,TRUE),1,4)</f>
        <v/>
      </c>
      <c r="AG85" s="9">
        <f>INDEX(LINEST(L26:L85,M26:T85,TRUE,TRUE),1,3)</f>
        <v/>
      </c>
      <c r="AH85" s="9">
        <f>INDEX(LINEST(L26:L85,M26:T85,TRUE,TRUE),1,2)</f>
        <v/>
      </c>
      <c r="AI85" s="9">
        <f>INDEX(LINEST(L26:L85,M26:T85,TRUE,TRUE),1,1)</f>
        <v/>
      </c>
      <c r="AJ85" s="10">
        <f>INDEX(LINEST(L26:L85,M26:T85,TRUE,TRUE),3,1)</f>
        <v/>
      </c>
      <c r="AK85" s="9">
        <f>AA84/12+AB84*M85+AC84*N85+AD84*O85+AE84*P85+AF84*Q85+AG84*R85+AH84*S85+AI84*T85</f>
        <v/>
      </c>
      <c r="AL85" s="9">
        <f>AVERAGE(L25:L84)</f>
        <v/>
      </c>
    </row>
    <row r="86">
      <c r="L86" s="9">
        <f>LN(B86/B85)</f>
        <v/>
      </c>
      <c r="M86" s="9">
        <f>$M$1*(C86-C85)</f>
        <v/>
      </c>
      <c r="N86" s="9">
        <f>$N$1*(D86-D85)</f>
        <v/>
      </c>
      <c r="O86" s="9">
        <f>$O$1*LN(E86/E85)</f>
        <v/>
      </c>
      <c r="P86" s="9">
        <f>$P$1*LN(F86/F85)</f>
        <v/>
      </c>
      <c r="Q86" s="9">
        <f>$Q$1*(G86-G85)</f>
        <v/>
      </c>
      <c r="R86" s="9">
        <f>$R$1*(H86-H85)</f>
        <v/>
      </c>
      <c r="S86" s="9">
        <f>$S$1*LN(I86/I85)</f>
        <v/>
      </c>
      <c r="T86" s="9">
        <f>$T$1*LN(J86/J85)</f>
        <v/>
      </c>
      <c r="U86" s="9">
        <f>$W$12+$W$4*M86+$W$5*N86+$W$6*O86+$W$7*P86+$W$8*Q86+$W$9*R86+$W$10*S86+$W$11*T86</f>
        <v/>
      </c>
      <c r="AA86" s="10">
        <f>INDEX(LINEST(L27:L86,M27:T86,TRUE,TRUE),1,9)*12</f>
        <v/>
      </c>
      <c r="AB86" s="9">
        <f>INDEX(LINEST(L27:L86,M27:T86,TRUE,TRUE),1,8)</f>
        <v/>
      </c>
      <c r="AC86" s="9">
        <f>INDEX(LINEST(L27:L86,M27:T86,TRUE,TRUE),1,7)</f>
        <v/>
      </c>
      <c r="AD86" s="9">
        <f>INDEX(LINEST(L27:L86,M27:T86,TRUE,TRUE),1,6)</f>
        <v/>
      </c>
      <c r="AE86" s="9">
        <f>INDEX(LINEST(L27:L86,M27:T86,TRUE,TRUE),1,5)</f>
        <v/>
      </c>
      <c r="AF86" s="9">
        <f>INDEX(LINEST(L27:L86,M27:T86,TRUE,TRUE),1,4)</f>
        <v/>
      </c>
      <c r="AG86" s="9">
        <f>INDEX(LINEST(L27:L86,M27:T86,TRUE,TRUE),1,3)</f>
        <v/>
      </c>
      <c r="AH86" s="9">
        <f>INDEX(LINEST(L27:L86,M27:T86,TRUE,TRUE),1,2)</f>
        <v/>
      </c>
      <c r="AI86" s="9">
        <f>INDEX(LINEST(L27:L86,M27:T86,TRUE,TRUE),1,1)</f>
        <v/>
      </c>
      <c r="AJ86" s="10">
        <f>INDEX(LINEST(L27:L86,M27:T86,TRUE,TRUE),3,1)</f>
        <v/>
      </c>
      <c r="AK86" s="9">
        <f>AA85/12+AB85*M86+AC85*N86+AD85*O86+AE85*P86+AF85*Q86+AG85*R86+AH85*S86+AI85*T86</f>
        <v/>
      </c>
      <c r="AL86" s="9">
        <f>AVERAGE(L26:L85)</f>
        <v/>
      </c>
    </row>
    <row r="87">
      <c r="L87" s="9">
        <f>LN(B87/B86)</f>
        <v/>
      </c>
      <c r="M87" s="9">
        <f>$M$1*(C87-C86)</f>
        <v/>
      </c>
      <c r="N87" s="9">
        <f>$N$1*(D87-D86)</f>
        <v/>
      </c>
      <c r="O87" s="9">
        <f>$O$1*LN(E87/E86)</f>
        <v/>
      </c>
      <c r="P87" s="9">
        <f>$P$1*LN(F87/F86)</f>
        <v/>
      </c>
      <c r="Q87" s="9">
        <f>$Q$1*(G87-G86)</f>
        <v/>
      </c>
      <c r="R87" s="9">
        <f>$R$1*(H87-H86)</f>
        <v/>
      </c>
      <c r="S87" s="9">
        <f>$S$1*LN(I87/I86)</f>
        <v/>
      </c>
      <c r="T87" s="9">
        <f>$T$1*LN(J87/J86)</f>
        <v/>
      </c>
      <c r="U87" s="9">
        <f>$W$12+$W$4*M87+$W$5*N87+$W$6*O87+$W$7*P87+$W$8*Q87+$W$9*R87+$W$10*S87+$W$11*T87</f>
        <v/>
      </c>
      <c r="AA87" s="10">
        <f>INDEX(LINEST(L28:L87,M28:T87,TRUE,TRUE),1,9)*12</f>
        <v/>
      </c>
      <c r="AB87" s="9">
        <f>INDEX(LINEST(L28:L87,M28:T87,TRUE,TRUE),1,8)</f>
        <v/>
      </c>
      <c r="AC87" s="9">
        <f>INDEX(LINEST(L28:L87,M28:T87,TRUE,TRUE),1,7)</f>
        <v/>
      </c>
      <c r="AD87" s="9">
        <f>INDEX(LINEST(L28:L87,M28:T87,TRUE,TRUE),1,6)</f>
        <v/>
      </c>
      <c r="AE87" s="9">
        <f>INDEX(LINEST(L28:L87,M28:T87,TRUE,TRUE),1,5)</f>
        <v/>
      </c>
      <c r="AF87" s="9">
        <f>INDEX(LINEST(L28:L87,M28:T87,TRUE,TRUE),1,4)</f>
        <v/>
      </c>
      <c r="AG87" s="9">
        <f>INDEX(LINEST(L28:L87,M28:T87,TRUE,TRUE),1,3)</f>
        <v/>
      </c>
      <c r="AH87" s="9">
        <f>INDEX(LINEST(L28:L87,M28:T87,TRUE,TRUE),1,2)</f>
        <v/>
      </c>
      <c r="AI87" s="9">
        <f>INDEX(LINEST(L28:L87,M28:T87,TRUE,TRUE),1,1)</f>
        <v/>
      </c>
      <c r="AJ87" s="10">
        <f>INDEX(LINEST(L28:L87,M28:T87,TRUE,TRUE),3,1)</f>
        <v/>
      </c>
      <c r="AK87" s="9">
        <f>AA86/12+AB86*M87+AC86*N87+AD86*O87+AE86*P87+AF86*Q87+AG86*R87+AH86*S87+AI86*T87</f>
        <v/>
      </c>
      <c r="AL87" s="9">
        <f>AVERAGE(L27:L86)</f>
        <v/>
      </c>
    </row>
    <row r="88">
      <c r="L88" s="9">
        <f>LN(B88/B87)</f>
        <v/>
      </c>
      <c r="M88" s="9">
        <f>$M$1*(C88-C87)</f>
        <v/>
      </c>
      <c r="N88" s="9">
        <f>$N$1*(D88-D87)</f>
        <v/>
      </c>
      <c r="O88" s="9">
        <f>$O$1*LN(E88/E87)</f>
        <v/>
      </c>
      <c r="P88" s="9">
        <f>$P$1*LN(F88/F87)</f>
        <v/>
      </c>
      <c r="Q88" s="9">
        <f>$Q$1*(G88-G87)</f>
        <v/>
      </c>
      <c r="R88" s="9">
        <f>$R$1*(H88-H87)</f>
        <v/>
      </c>
      <c r="S88" s="9">
        <f>$S$1*LN(I88/I87)</f>
        <v/>
      </c>
      <c r="T88" s="9">
        <f>$T$1*LN(J88/J87)</f>
        <v/>
      </c>
      <c r="U88" s="9">
        <f>$W$12+$W$4*M88+$W$5*N88+$W$6*O88+$W$7*P88+$W$8*Q88+$W$9*R88+$W$10*S88+$W$11*T88</f>
        <v/>
      </c>
      <c r="AA88" s="10">
        <f>INDEX(LINEST(L29:L88,M29:T88,TRUE,TRUE),1,9)*12</f>
        <v/>
      </c>
      <c r="AB88" s="9">
        <f>INDEX(LINEST(L29:L88,M29:T88,TRUE,TRUE),1,8)</f>
        <v/>
      </c>
      <c r="AC88" s="9">
        <f>INDEX(LINEST(L29:L88,M29:T88,TRUE,TRUE),1,7)</f>
        <v/>
      </c>
      <c r="AD88" s="9">
        <f>INDEX(LINEST(L29:L88,M29:T88,TRUE,TRUE),1,6)</f>
        <v/>
      </c>
      <c r="AE88" s="9">
        <f>INDEX(LINEST(L29:L88,M29:T88,TRUE,TRUE),1,5)</f>
        <v/>
      </c>
      <c r="AF88" s="9">
        <f>INDEX(LINEST(L29:L88,M29:T88,TRUE,TRUE),1,4)</f>
        <v/>
      </c>
      <c r="AG88" s="9">
        <f>INDEX(LINEST(L29:L88,M29:T88,TRUE,TRUE),1,3)</f>
        <v/>
      </c>
      <c r="AH88" s="9">
        <f>INDEX(LINEST(L29:L88,M29:T88,TRUE,TRUE),1,2)</f>
        <v/>
      </c>
      <c r="AI88" s="9">
        <f>INDEX(LINEST(L29:L88,M29:T88,TRUE,TRUE),1,1)</f>
        <v/>
      </c>
      <c r="AJ88" s="10">
        <f>INDEX(LINEST(L29:L88,M29:T88,TRUE,TRUE),3,1)</f>
        <v/>
      </c>
      <c r="AK88" s="9">
        <f>AA87/12+AB87*M88+AC87*N88+AD87*O88+AE87*P88+AF87*Q88+AG87*R88+AH87*S88+AI87*T88</f>
        <v/>
      </c>
      <c r="AL88" s="9">
        <f>AVERAGE(L28:L87)</f>
        <v/>
      </c>
    </row>
    <row r="89">
      <c r="L89" s="9">
        <f>LN(B89/B88)</f>
        <v/>
      </c>
      <c r="M89" s="9">
        <f>$M$1*(C89-C88)</f>
        <v/>
      </c>
      <c r="N89" s="9">
        <f>$N$1*(D89-D88)</f>
        <v/>
      </c>
      <c r="O89" s="9">
        <f>$O$1*LN(E89/E88)</f>
        <v/>
      </c>
      <c r="P89" s="9">
        <f>$P$1*LN(F89/F88)</f>
        <v/>
      </c>
      <c r="Q89" s="9">
        <f>$Q$1*(G89-G88)</f>
        <v/>
      </c>
      <c r="R89" s="9">
        <f>$R$1*(H89-H88)</f>
        <v/>
      </c>
      <c r="S89" s="9">
        <f>$S$1*LN(I89/I88)</f>
        <v/>
      </c>
      <c r="T89" s="9">
        <f>$T$1*LN(J89/J88)</f>
        <v/>
      </c>
      <c r="U89" s="9">
        <f>$W$12+$W$4*M89+$W$5*N89+$W$6*O89+$W$7*P89+$W$8*Q89+$W$9*R89+$W$10*S89+$W$11*T89</f>
        <v/>
      </c>
      <c r="AA89" s="10">
        <f>INDEX(LINEST(L30:L89,M30:T89,TRUE,TRUE),1,9)*12</f>
        <v/>
      </c>
      <c r="AB89" s="9">
        <f>INDEX(LINEST(L30:L89,M30:T89,TRUE,TRUE),1,8)</f>
        <v/>
      </c>
      <c r="AC89" s="9">
        <f>INDEX(LINEST(L30:L89,M30:T89,TRUE,TRUE),1,7)</f>
        <v/>
      </c>
      <c r="AD89" s="9">
        <f>INDEX(LINEST(L30:L89,M30:T89,TRUE,TRUE),1,6)</f>
        <v/>
      </c>
      <c r="AE89" s="9">
        <f>INDEX(LINEST(L30:L89,M30:T89,TRUE,TRUE),1,5)</f>
        <v/>
      </c>
      <c r="AF89" s="9">
        <f>INDEX(LINEST(L30:L89,M30:T89,TRUE,TRUE),1,4)</f>
        <v/>
      </c>
      <c r="AG89" s="9">
        <f>INDEX(LINEST(L30:L89,M30:T89,TRUE,TRUE),1,3)</f>
        <v/>
      </c>
      <c r="AH89" s="9">
        <f>INDEX(LINEST(L30:L89,M30:T89,TRUE,TRUE),1,2)</f>
        <v/>
      </c>
      <c r="AI89" s="9">
        <f>INDEX(LINEST(L30:L89,M30:T89,TRUE,TRUE),1,1)</f>
        <v/>
      </c>
      <c r="AJ89" s="10">
        <f>INDEX(LINEST(L30:L89,M30:T89,TRUE,TRUE),3,1)</f>
        <v/>
      </c>
      <c r="AK89" s="9">
        <f>AA88/12+AB88*M89+AC88*N89+AD88*O89+AE88*P89+AF88*Q89+AG88*R89+AH88*S89+AI88*T89</f>
        <v/>
      </c>
      <c r="AL89" s="9">
        <f>AVERAGE(L29:L88)</f>
        <v/>
      </c>
    </row>
    <row r="90">
      <c r="L90" s="9">
        <f>LN(B90/B89)</f>
        <v/>
      </c>
      <c r="M90" s="9">
        <f>$M$1*(C90-C89)</f>
        <v/>
      </c>
      <c r="N90" s="9">
        <f>$N$1*(D90-D89)</f>
        <v/>
      </c>
      <c r="O90" s="9">
        <f>$O$1*LN(E90/E89)</f>
        <v/>
      </c>
      <c r="P90" s="9">
        <f>$P$1*LN(F90/F89)</f>
        <v/>
      </c>
      <c r="Q90" s="9">
        <f>$Q$1*(G90-G89)</f>
        <v/>
      </c>
      <c r="R90" s="9">
        <f>$R$1*(H90-H89)</f>
        <v/>
      </c>
      <c r="S90" s="9">
        <f>$S$1*LN(I90/I89)</f>
        <v/>
      </c>
      <c r="T90" s="9">
        <f>$T$1*LN(J90/J89)</f>
        <v/>
      </c>
      <c r="U90" s="9">
        <f>$W$12+$W$4*M90+$W$5*N90+$W$6*O90+$W$7*P90+$W$8*Q90+$W$9*R90+$W$10*S90+$W$11*T90</f>
        <v/>
      </c>
      <c r="AA90" s="10">
        <f>INDEX(LINEST(L31:L90,M31:T90,TRUE,TRUE),1,9)*12</f>
        <v/>
      </c>
      <c r="AB90" s="9">
        <f>INDEX(LINEST(L31:L90,M31:T90,TRUE,TRUE),1,8)</f>
        <v/>
      </c>
      <c r="AC90" s="9">
        <f>INDEX(LINEST(L31:L90,M31:T90,TRUE,TRUE),1,7)</f>
        <v/>
      </c>
      <c r="AD90" s="9">
        <f>INDEX(LINEST(L31:L90,M31:T90,TRUE,TRUE),1,6)</f>
        <v/>
      </c>
      <c r="AE90" s="9">
        <f>INDEX(LINEST(L31:L90,M31:T90,TRUE,TRUE),1,5)</f>
        <v/>
      </c>
      <c r="AF90" s="9">
        <f>INDEX(LINEST(L31:L90,M31:T90,TRUE,TRUE),1,4)</f>
        <v/>
      </c>
      <c r="AG90" s="9">
        <f>INDEX(LINEST(L31:L90,M31:T90,TRUE,TRUE),1,3)</f>
        <v/>
      </c>
      <c r="AH90" s="9">
        <f>INDEX(LINEST(L31:L90,M31:T90,TRUE,TRUE),1,2)</f>
        <v/>
      </c>
      <c r="AI90" s="9">
        <f>INDEX(LINEST(L31:L90,M31:T90,TRUE,TRUE),1,1)</f>
        <v/>
      </c>
      <c r="AJ90" s="10">
        <f>INDEX(LINEST(L31:L90,M31:T90,TRUE,TRUE),3,1)</f>
        <v/>
      </c>
      <c r="AK90" s="9">
        <f>AA89/12+AB89*M90+AC89*N90+AD89*O90+AE89*P90+AF89*Q90+AG89*R90+AH89*S90+AI89*T90</f>
        <v/>
      </c>
      <c r="AL90" s="9">
        <f>AVERAGE(L30:L89)</f>
        <v/>
      </c>
    </row>
    <row r="91">
      <c r="L91" s="9">
        <f>LN(B91/B90)</f>
        <v/>
      </c>
      <c r="M91" s="9">
        <f>$M$1*(C91-C90)</f>
        <v/>
      </c>
      <c r="N91" s="9">
        <f>$N$1*(D91-D90)</f>
        <v/>
      </c>
      <c r="O91" s="9">
        <f>$O$1*LN(E91/E90)</f>
        <v/>
      </c>
      <c r="P91" s="9">
        <f>$P$1*LN(F91/F90)</f>
        <v/>
      </c>
      <c r="Q91" s="9">
        <f>$Q$1*(G91-G90)</f>
        <v/>
      </c>
      <c r="R91" s="9">
        <f>$R$1*(H91-H90)</f>
        <v/>
      </c>
      <c r="S91" s="9">
        <f>$S$1*LN(I91/I90)</f>
        <v/>
      </c>
      <c r="T91" s="9">
        <f>$T$1*LN(J91/J90)</f>
        <v/>
      </c>
      <c r="U91" s="9">
        <f>$W$12+$W$4*M91+$W$5*N91+$W$6*O91+$W$7*P91+$W$8*Q91+$W$9*R91+$W$10*S91+$W$11*T91</f>
        <v/>
      </c>
      <c r="AA91" s="10">
        <f>INDEX(LINEST(L32:L91,M32:T91,TRUE,TRUE),1,9)*12</f>
        <v/>
      </c>
      <c r="AB91" s="9">
        <f>INDEX(LINEST(L32:L91,M32:T91,TRUE,TRUE),1,8)</f>
        <v/>
      </c>
      <c r="AC91" s="9">
        <f>INDEX(LINEST(L32:L91,M32:T91,TRUE,TRUE),1,7)</f>
        <v/>
      </c>
      <c r="AD91" s="9">
        <f>INDEX(LINEST(L32:L91,M32:T91,TRUE,TRUE),1,6)</f>
        <v/>
      </c>
      <c r="AE91" s="9">
        <f>INDEX(LINEST(L32:L91,M32:T91,TRUE,TRUE),1,5)</f>
        <v/>
      </c>
      <c r="AF91" s="9">
        <f>INDEX(LINEST(L32:L91,M32:T91,TRUE,TRUE),1,4)</f>
        <v/>
      </c>
      <c r="AG91" s="9">
        <f>INDEX(LINEST(L32:L91,M32:T91,TRUE,TRUE),1,3)</f>
        <v/>
      </c>
      <c r="AH91" s="9">
        <f>INDEX(LINEST(L32:L91,M32:T91,TRUE,TRUE),1,2)</f>
        <v/>
      </c>
      <c r="AI91" s="9">
        <f>INDEX(LINEST(L32:L91,M32:T91,TRUE,TRUE),1,1)</f>
        <v/>
      </c>
      <c r="AJ91" s="10">
        <f>INDEX(LINEST(L32:L91,M32:T91,TRUE,TRUE),3,1)</f>
        <v/>
      </c>
      <c r="AK91" s="9">
        <f>AA90/12+AB90*M91+AC90*N91+AD90*O91+AE90*P91+AF90*Q91+AG90*R91+AH90*S91+AI90*T91</f>
        <v/>
      </c>
      <c r="AL91" s="9">
        <f>AVERAGE(L31:L90)</f>
        <v/>
      </c>
    </row>
    <row r="92">
      <c r="L92" s="9">
        <f>LN(B92/B91)</f>
        <v/>
      </c>
      <c r="M92" s="9">
        <f>$M$1*(C92-C91)</f>
        <v/>
      </c>
      <c r="N92" s="9">
        <f>$N$1*(D92-D91)</f>
        <v/>
      </c>
      <c r="O92" s="9">
        <f>$O$1*LN(E92/E91)</f>
        <v/>
      </c>
      <c r="P92" s="9">
        <f>$P$1*LN(F92/F91)</f>
        <v/>
      </c>
      <c r="Q92" s="9">
        <f>$Q$1*(G92-G91)</f>
        <v/>
      </c>
      <c r="R92" s="9">
        <f>$R$1*(H92-H91)</f>
        <v/>
      </c>
      <c r="S92" s="9">
        <f>$S$1*LN(I92/I91)</f>
        <v/>
      </c>
      <c r="T92" s="9">
        <f>$T$1*LN(J92/J91)</f>
        <v/>
      </c>
      <c r="U92" s="9">
        <f>$W$12+$W$4*M92+$W$5*N92+$W$6*O92+$W$7*P92+$W$8*Q92+$W$9*R92+$W$10*S92+$W$11*T92</f>
        <v/>
      </c>
      <c r="AA92" s="10">
        <f>INDEX(LINEST(L33:L92,M33:T92,TRUE,TRUE),1,9)*12</f>
        <v/>
      </c>
      <c r="AB92" s="9">
        <f>INDEX(LINEST(L33:L92,M33:T92,TRUE,TRUE),1,8)</f>
        <v/>
      </c>
      <c r="AC92" s="9">
        <f>INDEX(LINEST(L33:L92,M33:T92,TRUE,TRUE),1,7)</f>
        <v/>
      </c>
      <c r="AD92" s="9">
        <f>INDEX(LINEST(L33:L92,M33:T92,TRUE,TRUE),1,6)</f>
        <v/>
      </c>
      <c r="AE92" s="9">
        <f>INDEX(LINEST(L33:L92,M33:T92,TRUE,TRUE),1,5)</f>
        <v/>
      </c>
      <c r="AF92" s="9">
        <f>INDEX(LINEST(L33:L92,M33:T92,TRUE,TRUE),1,4)</f>
        <v/>
      </c>
      <c r="AG92" s="9">
        <f>INDEX(LINEST(L33:L92,M33:T92,TRUE,TRUE),1,3)</f>
        <v/>
      </c>
      <c r="AH92" s="9">
        <f>INDEX(LINEST(L33:L92,M33:T92,TRUE,TRUE),1,2)</f>
        <v/>
      </c>
      <c r="AI92" s="9">
        <f>INDEX(LINEST(L33:L92,M33:T92,TRUE,TRUE),1,1)</f>
        <v/>
      </c>
      <c r="AJ92" s="10">
        <f>INDEX(LINEST(L33:L92,M33:T92,TRUE,TRUE),3,1)</f>
        <v/>
      </c>
      <c r="AK92" s="9">
        <f>AA91/12+AB91*M92+AC91*N92+AD91*O92+AE91*P92+AF91*Q92+AG91*R92+AH91*S92+AI91*T92</f>
        <v/>
      </c>
      <c r="AL92" s="9">
        <f>AVERAGE(L32:L91)</f>
        <v/>
      </c>
    </row>
    <row r="93">
      <c r="L93" s="9">
        <f>LN(B93/B92)</f>
        <v/>
      </c>
      <c r="M93" s="9">
        <f>$M$1*(C93-C92)</f>
        <v/>
      </c>
      <c r="N93" s="9">
        <f>$N$1*(D93-D92)</f>
        <v/>
      </c>
      <c r="O93" s="9">
        <f>$O$1*LN(E93/E92)</f>
        <v/>
      </c>
      <c r="P93" s="9">
        <f>$P$1*LN(F93/F92)</f>
        <v/>
      </c>
      <c r="Q93" s="9">
        <f>$Q$1*(G93-G92)</f>
        <v/>
      </c>
      <c r="R93" s="9">
        <f>$R$1*(H93-H92)</f>
        <v/>
      </c>
      <c r="S93" s="9">
        <f>$S$1*LN(I93/I92)</f>
        <v/>
      </c>
      <c r="T93" s="9">
        <f>$T$1*LN(J93/J92)</f>
        <v/>
      </c>
      <c r="U93" s="9">
        <f>$W$12+$W$4*M93+$W$5*N93+$W$6*O93+$W$7*P93+$W$8*Q93+$W$9*R93+$W$10*S93+$W$11*T93</f>
        <v/>
      </c>
      <c r="AA93" s="10">
        <f>INDEX(LINEST(L34:L93,M34:T93,TRUE,TRUE),1,9)*12</f>
        <v/>
      </c>
      <c r="AB93" s="9">
        <f>INDEX(LINEST(L34:L93,M34:T93,TRUE,TRUE),1,8)</f>
        <v/>
      </c>
      <c r="AC93" s="9">
        <f>INDEX(LINEST(L34:L93,M34:T93,TRUE,TRUE),1,7)</f>
        <v/>
      </c>
      <c r="AD93" s="9">
        <f>INDEX(LINEST(L34:L93,M34:T93,TRUE,TRUE),1,6)</f>
        <v/>
      </c>
      <c r="AE93" s="9">
        <f>INDEX(LINEST(L34:L93,M34:T93,TRUE,TRUE),1,5)</f>
        <v/>
      </c>
      <c r="AF93" s="9">
        <f>INDEX(LINEST(L34:L93,M34:T93,TRUE,TRUE),1,4)</f>
        <v/>
      </c>
      <c r="AG93" s="9">
        <f>INDEX(LINEST(L34:L93,M34:T93,TRUE,TRUE),1,3)</f>
        <v/>
      </c>
      <c r="AH93" s="9">
        <f>INDEX(LINEST(L34:L93,M34:T93,TRUE,TRUE),1,2)</f>
        <v/>
      </c>
      <c r="AI93" s="9">
        <f>INDEX(LINEST(L34:L93,M34:T93,TRUE,TRUE),1,1)</f>
        <v/>
      </c>
      <c r="AJ93" s="10">
        <f>INDEX(LINEST(L34:L93,M34:T93,TRUE,TRUE),3,1)</f>
        <v/>
      </c>
      <c r="AK93" s="9">
        <f>AA92/12+AB92*M93+AC92*N93+AD92*O93+AE92*P93+AF92*Q93+AG92*R93+AH92*S93+AI92*T93</f>
        <v/>
      </c>
      <c r="AL93" s="9">
        <f>AVERAGE(L33:L92)</f>
        <v/>
      </c>
    </row>
    <row r="94">
      <c r="L94" s="9">
        <f>LN(B94/B93)</f>
        <v/>
      </c>
      <c r="M94" s="9">
        <f>$M$1*(C94-C93)</f>
        <v/>
      </c>
      <c r="N94" s="9">
        <f>$N$1*(D94-D93)</f>
        <v/>
      </c>
      <c r="O94" s="9">
        <f>$O$1*LN(E94/E93)</f>
        <v/>
      </c>
      <c r="P94" s="9">
        <f>$P$1*LN(F94/F93)</f>
        <v/>
      </c>
      <c r="Q94" s="9">
        <f>$Q$1*(G94-G93)</f>
        <v/>
      </c>
      <c r="R94" s="9">
        <f>$R$1*(H94-H93)</f>
        <v/>
      </c>
      <c r="S94" s="9">
        <f>$S$1*LN(I94/I93)</f>
        <v/>
      </c>
      <c r="T94" s="9">
        <f>$T$1*LN(J94/J93)</f>
        <v/>
      </c>
      <c r="U94" s="9">
        <f>$W$12+$W$4*M94+$W$5*N94+$W$6*O94+$W$7*P94+$W$8*Q94+$W$9*R94+$W$10*S94+$W$11*T94</f>
        <v/>
      </c>
      <c r="AA94" s="10">
        <f>INDEX(LINEST(L35:L94,M35:T94,TRUE,TRUE),1,9)*12</f>
        <v/>
      </c>
      <c r="AB94" s="9">
        <f>INDEX(LINEST(L35:L94,M35:T94,TRUE,TRUE),1,8)</f>
        <v/>
      </c>
      <c r="AC94" s="9">
        <f>INDEX(LINEST(L35:L94,M35:T94,TRUE,TRUE),1,7)</f>
        <v/>
      </c>
      <c r="AD94" s="9">
        <f>INDEX(LINEST(L35:L94,M35:T94,TRUE,TRUE),1,6)</f>
        <v/>
      </c>
      <c r="AE94" s="9">
        <f>INDEX(LINEST(L35:L94,M35:T94,TRUE,TRUE),1,5)</f>
        <v/>
      </c>
      <c r="AF94" s="9">
        <f>INDEX(LINEST(L35:L94,M35:T94,TRUE,TRUE),1,4)</f>
        <v/>
      </c>
      <c r="AG94" s="9">
        <f>INDEX(LINEST(L35:L94,M35:T94,TRUE,TRUE),1,3)</f>
        <v/>
      </c>
      <c r="AH94" s="9">
        <f>INDEX(LINEST(L35:L94,M35:T94,TRUE,TRUE),1,2)</f>
        <v/>
      </c>
      <c r="AI94" s="9">
        <f>INDEX(LINEST(L35:L94,M35:T94,TRUE,TRUE),1,1)</f>
        <v/>
      </c>
      <c r="AJ94" s="10">
        <f>INDEX(LINEST(L35:L94,M35:T94,TRUE,TRUE),3,1)</f>
        <v/>
      </c>
      <c r="AK94" s="9">
        <f>AA93/12+AB93*M94+AC93*N94+AD93*O94+AE93*P94+AF93*Q94+AG93*R94+AH93*S94+AI93*T94</f>
        <v/>
      </c>
      <c r="AL94" s="9">
        <f>AVERAGE(L34:L93)</f>
        <v/>
      </c>
    </row>
    <row r="95">
      <c r="L95" s="9">
        <f>LN(B95/B94)</f>
        <v/>
      </c>
      <c r="M95" s="9">
        <f>$M$1*(C95-C94)</f>
        <v/>
      </c>
      <c r="N95" s="9">
        <f>$N$1*(D95-D94)</f>
        <v/>
      </c>
      <c r="O95" s="9">
        <f>$O$1*LN(E95/E94)</f>
        <v/>
      </c>
      <c r="P95" s="9">
        <f>$P$1*LN(F95/F94)</f>
        <v/>
      </c>
      <c r="Q95" s="9">
        <f>$Q$1*(G95-G94)</f>
        <v/>
      </c>
      <c r="R95" s="9">
        <f>$R$1*(H95-H94)</f>
        <v/>
      </c>
      <c r="S95" s="9">
        <f>$S$1*LN(I95/I94)</f>
        <v/>
      </c>
      <c r="T95" s="9">
        <f>$T$1*LN(J95/J94)</f>
        <v/>
      </c>
      <c r="U95" s="9">
        <f>$W$12+$W$4*M95+$W$5*N95+$W$6*O95+$W$7*P95+$W$8*Q95+$W$9*R95+$W$10*S95+$W$11*T95</f>
        <v/>
      </c>
      <c r="AA95" s="10">
        <f>INDEX(LINEST(L36:L95,M36:T95,TRUE,TRUE),1,9)*12</f>
        <v/>
      </c>
      <c r="AB95" s="9">
        <f>INDEX(LINEST(L36:L95,M36:T95,TRUE,TRUE),1,8)</f>
        <v/>
      </c>
      <c r="AC95" s="9">
        <f>INDEX(LINEST(L36:L95,M36:T95,TRUE,TRUE),1,7)</f>
        <v/>
      </c>
      <c r="AD95" s="9">
        <f>INDEX(LINEST(L36:L95,M36:T95,TRUE,TRUE),1,6)</f>
        <v/>
      </c>
      <c r="AE95" s="9">
        <f>INDEX(LINEST(L36:L95,M36:T95,TRUE,TRUE),1,5)</f>
        <v/>
      </c>
      <c r="AF95" s="9">
        <f>INDEX(LINEST(L36:L95,M36:T95,TRUE,TRUE),1,4)</f>
        <v/>
      </c>
      <c r="AG95" s="9">
        <f>INDEX(LINEST(L36:L95,M36:T95,TRUE,TRUE),1,3)</f>
        <v/>
      </c>
      <c r="AH95" s="9">
        <f>INDEX(LINEST(L36:L95,M36:T95,TRUE,TRUE),1,2)</f>
        <v/>
      </c>
      <c r="AI95" s="9">
        <f>INDEX(LINEST(L36:L95,M36:T95,TRUE,TRUE),1,1)</f>
        <v/>
      </c>
      <c r="AJ95" s="10">
        <f>INDEX(LINEST(L36:L95,M36:T95,TRUE,TRUE),3,1)</f>
        <v/>
      </c>
      <c r="AK95" s="9">
        <f>AA94/12+AB94*M95+AC94*N95+AD94*O95+AE94*P95+AF94*Q95+AG94*R95+AH94*S95+AI94*T95</f>
        <v/>
      </c>
      <c r="AL95" s="9">
        <f>AVERAGE(L35:L94)</f>
        <v/>
      </c>
    </row>
    <row r="96">
      <c r="L96" s="9">
        <f>LN(B96/B95)</f>
        <v/>
      </c>
      <c r="M96" s="9">
        <f>$M$1*(C96-C95)</f>
        <v/>
      </c>
      <c r="N96" s="9">
        <f>$N$1*(D96-D95)</f>
        <v/>
      </c>
      <c r="O96" s="9">
        <f>$O$1*LN(E96/E95)</f>
        <v/>
      </c>
      <c r="P96" s="9">
        <f>$P$1*LN(F96/F95)</f>
        <v/>
      </c>
      <c r="Q96" s="9">
        <f>$Q$1*(G96-G95)</f>
        <v/>
      </c>
      <c r="R96" s="9">
        <f>$R$1*(H96-H95)</f>
        <v/>
      </c>
      <c r="S96" s="9">
        <f>$S$1*LN(I96/I95)</f>
        <v/>
      </c>
      <c r="T96" s="9">
        <f>$T$1*LN(J96/J95)</f>
        <v/>
      </c>
      <c r="U96" s="9">
        <f>$W$12+$W$4*M96+$W$5*N96+$W$6*O96+$W$7*P96+$W$8*Q96+$W$9*R96+$W$10*S96+$W$11*T96</f>
        <v/>
      </c>
      <c r="AA96" s="10">
        <f>INDEX(LINEST(L37:L96,M37:T96,TRUE,TRUE),1,9)*12</f>
        <v/>
      </c>
      <c r="AB96" s="9">
        <f>INDEX(LINEST(L37:L96,M37:T96,TRUE,TRUE),1,8)</f>
        <v/>
      </c>
      <c r="AC96" s="9">
        <f>INDEX(LINEST(L37:L96,M37:T96,TRUE,TRUE),1,7)</f>
        <v/>
      </c>
      <c r="AD96" s="9">
        <f>INDEX(LINEST(L37:L96,M37:T96,TRUE,TRUE),1,6)</f>
        <v/>
      </c>
      <c r="AE96" s="9">
        <f>INDEX(LINEST(L37:L96,M37:T96,TRUE,TRUE),1,5)</f>
        <v/>
      </c>
      <c r="AF96" s="9">
        <f>INDEX(LINEST(L37:L96,M37:T96,TRUE,TRUE),1,4)</f>
        <v/>
      </c>
      <c r="AG96" s="9">
        <f>INDEX(LINEST(L37:L96,M37:T96,TRUE,TRUE),1,3)</f>
        <v/>
      </c>
      <c r="AH96" s="9">
        <f>INDEX(LINEST(L37:L96,M37:T96,TRUE,TRUE),1,2)</f>
        <v/>
      </c>
      <c r="AI96" s="9">
        <f>INDEX(LINEST(L37:L96,M37:T96,TRUE,TRUE),1,1)</f>
        <v/>
      </c>
      <c r="AJ96" s="10">
        <f>INDEX(LINEST(L37:L96,M37:T96,TRUE,TRUE),3,1)</f>
        <v/>
      </c>
      <c r="AK96" s="9">
        <f>AA95/12+AB95*M96+AC95*N96+AD95*O96+AE95*P96+AF95*Q96+AG95*R96+AH95*S96+AI95*T96</f>
        <v/>
      </c>
      <c r="AL96" s="9">
        <f>AVERAGE(L36:L95)</f>
        <v/>
      </c>
    </row>
    <row r="97">
      <c r="L97" s="9">
        <f>LN(B97/B96)</f>
        <v/>
      </c>
      <c r="M97" s="9">
        <f>$M$1*(C97-C96)</f>
        <v/>
      </c>
      <c r="N97" s="9">
        <f>$N$1*(D97-D96)</f>
        <v/>
      </c>
      <c r="O97" s="9">
        <f>$O$1*LN(E97/E96)</f>
        <v/>
      </c>
      <c r="P97" s="9">
        <f>$P$1*LN(F97/F96)</f>
        <v/>
      </c>
      <c r="Q97" s="9">
        <f>$Q$1*(G97-G96)</f>
        <v/>
      </c>
      <c r="R97" s="9">
        <f>$R$1*(H97-H96)</f>
        <v/>
      </c>
      <c r="S97" s="9">
        <f>$S$1*LN(I97/I96)</f>
        <v/>
      </c>
      <c r="T97" s="9">
        <f>$T$1*LN(J97/J96)</f>
        <v/>
      </c>
      <c r="U97" s="9">
        <f>$W$12+$W$4*M97+$W$5*N97+$W$6*O97+$W$7*P97+$W$8*Q97+$W$9*R97+$W$10*S97+$W$11*T97</f>
        <v/>
      </c>
      <c r="AA97" s="10">
        <f>INDEX(LINEST(L38:L97,M38:T97,TRUE,TRUE),1,9)*12</f>
        <v/>
      </c>
      <c r="AB97" s="9">
        <f>INDEX(LINEST(L38:L97,M38:T97,TRUE,TRUE),1,8)</f>
        <v/>
      </c>
      <c r="AC97" s="9">
        <f>INDEX(LINEST(L38:L97,M38:T97,TRUE,TRUE),1,7)</f>
        <v/>
      </c>
      <c r="AD97" s="9">
        <f>INDEX(LINEST(L38:L97,M38:T97,TRUE,TRUE),1,6)</f>
        <v/>
      </c>
      <c r="AE97" s="9">
        <f>INDEX(LINEST(L38:L97,M38:T97,TRUE,TRUE),1,5)</f>
        <v/>
      </c>
      <c r="AF97" s="9">
        <f>INDEX(LINEST(L38:L97,M38:T97,TRUE,TRUE),1,4)</f>
        <v/>
      </c>
      <c r="AG97" s="9">
        <f>INDEX(LINEST(L38:L97,M38:T97,TRUE,TRUE),1,3)</f>
        <v/>
      </c>
      <c r="AH97" s="9">
        <f>INDEX(LINEST(L38:L97,M38:T97,TRUE,TRUE),1,2)</f>
        <v/>
      </c>
      <c r="AI97" s="9">
        <f>INDEX(LINEST(L38:L97,M38:T97,TRUE,TRUE),1,1)</f>
        <v/>
      </c>
      <c r="AJ97" s="10">
        <f>INDEX(LINEST(L38:L97,M38:T97,TRUE,TRUE),3,1)</f>
        <v/>
      </c>
      <c r="AK97" s="9">
        <f>AA96/12+AB96*M97+AC96*N97+AD96*O97+AE96*P97+AF96*Q97+AG96*R97+AH96*S97+AI96*T97</f>
        <v/>
      </c>
      <c r="AL97" s="9">
        <f>AVERAGE(L37:L96)</f>
        <v/>
      </c>
    </row>
    <row r="98">
      <c r="L98" s="9">
        <f>LN(B98/B97)</f>
        <v/>
      </c>
      <c r="M98" s="9">
        <f>$M$1*(C98-C97)</f>
        <v/>
      </c>
      <c r="N98" s="9">
        <f>$N$1*(D98-D97)</f>
        <v/>
      </c>
      <c r="O98" s="9">
        <f>$O$1*LN(E98/E97)</f>
        <v/>
      </c>
      <c r="P98" s="9">
        <f>$P$1*LN(F98/F97)</f>
        <v/>
      </c>
      <c r="Q98" s="9">
        <f>$Q$1*(G98-G97)</f>
        <v/>
      </c>
      <c r="R98" s="9">
        <f>$R$1*(H98-H97)</f>
        <v/>
      </c>
      <c r="S98" s="9">
        <f>$S$1*LN(I98/I97)</f>
        <v/>
      </c>
      <c r="T98" s="9">
        <f>$T$1*LN(J98/J97)</f>
        <v/>
      </c>
      <c r="U98" s="9">
        <f>$W$12+$W$4*M98+$W$5*N98+$W$6*O98+$W$7*P98+$W$8*Q98+$W$9*R98+$W$10*S98+$W$11*T98</f>
        <v/>
      </c>
      <c r="AA98" s="10">
        <f>INDEX(LINEST(L39:L98,M39:T98,TRUE,TRUE),1,9)*12</f>
        <v/>
      </c>
      <c r="AB98" s="9">
        <f>INDEX(LINEST(L39:L98,M39:T98,TRUE,TRUE),1,8)</f>
        <v/>
      </c>
      <c r="AC98" s="9">
        <f>INDEX(LINEST(L39:L98,M39:T98,TRUE,TRUE),1,7)</f>
        <v/>
      </c>
      <c r="AD98" s="9">
        <f>INDEX(LINEST(L39:L98,M39:T98,TRUE,TRUE),1,6)</f>
        <v/>
      </c>
      <c r="AE98" s="9">
        <f>INDEX(LINEST(L39:L98,M39:T98,TRUE,TRUE),1,5)</f>
        <v/>
      </c>
      <c r="AF98" s="9">
        <f>INDEX(LINEST(L39:L98,M39:T98,TRUE,TRUE),1,4)</f>
        <v/>
      </c>
      <c r="AG98" s="9">
        <f>INDEX(LINEST(L39:L98,M39:T98,TRUE,TRUE),1,3)</f>
        <v/>
      </c>
      <c r="AH98" s="9">
        <f>INDEX(LINEST(L39:L98,M39:T98,TRUE,TRUE),1,2)</f>
        <v/>
      </c>
      <c r="AI98" s="9">
        <f>INDEX(LINEST(L39:L98,M39:T98,TRUE,TRUE),1,1)</f>
        <v/>
      </c>
      <c r="AJ98" s="10">
        <f>INDEX(LINEST(L39:L98,M39:T98,TRUE,TRUE),3,1)</f>
        <v/>
      </c>
      <c r="AK98" s="9">
        <f>AA97/12+AB97*M98+AC97*N98+AD97*O98+AE97*P98+AF97*Q98+AG97*R98+AH97*S98+AI97*T98</f>
        <v/>
      </c>
      <c r="AL98" s="9">
        <f>AVERAGE(L38:L97)</f>
        <v/>
      </c>
    </row>
    <row r="99">
      <c r="L99" s="9">
        <f>LN(B99/B98)</f>
        <v/>
      </c>
      <c r="M99" s="9">
        <f>$M$1*(C99-C98)</f>
        <v/>
      </c>
      <c r="N99" s="9">
        <f>$N$1*(D99-D98)</f>
        <v/>
      </c>
      <c r="O99" s="9">
        <f>$O$1*LN(E99/E98)</f>
        <v/>
      </c>
      <c r="P99" s="9">
        <f>$P$1*LN(F99/F98)</f>
        <v/>
      </c>
      <c r="Q99" s="9">
        <f>$Q$1*(G99-G98)</f>
        <v/>
      </c>
      <c r="R99" s="9">
        <f>$R$1*(H99-H98)</f>
        <v/>
      </c>
      <c r="S99" s="9">
        <f>$S$1*LN(I99/I98)</f>
        <v/>
      </c>
      <c r="T99" s="9">
        <f>$T$1*LN(J99/J98)</f>
        <v/>
      </c>
      <c r="U99" s="9">
        <f>$W$12+$W$4*M99+$W$5*N99+$W$6*O99+$W$7*P99+$W$8*Q99+$W$9*R99+$W$10*S99+$W$11*T99</f>
        <v/>
      </c>
      <c r="AA99" s="10">
        <f>INDEX(LINEST(L40:L99,M40:T99,TRUE,TRUE),1,9)*12</f>
        <v/>
      </c>
      <c r="AB99" s="9">
        <f>INDEX(LINEST(L40:L99,M40:T99,TRUE,TRUE),1,8)</f>
        <v/>
      </c>
      <c r="AC99" s="9">
        <f>INDEX(LINEST(L40:L99,M40:T99,TRUE,TRUE),1,7)</f>
        <v/>
      </c>
      <c r="AD99" s="9">
        <f>INDEX(LINEST(L40:L99,M40:T99,TRUE,TRUE),1,6)</f>
        <v/>
      </c>
      <c r="AE99" s="9">
        <f>INDEX(LINEST(L40:L99,M40:T99,TRUE,TRUE),1,5)</f>
        <v/>
      </c>
      <c r="AF99" s="9">
        <f>INDEX(LINEST(L40:L99,M40:T99,TRUE,TRUE),1,4)</f>
        <v/>
      </c>
      <c r="AG99" s="9">
        <f>INDEX(LINEST(L40:L99,M40:T99,TRUE,TRUE),1,3)</f>
        <v/>
      </c>
      <c r="AH99" s="9">
        <f>INDEX(LINEST(L40:L99,M40:T99,TRUE,TRUE),1,2)</f>
        <v/>
      </c>
      <c r="AI99" s="9">
        <f>INDEX(LINEST(L40:L99,M40:T99,TRUE,TRUE),1,1)</f>
        <v/>
      </c>
      <c r="AJ99" s="10">
        <f>INDEX(LINEST(L40:L99,M40:T99,TRUE,TRUE),3,1)</f>
        <v/>
      </c>
      <c r="AK99" s="9">
        <f>AA98/12+AB98*M99+AC98*N99+AD98*O99+AE98*P99+AF98*Q99+AG98*R99+AH98*S99+AI98*T99</f>
        <v/>
      </c>
      <c r="AL99" s="9">
        <f>AVERAGE(L39:L98)</f>
        <v/>
      </c>
    </row>
    <row r="100">
      <c r="L100" s="9">
        <f>LN(B100/B99)</f>
        <v/>
      </c>
      <c r="M100" s="9">
        <f>$M$1*(C100-C99)</f>
        <v/>
      </c>
      <c r="N100" s="9">
        <f>$N$1*(D100-D99)</f>
        <v/>
      </c>
      <c r="O100" s="9">
        <f>$O$1*LN(E100/E99)</f>
        <v/>
      </c>
      <c r="P100" s="9">
        <f>$P$1*LN(F100/F99)</f>
        <v/>
      </c>
      <c r="Q100" s="9">
        <f>$Q$1*(G100-G99)</f>
        <v/>
      </c>
      <c r="R100" s="9">
        <f>$R$1*(H100-H99)</f>
        <v/>
      </c>
      <c r="S100" s="9">
        <f>$S$1*LN(I100/I99)</f>
        <v/>
      </c>
      <c r="T100" s="9">
        <f>$T$1*LN(J100/J99)</f>
        <v/>
      </c>
      <c r="U100" s="9">
        <f>$W$12+$W$4*M100+$W$5*N100+$W$6*O100+$W$7*P100+$W$8*Q100+$W$9*R100+$W$10*S100+$W$11*T100</f>
        <v/>
      </c>
      <c r="AA100" s="10">
        <f>INDEX(LINEST(L41:L100,M41:T100,TRUE,TRUE),1,9)*12</f>
        <v/>
      </c>
      <c r="AB100" s="9">
        <f>INDEX(LINEST(L41:L100,M41:T100,TRUE,TRUE),1,8)</f>
        <v/>
      </c>
      <c r="AC100" s="9">
        <f>INDEX(LINEST(L41:L100,M41:T100,TRUE,TRUE),1,7)</f>
        <v/>
      </c>
      <c r="AD100" s="9">
        <f>INDEX(LINEST(L41:L100,M41:T100,TRUE,TRUE),1,6)</f>
        <v/>
      </c>
      <c r="AE100" s="9">
        <f>INDEX(LINEST(L41:L100,M41:T100,TRUE,TRUE),1,5)</f>
        <v/>
      </c>
      <c r="AF100" s="9">
        <f>INDEX(LINEST(L41:L100,M41:T100,TRUE,TRUE),1,4)</f>
        <v/>
      </c>
      <c r="AG100" s="9">
        <f>INDEX(LINEST(L41:L100,M41:T100,TRUE,TRUE),1,3)</f>
        <v/>
      </c>
      <c r="AH100" s="9">
        <f>INDEX(LINEST(L41:L100,M41:T100,TRUE,TRUE),1,2)</f>
        <v/>
      </c>
      <c r="AI100" s="9">
        <f>INDEX(LINEST(L41:L100,M41:T100,TRUE,TRUE),1,1)</f>
        <v/>
      </c>
      <c r="AJ100" s="10">
        <f>INDEX(LINEST(L41:L100,M41:T100,TRUE,TRUE),3,1)</f>
        <v/>
      </c>
      <c r="AK100" s="9">
        <f>AA99/12+AB99*M100+AC99*N100+AD99*O100+AE99*P100+AF99*Q100+AG99*R100+AH99*S100+AI99*T100</f>
        <v/>
      </c>
      <c r="AL100" s="9">
        <f>AVERAGE(L40:L99)</f>
        <v/>
      </c>
    </row>
    <row r="101">
      <c r="L101" s="9">
        <f>LN(B101/B100)</f>
        <v/>
      </c>
      <c r="M101" s="9">
        <f>$M$1*(C101-C100)</f>
        <v/>
      </c>
      <c r="N101" s="9">
        <f>$N$1*(D101-D100)</f>
        <v/>
      </c>
      <c r="O101" s="9">
        <f>$O$1*LN(E101/E100)</f>
        <v/>
      </c>
      <c r="P101" s="9">
        <f>$P$1*LN(F101/F100)</f>
        <v/>
      </c>
      <c r="Q101" s="9">
        <f>$Q$1*(G101-G100)</f>
        <v/>
      </c>
      <c r="R101" s="9">
        <f>$R$1*(H101-H100)</f>
        <v/>
      </c>
      <c r="S101" s="9">
        <f>$S$1*LN(I101/I100)</f>
        <v/>
      </c>
      <c r="T101" s="9">
        <f>$T$1*LN(J101/J100)</f>
        <v/>
      </c>
      <c r="U101" s="9">
        <f>$W$12+$W$4*M101+$W$5*N101+$W$6*O101+$W$7*P101+$W$8*Q101+$W$9*R101+$W$10*S101+$W$11*T101</f>
        <v/>
      </c>
      <c r="AA101" s="10">
        <f>INDEX(LINEST(L42:L101,M42:T101,TRUE,TRUE),1,9)*12</f>
        <v/>
      </c>
      <c r="AB101" s="9">
        <f>INDEX(LINEST(L42:L101,M42:T101,TRUE,TRUE),1,8)</f>
        <v/>
      </c>
      <c r="AC101" s="9">
        <f>INDEX(LINEST(L42:L101,M42:T101,TRUE,TRUE),1,7)</f>
        <v/>
      </c>
      <c r="AD101" s="9">
        <f>INDEX(LINEST(L42:L101,M42:T101,TRUE,TRUE),1,6)</f>
        <v/>
      </c>
      <c r="AE101" s="9">
        <f>INDEX(LINEST(L42:L101,M42:T101,TRUE,TRUE),1,5)</f>
        <v/>
      </c>
      <c r="AF101" s="9">
        <f>INDEX(LINEST(L42:L101,M42:T101,TRUE,TRUE),1,4)</f>
        <v/>
      </c>
      <c r="AG101" s="9">
        <f>INDEX(LINEST(L42:L101,M42:T101,TRUE,TRUE),1,3)</f>
        <v/>
      </c>
      <c r="AH101" s="9">
        <f>INDEX(LINEST(L42:L101,M42:T101,TRUE,TRUE),1,2)</f>
        <v/>
      </c>
      <c r="AI101" s="9">
        <f>INDEX(LINEST(L42:L101,M42:T101,TRUE,TRUE),1,1)</f>
        <v/>
      </c>
      <c r="AJ101" s="10">
        <f>INDEX(LINEST(L42:L101,M42:T101,TRUE,TRUE),3,1)</f>
        <v/>
      </c>
      <c r="AK101" s="9">
        <f>AA100/12+AB100*M101+AC100*N101+AD100*O101+AE100*P101+AF100*Q101+AG100*R101+AH100*S101+AI100*T101</f>
        <v/>
      </c>
      <c r="AL101" s="9">
        <f>AVERAGE(L41:L100)</f>
        <v/>
      </c>
    </row>
    <row r="102">
      <c r="L102" s="9">
        <f>LN(B102/B101)</f>
        <v/>
      </c>
      <c r="M102" s="9">
        <f>$M$1*(C102-C101)</f>
        <v/>
      </c>
      <c r="N102" s="9">
        <f>$N$1*(D102-D101)</f>
        <v/>
      </c>
      <c r="O102" s="9">
        <f>$O$1*LN(E102/E101)</f>
        <v/>
      </c>
      <c r="P102" s="9">
        <f>$P$1*LN(F102/F101)</f>
        <v/>
      </c>
      <c r="Q102" s="9">
        <f>$Q$1*(G102-G101)</f>
        <v/>
      </c>
      <c r="R102" s="9">
        <f>$R$1*(H102-H101)</f>
        <v/>
      </c>
      <c r="S102" s="9">
        <f>$S$1*LN(I102/I101)</f>
        <v/>
      </c>
      <c r="T102" s="9">
        <f>$T$1*LN(J102/J101)</f>
        <v/>
      </c>
      <c r="U102" s="9">
        <f>$W$12+$W$4*M102+$W$5*N102+$W$6*O102+$W$7*P102+$W$8*Q102+$W$9*R102+$W$10*S102+$W$11*T102</f>
        <v/>
      </c>
      <c r="AA102" s="10">
        <f>INDEX(LINEST(L43:L102,M43:T102,TRUE,TRUE),1,9)*12</f>
        <v/>
      </c>
      <c r="AB102" s="9">
        <f>INDEX(LINEST(L43:L102,M43:T102,TRUE,TRUE),1,8)</f>
        <v/>
      </c>
      <c r="AC102" s="9">
        <f>INDEX(LINEST(L43:L102,M43:T102,TRUE,TRUE),1,7)</f>
        <v/>
      </c>
      <c r="AD102" s="9">
        <f>INDEX(LINEST(L43:L102,M43:T102,TRUE,TRUE),1,6)</f>
        <v/>
      </c>
      <c r="AE102" s="9">
        <f>INDEX(LINEST(L43:L102,M43:T102,TRUE,TRUE),1,5)</f>
        <v/>
      </c>
      <c r="AF102" s="9">
        <f>INDEX(LINEST(L43:L102,M43:T102,TRUE,TRUE),1,4)</f>
        <v/>
      </c>
      <c r="AG102" s="9">
        <f>INDEX(LINEST(L43:L102,M43:T102,TRUE,TRUE),1,3)</f>
        <v/>
      </c>
      <c r="AH102" s="9">
        <f>INDEX(LINEST(L43:L102,M43:T102,TRUE,TRUE),1,2)</f>
        <v/>
      </c>
      <c r="AI102" s="9">
        <f>INDEX(LINEST(L43:L102,M43:T102,TRUE,TRUE),1,1)</f>
        <v/>
      </c>
      <c r="AJ102" s="10">
        <f>INDEX(LINEST(L43:L102,M43:T102,TRUE,TRUE),3,1)</f>
        <v/>
      </c>
      <c r="AK102" s="9">
        <f>AA101/12+AB101*M102+AC101*N102+AD101*O102+AE101*P102+AF101*Q102+AG101*R102+AH101*S102+AI101*T102</f>
        <v/>
      </c>
      <c r="AL102" s="9">
        <f>AVERAGE(L42:L101)</f>
        <v/>
      </c>
    </row>
    <row r="103">
      <c r="L103" s="9">
        <f>LN(B103/B102)</f>
        <v/>
      </c>
      <c r="M103" s="9">
        <f>$M$1*(C103-C102)</f>
        <v/>
      </c>
      <c r="N103" s="9">
        <f>$N$1*(D103-D102)</f>
        <v/>
      </c>
      <c r="O103" s="9">
        <f>$O$1*LN(E103/E102)</f>
        <v/>
      </c>
      <c r="P103" s="9">
        <f>$P$1*LN(F103/F102)</f>
        <v/>
      </c>
      <c r="Q103" s="9">
        <f>$Q$1*(G103-G102)</f>
        <v/>
      </c>
      <c r="R103" s="9">
        <f>$R$1*(H103-H102)</f>
        <v/>
      </c>
      <c r="S103" s="9">
        <f>$S$1*LN(I103/I102)</f>
        <v/>
      </c>
      <c r="T103" s="9">
        <f>$T$1*LN(J103/J102)</f>
        <v/>
      </c>
      <c r="U103" s="9">
        <f>$W$12+$W$4*M103+$W$5*N103+$W$6*O103+$W$7*P103+$W$8*Q103+$W$9*R103+$W$10*S103+$W$11*T103</f>
        <v/>
      </c>
      <c r="AA103" s="10">
        <f>INDEX(LINEST(L44:L103,M44:T103,TRUE,TRUE),1,9)*12</f>
        <v/>
      </c>
      <c r="AB103" s="9">
        <f>INDEX(LINEST(L44:L103,M44:T103,TRUE,TRUE),1,8)</f>
        <v/>
      </c>
      <c r="AC103" s="9">
        <f>INDEX(LINEST(L44:L103,M44:T103,TRUE,TRUE),1,7)</f>
        <v/>
      </c>
      <c r="AD103" s="9">
        <f>INDEX(LINEST(L44:L103,M44:T103,TRUE,TRUE),1,6)</f>
        <v/>
      </c>
      <c r="AE103" s="9">
        <f>INDEX(LINEST(L44:L103,M44:T103,TRUE,TRUE),1,5)</f>
        <v/>
      </c>
      <c r="AF103" s="9">
        <f>INDEX(LINEST(L44:L103,M44:T103,TRUE,TRUE),1,4)</f>
        <v/>
      </c>
      <c r="AG103" s="9">
        <f>INDEX(LINEST(L44:L103,M44:T103,TRUE,TRUE),1,3)</f>
        <v/>
      </c>
      <c r="AH103" s="9">
        <f>INDEX(LINEST(L44:L103,M44:T103,TRUE,TRUE),1,2)</f>
        <v/>
      </c>
      <c r="AI103" s="9">
        <f>INDEX(LINEST(L44:L103,M44:T103,TRUE,TRUE),1,1)</f>
        <v/>
      </c>
      <c r="AJ103" s="10">
        <f>INDEX(LINEST(L44:L103,M44:T103,TRUE,TRUE),3,1)</f>
        <v/>
      </c>
      <c r="AK103" s="9">
        <f>AA102/12+AB102*M103+AC102*N103+AD102*O103+AE102*P103+AF102*Q103+AG102*R103+AH102*S103+AI102*T103</f>
        <v/>
      </c>
      <c r="AL103" s="9">
        <f>AVERAGE(L43:L102)</f>
        <v/>
      </c>
    </row>
    <row r="104">
      <c r="L104" s="9">
        <f>LN(B104/B103)</f>
        <v/>
      </c>
      <c r="M104" s="9">
        <f>$M$1*(C104-C103)</f>
        <v/>
      </c>
      <c r="N104" s="9">
        <f>$N$1*(D104-D103)</f>
        <v/>
      </c>
      <c r="O104" s="9">
        <f>$O$1*LN(E104/E103)</f>
        <v/>
      </c>
      <c r="P104" s="9">
        <f>$P$1*LN(F104/F103)</f>
        <v/>
      </c>
      <c r="Q104" s="9">
        <f>$Q$1*(G104-G103)</f>
        <v/>
      </c>
      <c r="R104" s="9">
        <f>$R$1*(H104-H103)</f>
        <v/>
      </c>
      <c r="S104" s="9">
        <f>$S$1*LN(I104/I103)</f>
        <v/>
      </c>
      <c r="T104" s="9">
        <f>$T$1*LN(J104/J103)</f>
        <v/>
      </c>
      <c r="U104" s="9">
        <f>$W$12+$W$4*M104+$W$5*N104+$W$6*O104+$W$7*P104+$W$8*Q104+$W$9*R104+$W$10*S104+$W$11*T104</f>
        <v/>
      </c>
      <c r="AA104" s="10">
        <f>INDEX(LINEST(L45:L104,M45:T104,TRUE,TRUE),1,9)*12</f>
        <v/>
      </c>
      <c r="AB104" s="9">
        <f>INDEX(LINEST(L45:L104,M45:T104,TRUE,TRUE),1,8)</f>
        <v/>
      </c>
      <c r="AC104" s="9">
        <f>INDEX(LINEST(L45:L104,M45:T104,TRUE,TRUE),1,7)</f>
        <v/>
      </c>
      <c r="AD104" s="9">
        <f>INDEX(LINEST(L45:L104,M45:T104,TRUE,TRUE),1,6)</f>
        <v/>
      </c>
      <c r="AE104" s="9">
        <f>INDEX(LINEST(L45:L104,M45:T104,TRUE,TRUE),1,5)</f>
        <v/>
      </c>
      <c r="AF104" s="9">
        <f>INDEX(LINEST(L45:L104,M45:T104,TRUE,TRUE),1,4)</f>
        <v/>
      </c>
      <c r="AG104" s="9">
        <f>INDEX(LINEST(L45:L104,M45:T104,TRUE,TRUE),1,3)</f>
        <v/>
      </c>
      <c r="AH104" s="9">
        <f>INDEX(LINEST(L45:L104,M45:T104,TRUE,TRUE),1,2)</f>
        <v/>
      </c>
      <c r="AI104" s="9">
        <f>INDEX(LINEST(L45:L104,M45:T104,TRUE,TRUE),1,1)</f>
        <v/>
      </c>
      <c r="AJ104" s="10">
        <f>INDEX(LINEST(L45:L104,M45:T104,TRUE,TRUE),3,1)</f>
        <v/>
      </c>
      <c r="AK104" s="9">
        <f>AA103/12+AB103*M104+AC103*N104+AD103*O104+AE103*P104+AF103*Q104+AG103*R104+AH103*S104+AI103*T104</f>
        <v/>
      </c>
      <c r="AL104" s="9">
        <f>AVERAGE(L44:L103)</f>
        <v/>
      </c>
    </row>
    <row r="105">
      <c r="L105" s="9">
        <f>LN(B105/B104)</f>
        <v/>
      </c>
      <c r="M105" s="9">
        <f>$M$1*(C105-C104)</f>
        <v/>
      </c>
      <c r="N105" s="9">
        <f>$N$1*(D105-D104)</f>
        <v/>
      </c>
      <c r="O105" s="9">
        <f>$O$1*LN(E105/E104)</f>
        <v/>
      </c>
      <c r="P105" s="9">
        <f>$P$1*LN(F105/F104)</f>
        <v/>
      </c>
      <c r="Q105" s="9">
        <f>$Q$1*(G105-G104)</f>
        <v/>
      </c>
      <c r="R105" s="9">
        <f>$R$1*(H105-H104)</f>
        <v/>
      </c>
      <c r="S105" s="9">
        <f>$S$1*LN(I105/I104)</f>
        <v/>
      </c>
      <c r="T105" s="9">
        <f>$T$1*LN(J105/J104)</f>
        <v/>
      </c>
      <c r="U105" s="9">
        <f>$W$12+$W$4*M105+$W$5*N105+$W$6*O105+$W$7*P105+$W$8*Q105+$W$9*R105+$W$10*S105+$W$11*T105</f>
        <v/>
      </c>
      <c r="AA105" s="10">
        <f>INDEX(LINEST(L46:L105,M46:T105,TRUE,TRUE),1,9)*12</f>
        <v/>
      </c>
      <c r="AB105" s="9">
        <f>INDEX(LINEST(L46:L105,M46:T105,TRUE,TRUE),1,8)</f>
        <v/>
      </c>
      <c r="AC105" s="9">
        <f>INDEX(LINEST(L46:L105,M46:T105,TRUE,TRUE),1,7)</f>
        <v/>
      </c>
      <c r="AD105" s="9">
        <f>INDEX(LINEST(L46:L105,M46:T105,TRUE,TRUE),1,6)</f>
        <v/>
      </c>
      <c r="AE105" s="9">
        <f>INDEX(LINEST(L46:L105,M46:T105,TRUE,TRUE),1,5)</f>
        <v/>
      </c>
      <c r="AF105" s="9">
        <f>INDEX(LINEST(L46:L105,M46:T105,TRUE,TRUE),1,4)</f>
        <v/>
      </c>
      <c r="AG105" s="9">
        <f>INDEX(LINEST(L46:L105,M46:T105,TRUE,TRUE),1,3)</f>
        <v/>
      </c>
      <c r="AH105" s="9">
        <f>INDEX(LINEST(L46:L105,M46:T105,TRUE,TRUE),1,2)</f>
        <v/>
      </c>
      <c r="AI105" s="9">
        <f>INDEX(LINEST(L46:L105,M46:T105,TRUE,TRUE),1,1)</f>
        <v/>
      </c>
      <c r="AJ105" s="10">
        <f>INDEX(LINEST(L46:L105,M46:T105,TRUE,TRUE),3,1)</f>
        <v/>
      </c>
      <c r="AK105" s="9">
        <f>AA104/12+AB104*M105+AC104*N105+AD104*O105+AE104*P105+AF104*Q105+AG104*R105+AH104*S105+AI104*T105</f>
        <v/>
      </c>
      <c r="AL105" s="9">
        <f>AVERAGE(L45:L104)</f>
        <v/>
      </c>
    </row>
    <row r="106">
      <c r="L106" s="9">
        <f>LN(B106/B105)</f>
        <v/>
      </c>
      <c r="M106" s="9">
        <f>$M$1*(C106-C105)</f>
        <v/>
      </c>
      <c r="N106" s="9">
        <f>$N$1*(D106-D105)</f>
        <v/>
      </c>
      <c r="O106" s="9">
        <f>$O$1*LN(E106/E105)</f>
        <v/>
      </c>
      <c r="P106" s="9">
        <f>$P$1*LN(F106/F105)</f>
        <v/>
      </c>
      <c r="Q106" s="9">
        <f>$Q$1*(G106-G105)</f>
        <v/>
      </c>
      <c r="R106" s="9">
        <f>$R$1*(H106-H105)</f>
        <v/>
      </c>
      <c r="S106" s="9">
        <f>$S$1*LN(I106/I105)</f>
        <v/>
      </c>
      <c r="T106" s="9">
        <f>$T$1*LN(J106/J105)</f>
        <v/>
      </c>
      <c r="U106" s="9">
        <f>$W$12+$W$4*M106+$W$5*N106+$W$6*O106+$W$7*P106+$W$8*Q106+$W$9*R106+$W$10*S106+$W$11*T106</f>
        <v/>
      </c>
      <c r="AA106" s="10">
        <f>INDEX(LINEST(L47:L106,M47:T106,TRUE,TRUE),1,9)*12</f>
        <v/>
      </c>
      <c r="AB106" s="9">
        <f>INDEX(LINEST(L47:L106,M47:T106,TRUE,TRUE),1,8)</f>
        <v/>
      </c>
      <c r="AC106" s="9">
        <f>INDEX(LINEST(L47:L106,M47:T106,TRUE,TRUE),1,7)</f>
        <v/>
      </c>
      <c r="AD106" s="9">
        <f>INDEX(LINEST(L47:L106,M47:T106,TRUE,TRUE),1,6)</f>
        <v/>
      </c>
      <c r="AE106" s="9">
        <f>INDEX(LINEST(L47:L106,M47:T106,TRUE,TRUE),1,5)</f>
        <v/>
      </c>
      <c r="AF106" s="9">
        <f>INDEX(LINEST(L47:L106,M47:T106,TRUE,TRUE),1,4)</f>
        <v/>
      </c>
      <c r="AG106" s="9">
        <f>INDEX(LINEST(L47:L106,M47:T106,TRUE,TRUE),1,3)</f>
        <v/>
      </c>
      <c r="AH106" s="9">
        <f>INDEX(LINEST(L47:L106,M47:T106,TRUE,TRUE),1,2)</f>
        <v/>
      </c>
      <c r="AI106" s="9">
        <f>INDEX(LINEST(L47:L106,M47:T106,TRUE,TRUE),1,1)</f>
        <v/>
      </c>
      <c r="AJ106" s="10">
        <f>INDEX(LINEST(L47:L106,M47:T106,TRUE,TRUE),3,1)</f>
        <v/>
      </c>
      <c r="AK106" s="9">
        <f>AA105/12+AB105*M106+AC105*N106+AD105*O106+AE105*P106+AF105*Q106+AG105*R106+AH105*S106+AI105*T106</f>
        <v/>
      </c>
      <c r="AL106" s="9">
        <f>AVERAGE(L46:L105)</f>
        <v/>
      </c>
    </row>
    <row r="107">
      <c r="L107" s="9">
        <f>LN(B107/B106)</f>
        <v/>
      </c>
      <c r="M107" s="9">
        <f>$M$1*(C107-C106)</f>
        <v/>
      </c>
      <c r="N107" s="9">
        <f>$N$1*(D107-D106)</f>
        <v/>
      </c>
      <c r="O107" s="9">
        <f>$O$1*LN(E107/E106)</f>
        <v/>
      </c>
      <c r="P107" s="9">
        <f>$P$1*LN(F107/F106)</f>
        <v/>
      </c>
      <c r="Q107" s="9">
        <f>$Q$1*(G107-G106)</f>
        <v/>
      </c>
      <c r="R107" s="9">
        <f>$R$1*(H107-H106)</f>
        <v/>
      </c>
      <c r="S107" s="9">
        <f>$S$1*LN(I107/I106)</f>
        <v/>
      </c>
      <c r="T107" s="9">
        <f>$T$1*LN(J107/J106)</f>
        <v/>
      </c>
      <c r="U107" s="9">
        <f>$W$12+$W$4*M107+$W$5*N107+$W$6*O107+$W$7*P107+$W$8*Q107+$W$9*R107+$W$10*S107+$W$11*T107</f>
        <v/>
      </c>
      <c r="AA107" s="10">
        <f>INDEX(LINEST(L48:L107,M48:T107,TRUE,TRUE),1,9)*12</f>
        <v/>
      </c>
      <c r="AB107" s="9">
        <f>INDEX(LINEST(L48:L107,M48:T107,TRUE,TRUE),1,8)</f>
        <v/>
      </c>
      <c r="AC107" s="9">
        <f>INDEX(LINEST(L48:L107,M48:T107,TRUE,TRUE),1,7)</f>
        <v/>
      </c>
      <c r="AD107" s="9">
        <f>INDEX(LINEST(L48:L107,M48:T107,TRUE,TRUE),1,6)</f>
        <v/>
      </c>
      <c r="AE107" s="9">
        <f>INDEX(LINEST(L48:L107,M48:T107,TRUE,TRUE),1,5)</f>
        <v/>
      </c>
      <c r="AF107" s="9">
        <f>INDEX(LINEST(L48:L107,M48:T107,TRUE,TRUE),1,4)</f>
        <v/>
      </c>
      <c r="AG107" s="9">
        <f>INDEX(LINEST(L48:L107,M48:T107,TRUE,TRUE),1,3)</f>
        <v/>
      </c>
      <c r="AH107" s="9">
        <f>INDEX(LINEST(L48:L107,M48:T107,TRUE,TRUE),1,2)</f>
        <v/>
      </c>
      <c r="AI107" s="9">
        <f>INDEX(LINEST(L48:L107,M48:T107,TRUE,TRUE),1,1)</f>
        <v/>
      </c>
      <c r="AJ107" s="10">
        <f>INDEX(LINEST(L48:L107,M48:T107,TRUE,TRUE),3,1)</f>
        <v/>
      </c>
      <c r="AK107" s="9">
        <f>AA106/12+AB106*M107+AC106*N107+AD106*O107+AE106*P107+AF106*Q107+AG106*R107+AH106*S107+AI106*T107</f>
        <v/>
      </c>
      <c r="AL107" s="9">
        <f>AVERAGE(L47:L106)</f>
        <v/>
      </c>
    </row>
    <row r="108">
      <c r="L108" s="9">
        <f>LN(B108/B107)</f>
        <v/>
      </c>
      <c r="M108" s="9">
        <f>$M$1*(C108-C107)</f>
        <v/>
      </c>
      <c r="N108" s="9">
        <f>$N$1*(D108-D107)</f>
        <v/>
      </c>
      <c r="O108" s="9">
        <f>$O$1*LN(E108/E107)</f>
        <v/>
      </c>
      <c r="P108" s="9">
        <f>$P$1*LN(F108/F107)</f>
        <v/>
      </c>
      <c r="Q108" s="9">
        <f>$Q$1*(G108-G107)</f>
        <v/>
      </c>
      <c r="R108" s="9">
        <f>$R$1*(H108-H107)</f>
        <v/>
      </c>
      <c r="S108" s="9">
        <f>$S$1*LN(I108/I107)</f>
        <v/>
      </c>
      <c r="T108" s="9">
        <f>$T$1*LN(J108/J107)</f>
        <v/>
      </c>
      <c r="U108" s="9">
        <f>$W$12+$W$4*M108+$W$5*N108+$W$6*O108+$W$7*P108+$W$8*Q108+$W$9*R108+$W$10*S108+$W$11*T108</f>
        <v/>
      </c>
      <c r="AA108" s="10">
        <f>INDEX(LINEST(L49:L108,M49:T108,TRUE,TRUE),1,9)*12</f>
        <v/>
      </c>
      <c r="AB108" s="9">
        <f>INDEX(LINEST(L49:L108,M49:T108,TRUE,TRUE),1,8)</f>
        <v/>
      </c>
      <c r="AC108" s="9">
        <f>INDEX(LINEST(L49:L108,M49:T108,TRUE,TRUE),1,7)</f>
        <v/>
      </c>
      <c r="AD108" s="9">
        <f>INDEX(LINEST(L49:L108,M49:T108,TRUE,TRUE),1,6)</f>
        <v/>
      </c>
      <c r="AE108" s="9">
        <f>INDEX(LINEST(L49:L108,M49:T108,TRUE,TRUE),1,5)</f>
        <v/>
      </c>
      <c r="AF108" s="9">
        <f>INDEX(LINEST(L49:L108,M49:T108,TRUE,TRUE),1,4)</f>
        <v/>
      </c>
      <c r="AG108" s="9">
        <f>INDEX(LINEST(L49:L108,M49:T108,TRUE,TRUE),1,3)</f>
        <v/>
      </c>
      <c r="AH108" s="9">
        <f>INDEX(LINEST(L49:L108,M49:T108,TRUE,TRUE),1,2)</f>
        <v/>
      </c>
      <c r="AI108" s="9">
        <f>INDEX(LINEST(L49:L108,M49:T108,TRUE,TRUE),1,1)</f>
        <v/>
      </c>
      <c r="AJ108" s="10">
        <f>INDEX(LINEST(L49:L108,M49:T108,TRUE,TRUE),3,1)</f>
        <v/>
      </c>
      <c r="AK108" s="9">
        <f>AA107/12+AB107*M108+AC107*N108+AD107*O108+AE107*P108+AF107*Q108+AG107*R108+AH107*S108+AI107*T108</f>
        <v/>
      </c>
      <c r="AL108" s="9">
        <f>AVERAGE(L48:L107)</f>
        <v/>
      </c>
    </row>
    <row r="109">
      <c r="L109" s="9">
        <f>LN(B109/B108)</f>
        <v/>
      </c>
      <c r="M109" s="9">
        <f>$M$1*(C109-C108)</f>
        <v/>
      </c>
      <c r="N109" s="9">
        <f>$N$1*(D109-D108)</f>
        <v/>
      </c>
      <c r="O109" s="9">
        <f>$O$1*LN(E109/E108)</f>
        <v/>
      </c>
      <c r="P109" s="9">
        <f>$P$1*LN(F109/F108)</f>
        <v/>
      </c>
      <c r="Q109" s="9">
        <f>$Q$1*(G109-G108)</f>
        <v/>
      </c>
      <c r="R109" s="9">
        <f>$R$1*(H109-H108)</f>
        <v/>
      </c>
      <c r="S109" s="9">
        <f>$S$1*LN(I109/I108)</f>
        <v/>
      </c>
      <c r="T109" s="9">
        <f>$T$1*LN(J109/J108)</f>
        <v/>
      </c>
      <c r="U109" s="9">
        <f>$W$12+$W$4*M109+$W$5*N109+$W$6*O109+$W$7*P109+$W$8*Q109+$W$9*R109+$W$10*S109+$W$11*T109</f>
        <v/>
      </c>
      <c r="AA109" s="10">
        <f>INDEX(LINEST(L50:L109,M50:T109,TRUE,TRUE),1,9)*12</f>
        <v/>
      </c>
      <c r="AB109" s="9">
        <f>INDEX(LINEST(L50:L109,M50:T109,TRUE,TRUE),1,8)</f>
        <v/>
      </c>
      <c r="AC109" s="9">
        <f>INDEX(LINEST(L50:L109,M50:T109,TRUE,TRUE),1,7)</f>
        <v/>
      </c>
      <c r="AD109" s="9">
        <f>INDEX(LINEST(L50:L109,M50:T109,TRUE,TRUE),1,6)</f>
        <v/>
      </c>
      <c r="AE109" s="9">
        <f>INDEX(LINEST(L50:L109,M50:T109,TRUE,TRUE),1,5)</f>
        <v/>
      </c>
      <c r="AF109" s="9">
        <f>INDEX(LINEST(L50:L109,M50:T109,TRUE,TRUE),1,4)</f>
        <v/>
      </c>
      <c r="AG109" s="9">
        <f>INDEX(LINEST(L50:L109,M50:T109,TRUE,TRUE),1,3)</f>
        <v/>
      </c>
      <c r="AH109" s="9">
        <f>INDEX(LINEST(L50:L109,M50:T109,TRUE,TRUE),1,2)</f>
        <v/>
      </c>
      <c r="AI109" s="9">
        <f>INDEX(LINEST(L50:L109,M50:T109,TRUE,TRUE),1,1)</f>
        <v/>
      </c>
      <c r="AJ109" s="10">
        <f>INDEX(LINEST(L50:L109,M50:T109,TRUE,TRUE),3,1)</f>
        <v/>
      </c>
      <c r="AK109" s="9">
        <f>AA108/12+AB108*M109+AC108*N109+AD108*O109+AE108*P109+AF108*Q109+AG108*R109+AH108*S109+AI108*T109</f>
        <v/>
      </c>
      <c r="AL109" s="9">
        <f>AVERAGE(L49:L108)</f>
        <v/>
      </c>
    </row>
    <row r="110">
      <c r="L110" s="9">
        <f>LN(B110/B109)</f>
        <v/>
      </c>
      <c r="M110" s="9">
        <f>$M$1*(C110-C109)</f>
        <v/>
      </c>
      <c r="N110" s="9">
        <f>$N$1*(D110-D109)</f>
        <v/>
      </c>
      <c r="O110" s="9">
        <f>$O$1*LN(E110/E109)</f>
        <v/>
      </c>
      <c r="P110" s="9">
        <f>$P$1*LN(F110/F109)</f>
        <v/>
      </c>
      <c r="Q110" s="9">
        <f>$Q$1*(G110-G109)</f>
        <v/>
      </c>
      <c r="R110" s="9">
        <f>$R$1*(H110-H109)</f>
        <v/>
      </c>
      <c r="S110" s="9">
        <f>$S$1*LN(I110/I109)</f>
        <v/>
      </c>
      <c r="T110" s="9">
        <f>$T$1*LN(J110/J109)</f>
        <v/>
      </c>
      <c r="U110" s="9">
        <f>$W$12+$W$4*M110+$W$5*N110+$W$6*O110+$W$7*P110+$W$8*Q110+$W$9*R110+$W$10*S110+$W$11*T110</f>
        <v/>
      </c>
      <c r="AA110" s="10">
        <f>INDEX(LINEST(L51:L110,M51:T110,TRUE,TRUE),1,9)*12</f>
        <v/>
      </c>
      <c r="AB110" s="9">
        <f>INDEX(LINEST(L51:L110,M51:T110,TRUE,TRUE),1,8)</f>
        <v/>
      </c>
      <c r="AC110" s="9">
        <f>INDEX(LINEST(L51:L110,M51:T110,TRUE,TRUE),1,7)</f>
        <v/>
      </c>
      <c r="AD110" s="9">
        <f>INDEX(LINEST(L51:L110,M51:T110,TRUE,TRUE),1,6)</f>
        <v/>
      </c>
      <c r="AE110" s="9">
        <f>INDEX(LINEST(L51:L110,M51:T110,TRUE,TRUE),1,5)</f>
        <v/>
      </c>
      <c r="AF110" s="9">
        <f>INDEX(LINEST(L51:L110,M51:T110,TRUE,TRUE),1,4)</f>
        <v/>
      </c>
      <c r="AG110" s="9">
        <f>INDEX(LINEST(L51:L110,M51:T110,TRUE,TRUE),1,3)</f>
        <v/>
      </c>
      <c r="AH110" s="9">
        <f>INDEX(LINEST(L51:L110,M51:T110,TRUE,TRUE),1,2)</f>
        <v/>
      </c>
      <c r="AI110" s="9">
        <f>INDEX(LINEST(L51:L110,M51:T110,TRUE,TRUE),1,1)</f>
        <v/>
      </c>
      <c r="AJ110" s="10">
        <f>INDEX(LINEST(L51:L110,M51:T110,TRUE,TRUE),3,1)</f>
        <v/>
      </c>
      <c r="AK110" s="9">
        <f>AA109/12+AB109*M110+AC109*N110+AD109*O110+AE109*P110+AF109*Q110+AG109*R110+AH109*S110+AI109*T110</f>
        <v/>
      </c>
      <c r="AL110" s="9">
        <f>AVERAGE(L50:L109)</f>
        <v/>
      </c>
    </row>
    <row r="111">
      <c r="L111" s="9">
        <f>LN(B111/B110)</f>
        <v/>
      </c>
      <c r="M111" s="9">
        <f>$M$1*(C111-C110)</f>
        <v/>
      </c>
      <c r="N111" s="9">
        <f>$N$1*(D111-D110)</f>
        <v/>
      </c>
      <c r="O111" s="9">
        <f>$O$1*LN(E111/E110)</f>
        <v/>
      </c>
      <c r="P111" s="9">
        <f>$P$1*LN(F111/F110)</f>
        <v/>
      </c>
      <c r="Q111" s="9">
        <f>$Q$1*(G111-G110)</f>
        <v/>
      </c>
      <c r="R111" s="9">
        <f>$R$1*(H111-H110)</f>
        <v/>
      </c>
      <c r="S111" s="9">
        <f>$S$1*LN(I111/I110)</f>
        <v/>
      </c>
      <c r="T111" s="9">
        <f>$T$1*LN(J111/J110)</f>
        <v/>
      </c>
      <c r="U111" s="9">
        <f>$W$12+$W$4*M111+$W$5*N111+$W$6*O111+$W$7*P111+$W$8*Q111+$W$9*R111+$W$10*S111+$W$11*T111</f>
        <v/>
      </c>
      <c r="AA111" s="10">
        <f>INDEX(LINEST(L52:L111,M52:T111,TRUE,TRUE),1,9)*12</f>
        <v/>
      </c>
      <c r="AB111" s="9">
        <f>INDEX(LINEST(L52:L111,M52:T111,TRUE,TRUE),1,8)</f>
        <v/>
      </c>
      <c r="AC111" s="9">
        <f>INDEX(LINEST(L52:L111,M52:T111,TRUE,TRUE),1,7)</f>
        <v/>
      </c>
      <c r="AD111" s="9">
        <f>INDEX(LINEST(L52:L111,M52:T111,TRUE,TRUE),1,6)</f>
        <v/>
      </c>
      <c r="AE111" s="9">
        <f>INDEX(LINEST(L52:L111,M52:T111,TRUE,TRUE),1,5)</f>
        <v/>
      </c>
      <c r="AF111" s="9">
        <f>INDEX(LINEST(L52:L111,M52:T111,TRUE,TRUE),1,4)</f>
        <v/>
      </c>
      <c r="AG111" s="9">
        <f>INDEX(LINEST(L52:L111,M52:T111,TRUE,TRUE),1,3)</f>
        <v/>
      </c>
      <c r="AH111" s="9">
        <f>INDEX(LINEST(L52:L111,M52:T111,TRUE,TRUE),1,2)</f>
        <v/>
      </c>
      <c r="AI111" s="9">
        <f>INDEX(LINEST(L52:L111,M52:T111,TRUE,TRUE),1,1)</f>
        <v/>
      </c>
      <c r="AJ111" s="10">
        <f>INDEX(LINEST(L52:L111,M52:T111,TRUE,TRUE),3,1)</f>
        <v/>
      </c>
      <c r="AK111" s="9">
        <f>AA110/12+AB110*M111+AC110*N111+AD110*O111+AE110*P111+AF110*Q111+AG110*R111+AH110*S111+AI110*T111</f>
        <v/>
      </c>
      <c r="AL111" s="9">
        <f>AVERAGE(L51:L110)</f>
        <v/>
      </c>
    </row>
    <row r="112">
      <c r="L112" s="9">
        <f>LN(B112/B111)</f>
        <v/>
      </c>
      <c r="M112" s="9">
        <f>$M$1*(C112-C111)</f>
        <v/>
      </c>
      <c r="N112" s="9">
        <f>$N$1*(D112-D111)</f>
        <v/>
      </c>
      <c r="O112" s="9">
        <f>$O$1*LN(E112/E111)</f>
        <v/>
      </c>
      <c r="P112" s="9">
        <f>$P$1*LN(F112/F111)</f>
        <v/>
      </c>
      <c r="Q112" s="9">
        <f>$Q$1*(G112-G111)</f>
        <v/>
      </c>
      <c r="R112" s="9">
        <f>$R$1*(H112-H111)</f>
        <v/>
      </c>
      <c r="S112" s="9">
        <f>$S$1*LN(I112/I111)</f>
        <v/>
      </c>
      <c r="T112" s="9">
        <f>$T$1*LN(J112/J111)</f>
        <v/>
      </c>
      <c r="U112" s="9">
        <f>$W$12+$W$4*M112+$W$5*N112+$W$6*O112+$W$7*P112+$W$8*Q112+$W$9*R112+$W$10*S112+$W$11*T112</f>
        <v/>
      </c>
      <c r="AA112" s="10">
        <f>INDEX(LINEST(L53:L112,M53:T112,TRUE,TRUE),1,9)*12</f>
        <v/>
      </c>
      <c r="AB112" s="9">
        <f>INDEX(LINEST(L53:L112,M53:T112,TRUE,TRUE),1,8)</f>
        <v/>
      </c>
      <c r="AC112" s="9">
        <f>INDEX(LINEST(L53:L112,M53:T112,TRUE,TRUE),1,7)</f>
        <v/>
      </c>
      <c r="AD112" s="9">
        <f>INDEX(LINEST(L53:L112,M53:T112,TRUE,TRUE),1,6)</f>
        <v/>
      </c>
      <c r="AE112" s="9">
        <f>INDEX(LINEST(L53:L112,M53:T112,TRUE,TRUE),1,5)</f>
        <v/>
      </c>
      <c r="AF112" s="9">
        <f>INDEX(LINEST(L53:L112,M53:T112,TRUE,TRUE),1,4)</f>
        <v/>
      </c>
      <c r="AG112" s="9">
        <f>INDEX(LINEST(L53:L112,M53:T112,TRUE,TRUE),1,3)</f>
        <v/>
      </c>
      <c r="AH112" s="9">
        <f>INDEX(LINEST(L53:L112,M53:T112,TRUE,TRUE),1,2)</f>
        <v/>
      </c>
      <c r="AI112" s="9">
        <f>INDEX(LINEST(L53:L112,M53:T112,TRUE,TRUE),1,1)</f>
        <v/>
      </c>
      <c r="AJ112" s="10">
        <f>INDEX(LINEST(L53:L112,M53:T112,TRUE,TRUE),3,1)</f>
        <v/>
      </c>
      <c r="AK112" s="9">
        <f>AA111/12+AB111*M112+AC111*N112+AD111*O112+AE111*P112+AF111*Q112+AG111*R112+AH111*S112+AI111*T112</f>
        <v/>
      </c>
      <c r="AL112" s="9">
        <f>AVERAGE(L52:L111)</f>
        <v/>
      </c>
    </row>
    <row r="113">
      <c r="L113" s="9">
        <f>LN(B113/B112)</f>
        <v/>
      </c>
      <c r="M113" s="9">
        <f>$M$1*(C113-C112)</f>
        <v/>
      </c>
      <c r="N113" s="9">
        <f>$N$1*(D113-D112)</f>
        <v/>
      </c>
      <c r="O113" s="9">
        <f>$O$1*LN(E113/E112)</f>
        <v/>
      </c>
      <c r="P113" s="9">
        <f>$P$1*LN(F113/F112)</f>
        <v/>
      </c>
      <c r="Q113" s="9">
        <f>$Q$1*(G113-G112)</f>
        <v/>
      </c>
      <c r="R113" s="9">
        <f>$R$1*(H113-H112)</f>
        <v/>
      </c>
      <c r="S113" s="9">
        <f>$S$1*LN(I113/I112)</f>
        <v/>
      </c>
      <c r="T113" s="9">
        <f>$T$1*LN(J113/J112)</f>
        <v/>
      </c>
      <c r="U113" s="9">
        <f>$W$12+$W$4*M113+$W$5*N113+$W$6*O113+$W$7*P113+$W$8*Q113+$W$9*R113+$W$10*S113+$W$11*T113</f>
        <v/>
      </c>
      <c r="AA113" s="10">
        <f>INDEX(LINEST(L54:L113,M54:T113,TRUE,TRUE),1,9)*12</f>
        <v/>
      </c>
      <c r="AB113" s="9">
        <f>INDEX(LINEST(L54:L113,M54:T113,TRUE,TRUE),1,8)</f>
        <v/>
      </c>
      <c r="AC113" s="9">
        <f>INDEX(LINEST(L54:L113,M54:T113,TRUE,TRUE),1,7)</f>
        <v/>
      </c>
      <c r="AD113" s="9">
        <f>INDEX(LINEST(L54:L113,M54:T113,TRUE,TRUE),1,6)</f>
        <v/>
      </c>
      <c r="AE113" s="9">
        <f>INDEX(LINEST(L54:L113,M54:T113,TRUE,TRUE),1,5)</f>
        <v/>
      </c>
      <c r="AF113" s="9">
        <f>INDEX(LINEST(L54:L113,M54:T113,TRUE,TRUE),1,4)</f>
        <v/>
      </c>
      <c r="AG113" s="9">
        <f>INDEX(LINEST(L54:L113,M54:T113,TRUE,TRUE),1,3)</f>
        <v/>
      </c>
      <c r="AH113" s="9">
        <f>INDEX(LINEST(L54:L113,M54:T113,TRUE,TRUE),1,2)</f>
        <v/>
      </c>
      <c r="AI113" s="9">
        <f>INDEX(LINEST(L54:L113,M54:T113,TRUE,TRUE),1,1)</f>
        <v/>
      </c>
      <c r="AJ113" s="10">
        <f>INDEX(LINEST(L54:L113,M54:T113,TRUE,TRUE),3,1)</f>
        <v/>
      </c>
      <c r="AK113" s="9">
        <f>AA112/12+AB112*M113+AC112*N113+AD112*O113+AE112*P113+AF112*Q113+AG112*R113+AH112*S113+AI112*T113</f>
        <v/>
      </c>
      <c r="AL113" s="9">
        <f>AVERAGE(L53:L112)</f>
        <v/>
      </c>
    </row>
    <row r="114">
      <c r="L114" s="9">
        <f>LN(B114/B113)</f>
        <v/>
      </c>
      <c r="M114" s="9">
        <f>$M$1*(C114-C113)</f>
        <v/>
      </c>
      <c r="N114" s="9">
        <f>$N$1*(D114-D113)</f>
        <v/>
      </c>
      <c r="O114" s="9">
        <f>$O$1*LN(E114/E113)</f>
        <v/>
      </c>
      <c r="P114" s="9">
        <f>$P$1*LN(F114/F113)</f>
        <v/>
      </c>
      <c r="Q114" s="9">
        <f>$Q$1*(G114-G113)</f>
        <v/>
      </c>
      <c r="R114" s="9">
        <f>$R$1*(H114-H113)</f>
        <v/>
      </c>
      <c r="S114" s="9">
        <f>$S$1*LN(I114/I113)</f>
        <v/>
      </c>
      <c r="T114" s="9">
        <f>$T$1*LN(J114/J113)</f>
        <v/>
      </c>
      <c r="U114" s="9">
        <f>$W$12+$W$4*M114+$W$5*N114+$W$6*O114+$W$7*P114+$W$8*Q114+$W$9*R114+$W$10*S114+$W$11*T114</f>
        <v/>
      </c>
      <c r="AA114" s="10">
        <f>INDEX(LINEST(L55:L114,M55:T114,TRUE,TRUE),1,9)*12</f>
        <v/>
      </c>
      <c r="AB114" s="9">
        <f>INDEX(LINEST(L55:L114,M55:T114,TRUE,TRUE),1,8)</f>
        <v/>
      </c>
      <c r="AC114" s="9">
        <f>INDEX(LINEST(L55:L114,M55:T114,TRUE,TRUE),1,7)</f>
        <v/>
      </c>
      <c r="AD114" s="9">
        <f>INDEX(LINEST(L55:L114,M55:T114,TRUE,TRUE),1,6)</f>
        <v/>
      </c>
      <c r="AE114" s="9">
        <f>INDEX(LINEST(L55:L114,M55:T114,TRUE,TRUE),1,5)</f>
        <v/>
      </c>
      <c r="AF114" s="9">
        <f>INDEX(LINEST(L55:L114,M55:T114,TRUE,TRUE),1,4)</f>
        <v/>
      </c>
      <c r="AG114" s="9">
        <f>INDEX(LINEST(L55:L114,M55:T114,TRUE,TRUE),1,3)</f>
        <v/>
      </c>
      <c r="AH114" s="9">
        <f>INDEX(LINEST(L55:L114,M55:T114,TRUE,TRUE),1,2)</f>
        <v/>
      </c>
      <c r="AI114" s="9">
        <f>INDEX(LINEST(L55:L114,M55:T114,TRUE,TRUE),1,1)</f>
        <v/>
      </c>
      <c r="AJ114" s="10">
        <f>INDEX(LINEST(L55:L114,M55:T114,TRUE,TRUE),3,1)</f>
        <v/>
      </c>
      <c r="AK114" s="9">
        <f>AA113/12+AB113*M114+AC113*N114+AD113*O114+AE113*P114+AF113*Q114+AG113*R114+AH113*S114+AI113*T114</f>
        <v/>
      </c>
      <c r="AL114" s="9">
        <f>AVERAGE(L54:L113)</f>
        <v/>
      </c>
    </row>
    <row r="115">
      <c r="L115" s="9">
        <f>LN(B115/B114)</f>
        <v/>
      </c>
      <c r="M115" s="9">
        <f>$M$1*(C115-C114)</f>
        <v/>
      </c>
      <c r="N115" s="9">
        <f>$N$1*(D115-D114)</f>
        <v/>
      </c>
      <c r="O115" s="9">
        <f>$O$1*LN(E115/E114)</f>
        <v/>
      </c>
      <c r="P115" s="9">
        <f>$P$1*LN(F115/F114)</f>
        <v/>
      </c>
      <c r="Q115" s="9">
        <f>$Q$1*(G115-G114)</f>
        <v/>
      </c>
      <c r="R115" s="9">
        <f>$R$1*(H115-H114)</f>
        <v/>
      </c>
      <c r="S115" s="9">
        <f>$S$1*LN(I115/I114)</f>
        <v/>
      </c>
      <c r="T115" s="9">
        <f>$T$1*LN(J115/J114)</f>
        <v/>
      </c>
      <c r="U115" s="9">
        <f>$W$12+$W$4*M115+$W$5*N115+$W$6*O115+$W$7*P115+$W$8*Q115+$W$9*R115+$W$10*S115+$W$11*T115</f>
        <v/>
      </c>
      <c r="AA115" s="10">
        <f>INDEX(LINEST(L56:L115,M56:T115,TRUE,TRUE),1,9)*12</f>
        <v/>
      </c>
      <c r="AB115" s="9">
        <f>INDEX(LINEST(L56:L115,M56:T115,TRUE,TRUE),1,8)</f>
        <v/>
      </c>
      <c r="AC115" s="9">
        <f>INDEX(LINEST(L56:L115,M56:T115,TRUE,TRUE),1,7)</f>
        <v/>
      </c>
      <c r="AD115" s="9">
        <f>INDEX(LINEST(L56:L115,M56:T115,TRUE,TRUE),1,6)</f>
        <v/>
      </c>
      <c r="AE115" s="9">
        <f>INDEX(LINEST(L56:L115,M56:T115,TRUE,TRUE),1,5)</f>
        <v/>
      </c>
      <c r="AF115" s="9">
        <f>INDEX(LINEST(L56:L115,M56:T115,TRUE,TRUE),1,4)</f>
        <v/>
      </c>
      <c r="AG115" s="9">
        <f>INDEX(LINEST(L56:L115,M56:T115,TRUE,TRUE),1,3)</f>
        <v/>
      </c>
      <c r="AH115" s="9">
        <f>INDEX(LINEST(L56:L115,M56:T115,TRUE,TRUE),1,2)</f>
        <v/>
      </c>
      <c r="AI115" s="9">
        <f>INDEX(LINEST(L56:L115,M56:T115,TRUE,TRUE),1,1)</f>
        <v/>
      </c>
      <c r="AJ115" s="10">
        <f>INDEX(LINEST(L56:L115,M56:T115,TRUE,TRUE),3,1)</f>
        <v/>
      </c>
      <c r="AK115" s="9">
        <f>AA114/12+AB114*M115+AC114*N115+AD114*O115+AE114*P115+AF114*Q115+AG114*R115+AH114*S115+AI114*T115</f>
        <v/>
      </c>
      <c r="AL115" s="9">
        <f>AVERAGE(L55:L114)</f>
        <v/>
      </c>
    </row>
    <row r="116">
      <c r="L116" s="9">
        <f>LN(B116/B115)</f>
        <v/>
      </c>
      <c r="M116" s="9">
        <f>$M$1*(C116-C115)</f>
        <v/>
      </c>
      <c r="N116" s="9">
        <f>$N$1*(D116-D115)</f>
        <v/>
      </c>
      <c r="O116" s="9">
        <f>$O$1*LN(E116/E115)</f>
        <v/>
      </c>
      <c r="P116" s="9">
        <f>$P$1*LN(F116/F115)</f>
        <v/>
      </c>
      <c r="Q116" s="9">
        <f>$Q$1*(G116-G115)</f>
        <v/>
      </c>
      <c r="R116" s="9">
        <f>$R$1*(H116-H115)</f>
        <v/>
      </c>
      <c r="S116" s="9">
        <f>$S$1*LN(I116/I115)</f>
        <v/>
      </c>
      <c r="T116" s="9">
        <f>$T$1*LN(J116/J115)</f>
        <v/>
      </c>
      <c r="U116" s="9">
        <f>$W$12+$W$4*M116+$W$5*N116+$W$6*O116+$W$7*P116+$W$8*Q116+$W$9*R116+$W$10*S116+$W$11*T116</f>
        <v/>
      </c>
      <c r="AA116" s="10">
        <f>INDEX(LINEST(L57:L116,M57:T116,TRUE,TRUE),1,9)*12</f>
        <v/>
      </c>
      <c r="AB116" s="9">
        <f>INDEX(LINEST(L57:L116,M57:T116,TRUE,TRUE),1,8)</f>
        <v/>
      </c>
      <c r="AC116" s="9">
        <f>INDEX(LINEST(L57:L116,M57:T116,TRUE,TRUE),1,7)</f>
        <v/>
      </c>
      <c r="AD116" s="9">
        <f>INDEX(LINEST(L57:L116,M57:T116,TRUE,TRUE),1,6)</f>
        <v/>
      </c>
      <c r="AE116" s="9">
        <f>INDEX(LINEST(L57:L116,M57:T116,TRUE,TRUE),1,5)</f>
        <v/>
      </c>
      <c r="AF116" s="9">
        <f>INDEX(LINEST(L57:L116,M57:T116,TRUE,TRUE),1,4)</f>
        <v/>
      </c>
      <c r="AG116" s="9">
        <f>INDEX(LINEST(L57:L116,M57:T116,TRUE,TRUE),1,3)</f>
        <v/>
      </c>
      <c r="AH116" s="9">
        <f>INDEX(LINEST(L57:L116,M57:T116,TRUE,TRUE),1,2)</f>
        <v/>
      </c>
      <c r="AI116" s="9">
        <f>INDEX(LINEST(L57:L116,M57:T116,TRUE,TRUE),1,1)</f>
        <v/>
      </c>
      <c r="AJ116" s="10">
        <f>INDEX(LINEST(L57:L116,M57:T116,TRUE,TRUE),3,1)</f>
        <v/>
      </c>
      <c r="AK116" s="9">
        <f>AA115/12+AB115*M116+AC115*N116+AD115*O116+AE115*P116+AF115*Q116+AG115*R116+AH115*S116+AI115*T116</f>
        <v/>
      </c>
      <c r="AL116" s="9">
        <f>AVERAGE(L56:L115)</f>
        <v/>
      </c>
    </row>
    <row r="117">
      <c r="L117" s="9">
        <f>LN(B117/B116)</f>
        <v/>
      </c>
      <c r="M117" s="9">
        <f>$M$1*(C117-C116)</f>
        <v/>
      </c>
      <c r="N117" s="9">
        <f>$N$1*(D117-D116)</f>
        <v/>
      </c>
      <c r="O117" s="9">
        <f>$O$1*LN(E117/E116)</f>
        <v/>
      </c>
      <c r="P117" s="9">
        <f>$P$1*LN(F117/F116)</f>
        <v/>
      </c>
      <c r="Q117" s="9">
        <f>$Q$1*(G117-G116)</f>
        <v/>
      </c>
      <c r="R117" s="9">
        <f>$R$1*(H117-H116)</f>
        <v/>
      </c>
      <c r="S117" s="9">
        <f>$S$1*LN(I117/I116)</f>
        <v/>
      </c>
      <c r="T117" s="9">
        <f>$T$1*LN(J117/J116)</f>
        <v/>
      </c>
      <c r="U117" s="9">
        <f>$W$12+$W$4*M117+$W$5*N117+$W$6*O117+$W$7*P117+$W$8*Q117+$W$9*R117+$W$10*S117+$W$11*T117</f>
        <v/>
      </c>
      <c r="AA117" s="10">
        <f>INDEX(LINEST(L58:L117,M58:T117,TRUE,TRUE),1,9)*12</f>
        <v/>
      </c>
      <c r="AB117" s="9">
        <f>INDEX(LINEST(L58:L117,M58:T117,TRUE,TRUE),1,8)</f>
        <v/>
      </c>
      <c r="AC117" s="9">
        <f>INDEX(LINEST(L58:L117,M58:T117,TRUE,TRUE),1,7)</f>
        <v/>
      </c>
      <c r="AD117" s="9">
        <f>INDEX(LINEST(L58:L117,M58:T117,TRUE,TRUE),1,6)</f>
        <v/>
      </c>
      <c r="AE117" s="9">
        <f>INDEX(LINEST(L58:L117,M58:T117,TRUE,TRUE),1,5)</f>
        <v/>
      </c>
      <c r="AF117" s="9">
        <f>INDEX(LINEST(L58:L117,M58:T117,TRUE,TRUE),1,4)</f>
        <v/>
      </c>
      <c r="AG117" s="9">
        <f>INDEX(LINEST(L58:L117,M58:T117,TRUE,TRUE),1,3)</f>
        <v/>
      </c>
      <c r="AH117" s="9">
        <f>INDEX(LINEST(L58:L117,M58:T117,TRUE,TRUE),1,2)</f>
        <v/>
      </c>
      <c r="AI117" s="9">
        <f>INDEX(LINEST(L58:L117,M58:T117,TRUE,TRUE),1,1)</f>
        <v/>
      </c>
      <c r="AJ117" s="10">
        <f>INDEX(LINEST(L58:L117,M58:T117,TRUE,TRUE),3,1)</f>
        <v/>
      </c>
      <c r="AK117" s="9">
        <f>AA116/12+AB116*M117+AC116*N117+AD116*O117+AE116*P117+AF116*Q117+AG116*R117+AH116*S117+AI116*T117</f>
        <v/>
      </c>
      <c r="AL117" s="9">
        <f>AVERAGE(L57:L116)</f>
        <v/>
      </c>
    </row>
    <row r="118">
      <c r="L118" s="9">
        <f>LN(B118/B117)</f>
        <v/>
      </c>
      <c r="M118" s="9">
        <f>$M$1*(C118-C117)</f>
        <v/>
      </c>
      <c r="N118" s="9">
        <f>$N$1*(D118-D117)</f>
        <v/>
      </c>
      <c r="O118" s="9">
        <f>$O$1*LN(E118/E117)</f>
        <v/>
      </c>
      <c r="P118" s="9">
        <f>$P$1*LN(F118/F117)</f>
        <v/>
      </c>
      <c r="Q118" s="9">
        <f>$Q$1*(G118-G117)</f>
        <v/>
      </c>
      <c r="R118" s="9">
        <f>$R$1*(H118-H117)</f>
        <v/>
      </c>
      <c r="S118" s="9">
        <f>$S$1*LN(I118/I117)</f>
        <v/>
      </c>
      <c r="T118" s="9">
        <f>$T$1*LN(J118/J117)</f>
        <v/>
      </c>
      <c r="U118" s="9">
        <f>$W$12+$W$4*M118+$W$5*N118+$W$6*O118+$W$7*P118+$W$8*Q118+$W$9*R118+$W$10*S118+$W$11*T118</f>
        <v/>
      </c>
      <c r="AA118" s="10">
        <f>INDEX(LINEST(L59:L118,M59:T118,TRUE,TRUE),1,9)*12</f>
        <v/>
      </c>
      <c r="AB118" s="9">
        <f>INDEX(LINEST(L59:L118,M59:T118,TRUE,TRUE),1,8)</f>
        <v/>
      </c>
      <c r="AC118" s="9">
        <f>INDEX(LINEST(L59:L118,M59:T118,TRUE,TRUE),1,7)</f>
        <v/>
      </c>
      <c r="AD118" s="9">
        <f>INDEX(LINEST(L59:L118,M59:T118,TRUE,TRUE),1,6)</f>
        <v/>
      </c>
      <c r="AE118" s="9">
        <f>INDEX(LINEST(L59:L118,M59:T118,TRUE,TRUE),1,5)</f>
        <v/>
      </c>
      <c r="AF118" s="9">
        <f>INDEX(LINEST(L59:L118,M59:T118,TRUE,TRUE),1,4)</f>
        <v/>
      </c>
      <c r="AG118" s="9">
        <f>INDEX(LINEST(L59:L118,M59:T118,TRUE,TRUE),1,3)</f>
        <v/>
      </c>
      <c r="AH118" s="9">
        <f>INDEX(LINEST(L59:L118,M59:T118,TRUE,TRUE),1,2)</f>
        <v/>
      </c>
      <c r="AI118" s="9">
        <f>INDEX(LINEST(L59:L118,M59:T118,TRUE,TRUE),1,1)</f>
        <v/>
      </c>
      <c r="AJ118" s="10">
        <f>INDEX(LINEST(L59:L118,M59:T118,TRUE,TRUE),3,1)</f>
        <v/>
      </c>
      <c r="AK118" s="9">
        <f>AA117/12+AB117*M118+AC117*N118+AD117*O118+AE117*P118+AF117*Q118+AG117*R118+AH117*S118+AI117*T118</f>
        <v/>
      </c>
      <c r="AL118" s="9">
        <f>AVERAGE(L58:L117)</f>
        <v/>
      </c>
    </row>
    <row r="119">
      <c r="L119" s="9">
        <f>LN(B119/B118)</f>
        <v/>
      </c>
      <c r="M119" s="9">
        <f>$M$1*(C119-C118)</f>
        <v/>
      </c>
      <c r="N119" s="9">
        <f>$N$1*(D119-D118)</f>
        <v/>
      </c>
      <c r="O119" s="9">
        <f>$O$1*LN(E119/E118)</f>
        <v/>
      </c>
      <c r="P119" s="9">
        <f>$P$1*LN(F119/F118)</f>
        <v/>
      </c>
      <c r="Q119" s="9">
        <f>$Q$1*(G119-G118)</f>
        <v/>
      </c>
      <c r="R119" s="9">
        <f>$R$1*(H119-H118)</f>
        <v/>
      </c>
      <c r="S119" s="9">
        <f>$S$1*LN(I119/I118)</f>
        <v/>
      </c>
      <c r="T119" s="9">
        <f>$T$1*LN(J119/J118)</f>
        <v/>
      </c>
      <c r="U119" s="9">
        <f>$W$12+$W$4*M119+$W$5*N119+$W$6*O119+$W$7*P119+$W$8*Q119+$W$9*R119+$W$10*S119+$W$11*T119</f>
        <v/>
      </c>
      <c r="AA119" s="10">
        <f>INDEX(LINEST(L60:L119,M60:T119,TRUE,TRUE),1,9)*12</f>
        <v/>
      </c>
      <c r="AB119" s="9">
        <f>INDEX(LINEST(L60:L119,M60:T119,TRUE,TRUE),1,8)</f>
        <v/>
      </c>
      <c r="AC119" s="9">
        <f>INDEX(LINEST(L60:L119,M60:T119,TRUE,TRUE),1,7)</f>
        <v/>
      </c>
      <c r="AD119" s="9">
        <f>INDEX(LINEST(L60:L119,M60:T119,TRUE,TRUE),1,6)</f>
        <v/>
      </c>
      <c r="AE119" s="9">
        <f>INDEX(LINEST(L60:L119,M60:T119,TRUE,TRUE),1,5)</f>
        <v/>
      </c>
      <c r="AF119" s="9">
        <f>INDEX(LINEST(L60:L119,M60:T119,TRUE,TRUE),1,4)</f>
        <v/>
      </c>
      <c r="AG119" s="9">
        <f>INDEX(LINEST(L60:L119,M60:T119,TRUE,TRUE),1,3)</f>
        <v/>
      </c>
      <c r="AH119" s="9">
        <f>INDEX(LINEST(L60:L119,M60:T119,TRUE,TRUE),1,2)</f>
        <v/>
      </c>
      <c r="AI119" s="9">
        <f>INDEX(LINEST(L60:L119,M60:T119,TRUE,TRUE),1,1)</f>
        <v/>
      </c>
      <c r="AJ119" s="10">
        <f>INDEX(LINEST(L60:L119,M60:T119,TRUE,TRUE),3,1)</f>
        <v/>
      </c>
      <c r="AK119" s="9">
        <f>AA118/12+AB118*M119+AC118*N119+AD118*O119+AE118*P119+AF118*Q119+AG118*R119+AH118*S119+AI118*T119</f>
        <v/>
      </c>
      <c r="AL119" s="9">
        <f>AVERAGE(L59:L118)</f>
        <v/>
      </c>
    </row>
    <row r="120">
      <c r="L120" s="9">
        <f>LN(B120/B119)</f>
        <v/>
      </c>
      <c r="M120" s="9">
        <f>$M$1*(C120-C119)</f>
        <v/>
      </c>
      <c r="N120" s="9">
        <f>$N$1*(D120-D119)</f>
        <v/>
      </c>
      <c r="O120" s="9">
        <f>$O$1*LN(E120/E119)</f>
        <v/>
      </c>
      <c r="P120" s="9">
        <f>$P$1*LN(F120/F119)</f>
        <v/>
      </c>
      <c r="Q120" s="9">
        <f>$Q$1*(G120-G119)</f>
        <v/>
      </c>
      <c r="R120" s="9">
        <f>$R$1*(H120-H119)</f>
        <v/>
      </c>
      <c r="S120" s="9">
        <f>$S$1*LN(I120/I119)</f>
        <v/>
      </c>
      <c r="T120" s="9">
        <f>$T$1*LN(J120/J119)</f>
        <v/>
      </c>
      <c r="U120" s="9">
        <f>$W$12+$W$4*M120+$W$5*N120+$W$6*O120+$W$7*P120+$W$8*Q120+$W$9*R120+$W$10*S120+$W$11*T120</f>
        <v/>
      </c>
      <c r="AA120" s="10">
        <f>INDEX(LINEST(L61:L120,M61:T120,TRUE,TRUE),1,9)*12</f>
        <v/>
      </c>
      <c r="AB120" s="9">
        <f>INDEX(LINEST(L61:L120,M61:T120,TRUE,TRUE),1,8)</f>
        <v/>
      </c>
      <c r="AC120" s="9">
        <f>INDEX(LINEST(L61:L120,M61:T120,TRUE,TRUE),1,7)</f>
        <v/>
      </c>
      <c r="AD120" s="9">
        <f>INDEX(LINEST(L61:L120,M61:T120,TRUE,TRUE),1,6)</f>
        <v/>
      </c>
      <c r="AE120" s="9">
        <f>INDEX(LINEST(L61:L120,M61:T120,TRUE,TRUE),1,5)</f>
        <v/>
      </c>
      <c r="AF120" s="9">
        <f>INDEX(LINEST(L61:L120,M61:T120,TRUE,TRUE),1,4)</f>
        <v/>
      </c>
      <c r="AG120" s="9">
        <f>INDEX(LINEST(L61:L120,M61:T120,TRUE,TRUE),1,3)</f>
        <v/>
      </c>
      <c r="AH120" s="9">
        <f>INDEX(LINEST(L61:L120,M61:T120,TRUE,TRUE),1,2)</f>
        <v/>
      </c>
      <c r="AI120" s="9">
        <f>INDEX(LINEST(L61:L120,M61:T120,TRUE,TRUE),1,1)</f>
        <v/>
      </c>
      <c r="AJ120" s="10">
        <f>INDEX(LINEST(L61:L120,M61:T120,TRUE,TRUE),3,1)</f>
        <v/>
      </c>
      <c r="AK120" s="9">
        <f>AA119/12+AB119*M120+AC119*N120+AD119*O120+AE119*P120+AF119*Q120+AG119*R120+AH119*S120+AI119*T120</f>
        <v/>
      </c>
      <c r="AL120" s="9">
        <f>AVERAGE(L60:L119)</f>
        <v/>
      </c>
    </row>
    <row r="121">
      <c r="L121" s="9">
        <f>LN(B121/B120)</f>
        <v/>
      </c>
      <c r="M121" s="9">
        <f>$M$1*(C121-C120)</f>
        <v/>
      </c>
      <c r="N121" s="9">
        <f>$N$1*(D121-D120)</f>
        <v/>
      </c>
      <c r="O121" s="9">
        <f>$O$1*LN(E121/E120)</f>
        <v/>
      </c>
      <c r="P121" s="9">
        <f>$P$1*LN(F121/F120)</f>
        <v/>
      </c>
      <c r="Q121" s="9">
        <f>$Q$1*(G121-G120)</f>
        <v/>
      </c>
      <c r="R121" s="9">
        <f>$R$1*(H121-H120)</f>
        <v/>
      </c>
      <c r="S121" s="9">
        <f>$S$1*LN(I121/I120)</f>
        <v/>
      </c>
      <c r="T121" s="9">
        <f>$T$1*LN(J121/J120)</f>
        <v/>
      </c>
      <c r="U121" s="9">
        <f>$W$12+$W$4*M121+$W$5*N121+$W$6*O121+$W$7*P121+$W$8*Q121+$W$9*R121+$W$10*S121+$W$11*T121</f>
        <v/>
      </c>
      <c r="AA121" s="10">
        <f>INDEX(LINEST(L62:L121,M62:T121,TRUE,TRUE),1,9)*12</f>
        <v/>
      </c>
      <c r="AB121" s="9">
        <f>INDEX(LINEST(L62:L121,M62:T121,TRUE,TRUE),1,8)</f>
        <v/>
      </c>
      <c r="AC121" s="9">
        <f>INDEX(LINEST(L62:L121,M62:T121,TRUE,TRUE),1,7)</f>
        <v/>
      </c>
      <c r="AD121" s="9">
        <f>INDEX(LINEST(L62:L121,M62:T121,TRUE,TRUE),1,6)</f>
        <v/>
      </c>
      <c r="AE121" s="9">
        <f>INDEX(LINEST(L62:L121,M62:T121,TRUE,TRUE),1,5)</f>
        <v/>
      </c>
      <c r="AF121" s="9">
        <f>INDEX(LINEST(L62:L121,M62:T121,TRUE,TRUE),1,4)</f>
        <v/>
      </c>
      <c r="AG121" s="9">
        <f>INDEX(LINEST(L62:L121,M62:T121,TRUE,TRUE),1,3)</f>
        <v/>
      </c>
      <c r="AH121" s="9">
        <f>INDEX(LINEST(L62:L121,M62:T121,TRUE,TRUE),1,2)</f>
        <v/>
      </c>
      <c r="AI121" s="9">
        <f>INDEX(LINEST(L62:L121,M62:T121,TRUE,TRUE),1,1)</f>
        <v/>
      </c>
      <c r="AJ121" s="10">
        <f>INDEX(LINEST(L62:L121,M62:T121,TRUE,TRUE),3,1)</f>
        <v/>
      </c>
      <c r="AK121" s="9">
        <f>AA120/12+AB120*M121+AC120*N121+AD120*O121+AE120*P121+AF120*Q121+AG120*R121+AH120*S121+AI120*T121</f>
        <v/>
      </c>
      <c r="AL121" s="9">
        <f>AVERAGE(L61:L120)</f>
        <v/>
      </c>
    </row>
    <row r="122">
      <c r="L122" s="9">
        <f>LN(B122/B121)</f>
        <v/>
      </c>
      <c r="M122" s="9">
        <f>$M$1*(C122-C121)</f>
        <v/>
      </c>
      <c r="N122" s="9">
        <f>$N$1*(D122-D121)</f>
        <v/>
      </c>
      <c r="O122" s="9">
        <f>$O$1*LN(E122/E121)</f>
        <v/>
      </c>
      <c r="P122" s="9">
        <f>$P$1*LN(F122/F121)</f>
        <v/>
      </c>
      <c r="Q122" s="9">
        <f>$Q$1*(G122-G121)</f>
        <v/>
      </c>
      <c r="R122" s="9">
        <f>$R$1*(H122-H121)</f>
        <v/>
      </c>
      <c r="S122" s="9">
        <f>$S$1*LN(I122/I121)</f>
        <v/>
      </c>
      <c r="T122" s="9">
        <f>$T$1*LN(J122/J121)</f>
        <v/>
      </c>
      <c r="U122" s="9">
        <f>$W$12+$W$4*M122+$W$5*N122+$W$6*O122+$W$7*P122+$W$8*Q122+$W$9*R122+$W$10*S122+$W$11*T122</f>
        <v/>
      </c>
      <c r="AA122" s="10">
        <f>INDEX(LINEST(L63:L122,M63:T122,TRUE,TRUE),1,9)*12</f>
        <v/>
      </c>
      <c r="AB122" s="9">
        <f>INDEX(LINEST(L63:L122,M63:T122,TRUE,TRUE),1,8)</f>
        <v/>
      </c>
      <c r="AC122" s="9">
        <f>INDEX(LINEST(L63:L122,M63:T122,TRUE,TRUE),1,7)</f>
        <v/>
      </c>
      <c r="AD122" s="9">
        <f>INDEX(LINEST(L63:L122,M63:T122,TRUE,TRUE),1,6)</f>
        <v/>
      </c>
      <c r="AE122" s="9">
        <f>INDEX(LINEST(L63:L122,M63:T122,TRUE,TRUE),1,5)</f>
        <v/>
      </c>
      <c r="AF122" s="9">
        <f>INDEX(LINEST(L63:L122,M63:T122,TRUE,TRUE),1,4)</f>
        <v/>
      </c>
      <c r="AG122" s="9">
        <f>INDEX(LINEST(L63:L122,M63:T122,TRUE,TRUE),1,3)</f>
        <v/>
      </c>
      <c r="AH122" s="9">
        <f>INDEX(LINEST(L63:L122,M63:T122,TRUE,TRUE),1,2)</f>
        <v/>
      </c>
      <c r="AI122" s="9">
        <f>INDEX(LINEST(L63:L122,M63:T122,TRUE,TRUE),1,1)</f>
        <v/>
      </c>
      <c r="AJ122" s="10">
        <f>INDEX(LINEST(L63:L122,M63:T122,TRUE,TRUE),3,1)</f>
        <v/>
      </c>
      <c r="AK122" s="9">
        <f>AA121/12+AB121*M122+AC121*N122+AD121*O122+AE121*P122+AF121*Q122+AG121*R122+AH121*S122+AI121*T122</f>
        <v/>
      </c>
      <c r="AL122" s="9">
        <f>AVERAGE(L62:L121)</f>
        <v/>
      </c>
    </row>
    <row r="123">
      <c r="L123" s="9">
        <f>LN(B123/B122)</f>
        <v/>
      </c>
      <c r="M123" s="9">
        <f>$M$1*(C123-C122)</f>
        <v/>
      </c>
      <c r="N123" s="9">
        <f>$N$1*(D123-D122)</f>
        <v/>
      </c>
      <c r="O123" s="9">
        <f>$O$1*LN(E123/E122)</f>
        <v/>
      </c>
      <c r="P123" s="9">
        <f>$P$1*LN(F123/F122)</f>
        <v/>
      </c>
      <c r="Q123" s="9">
        <f>$Q$1*(G123-G122)</f>
        <v/>
      </c>
      <c r="R123" s="9">
        <f>$R$1*(H123-H122)</f>
        <v/>
      </c>
      <c r="S123" s="9">
        <f>$S$1*LN(I123/I122)</f>
        <v/>
      </c>
      <c r="T123" s="9">
        <f>$T$1*LN(J123/J122)</f>
        <v/>
      </c>
      <c r="U123" s="9">
        <f>$W$12+$W$4*M123+$W$5*N123+$W$6*O123+$W$7*P123+$W$8*Q123+$W$9*R123+$W$10*S123+$W$11*T123</f>
        <v/>
      </c>
      <c r="AA123" s="10">
        <f>INDEX(LINEST(L64:L123,M64:T123,TRUE,TRUE),1,9)*12</f>
        <v/>
      </c>
      <c r="AB123" s="9">
        <f>INDEX(LINEST(L64:L123,M64:T123,TRUE,TRUE),1,8)</f>
        <v/>
      </c>
      <c r="AC123" s="9">
        <f>INDEX(LINEST(L64:L123,M64:T123,TRUE,TRUE),1,7)</f>
        <v/>
      </c>
      <c r="AD123" s="9">
        <f>INDEX(LINEST(L64:L123,M64:T123,TRUE,TRUE),1,6)</f>
        <v/>
      </c>
      <c r="AE123" s="9">
        <f>INDEX(LINEST(L64:L123,M64:T123,TRUE,TRUE),1,5)</f>
        <v/>
      </c>
      <c r="AF123" s="9">
        <f>INDEX(LINEST(L64:L123,M64:T123,TRUE,TRUE),1,4)</f>
        <v/>
      </c>
      <c r="AG123" s="9">
        <f>INDEX(LINEST(L64:L123,M64:T123,TRUE,TRUE),1,3)</f>
        <v/>
      </c>
      <c r="AH123" s="9">
        <f>INDEX(LINEST(L64:L123,M64:T123,TRUE,TRUE),1,2)</f>
        <v/>
      </c>
      <c r="AI123" s="9">
        <f>INDEX(LINEST(L64:L123,M64:T123,TRUE,TRUE),1,1)</f>
        <v/>
      </c>
      <c r="AJ123" s="10">
        <f>INDEX(LINEST(L64:L123,M64:T123,TRUE,TRUE),3,1)</f>
        <v/>
      </c>
      <c r="AK123" s="9">
        <f>AA122/12+AB122*M123+AC122*N123+AD122*O123+AE122*P123+AF122*Q123+AG122*R123+AH122*S123+AI122*T123</f>
        <v/>
      </c>
      <c r="AL123" s="9">
        <f>AVERAGE(L63:L122)</f>
        <v/>
      </c>
    </row>
    <row r="124">
      <c r="L124" s="9">
        <f>LN(B124/B123)</f>
        <v/>
      </c>
      <c r="M124" s="9">
        <f>$M$1*(C124-C123)</f>
        <v/>
      </c>
      <c r="N124" s="9">
        <f>$N$1*(D124-D123)</f>
        <v/>
      </c>
      <c r="O124" s="9">
        <f>$O$1*LN(E124/E123)</f>
        <v/>
      </c>
      <c r="P124" s="9">
        <f>$P$1*LN(F124/F123)</f>
        <v/>
      </c>
      <c r="Q124" s="9">
        <f>$Q$1*(G124-G123)</f>
        <v/>
      </c>
      <c r="R124" s="9">
        <f>$R$1*(H124-H123)</f>
        <v/>
      </c>
      <c r="S124" s="9">
        <f>$S$1*LN(I124/I123)</f>
        <v/>
      </c>
      <c r="T124" s="9">
        <f>$T$1*LN(J124/J123)</f>
        <v/>
      </c>
      <c r="U124" s="9">
        <f>$W$12+$W$4*M124+$W$5*N124+$W$6*O124+$W$7*P124+$W$8*Q124+$W$9*R124+$W$10*S124+$W$11*T124</f>
        <v/>
      </c>
      <c r="AA124" s="10">
        <f>INDEX(LINEST(L65:L124,M65:T124,TRUE,TRUE),1,9)*12</f>
        <v/>
      </c>
      <c r="AB124" s="9">
        <f>INDEX(LINEST(L65:L124,M65:T124,TRUE,TRUE),1,8)</f>
        <v/>
      </c>
      <c r="AC124" s="9">
        <f>INDEX(LINEST(L65:L124,M65:T124,TRUE,TRUE),1,7)</f>
        <v/>
      </c>
      <c r="AD124" s="9">
        <f>INDEX(LINEST(L65:L124,M65:T124,TRUE,TRUE),1,6)</f>
        <v/>
      </c>
      <c r="AE124" s="9">
        <f>INDEX(LINEST(L65:L124,M65:T124,TRUE,TRUE),1,5)</f>
        <v/>
      </c>
      <c r="AF124" s="9">
        <f>INDEX(LINEST(L65:L124,M65:T124,TRUE,TRUE),1,4)</f>
        <v/>
      </c>
      <c r="AG124" s="9">
        <f>INDEX(LINEST(L65:L124,M65:T124,TRUE,TRUE),1,3)</f>
        <v/>
      </c>
      <c r="AH124" s="9">
        <f>INDEX(LINEST(L65:L124,M65:T124,TRUE,TRUE),1,2)</f>
        <v/>
      </c>
      <c r="AI124" s="9">
        <f>INDEX(LINEST(L65:L124,M65:T124,TRUE,TRUE),1,1)</f>
        <v/>
      </c>
      <c r="AJ124" s="10">
        <f>INDEX(LINEST(L65:L124,M65:T124,TRUE,TRUE),3,1)</f>
        <v/>
      </c>
      <c r="AK124" s="9">
        <f>AA123/12+AB123*M124+AC123*N124+AD123*O124+AE123*P124+AF123*Q124+AG123*R124+AH123*S124+AI123*T124</f>
        <v/>
      </c>
      <c r="AL124" s="9">
        <f>AVERAGE(L64:L123)</f>
        <v/>
      </c>
    </row>
    <row r="125">
      <c r="L125" s="9">
        <f>LN(B125/B124)</f>
        <v/>
      </c>
      <c r="M125" s="9">
        <f>$M$1*(C125-C124)</f>
        <v/>
      </c>
      <c r="N125" s="9">
        <f>$N$1*(D125-D124)</f>
        <v/>
      </c>
      <c r="O125" s="9">
        <f>$O$1*LN(E125/E124)</f>
        <v/>
      </c>
      <c r="P125" s="9">
        <f>$P$1*LN(F125/F124)</f>
        <v/>
      </c>
      <c r="Q125" s="9">
        <f>$Q$1*(G125-G124)</f>
        <v/>
      </c>
      <c r="R125" s="9">
        <f>$R$1*(H125-H124)</f>
        <v/>
      </c>
      <c r="S125" s="9">
        <f>$S$1*LN(I125/I124)</f>
        <v/>
      </c>
      <c r="T125" s="9">
        <f>$T$1*LN(J125/J124)</f>
        <v/>
      </c>
      <c r="U125" s="9">
        <f>$W$12+$W$4*M125+$W$5*N125+$W$6*O125+$W$7*P125+$W$8*Q125+$W$9*R125+$W$10*S125+$W$11*T125</f>
        <v/>
      </c>
      <c r="AA125" s="10">
        <f>INDEX(LINEST(L66:L125,M66:T125,TRUE,TRUE),1,9)*12</f>
        <v/>
      </c>
      <c r="AB125" s="9">
        <f>INDEX(LINEST(L66:L125,M66:T125,TRUE,TRUE),1,8)</f>
        <v/>
      </c>
      <c r="AC125" s="9">
        <f>INDEX(LINEST(L66:L125,M66:T125,TRUE,TRUE),1,7)</f>
        <v/>
      </c>
      <c r="AD125" s="9">
        <f>INDEX(LINEST(L66:L125,M66:T125,TRUE,TRUE),1,6)</f>
        <v/>
      </c>
      <c r="AE125" s="9">
        <f>INDEX(LINEST(L66:L125,M66:T125,TRUE,TRUE),1,5)</f>
        <v/>
      </c>
      <c r="AF125" s="9">
        <f>INDEX(LINEST(L66:L125,M66:T125,TRUE,TRUE),1,4)</f>
        <v/>
      </c>
      <c r="AG125" s="9">
        <f>INDEX(LINEST(L66:L125,M66:T125,TRUE,TRUE),1,3)</f>
        <v/>
      </c>
      <c r="AH125" s="9">
        <f>INDEX(LINEST(L66:L125,M66:T125,TRUE,TRUE),1,2)</f>
        <v/>
      </c>
      <c r="AI125" s="9">
        <f>INDEX(LINEST(L66:L125,M66:T125,TRUE,TRUE),1,1)</f>
        <v/>
      </c>
      <c r="AJ125" s="10">
        <f>INDEX(LINEST(L66:L125,M66:T125,TRUE,TRUE),3,1)</f>
        <v/>
      </c>
      <c r="AK125" s="9">
        <f>AA124/12+AB124*M125+AC124*N125+AD124*O125+AE124*P125+AF124*Q125+AG124*R125+AH124*S125+AI124*T125</f>
        <v/>
      </c>
      <c r="AL125" s="9">
        <f>AVERAGE(L65:L124)</f>
        <v/>
      </c>
    </row>
    <row r="126">
      <c r="L126" s="9">
        <f>LN(B126/B125)</f>
        <v/>
      </c>
      <c r="M126" s="9">
        <f>$M$1*(C126-C125)</f>
        <v/>
      </c>
      <c r="N126" s="9">
        <f>$N$1*(D126-D125)</f>
        <v/>
      </c>
      <c r="O126" s="9">
        <f>$O$1*LN(E126/E125)</f>
        <v/>
      </c>
      <c r="P126" s="9">
        <f>$P$1*LN(F126/F125)</f>
        <v/>
      </c>
      <c r="Q126" s="9">
        <f>$Q$1*(G126-G125)</f>
        <v/>
      </c>
      <c r="R126" s="9">
        <f>$R$1*(H126-H125)</f>
        <v/>
      </c>
      <c r="S126" s="9">
        <f>$S$1*LN(I126/I125)</f>
        <v/>
      </c>
      <c r="T126" s="9">
        <f>$T$1*LN(J126/J125)</f>
        <v/>
      </c>
      <c r="U126" s="9">
        <f>$W$12+$W$4*M126+$W$5*N126+$W$6*O126+$W$7*P126+$W$8*Q126+$W$9*R126+$W$10*S126+$W$11*T126</f>
        <v/>
      </c>
      <c r="AA126" s="10">
        <f>INDEX(LINEST(L67:L126,M67:T126,TRUE,TRUE),1,9)*12</f>
        <v/>
      </c>
      <c r="AB126" s="9">
        <f>INDEX(LINEST(L67:L126,M67:T126,TRUE,TRUE),1,8)</f>
        <v/>
      </c>
      <c r="AC126" s="9">
        <f>INDEX(LINEST(L67:L126,M67:T126,TRUE,TRUE),1,7)</f>
        <v/>
      </c>
      <c r="AD126" s="9">
        <f>INDEX(LINEST(L67:L126,M67:T126,TRUE,TRUE),1,6)</f>
        <v/>
      </c>
      <c r="AE126" s="9">
        <f>INDEX(LINEST(L67:L126,M67:T126,TRUE,TRUE),1,5)</f>
        <v/>
      </c>
      <c r="AF126" s="9">
        <f>INDEX(LINEST(L67:L126,M67:T126,TRUE,TRUE),1,4)</f>
        <v/>
      </c>
      <c r="AG126" s="9">
        <f>INDEX(LINEST(L67:L126,M67:T126,TRUE,TRUE),1,3)</f>
        <v/>
      </c>
      <c r="AH126" s="9">
        <f>INDEX(LINEST(L67:L126,M67:T126,TRUE,TRUE),1,2)</f>
        <v/>
      </c>
      <c r="AI126" s="9">
        <f>INDEX(LINEST(L67:L126,M67:T126,TRUE,TRUE),1,1)</f>
        <v/>
      </c>
      <c r="AJ126" s="10">
        <f>INDEX(LINEST(L67:L126,M67:T126,TRUE,TRUE),3,1)</f>
        <v/>
      </c>
      <c r="AK126" s="9">
        <f>AA125/12+AB125*M126+AC125*N126+AD125*O126+AE125*P126+AF125*Q126+AG125*R126+AH125*S126+AI125*T126</f>
        <v/>
      </c>
      <c r="AL126" s="9">
        <f>AVERAGE(L66:L125)</f>
        <v/>
      </c>
    </row>
    <row r="127">
      <c r="L127" s="9">
        <f>LN(B127/B126)</f>
        <v/>
      </c>
      <c r="M127" s="9">
        <f>$M$1*(C127-C126)</f>
        <v/>
      </c>
      <c r="N127" s="9">
        <f>$N$1*(D127-D126)</f>
        <v/>
      </c>
      <c r="O127" s="9">
        <f>$O$1*LN(E127/E126)</f>
        <v/>
      </c>
      <c r="P127" s="9">
        <f>$P$1*LN(F127/F126)</f>
        <v/>
      </c>
      <c r="Q127" s="9">
        <f>$Q$1*(G127-G126)</f>
        <v/>
      </c>
      <c r="R127" s="9">
        <f>$R$1*(H127-H126)</f>
        <v/>
      </c>
      <c r="S127" s="9">
        <f>$S$1*LN(I127/I126)</f>
        <v/>
      </c>
      <c r="T127" s="9">
        <f>$T$1*LN(J127/J126)</f>
        <v/>
      </c>
      <c r="U127" s="9">
        <f>$W$12+$W$4*M127+$W$5*N127+$W$6*O127+$W$7*P127+$W$8*Q127+$W$9*R127+$W$10*S127+$W$11*T127</f>
        <v/>
      </c>
      <c r="AA127" s="10">
        <f>INDEX(LINEST(L68:L127,M68:T127,TRUE,TRUE),1,9)*12</f>
        <v/>
      </c>
      <c r="AB127" s="9">
        <f>INDEX(LINEST(L68:L127,M68:T127,TRUE,TRUE),1,8)</f>
        <v/>
      </c>
      <c r="AC127" s="9">
        <f>INDEX(LINEST(L68:L127,M68:T127,TRUE,TRUE),1,7)</f>
        <v/>
      </c>
      <c r="AD127" s="9">
        <f>INDEX(LINEST(L68:L127,M68:T127,TRUE,TRUE),1,6)</f>
        <v/>
      </c>
      <c r="AE127" s="9">
        <f>INDEX(LINEST(L68:L127,M68:T127,TRUE,TRUE),1,5)</f>
        <v/>
      </c>
      <c r="AF127" s="9">
        <f>INDEX(LINEST(L68:L127,M68:T127,TRUE,TRUE),1,4)</f>
        <v/>
      </c>
      <c r="AG127" s="9">
        <f>INDEX(LINEST(L68:L127,M68:T127,TRUE,TRUE),1,3)</f>
        <v/>
      </c>
      <c r="AH127" s="9">
        <f>INDEX(LINEST(L68:L127,M68:T127,TRUE,TRUE),1,2)</f>
        <v/>
      </c>
      <c r="AI127" s="9">
        <f>INDEX(LINEST(L68:L127,M68:T127,TRUE,TRUE),1,1)</f>
        <v/>
      </c>
      <c r="AJ127" s="10">
        <f>INDEX(LINEST(L68:L127,M68:T127,TRUE,TRUE),3,1)</f>
        <v/>
      </c>
      <c r="AK127" s="9">
        <f>AA126/12+AB126*M127+AC126*N127+AD126*O127+AE126*P127+AF126*Q127+AG126*R127+AH126*S127+AI126*T127</f>
        <v/>
      </c>
      <c r="AL127" s="9">
        <f>AVERAGE(L67:L126)</f>
        <v/>
      </c>
    </row>
    <row r="128">
      <c r="L128" s="9">
        <f>LN(B128/B127)</f>
        <v/>
      </c>
      <c r="M128" s="9">
        <f>$M$1*(C128-C127)</f>
        <v/>
      </c>
      <c r="N128" s="9">
        <f>$N$1*(D128-D127)</f>
        <v/>
      </c>
      <c r="O128" s="9">
        <f>$O$1*LN(E128/E127)</f>
        <v/>
      </c>
      <c r="P128" s="9">
        <f>$P$1*LN(F128/F127)</f>
        <v/>
      </c>
      <c r="Q128" s="9">
        <f>$Q$1*(G128-G127)</f>
        <v/>
      </c>
      <c r="R128" s="9">
        <f>$R$1*(H128-H127)</f>
        <v/>
      </c>
      <c r="S128" s="9">
        <f>$S$1*LN(I128/I127)</f>
        <v/>
      </c>
      <c r="T128" s="9">
        <f>$T$1*LN(J128/J127)</f>
        <v/>
      </c>
      <c r="U128" s="9">
        <f>$W$12+$W$4*M128+$W$5*N128+$W$6*O128+$W$7*P128+$W$8*Q128+$W$9*R128+$W$10*S128+$W$11*T128</f>
        <v/>
      </c>
      <c r="AA128" s="10">
        <f>INDEX(LINEST(L69:L128,M69:T128,TRUE,TRUE),1,9)*12</f>
        <v/>
      </c>
      <c r="AB128" s="9">
        <f>INDEX(LINEST(L69:L128,M69:T128,TRUE,TRUE),1,8)</f>
        <v/>
      </c>
      <c r="AC128" s="9">
        <f>INDEX(LINEST(L69:L128,M69:T128,TRUE,TRUE),1,7)</f>
        <v/>
      </c>
      <c r="AD128" s="9">
        <f>INDEX(LINEST(L69:L128,M69:T128,TRUE,TRUE),1,6)</f>
        <v/>
      </c>
      <c r="AE128" s="9">
        <f>INDEX(LINEST(L69:L128,M69:T128,TRUE,TRUE),1,5)</f>
        <v/>
      </c>
      <c r="AF128" s="9">
        <f>INDEX(LINEST(L69:L128,M69:T128,TRUE,TRUE),1,4)</f>
        <v/>
      </c>
      <c r="AG128" s="9">
        <f>INDEX(LINEST(L69:L128,M69:T128,TRUE,TRUE),1,3)</f>
        <v/>
      </c>
      <c r="AH128" s="9">
        <f>INDEX(LINEST(L69:L128,M69:T128,TRUE,TRUE),1,2)</f>
        <v/>
      </c>
      <c r="AI128" s="9">
        <f>INDEX(LINEST(L69:L128,M69:T128,TRUE,TRUE),1,1)</f>
        <v/>
      </c>
      <c r="AJ128" s="10">
        <f>INDEX(LINEST(L69:L128,M69:T128,TRUE,TRUE),3,1)</f>
        <v/>
      </c>
      <c r="AK128" s="9">
        <f>AA127/12+AB127*M128+AC127*N128+AD127*O128+AE127*P128+AF127*Q128+AG127*R128+AH127*S128+AI127*T128</f>
        <v/>
      </c>
      <c r="AL128" s="9">
        <f>AVERAGE(L68:L127)</f>
        <v/>
      </c>
    </row>
    <row r="129">
      <c r="L129" s="9">
        <f>LN(B129/B128)</f>
        <v/>
      </c>
      <c r="M129" s="9">
        <f>$M$1*(C129-C128)</f>
        <v/>
      </c>
      <c r="N129" s="9">
        <f>$N$1*(D129-D128)</f>
        <v/>
      </c>
      <c r="O129" s="9">
        <f>$O$1*LN(E129/E128)</f>
        <v/>
      </c>
      <c r="P129" s="9">
        <f>$P$1*LN(F129/F128)</f>
        <v/>
      </c>
      <c r="Q129" s="9">
        <f>$Q$1*(G129-G128)</f>
        <v/>
      </c>
      <c r="R129" s="9">
        <f>$R$1*(H129-H128)</f>
        <v/>
      </c>
      <c r="S129" s="9">
        <f>$S$1*LN(I129/I128)</f>
        <v/>
      </c>
      <c r="T129" s="9">
        <f>$T$1*LN(J129/J128)</f>
        <v/>
      </c>
      <c r="U129" s="9">
        <f>$W$12+$W$4*M129+$W$5*N129+$W$6*O129+$W$7*P129+$W$8*Q129+$W$9*R129+$W$10*S129+$W$11*T129</f>
        <v/>
      </c>
      <c r="AA129" s="10">
        <f>INDEX(LINEST(L70:L129,M70:T129,TRUE,TRUE),1,9)*12</f>
        <v/>
      </c>
      <c r="AB129" s="9">
        <f>INDEX(LINEST(L70:L129,M70:T129,TRUE,TRUE),1,8)</f>
        <v/>
      </c>
      <c r="AC129" s="9">
        <f>INDEX(LINEST(L70:L129,M70:T129,TRUE,TRUE),1,7)</f>
        <v/>
      </c>
      <c r="AD129" s="9">
        <f>INDEX(LINEST(L70:L129,M70:T129,TRUE,TRUE),1,6)</f>
        <v/>
      </c>
      <c r="AE129" s="9">
        <f>INDEX(LINEST(L70:L129,M70:T129,TRUE,TRUE),1,5)</f>
        <v/>
      </c>
      <c r="AF129" s="9">
        <f>INDEX(LINEST(L70:L129,M70:T129,TRUE,TRUE),1,4)</f>
        <v/>
      </c>
      <c r="AG129" s="9">
        <f>INDEX(LINEST(L70:L129,M70:T129,TRUE,TRUE),1,3)</f>
        <v/>
      </c>
      <c r="AH129" s="9">
        <f>INDEX(LINEST(L70:L129,M70:T129,TRUE,TRUE),1,2)</f>
        <v/>
      </c>
      <c r="AI129" s="9">
        <f>INDEX(LINEST(L70:L129,M70:T129,TRUE,TRUE),1,1)</f>
        <v/>
      </c>
      <c r="AJ129" s="10">
        <f>INDEX(LINEST(L70:L129,M70:T129,TRUE,TRUE),3,1)</f>
        <v/>
      </c>
      <c r="AK129" s="9">
        <f>AA128/12+AB128*M129+AC128*N129+AD128*O129+AE128*P129+AF128*Q129+AG128*R129+AH128*S129+AI128*T129</f>
        <v/>
      </c>
      <c r="AL129" s="9">
        <f>AVERAGE(L69:L128)</f>
        <v/>
      </c>
    </row>
    <row r="130">
      <c r="L130" s="9">
        <f>LN(B130/B129)</f>
        <v/>
      </c>
      <c r="M130" s="9">
        <f>$M$1*(C130-C129)</f>
        <v/>
      </c>
      <c r="N130" s="9">
        <f>$N$1*(D130-D129)</f>
        <v/>
      </c>
      <c r="O130" s="9">
        <f>$O$1*LN(E130/E129)</f>
        <v/>
      </c>
      <c r="P130" s="9">
        <f>$P$1*LN(F130/F129)</f>
        <v/>
      </c>
      <c r="Q130" s="9">
        <f>$Q$1*(G130-G129)</f>
        <v/>
      </c>
      <c r="R130" s="9">
        <f>$R$1*(H130-H129)</f>
        <v/>
      </c>
      <c r="S130" s="9">
        <f>$S$1*LN(I130/I129)</f>
        <v/>
      </c>
      <c r="T130" s="9">
        <f>$T$1*LN(J130/J129)</f>
        <v/>
      </c>
      <c r="U130" s="9">
        <f>$W$12+$W$4*M130+$W$5*N130+$W$6*O130+$W$7*P130+$W$8*Q130+$W$9*R130+$W$10*S130+$W$11*T130</f>
        <v/>
      </c>
      <c r="AA130" s="10">
        <f>INDEX(LINEST(L71:L130,M71:T130,TRUE,TRUE),1,9)*12</f>
        <v/>
      </c>
      <c r="AB130" s="9">
        <f>INDEX(LINEST(L71:L130,M71:T130,TRUE,TRUE),1,8)</f>
        <v/>
      </c>
      <c r="AC130" s="9">
        <f>INDEX(LINEST(L71:L130,M71:T130,TRUE,TRUE),1,7)</f>
        <v/>
      </c>
      <c r="AD130" s="9">
        <f>INDEX(LINEST(L71:L130,M71:T130,TRUE,TRUE),1,6)</f>
        <v/>
      </c>
      <c r="AE130" s="9">
        <f>INDEX(LINEST(L71:L130,M71:T130,TRUE,TRUE),1,5)</f>
        <v/>
      </c>
      <c r="AF130" s="9">
        <f>INDEX(LINEST(L71:L130,M71:T130,TRUE,TRUE),1,4)</f>
        <v/>
      </c>
      <c r="AG130" s="9">
        <f>INDEX(LINEST(L71:L130,M71:T130,TRUE,TRUE),1,3)</f>
        <v/>
      </c>
      <c r="AH130" s="9">
        <f>INDEX(LINEST(L71:L130,M71:T130,TRUE,TRUE),1,2)</f>
        <v/>
      </c>
      <c r="AI130" s="9">
        <f>INDEX(LINEST(L71:L130,M71:T130,TRUE,TRUE),1,1)</f>
        <v/>
      </c>
      <c r="AJ130" s="10">
        <f>INDEX(LINEST(L71:L130,M71:T130,TRUE,TRUE),3,1)</f>
        <v/>
      </c>
      <c r="AK130" s="9">
        <f>AA129/12+AB129*M130+AC129*N130+AD129*O130+AE129*P130+AF129*Q130+AG129*R130+AH129*S130+AI129*T130</f>
        <v/>
      </c>
      <c r="AL130" s="9">
        <f>AVERAGE(L70:L129)</f>
        <v/>
      </c>
    </row>
    <row r="131">
      <c r="L131" s="9">
        <f>LN(B131/B130)</f>
        <v/>
      </c>
      <c r="M131" s="9">
        <f>$M$1*(C131-C130)</f>
        <v/>
      </c>
      <c r="N131" s="9">
        <f>$N$1*(D131-D130)</f>
        <v/>
      </c>
      <c r="O131" s="9">
        <f>$O$1*LN(E131/E130)</f>
        <v/>
      </c>
      <c r="P131" s="9">
        <f>$P$1*LN(F131/F130)</f>
        <v/>
      </c>
      <c r="Q131" s="9">
        <f>$Q$1*(G131-G130)</f>
        <v/>
      </c>
      <c r="R131" s="9">
        <f>$R$1*(H131-H130)</f>
        <v/>
      </c>
      <c r="S131" s="9">
        <f>$S$1*LN(I131/I130)</f>
        <v/>
      </c>
      <c r="T131" s="9">
        <f>$T$1*LN(J131/J130)</f>
        <v/>
      </c>
      <c r="U131" s="9">
        <f>$W$12+$W$4*M131+$W$5*N131+$W$6*O131+$W$7*P131+$W$8*Q131+$W$9*R131+$W$10*S131+$W$11*T131</f>
        <v/>
      </c>
      <c r="AA131" s="10">
        <f>INDEX(LINEST(L72:L131,M72:T131,TRUE,TRUE),1,9)*12</f>
        <v/>
      </c>
      <c r="AB131" s="9">
        <f>INDEX(LINEST(L72:L131,M72:T131,TRUE,TRUE),1,8)</f>
        <v/>
      </c>
      <c r="AC131" s="9">
        <f>INDEX(LINEST(L72:L131,M72:T131,TRUE,TRUE),1,7)</f>
        <v/>
      </c>
      <c r="AD131" s="9">
        <f>INDEX(LINEST(L72:L131,M72:T131,TRUE,TRUE),1,6)</f>
        <v/>
      </c>
      <c r="AE131" s="9">
        <f>INDEX(LINEST(L72:L131,M72:T131,TRUE,TRUE),1,5)</f>
        <v/>
      </c>
      <c r="AF131" s="9">
        <f>INDEX(LINEST(L72:L131,M72:T131,TRUE,TRUE),1,4)</f>
        <v/>
      </c>
      <c r="AG131" s="9">
        <f>INDEX(LINEST(L72:L131,M72:T131,TRUE,TRUE),1,3)</f>
        <v/>
      </c>
      <c r="AH131" s="9">
        <f>INDEX(LINEST(L72:L131,M72:T131,TRUE,TRUE),1,2)</f>
        <v/>
      </c>
      <c r="AI131" s="9">
        <f>INDEX(LINEST(L72:L131,M72:T131,TRUE,TRUE),1,1)</f>
        <v/>
      </c>
      <c r="AJ131" s="10">
        <f>INDEX(LINEST(L72:L131,M72:T131,TRUE,TRUE),3,1)</f>
        <v/>
      </c>
      <c r="AK131" s="9">
        <f>AA130/12+AB130*M131+AC130*N131+AD130*O131+AE130*P131+AF130*Q131+AG130*R131+AH130*S131+AI130*T131</f>
        <v/>
      </c>
      <c r="AL131" s="9">
        <f>AVERAGE(L71:L130)</f>
        <v/>
      </c>
    </row>
    <row r="132">
      <c r="L132" s="9">
        <f>LN(B132/B131)</f>
        <v/>
      </c>
      <c r="M132" s="9">
        <f>$M$1*(C132-C131)</f>
        <v/>
      </c>
      <c r="N132" s="9">
        <f>$N$1*(D132-D131)</f>
        <v/>
      </c>
      <c r="O132" s="9">
        <f>$O$1*LN(E132/E131)</f>
        <v/>
      </c>
      <c r="P132" s="9">
        <f>$P$1*LN(F132/F131)</f>
        <v/>
      </c>
      <c r="Q132" s="9">
        <f>$Q$1*(G132-G131)</f>
        <v/>
      </c>
      <c r="R132" s="9">
        <f>$R$1*(H132-H131)</f>
        <v/>
      </c>
      <c r="S132" s="9">
        <f>$S$1*LN(I132/I131)</f>
        <v/>
      </c>
      <c r="T132" s="9">
        <f>$T$1*LN(J132/J131)</f>
        <v/>
      </c>
      <c r="U132" s="9">
        <f>$W$12+$W$4*M132+$W$5*N132+$W$6*O132+$W$7*P132+$W$8*Q132+$W$9*R132+$W$10*S132+$W$11*T132</f>
        <v/>
      </c>
      <c r="AA132" s="10">
        <f>INDEX(LINEST(L73:L132,M73:T132,TRUE,TRUE),1,9)*12</f>
        <v/>
      </c>
      <c r="AB132" s="9">
        <f>INDEX(LINEST(L73:L132,M73:T132,TRUE,TRUE),1,8)</f>
        <v/>
      </c>
      <c r="AC132" s="9">
        <f>INDEX(LINEST(L73:L132,M73:T132,TRUE,TRUE),1,7)</f>
        <v/>
      </c>
      <c r="AD132" s="9">
        <f>INDEX(LINEST(L73:L132,M73:T132,TRUE,TRUE),1,6)</f>
        <v/>
      </c>
      <c r="AE132" s="9">
        <f>INDEX(LINEST(L73:L132,M73:T132,TRUE,TRUE),1,5)</f>
        <v/>
      </c>
      <c r="AF132" s="9">
        <f>INDEX(LINEST(L73:L132,M73:T132,TRUE,TRUE),1,4)</f>
        <v/>
      </c>
      <c r="AG132" s="9">
        <f>INDEX(LINEST(L73:L132,M73:T132,TRUE,TRUE),1,3)</f>
        <v/>
      </c>
      <c r="AH132" s="9">
        <f>INDEX(LINEST(L73:L132,M73:T132,TRUE,TRUE),1,2)</f>
        <v/>
      </c>
      <c r="AI132" s="9">
        <f>INDEX(LINEST(L73:L132,M73:T132,TRUE,TRUE),1,1)</f>
        <v/>
      </c>
      <c r="AJ132" s="10">
        <f>INDEX(LINEST(L73:L132,M73:T132,TRUE,TRUE),3,1)</f>
        <v/>
      </c>
      <c r="AK132" s="9">
        <f>AA131/12+AB131*M132+AC131*N132+AD131*O132+AE131*P132+AF131*Q132+AG131*R132+AH131*S132+AI131*T132</f>
        <v/>
      </c>
      <c r="AL132" s="9">
        <f>AVERAGE(L72:L131)</f>
        <v/>
      </c>
    </row>
    <row r="133">
      <c r="L133" s="9">
        <f>LN(B133/B132)</f>
        <v/>
      </c>
      <c r="M133" s="9">
        <f>$M$1*(C133-C132)</f>
        <v/>
      </c>
      <c r="N133" s="9">
        <f>$N$1*(D133-D132)</f>
        <v/>
      </c>
      <c r="O133" s="9">
        <f>$O$1*LN(E133/E132)</f>
        <v/>
      </c>
      <c r="P133" s="9">
        <f>$P$1*LN(F133/F132)</f>
        <v/>
      </c>
      <c r="Q133" s="9">
        <f>$Q$1*(G133-G132)</f>
        <v/>
      </c>
      <c r="R133" s="9">
        <f>$R$1*(H133-H132)</f>
        <v/>
      </c>
      <c r="S133" s="9">
        <f>$S$1*LN(I133/I132)</f>
        <v/>
      </c>
      <c r="T133" s="9">
        <f>$T$1*LN(J133/J132)</f>
        <v/>
      </c>
      <c r="U133" s="9">
        <f>$W$12+$W$4*M133+$W$5*N133+$W$6*O133+$W$7*P133+$W$8*Q133+$W$9*R133+$W$10*S133+$W$11*T133</f>
        <v/>
      </c>
      <c r="AA133" s="10">
        <f>INDEX(LINEST(L74:L133,M74:T133,TRUE,TRUE),1,9)*12</f>
        <v/>
      </c>
      <c r="AB133" s="9">
        <f>INDEX(LINEST(L74:L133,M74:T133,TRUE,TRUE),1,8)</f>
        <v/>
      </c>
      <c r="AC133" s="9">
        <f>INDEX(LINEST(L74:L133,M74:T133,TRUE,TRUE),1,7)</f>
        <v/>
      </c>
      <c r="AD133" s="9">
        <f>INDEX(LINEST(L74:L133,M74:T133,TRUE,TRUE),1,6)</f>
        <v/>
      </c>
      <c r="AE133" s="9">
        <f>INDEX(LINEST(L74:L133,M74:T133,TRUE,TRUE),1,5)</f>
        <v/>
      </c>
      <c r="AF133" s="9">
        <f>INDEX(LINEST(L74:L133,M74:T133,TRUE,TRUE),1,4)</f>
        <v/>
      </c>
      <c r="AG133" s="9">
        <f>INDEX(LINEST(L74:L133,M74:T133,TRUE,TRUE),1,3)</f>
        <v/>
      </c>
      <c r="AH133" s="9">
        <f>INDEX(LINEST(L74:L133,M74:T133,TRUE,TRUE),1,2)</f>
        <v/>
      </c>
      <c r="AI133" s="9">
        <f>INDEX(LINEST(L74:L133,M74:T133,TRUE,TRUE),1,1)</f>
        <v/>
      </c>
      <c r="AJ133" s="10">
        <f>INDEX(LINEST(L74:L133,M74:T133,TRUE,TRUE),3,1)</f>
        <v/>
      </c>
      <c r="AK133" s="9">
        <f>AA132/12+AB132*M133+AC132*N133+AD132*O133+AE132*P133+AF132*Q133+AG132*R133+AH132*S133+AI132*T133</f>
        <v/>
      </c>
      <c r="AL133" s="9">
        <f>AVERAGE(L73:L132)</f>
        <v/>
      </c>
    </row>
    <row r="134">
      <c r="L134" s="9">
        <f>LN(B134/B133)</f>
        <v/>
      </c>
      <c r="M134" s="9">
        <f>$M$1*(C134-C133)</f>
        <v/>
      </c>
      <c r="N134" s="9">
        <f>$N$1*(D134-D133)</f>
        <v/>
      </c>
      <c r="O134" s="9">
        <f>$O$1*LN(E134/E133)</f>
        <v/>
      </c>
      <c r="P134" s="9">
        <f>$P$1*LN(F134/F133)</f>
        <v/>
      </c>
      <c r="Q134" s="9">
        <f>$Q$1*(G134-G133)</f>
        <v/>
      </c>
      <c r="R134" s="9">
        <f>$R$1*(H134-H133)</f>
        <v/>
      </c>
      <c r="S134" s="9">
        <f>$S$1*LN(I134/I133)</f>
        <v/>
      </c>
      <c r="T134" s="9">
        <f>$T$1*LN(J134/J133)</f>
        <v/>
      </c>
      <c r="U134" s="9">
        <f>$W$12+$W$4*M134+$W$5*N134+$W$6*O134+$W$7*P134+$W$8*Q134+$W$9*R134+$W$10*S134+$W$11*T134</f>
        <v/>
      </c>
      <c r="AA134" s="10">
        <f>INDEX(LINEST(L75:L134,M75:T134,TRUE,TRUE),1,9)*12</f>
        <v/>
      </c>
      <c r="AB134" s="9">
        <f>INDEX(LINEST(L75:L134,M75:T134,TRUE,TRUE),1,8)</f>
        <v/>
      </c>
      <c r="AC134" s="9">
        <f>INDEX(LINEST(L75:L134,M75:T134,TRUE,TRUE),1,7)</f>
        <v/>
      </c>
      <c r="AD134" s="9">
        <f>INDEX(LINEST(L75:L134,M75:T134,TRUE,TRUE),1,6)</f>
        <v/>
      </c>
      <c r="AE134" s="9">
        <f>INDEX(LINEST(L75:L134,M75:T134,TRUE,TRUE),1,5)</f>
        <v/>
      </c>
      <c r="AF134" s="9">
        <f>INDEX(LINEST(L75:L134,M75:T134,TRUE,TRUE),1,4)</f>
        <v/>
      </c>
      <c r="AG134" s="9">
        <f>INDEX(LINEST(L75:L134,M75:T134,TRUE,TRUE),1,3)</f>
        <v/>
      </c>
      <c r="AH134" s="9">
        <f>INDEX(LINEST(L75:L134,M75:T134,TRUE,TRUE),1,2)</f>
        <v/>
      </c>
      <c r="AI134" s="9">
        <f>INDEX(LINEST(L75:L134,M75:T134,TRUE,TRUE),1,1)</f>
        <v/>
      </c>
      <c r="AJ134" s="10">
        <f>INDEX(LINEST(L75:L134,M75:T134,TRUE,TRUE),3,1)</f>
        <v/>
      </c>
      <c r="AK134" s="9">
        <f>AA133/12+AB133*M134+AC133*N134+AD133*O134+AE133*P134+AF133*Q134+AG133*R134+AH133*S134+AI133*T134</f>
        <v/>
      </c>
      <c r="AL134" s="9">
        <f>AVERAGE(L74:L133)</f>
        <v/>
      </c>
    </row>
    <row r="135">
      <c r="L135" s="9">
        <f>LN(B135/B134)</f>
        <v/>
      </c>
      <c r="M135" s="9">
        <f>$M$1*(C135-C134)</f>
        <v/>
      </c>
      <c r="N135" s="9">
        <f>$N$1*(D135-D134)</f>
        <v/>
      </c>
      <c r="O135" s="9">
        <f>$O$1*LN(E135/E134)</f>
        <v/>
      </c>
      <c r="P135" s="9">
        <f>$P$1*LN(F135/F134)</f>
        <v/>
      </c>
      <c r="Q135" s="9">
        <f>$Q$1*(G135-G134)</f>
        <v/>
      </c>
      <c r="R135" s="9">
        <f>$R$1*(H135-H134)</f>
        <v/>
      </c>
      <c r="S135" s="9">
        <f>$S$1*LN(I135/I134)</f>
        <v/>
      </c>
      <c r="T135" s="9">
        <f>$T$1*LN(J135/J134)</f>
        <v/>
      </c>
      <c r="U135" s="9">
        <f>$W$12+$W$4*M135+$W$5*N135+$W$6*O135+$W$7*P135+$W$8*Q135+$W$9*R135+$W$10*S135+$W$11*T135</f>
        <v/>
      </c>
      <c r="AA135" s="10">
        <f>INDEX(LINEST(L76:L135,M76:T135,TRUE,TRUE),1,9)*12</f>
        <v/>
      </c>
      <c r="AB135" s="9">
        <f>INDEX(LINEST(L76:L135,M76:T135,TRUE,TRUE),1,8)</f>
        <v/>
      </c>
      <c r="AC135" s="9">
        <f>INDEX(LINEST(L76:L135,M76:T135,TRUE,TRUE),1,7)</f>
        <v/>
      </c>
      <c r="AD135" s="9">
        <f>INDEX(LINEST(L76:L135,M76:T135,TRUE,TRUE),1,6)</f>
        <v/>
      </c>
      <c r="AE135" s="9">
        <f>INDEX(LINEST(L76:L135,M76:T135,TRUE,TRUE),1,5)</f>
        <v/>
      </c>
      <c r="AF135" s="9">
        <f>INDEX(LINEST(L76:L135,M76:T135,TRUE,TRUE),1,4)</f>
        <v/>
      </c>
      <c r="AG135" s="9">
        <f>INDEX(LINEST(L76:L135,M76:T135,TRUE,TRUE),1,3)</f>
        <v/>
      </c>
      <c r="AH135" s="9">
        <f>INDEX(LINEST(L76:L135,M76:T135,TRUE,TRUE),1,2)</f>
        <v/>
      </c>
      <c r="AI135" s="9">
        <f>INDEX(LINEST(L76:L135,M76:T135,TRUE,TRUE),1,1)</f>
        <v/>
      </c>
      <c r="AJ135" s="10">
        <f>INDEX(LINEST(L76:L135,M76:T135,TRUE,TRUE),3,1)</f>
        <v/>
      </c>
      <c r="AK135" s="9">
        <f>AA134/12+AB134*M135+AC134*N135+AD134*O135+AE134*P135+AF134*Q135+AG134*R135+AH134*S135+AI134*T135</f>
        <v/>
      </c>
      <c r="AL135" s="9">
        <f>AVERAGE(L75:L134)</f>
        <v/>
      </c>
    </row>
    <row r="136">
      <c r="L136" s="9">
        <f>LN(B136/B135)</f>
        <v/>
      </c>
      <c r="M136" s="9">
        <f>$M$1*(C136-C135)</f>
        <v/>
      </c>
      <c r="N136" s="9">
        <f>$N$1*(D136-D135)</f>
        <v/>
      </c>
      <c r="O136" s="9">
        <f>$O$1*LN(E136/E135)</f>
        <v/>
      </c>
      <c r="P136" s="9">
        <f>$P$1*LN(F136/F135)</f>
        <v/>
      </c>
      <c r="Q136" s="9">
        <f>$Q$1*(G136-G135)</f>
        <v/>
      </c>
      <c r="R136" s="9">
        <f>$R$1*(H136-H135)</f>
        <v/>
      </c>
      <c r="S136" s="9">
        <f>$S$1*LN(I136/I135)</f>
        <v/>
      </c>
      <c r="T136" s="9">
        <f>$T$1*LN(J136/J135)</f>
        <v/>
      </c>
      <c r="U136" s="9">
        <f>$W$12+$W$4*M136+$W$5*N136+$W$6*O136+$W$7*P136+$W$8*Q136+$W$9*R136+$W$10*S136+$W$11*T136</f>
        <v/>
      </c>
      <c r="AA136" s="10">
        <f>INDEX(LINEST(L77:L136,M77:T136,TRUE,TRUE),1,9)*12</f>
        <v/>
      </c>
      <c r="AB136" s="9">
        <f>INDEX(LINEST(L77:L136,M77:T136,TRUE,TRUE),1,8)</f>
        <v/>
      </c>
      <c r="AC136" s="9">
        <f>INDEX(LINEST(L77:L136,M77:T136,TRUE,TRUE),1,7)</f>
        <v/>
      </c>
      <c r="AD136" s="9">
        <f>INDEX(LINEST(L77:L136,M77:T136,TRUE,TRUE),1,6)</f>
        <v/>
      </c>
      <c r="AE136" s="9">
        <f>INDEX(LINEST(L77:L136,M77:T136,TRUE,TRUE),1,5)</f>
        <v/>
      </c>
      <c r="AF136" s="9">
        <f>INDEX(LINEST(L77:L136,M77:T136,TRUE,TRUE),1,4)</f>
        <v/>
      </c>
      <c r="AG136" s="9">
        <f>INDEX(LINEST(L77:L136,M77:T136,TRUE,TRUE),1,3)</f>
        <v/>
      </c>
      <c r="AH136" s="9">
        <f>INDEX(LINEST(L77:L136,M77:T136,TRUE,TRUE),1,2)</f>
        <v/>
      </c>
      <c r="AI136" s="9">
        <f>INDEX(LINEST(L77:L136,M77:T136,TRUE,TRUE),1,1)</f>
        <v/>
      </c>
      <c r="AJ136" s="10">
        <f>INDEX(LINEST(L77:L136,M77:T136,TRUE,TRUE),3,1)</f>
        <v/>
      </c>
      <c r="AK136" s="9">
        <f>AA135/12+AB135*M136+AC135*N136+AD135*O136+AE135*P136+AF135*Q136+AG135*R136+AH135*S136+AI135*T136</f>
        <v/>
      </c>
      <c r="AL136" s="9">
        <f>AVERAGE(L76:L135)</f>
        <v/>
      </c>
    </row>
    <row r="137">
      <c r="L137" s="9">
        <f>LN(B137/B136)</f>
        <v/>
      </c>
      <c r="M137" s="9">
        <f>$M$1*(C137-C136)</f>
        <v/>
      </c>
      <c r="N137" s="9">
        <f>$N$1*(D137-D136)</f>
        <v/>
      </c>
      <c r="O137" s="9">
        <f>$O$1*LN(E137/E136)</f>
        <v/>
      </c>
      <c r="P137" s="9">
        <f>$P$1*LN(F137/F136)</f>
        <v/>
      </c>
      <c r="Q137" s="9">
        <f>$Q$1*(G137-G136)</f>
        <v/>
      </c>
      <c r="R137" s="9">
        <f>$R$1*(H137-H136)</f>
        <v/>
      </c>
      <c r="S137" s="9">
        <f>$S$1*LN(I137/I136)</f>
        <v/>
      </c>
      <c r="T137" s="9">
        <f>$T$1*LN(J137/J136)</f>
        <v/>
      </c>
      <c r="U137" s="9">
        <f>$W$12+$W$4*M137+$W$5*N137+$W$6*O137+$W$7*P137+$W$8*Q137+$W$9*R137+$W$10*S137+$W$11*T137</f>
        <v/>
      </c>
      <c r="AA137" s="10">
        <f>INDEX(LINEST(L78:L137,M78:T137,TRUE,TRUE),1,9)*12</f>
        <v/>
      </c>
      <c r="AB137" s="9">
        <f>INDEX(LINEST(L78:L137,M78:T137,TRUE,TRUE),1,8)</f>
        <v/>
      </c>
      <c r="AC137" s="9">
        <f>INDEX(LINEST(L78:L137,M78:T137,TRUE,TRUE),1,7)</f>
        <v/>
      </c>
      <c r="AD137" s="9">
        <f>INDEX(LINEST(L78:L137,M78:T137,TRUE,TRUE),1,6)</f>
        <v/>
      </c>
      <c r="AE137" s="9">
        <f>INDEX(LINEST(L78:L137,M78:T137,TRUE,TRUE),1,5)</f>
        <v/>
      </c>
      <c r="AF137" s="9">
        <f>INDEX(LINEST(L78:L137,M78:T137,TRUE,TRUE),1,4)</f>
        <v/>
      </c>
      <c r="AG137" s="9">
        <f>INDEX(LINEST(L78:L137,M78:T137,TRUE,TRUE),1,3)</f>
        <v/>
      </c>
      <c r="AH137" s="9">
        <f>INDEX(LINEST(L78:L137,M78:T137,TRUE,TRUE),1,2)</f>
        <v/>
      </c>
      <c r="AI137" s="9">
        <f>INDEX(LINEST(L78:L137,M78:T137,TRUE,TRUE),1,1)</f>
        <v/>
      </c>
      <c r="AJ137" s="10">
        <f>INDEX(LINEST(L78:L137,M78:T137,TRUE,TRUE),3,1)</f>
        <v/>
      </c>
      <c r="AK137" s="9">
        <f>AA136/12+AB136*M137+AC136*N137+AD136*O137+AE136*P137+AF136*Q137+AG136*R137+AH136*S137+AI136*T137</f>
        <v/>
      </c>
      <c r="AL137" s="9">
        <f>AVERAGE(L77:L136)</f>
        <v/>
      </c>
    </row>
    <row r="138">
      <c r="L138" s="9">
        <f>LN(B138/B137)</f>
        <v/>
      </c>
      <c r="M138" s="9">
        <f>$M$1*(C138-C137)</f>
        <v/>
      </c>
      <c r="N138" s="9">
        <f>$N$1*(D138-D137)</f>
        <v/>
      </c>
      <c r="O138" s="9">
        <f>$O$1*LN(E138/E137)</f>
        <v/>
      </c>
      <c r="P138" s="9">
        <f>$P$1*LN(F138/F137)</f>
        <v/>
      </c>
      <c r="Q138" s="9">
        <f>$Q$1*(G138-G137)</f>
        <v/>
      </c>
      <c r="R138" s="9">
        <f>$R$1*(H138-H137)</f>
        <v/>
      </c>
      <c r="S138" s="9">
        <f>$S$1*LN(I138/I137)</f>
        <v/>
      </c>
      <c r="T138" s="9">
        <f>$T$1*LN(J138/J137)</f>
        <v/>
      </c>
      <c r="U138" s="9">
        <f>$W$12+$W$4*M138+$W$5*N138+$W$6*O138+$W$7*P138+$W$8*Q138+$W$9*R138+$W$10*S138+$W$11*T138</f>
        <v/>
      </c>
      <c r="AA138" s="10">
        <f>INDEX(LINEST(L79:L138,M79:T138,TRUE,TRUE),1,9)*12</f>
        <v/>
      </c>
      <c r="AB138" s="9">
        <f>INDEX(LINEST(L79:L138,M79:T138,TRUE,TRUE),1,8)</f>
        <v/>
      </c>
      <c r="AC138" s="9">
        <f>INDEX(LINEST(L79:L138,M79:T138,TRUE,TRUE),1,7)</f>
        <v/>
      </c>
      <c r="AD138" s="9">
        <f>INDEX(LINEST(L79:L138,M79:T138,TRUE,TRUE),1,6)</f>
        <v/>
      </c>
      <c r="AE138" s="9">
        <f>INDEX(LINEST(L79:L138,M79:T138,TRUE,TRUE),1,5)</f>
        <v/>
      </c>
      <c r="AF138" s="9">
        <f>INDEX(LINEST(L79:L138,M79:T138,TRUE,TRUE),1,4)</f>
        <v/>
      </c>
      <c r="AG138" s="9">
        <f>INDEX(LINEST(L79:L138,M79:T138,TRUE,TRUE),1,3)</f>
        <v/>
      </c>
      <c r="AH138" s="9">
        <f>INDEX(LINEST(L79:L138,M79:T138,TRUE,TRUE),1,2)</f>
        <v/>
      </c>
      <c r="AI138" s="9">
        <f>INDEX(LINEST(L79:L138,M79:T138,TRUE,TRUE),1,1)</f>
        <v/>
      </c>
      <c r="AJ138" s="10">
        <f>INDEX(LINEST(L79:L138,M79:T138,TRUE,TRUE),3,1)</f>
        <v/>
      </c>
      <c r="AK138" s="9">
        <f>AA137/12+AB137*M138+AC137*N138+AD137*O138+AE137*P138+AF137*Q138+AG137*R138+AH137*S138+AI137*T138</f>
        <v/>
      </c>
      <c r="AL138" s="9">
        <f>AVERAGE(L78:L137)</f>
        <v/>
      </c>
    </row>
    <row r="139">
      <c r="L139" s="9">
        <f>LN(B139/B138)</f>
        <v/>
      </c>
      <c r="M139" s="9">
        <f>$M$1*(C139-C138)</f>
        <v/>
      </c>
      <c r="N139" s="9">
        <f>$N$1*(D139-D138)</f>
        <v/>
      </c>
      <c r="O139" s="9">
        <f>$O$1*LN(E139/E138)</f>
        <v/>
      </c>
      <c r="P139" s="9">
        <f>$P$1*LN(F139/F138)</f>
        <v/>
      </c>
      <c r="Q139" s="9">
        <f>$Q$1*(G139-G138)</f>
        <v/>
      </c>
      <c r="R139" s="9">
        <f>$R$1*(H139-H138)</f>
        <v/>
      </c>
      <c r="S139" s="9">
        <f>$S$1*LN(I139/I138)</f>
        <v/>
      </c>
      <c r="T139" s="9">
        <f>$T$1*LN(J139/J138)</f>
        <v/>
      </c>
      <c r="U139" s="9">
        <f>$W$12+$W$4*M139+$W$5*N139+$W$6*O139+$W$7*P139+$W$8*Q139+$W$9*R139+$W$10*S139+$W$11*T139</f>
        <v/>
      </c>
      <c r="AA139" s="10">
        <f>INDEX(LINEST(L80:L139,M80:T139,TRUE,TRUE),1,9)*12</f>
        <v/>
      </c>
      <c r="AB139" s="9">
        <f>INDEX(LINEST(L80:L139,M80:T139,TRUE,TRUE),1,8)</f>
        <v/>
      </c>
      <c r="AC139" s="9">
        <f>INDEX(LINEST(L80:L139,M80:T139,TRUE,TRUE),1,7)</f>
        <v/>
      </c>
      <c r="AD139" s="9">
        <f>INDEX(LINEST(L80:L139,M80:T139,TRUE,TRUE),1,6)</f>
        <v/>
      </c>
      <c r="AE139" s="9">
        <f>INDEX(LINEST(L80:L139,M80:T139,TRUE,TRUE),1,5)</f>
        <v/>
      </c>
      <c r="AF139" s="9">
        <f>INDEX(LINEST(L80:L139,M80:T139,TRUE,TRUE),1,4)</f>
        <v/>
      </c>
      <c r="AG139" s="9">
        <f>INDEX(LINEST(L80:L139,M80:T139,TRUE,TRUE),1,3)</f>
        <v/>
      </c>
      <c r="AH139" s="9">
        <f>INDEX(LINEST(L80:L139,M80:T139,TRUE,TRUE),1,2)</f>
        <v/>
      </c>
      <c r="AI139" s="9">
        <f>INDEX(LINEST(L80:L139,M80:T139,TRUE,TRUE),1,1)</f>
        <v/>
      </c>
      <c r="AJ139" s="10">
        <f>INDEX(LINEST(L80:L139,M80:T139,TRUE,TRUE),3,1)</f>
        <v/>
      </c>
      <c r="AK139" s="9">
        <f>AA138/12+AB138*M139+AC138*N139+AD138*O139+AE138*P139+AF138*Q139+AG138*R139+AH138*S139+AI138*T139</f>
        <v/>
      </c>
      <c r="AL139" s="9">
        <f>AVERAGE(L79:L138)</f>
        <v/>
      </c>
    </row>
    <row r="140">
      <c r="L140" s="9">
        <f>LN(B140/B139)</f>
        <v/>
      </c>
      <c r="M140" s="9">
        <f>$M$1*(C140-C139)</f>
        <v/>
      </c>
      <c r="N140" s="9">
        <f>$N$1*(D140-D139)</f>
        <v/>
      </c>
      <c r="O140" s="9">
        <f>$O$1*LN(E140/E139)</f>
        <v/>
      </c>
      <c r="P140" s="9">
        <f>$P$1*LN(F140/F139)</f>
        <v/>
      </c>
      <c r="Q140" s="9">
        <f>$Q$1*(G140-G139)</f>
        <v/>
      </c>
      <c r="R140" s="9">
        <f>$R$1*(H140-H139)</f>
        <v/>
      </c>
      <c r="S140" s="9">
        <f>$S$1*LN(I140/I139)</f>
        <v/>
      </c>
      <c r="T140" s="9">
        <f>$T$1*LN(J140/J139)</f>
        <v/>
      </c>
      <c r="U140" s="9">
        <f>$W$12+$W$4*M140+$W$5*N140+$W$6*O140+$W$7*P140+$W$8*Q140+$W$9*R140+$W$10*S140+$W$11*T140</f>
        <v/>
      </c>
      <c r="AA140" s="10">
        <f>INDEX(LINEST(L81:L140,M81:T140,TRUE,TRUE),1,9)*12</f>
        <v/>
      </c>
      <c r="AB140" s="9">
        <f>INDEX(LINEST(L81:L140,M81:T140,TRUE,TRUE),1,8)</f>
        <v/>
      </c>
      <c r="AC140" s="9">
        <f>INDEX(LINEST(L81:L140,M81:T140,TRUE,TRUE),1,7)</f>
        <v/>
      </c>
      <c r="AD140" s="9">
        <f>INDEX(LINEST(L81:L140,M81:T140,TRUE,TRUE),1,6)</f>
        <v/>
      </c>
      <c r="AE140" s="9">
        <f>INDEX(LINEST(L81:L140,M81:T140,TRUE,TRUE),1,5)</f>
        <v/>
      </c>
      <c r="AF140" s="9">
        <f>INDEX(LINEST(L81:L140,M81:T140,TRUE,TRUE),1,4)</f>
        <v/>
      </c>
      <c r="AG140" s="9">
        <f>INDEX(LINEST(L81:L140,M81:T140,TRUE,TRUE),1,3)</f>
        <v/>
      </c>
      <c r="AH140" s="9">
        <f>INDEX(LINEST(L81:L140,M81:T140,TRUE,TRUE),1,2)</f>
        <v/>
      </c>
      <c r="AI140" s="9">
        <f>INDEX(LINEST(L81:L140,M81:T140,TRUE,TRUE),1,1)</f>
        <v/>
      </c>
      <c r="AJ140" s="10">
        <f>INDEX(LINEST(L81:L140,M81:T140,TRUE,TRUE),3,1)</f>
        <v/>
      </c>
      <c r="AK140" s="9">
        <f>AA139/12+AB139*M140+AC139*N140+AD139*O140+AE139*P140+AF139*Q140+AG139*R140+AH139*S140+AI139*T140</f>
        <v/>
      </c>
      <c r="AL140" s="9">
        <f>AVERAGE(L80:L139)</f>
        <v/>
      </c>
    </row>
    <row r="141">
      <c r="L141" s="9">
        <f>LN(B141/B140)</f>
        <v/>
      </c>
      <c r="M141" s="9">
        <f>$M$1*(C141-C140)</f>
        <v/>
      </c>
      <c r="N141" s="9">
        <f>$N$1*(D141-D140)</f>
        <v/>
      </c>
      <c r="O141" s="9">
        <f>$O$1*LN(E141/E140)</f>
        <v/>
      </c>
      <c r="P141" s="9">
        <f>$P$1*LN(F141/F140)</f>
        <v/>
      </c>
      <c r="Q141" s="9">
        <f>$Q$1*(G141-G140)</f>
        <v/>
      </c>
      <c r="R141" s="9">
        <f>$R$1*(H141-H140)</f>
        <v/>
      </c>
      <c r="S141" s="9">
        <f>$S$1*LN(I141/I140)</f>
        <v/>
      </c>
      <c r="T141" s="9">
        <f>$T$1*LN(J141/J140)</f>
        <v/>
      </c>
      <c r="U141" s="9">
        <f>$W$12+$W$4*M141+$W$5*N141+$W$6*O141+$W$7*P141+$W$8*Q141+$W$9*R141+$W$10*S141+$W$11*T141</f>
        <v/>
      </c>
      <c r="AA141" s="10">
        <f>INDEX(LINEST(L82:L141,M82:T141,TRUE,TRUE),1,9)*12</f>
        <v/>
      </c>
      <c r="AB141" s="9">
        <f>INDEX(LINEST(L82:L141,M82:T141,TRUE,TRUE),1,8)</f>
        <v/>
      </c>
      <c r="AC141" s="9">
        <f>INDEX(LINEST(L82:L141,M82:T141,TRUE,TRUE),1,7)</f>
        <v/>
      </c>
      <c r="AD141" s="9">
        <f>INDEX(LINEST(L82:L141,M82:T141,TRUE,TRUE),1,6)</f>
        <v/>
      </c>
      <c r="AE141" s="9">
        <f>INDEX(LINEST(L82:L141,M82:T141,TRUE,TRUE),1,5)</f>
        <v/>
      </c>
      <c r="AF141" s="9">
        <f>INDEX(LINEST(L82:L141,M82:T141,TRUE,TRUE),1,4)</f>
        <v/>
      </c>
      <c r="AG141" s="9">
        <f>INDEX(LINEST(L82:L141,M82:T141,TRUE,TRUE),1,3)</f>
        <v/>
      </c>
      <c r="AH141" s="9">
        <f>INDEX(LINEST(L82:L141,M82:T141,TRUE,TRUE),1,2)</f>
        <v/>
      </c>
      <c r="AI141" s="9">
        <f>INDEX(LINEST(L82:L141,M82:T141,TRUE,TRUE),1,1)</f>
        <v/>
      </c>
      <c r="AJ141" s="10">
        <f>INDEX(LINEST(L82:L141,M82:T141,TRUE,TRUE),3,1)</f>
        <v/>
      </c>
      <c r="AK141" s="9">
        <f>AA140/12+AB140*M141+AC140*N141+AD140*O141+AE140*P141+AF140*Q141+AG140*R141+AH140*S141+AI140*T141</f>
        <v/>
      </c>
      <c r="AL141" s="9">
        <f>AVERAGE(L81:L140)</f>
        <v/>
      </c>
    </row>
    <row r="142">
      <c r="L142" s="9">
        <f>LN(B142/B141)</f>
        <v/>
      </c>
      <c r="M142" s="9">
        <f>$M$1*(C142-C141)</f>
        <v/>
      </c>
      <c r="N142" s="9">
        <f>$N$1*(D142-D141)</f>
        <v/>
      </c>
      <c r="O142" s="9">
        <f>$O$1*LN(E142/E141)</f>
        <v/>
      </c>
      <c r="P142" s="9">
        <f>$P$1*LN(F142/F141)</f>
        <v/>
      </c>
      <c r="Q142" s="9">
        <f>$Q$1*(G142-G141)</f>
        <v/>
      </c>
      <c r="R142" s="9">
        <f>$R$1*(H142-H141)</f>
        <v/>
      </c>
      <c r="S142" s="9">
        <f>$S$1*LN(I142/I141)</f>
        <v/>
      </c>
      <c r="T142" s="9">
        <f>$T$1*LN(J142/J141)</f>
        <v/>
      </c>
      <c r="U142" s="9">
        <f>$W$12+$W$4*M142+$W$5*N142+$W$6*O142+$W$7*P142+$W$8*Q142+$W$9*R142+$W$10*S142+$W$11*T142</f>
        <v/>
      </c>
      <c r="AA142" s="10">
        <f>INDEX(LINEST(L83:L142,M83:T142,TRUE,TRUE),1,9)*12</f>
        <v/>
      </c>
      <c r="AB142" s="9">
        <f>INDEX(LINEST(L83:L142,M83:T142,TRUE,TRUE),1,8)</f>
        <v/>
      </c>
      <c r="AC142" s="9">
        <f>INDEX(LINEST(L83:L142,M83:T142,TRUE,TRUE),1,7)</f>
        <v/>
      </c>
      <c r="AD142" s="9">
        <f>INDEX(LINEST(L83:L142,M83:T142,TRUE,TRUE),1,6)</f>
        <v/>
      </c>
      <c r="AE142" s="9">
        <f>INDEX(LINEST(L83:L142,M83:T142,TRUE,TRUE),1,5)</f>
        <v/>
      </c>
      <c r="AF142" s="9">
        <f>INDEX(LINEST(L83:L142,M83:T142,TRUE,TRUE),1,4)</f>
        <v/>
      </c>
      <c r="AG142" s="9">
        <f>INDEX(LINEST(L83:L142,M83:T142,TRUE,TRUE),1,3)</f>
        <v/>
      </c>
      <c r="AH142" s="9">
        <f>INDEX(LINEST(L83:L142,M83:T142,TRUE,TRUE),1,2)</f>
        <v/>
      </c>
      <c r="AI142" s="9">
        <f>INDEX(LINEST(L83:L142,M83:T142,TRUE,TRUE),1,1)</f>
        <v/>
      </c>
      <c r="AJ142" s="10">
        <f>INDEX(LINEST(L83:L142,M83:T142,TRUE,TRUE),3,1)</f>
        <v/>
      </c>
      <c r="AK142" s="9">
        <f>AA141/12+AB141*M142+AC141*N142+AD141*O142+AE141*P142+AF141*Q142+AG141*R142+AH141*S142+AI141*T142</f>
        <v/>
      </c>
      <c r="AL142" s="9">
        <f>AVERAGE(L82:L141)</f>
        <v/>
      </c>
    </row>
    <row r="143">
      <c r="L143" s="9">
        <f>LN(B143/B142)</f>
        <v/>
      </c>
      <c r="M143" s="9">
        <f>$M$1*(C143-C142)</f>
        <v/>
      </c>
      <c r="N143" s="9">
        <f>$N$1*(D143-D142)</f>
        <v/>
      </c>
      <c r="O143" s="9">
        <f>$O$1*LN(E143/E142)</f>
        <v/>
      </c>
      <c r="P143" s="9">
        <f>$P$1*LN(F143/F142)</f>
        <v/>
      </c>
      <c r="Q143" s="9">
        <f>$Q$1*(G143-G142)</f>
        <v/>
      </c>
      <c r="R143" s="9">
        <f>$R$1*(H143-H142)</f>
        <v/>
      </c>
      <c r="S143" s="9">
        <f>$S$1*LN(I143/I142)</f>
        <v/>
      </c>
      <c r="T143" s="9">
        <f>$T$1*LN(J143/J142)</f>
        <v/>
      </c>
      <c r="U143" s="9">
        <f>$W$12+$W$4*M143+$W$5*N143+$W$6*O143+$W$7*P143+$W$8*Q143+$W$9*R143+$W$10*S143+$W$11*T143</f>
        <v/>
      </c>
      <c r="AA143" s="10">
        <f>INDEX(LINEST(L84:L143,M84:T143,TRUE,TRUE),1,9)*12</f>
        <v/>
      </c>
      <c r="AB143" s="9">
        <f>INDEX(LINEST(L84:L143,M84:T143,TRUE,TRUE),1,8)</f>
        <v/>
      </c>
      <c r="AC143" s="9">
        <f>INDEX(LINEST(L84:L143,M84:T143,TRUE,TRUE),1,7)</f>
        <v/>
      </c>
      <c r="AD143" s="9">
        <f>INDEX(LINEST(L84:L143,M84:T143,TRUE,TRUE),1,6)</f>
        <v/>
      </c>
      <c r="AE143" s="9">
        <f>INDEX(LINEST(L84:L143,M84:T143,TRUE,TRUE),1,5)</f>
        <v/>
      </c>
      <c r="AF143" s="9">
        <f>INDEX(LINEST(L84:L143,M84:T143,TRUE,TRUE),1,4)</f>
        <v/>
      </c>
      <c r="AG143" s="9">
        <f>INDEX(LINEST(L84:L143,M84:T143,TRUE,TRUE),1,3)</f>
        <v/>
      </c>
      <c r="AH143" s="9">
        <f>INDEX(LINEST(L84:L143,M84:T143,TRUE,TRUE),1,2)</f>
        <v/>
      </c>
      <c r="AI143" s="9">
        <f>INDEX(LINEST(L84:L143,M84:T143,TRUE,TRUE),1,1)</f>
        <v/>
      </c>
      <c r="AJ143" s="10">
        <f>INDEX(LINEST(L84:L143,M84:T143,TRUE,TRUE),3,1)</f>
        <v/>
      </c>
      <c r="AK143" s="9">
        <f>AA142/12+AB142*M143+AC142*N143+AD142*O143+AE142*P143+AF142*Q143+AG142*R143+AH142*S143+AI142*T143</f>
        <v/>
      </c>
      <c r="AL143" s="9">
        <f>AVERAGE(L83:L142)</f>
        <v/>
      </c>
    </row>
    <row r="144">
      <c r="L144" s="9">
        <f>LN(B144/B143)</f>
        <v/>
      </c>
      <c r="M144" s="9">
        <f>$M$1*(C144-C143)</f>
        <v/>
      </c>
      <c r="N144" s="9">
        <f>$N$1*(D144-D143)</f>
        <v/>
      </c>
      <c r="O144" s="9">
        <f>$O$1*LN(E144/E143)</f>
        <v/>
      </c>
      <c r="P144" s="9">
        <f>$P$1*LN(F144/F143)</f>
        <v/>
      </c>
      <c r="Q144" s="9">
        <f>$Q$1*(G144-G143)</f>
        <v/>
      </c>
      <c r="R144" s="9">
        <f>$R$1*(H144-H143)</f>
        <v/>
      </c>
      <c r="S144" s="9">
        <f>$S$1*LN(I144/I143)</f>
        <v/>
      </c>
      <c r="T144" s="9">
        <f>$T$1*LN(J144/J143)</f>
        <v/>
      </c>
      <c r="U144" s="9">
        <f>$W$12+$W$4*M144+$W$5*N144+$W$6*O144+$W$7*P144+$W$8*Q144+$W$9*R144+$W$10*S144+$W$11*T144</f>
        <v/>
      </c>
      <c r="AA144" s="10">
        <f>INDEX(LINEST(L85:L144,M85:T144,TRUE,TRUE),1,9)*12</f>
        <v/>
      </c>
      <c r="AB144" s="9">
        <f>INDEX(LINEST(L85:L144,M85:T144,TRUE,TRUE),1,8)</f>
        <v/>
      </c>
      <c r="AC144" s="9">
        <f>INDEX(LINEST(L85:L144,M85:T144,TRUE,TRUE),1,7)</f>
        <v/>
      </c>
      <c r="AD144" s="9">
        <f>INDEX(LINEST(L85:L144,M85:T144,TRUE,TRUE),1,6)</f>
        <v/>
      </c>
      <c r="AE144" s="9">
        <f>INDEX(LINEST(L85:L144,M85:T144,TRUE,TRUE),1,5)</f>
        <v/>
      </c>
      <c r="AF144" s="9">
        <f>INDEX(LINEST(L85:L144,M85:T144,TRUE,TRUE),1,4)</f>
        <v/>
      </c>
      <c r="AG144" s="9">
        <f>INDEX(LINEST(L85:L144,M85:T144,TRUE,TRUE),1,3)</f>
        <v/>
      </c>
      <c r="AH144" s="9">
        <f>INDEX(LINEST(L85:L144,M85:T144,TRUE,TRUE),1,2)</f>
        <v/>
      </c>
      <c r="AI144" s="9">
        <f>INDEX(LINEST(L85:L144,M85:T144,TRUE,TRUE),1,1)</f>
        <v/>
      </c>
      <c r="AJ144" s="10">
        <f>INDEX(LINEST(L85:L144,M85:T144,TRUE,TRUE),3,1)</f>
        <v/>
      </c>
      <c r="AK144" s="9">
        <f>AA143/12+AB143*M144+AC143*N144+AD143*O144+AE143*P144+AF143*Q144+AG143*R144+AH143*S144+AI143*T144</f>
        <v/>
      </c>
      <c r="AL144" s="9">
        <f>AVERAGE(L84:L143)</f>
        <v/>
      </c>
    </row>
    <row r="145">
      <c r="L145" s="9">
        <f>LN(B145/B144)</f>
        <v/>
      </c>
      <c r="M145" s="9">
        <f>$M$1*(C145-C144)</f>
        <v/>
      </c>
      <c r="N145" s="9">
        <f>$N$1*(D145-D144)</f>
        <v/>
      </c>
      <c r="O145" s="9">
        <f>$O$1*LN(E145/E144)</f>
        <v/>
      </c>
      <c r="P145" s="9">
        <f>$P$1*LN(F145/F144)</f>
        <v/>
      </c>
      <c r="Q145" s="9">
        <f>$Q$1*(G145-G144)</f>
        <v/>
      </c>
      <c r="R145" s="9">
        <f>$R$1*(H145-H144)</f>
        <v/>
      </c>
      <c r="S145" s="9">
        <f>$S$1*LN(I145/I144)</f>
        <v/>
      </c>
      <c r="T145" s="9">
        <f>$T$1*LN(J145/J144)</f>
        <v/>
      </c>
      <c r="U145" s="9">
        <f>$W$12+$W$4*M145+$W$5*N145+$W$6*O145+$W$7*P145+$W$8*Q145+$W$9*R145+$W$10*S145+$W$11*T145</f>
        <v/>
      </c>
      <c r="AA145" s="10">
        <f>INDEX(LINEST(L86:L145,M86:T145,TRUE,TRUE),1,9)*12</f>
        <v/>
      </c>
      <c r="AB145" s="9">
        <f>INDEX(LINEST(L86:L145,M86:T145,TRUE,TRUE),1,8)</f>
        <v/>
      </c>
      <c r="AC145" s="9">
        <f>INDEX(LINEST(L86:L145,M86:T145,TRUE,TRUE),1,7)</f>
        <v/>
      </c>
      <c r="AD145" s="9">
        <f>INDEX(LINEST(L86:L145,M86:T145,TRUE,TRUE),1,6)</f>
        <v/>
      </c>
      <c r="AE145" s="9">
        <f>INDEX(LINEST(L86:L145,M86:T145,TRUE,TRUE),1,5)</f>
        <v/>
      </c>
      <c r="AF145" s="9">
        <f>INDEX(LINEST(L86:L145,M86:T145,TRUE,TRUE),1,4)</f>
        <v/>
      </c>
      <c r="AG145" s="9">
        <f>INDEX(LINEST(L86:L145,M86:T145,TRUE,TRUE),1,3)</f>
        <v/>
      </c>
      <c r="AH145" s="9">
        <f>INDEX(LINEST(L86:L145,M86:T145,TRUE,TRUE),1,2)</f>
        <v/>
      </c>
      <c r="AI145" s="9">
        <f>INDEX(LINEST(L86:L145,M86:T145,TRUE,TRUE),1,1)</f>
        <v/>
      </c>
      <c r="AJ145" s="10">
        <f>INDEX(LINEST(L86:L145,M86:T145,TRUE,TRUE),3,1)</f>
        <v/>
      </c>
      <c r="AK145" s="9">
        <f>AA144/12+AB144*M145+AC144*N145+AD144*O145+AE144*P145+AF144*Q145+AG144*R145+AH144*S145+AI144*T145</f>
        <v/>
      </c>
      <c r="AL145" s="9">
        <f>AVERAGE(L85:L144)</f>
        <v/>
      </c>
    </row>
    <row r="146">
      <c r="L146" s="9">
        <f>LN(B146/B145)</f>
        <v/>
      </c>
      <c r="M146" s="9">
        <f>$M$1*(C146-C145)</f>
        <v/>
      </c>
      <c r="N146" s="9">
        <f>$N$1*(D146-D145)</f>
        <v/>
      </c>
      <c r="O146" s="9">
        <f>$O$1*LN(E146/E145)</f>
        <v/>
      </c>
      <c r="P146" s="9">
        <f>$P$1*LN(F146/F145)</f>
        <v/>
      </c>
      <c r="Q146" s="9">
        <f>$Q$1*(G146-G145)</f>
        <v/>
      </c>
      <c r="R146" s="9">
        <f>$R$1*(H146-H145)</f>
        <v/>
      </c>
      <c r="S146" s="9">
        <f>$S$1*LN(I146/I145)</f>
        <v/>
      </c>
      <c r="T146" s="9">
        <f>$T$1*LN(J146/J145)</f>
        <v/>
      </c>
      <c r="U146" s="9">
        <f>$W$12+$W$4*M146+$W$5*N146+$W$6*O146+$W$7*P146+$W$8*Q146+$W$9*R146+$W$10*S146+$W$11*T146</f>
        <v/>
      </c>
      <c r="AA146" s="10">
        <f>INDEX(LINEST(L87:L146,M87:T146,TRUE,TRUE),1,9)*12</f>
        <v/>
      </c>
      <c r="AB146" s="9">
        <f>INDEX(LINEST(L87:L146,M87:T146,TRUE,TRUE),1,8)</f>
        <v/>
      </c>
      <c r="AC146" s="9">
        <f>INDEX(LINEST(L87:L146,M87:T146,TRUE,TRUE),1,7)</f>
        <v/>
      </c>
      <c r="AD146" s="9">
        <f>INDEX(LINEST(L87:L146,M87:T146,TRUE,TRUE),1,6)</f>
        <v/>
      </c>
      <c r="AE146" s="9">
        <f>INDEX(LINEST(L87:L146,M87:T146,TRUE,TRUE),1,5)</f>
        <v/>
      </c>
      <c r="AF146" s="9">
        <f>INDEX(LINEST(L87:L146,M87:T146,TRUE,TRUE),1,4)</f>
        <v/>
      </c>
      <c r="AG146" s="9">
        <f>INDEX(LINEST(L87:L146,M87:T146,TRUE,TRUE),1,3)</f>
        <v/>
      </c>
      <c r="AH146" s="9">
        <f>INDEX(LINEST(L87:L146,M87:T146,TRUE,TRUE),1,2)</f>
        <v/>
      </c>
      <c r="AI146" s="9">
        <f>INDEX(LINEST(L87:L146,M87:T146,TRUE,TRUE),1,1)</f>
        <v/>
      </c>
      <c r="AJ146" s="10">
        <f>INDEX(LINEST(L87:L146,M87:T146,TRUE,TRUE),3,1)</f>
        <v/>
      </c>
      <c r="AK146" s="9">
        <f>AA145/12+AB145*M146+AC145*N146+AD145*O146+AE145*P146+AF145*Q146+AG145*R146+AH145*S146+AI145*T146</f>
        <v/>
      </c>
      <c r="AL146" s="9">
        <f>AVERAGE(L86:L145)</f>
        <v/>
      </c>
    </row>
    <row r="147">
      <c r="L147" s="9">
        <f>LN(B147/B146)</f>
        <v/>
      </c>
      <c r="M147" s="9">
        <f>$M$1*(C147-C146)</f>
        <v/>
      </c>
      <c r="N147" s="9">
        <f>$N$1*(D147-D146)</f>
        <v/>
      </c>
      <c r="O147" s="9">
        <f>$O$1*LN(E147/E146)</f>
        <v/>
      </c>
      <c r="P147" s="9">
        <f>$P$1*LN(F147/F146)</f>
        <v/>
      </c>
      <c r="Q147" s="9">
        <f>$Q$1*(G147-G146)</f>
        <v/>
      </c>
      <c r="R147" s="9">
        <f>$R$1*(H147-H146)</f>
        <v/>
      </c>
      <c r="S147" s="9">
        <f>$S$1*LN(I147/I146)</f>
        <v/>
      </c>
      <c r="T147" s="9">
        <f>$T$1*LN(J147/J146)</f>
        <v/>
      </c>
      <c r="U147" s="9">
        <f>$W$12+$W$4*M147+$W$5*N147+$W$6*O147+$W$7*P147+$W$8*Q147+$W$9*R147+$W$10*S147+$W$11*T147</f>
        <v/>
      </c>
      <c r="AA147" s="10">
        <f>INDEX(LINEST(L88:L147,M88:T147,TRUE,TRUE),1,9)*12</f>
        <v/>
      </c>
      <c r="AB147" s="9">
        <f>INDEX(LINEST(L88:L147,M88:T147,TRUE,TRUE),1,8)</f>
        <v/>
      </c>
      <c r="AC147" s="9">
        <f>INDEX(LINEST(L88:L147,M88:T147,TRUE,TRUE),1,7)</f>
        <v/>
      </c>
      <c r="AD147" s="9">
        <f>INDEX(LINEST(L88:L147,M88:T147,TRUE,TRUE),1,6)</f>
        <v/>
      </c>
      <c r="AE147" s="9">
        <f>INDEX(LINEST(L88:L147,M88:T147,TRUE,TRUE),1,5)</f>
        <v/>
      </c>
      <c r="AF147" s="9">
        <f>INDEX(LINEST(L88:L147,M88:T147,TRUE,TRUE),1,4)</f>
        <v/>
      </c>
      <c r="AG147" s="9">
        <f>INDEX(LINEST(L88:L147,M88:T147,TRUE,TRUE),1,3)</f>
        <v/>
      </c>
      <c r="AH147" s="9">
        <f>INDEX(LINEST(L88:L147,M88:T147,TRUE,TRUE),1,2)</f>
        <v/>
      </c>
      <c r="AI147" s="9">
        <f>INDEX(LINEST(L88:L147,M88:T147,TRUE,TRUE),1,1)</f>
        <v/>
      </c>
      <c r="AJ147" s="10">
        <f>INDEX(LINEST(L88:L147,M88:T147,TRUE,TRUE),3,1)</f>
        <v/>
      </c>
      <c r="AK147" s="9">
        <f>AA146/12+AB146*M147+AC146*N147+AD146*O147+AE146*P147+AF146*Q147+AG146*R147+AH146*S147+AI146*T147</f>
        <v/>
      </c>
      <c r="AL147" s="9">
        <f>AVERAGE(L87:L146)</f>
        <v/>
      </c>
    </row>
    <row r="148">
      <c r="L148" s="9">
        <f>LN(B148/B147)</f>
        <v/>
      </c>
      <c r="M148" s="9">
        <f>$M$1*(C148-C147)</f>
        <v/>
      </c>
      <c r="N148" s="9">
        <f>$N$1*(D148-D147)</f>
        <v/>
      </c>
      <c r="O148" s="9">
        <f>$O$1*LN(E148/E147)</f>
        <v/>
      </c>
      <c r="P148" s="9">
        <f>$P$1*LN(F148/F147)</f>
        <v/>
      </c>
      <c r="Q148" s="9">
        <f>$Q$1*(G148-G147)</f>
        <v/>
      </c>
      <c r="R148" s="9">
        <f>$R$1*(H148-H147)</f>
        <v/>
      </c>
      <c r="S148" s="9">
        <f>$S$1*LN(I148/I147)</f>
        <v/>
      </c>
      <c r="T148" s="9">
        <f>$T$1*LN(J148/J147)</f>
        <v/>
      </c>
      <c r="U148" s="9">
        <f>$W$12+$W$4*M148+$W$5*N148+$W$6*O148+$W$7*P148+$W$8*Q148+$W$9*R148+$W$10*S148+$W$11*T148</f>
        <v/>
      </c>
      <c r="AA148" s="10">
        <f>INDEX(LINEST(L89:L148,M89:T148,TRUE,TRUE),1,9)*12</f>
        <v/>
      </c>
      <c r="AB148" s="9">
        <f>INDEX(LINEST(L89:L148,M89:T148,TRUE,TRUE),1,8)</f>
        <v/>
      </c>
      <c r="AC148" s="9">
        <f>INDEX(LINEST(L89:L148,M89:T148,TRUE,TRUE),1,7)</f>
        <v/>
      </c>
      <c r="AD148" s="9">
        <f>INDEX(LINEST(L89:L148,M89:T148,TRUE,TRUE),1,6)</f>
        <v/>
      </c>
      <c r="AE148" s="9">
        <f>INDEX(LINEST(L89:L148,M89:T148,TRUE,TRUE),1,5)</f>
        <v/>
      </c>
      <c r="AF148" s="9">
        <f>INDEX(LINEST(L89:L148,M89:T148,TRUE,TRUE),1,4)</f>
        <v/>
      </c>
      <c r="AG148" s="9">
        <f>INDEX(LINEST(L89:L148,M89:T148,TRUE,TRUE),1,3)</f>
        <v/>
      </c>
      <c r="AH148" s="9">
        <f>INDEX(LINEST(L89:L148,M89:T148,TRUE,TRUE),1,2)</f>
        <v/>
      </c>
      <c r="AI148" s="9">
        <f>INDEX(LINEST(L89:L148,M89:T148,TRUE,TRUE),1,1)</f>
        <v/>
      </c>
      <c r="AJ148" s="10">
        <f>INDEX(LINEST(L89:L148,M89:T148,TRUE,TRUE),3,1)</f>
        <v/>
      </c>
      <c r="AK148" s="9">
        <f>AA147/12+AB147*M148+AC147*N148+AD147*O148+AE147*P148+AF147*Q148+AG147*R148+AH147*S148+AI147*T148</f>
        <v/>
      </c>
      <c r="AL148" s="9">
        <f>AVERAGE(L88:L147)</f>
        <v/>
      </c>
    </row>
    <row r="149">
      <c r="L149" s="9">
        <f>LN(B149/B148)</f>
        <v/>
      </c>
      <c r="M149" s="9">
        <f>$M$1*(C149-C148)</f>
        <v/>
      </c>
      <c r="N149" s="9">
        <f>$N$1*(D149-D148)</f>
        <v/>
      </c>
      <c r="O149" s="9">
        <f>$O$1*LN(E149/E148)</f>
        <v/>
      </c>
      <c r="P149" s="9">
        <f>$P$1*LN(F149/F148)</f>
        <v/>
      </c>
      <c r="Q149" s="9">
        <f>$Q$1*(G149-G148)</f>
        <v/>
      </c>
      <c r="R149" s="9">
        <f>$R$1*(H149-H148)</f>
        <v/>
      </c>
      <c r="S149" s="9">
        <f>$S$1*LN(I149/I148)</f>
        <v/>
      </c>
      <c r="T149" s="9">
        <f>$T$1*LN(J149/J148)</f>
        <v/>
      </c>
      <c r="U149" s="9">
        <f>$W$12+$W$4*M149+$W$5*N149+$W$6*O149+$W$7*P149+$W$8*Q149+$W$9*R149+$W$10*S149+$W$11*T149</f>
        <v/>
      </c>
      <c r="AA149" s="10">
        <f>INDEX(LINEST(L90:L149,M90:T149,TRUE,TRUE),1,9)*12</f>
        <v/>
      </c>
      <c r="AB149" s="9">
        <f>INDEX(LINEST(L90:L149,M90:T149,TRUE,TRUE),1,8)</f>
        <v/>
      </c>
      <c r="AC149" s="9">
        <f>INDEX(LINEST(L90:L149,M90:T149,TRUE,TRUE),1,7)</f>
        <v/>
      </c>
      <c r="AD149" s="9">
        <f>INDEX(LINEST(L90:L149,M90:T149,TRUE,TRUE),1,6)</f>
        <v/>
      </c>
      <c r="AE149" s="9">
        <f>INDEX(LINEST(L90:L149,M90:T149,TRUE,TRUE),1,5)</f>
        <v/>
      </c>
      <c r="AF149" s="9">
        <f>INDEX(LINEST(L90:L149,M90:T149,TRUE,TRUE),1,4)</f>
        <v/>
      </c>
      <c r="AG149" s="9">
        <f>INDEX(LINEST(L90:L149,M90:T149,TRUE,TRUE),1,3)</f>
        <v/>
      </c>
      <c r="AH149" s="9">
        <f>INDEX(LINEST(L90:L149,M90:T149,TRUE,TRUE),1,2)</f>
        <v/>
      </c>
      <c r="AI149" s="9">
        <f>INDEX(LINEST(L90:L149,M90:T149,TRUE,TRUE),1,1)</f>
        <v/>
      </c>
      <c r="AJ149" s="10">
        <f>INDEX(LINEST(L90:L149,M90:T149,TRUE,TRUE),3,1)</f>
        <v/>
      </c>
      <c r="AK149" s="9">
        <f>AA148/12+AB148*M149+AC148*N149+AD148*O149+AE148*P149+AF148*Q149+AG148*R149+AH148*S149+AI148*T149</f>
        <v/>
      </c>
      <c r="AL149" s="9">
        <f>AVERAGE(L89:L148)</f>
        <v/>
      </c>
    </row>
    <row r="150">
      <c r="L150" s="9">
        <f>LN(B150/B149)</f>
        <v/>
      </c>
      <c r="M150" s="9">
        <f>$M$1*(C150-C149)</f>
        <v/>
      </c>
      <c r="N150" s="9">
        <f>$N$1*(D150-D149)</f>
        <v/>
      </c>
      <c r="O150" s="9">
        <f>$O$1*LN(E150/E149)</f>
        <v/>
      </c>
      <c r="P150" s="9">
        <f>$P$1*LN(F150/F149)</f>
        <v/>
      </c>
      <c r="Q150" s="9">
        <f>$Q$1*(G150-G149)</f>
        <v/>
      </c>
      <c r="R150" s="9">
        <f>$R$1*(H150-H149)</f>
        <v/>
      </c>
      <c r="S150" s="9">
        <f>$S$1*LN(I150/I149)</f>
        <v/>
      </c>
      <c r="T150" s="9">
        <f>$T$1*LN(J150/J149)</f>
        <v/>
      </c>
      <c r="U150" s="9">
        <f>$W$12+$W$4*M150+$W$5*N150+$W$6*O150+$W$7*P150+$W$8*Q150+$W$9*R150+$W$10*S150+$W$11*T150</f>
        <v/>
      </c>
      <c r="AA150" s="10">
        <f>INDEX(LINEST(L91:L150,M91:T150,TRUE,TRUE),1,9)*12</f>
        <v/>
      </c>
      <c r="AB150" s="9">
        <f>INDEX(LINEST(L91:L150,M91:T150,TRUE,TRUE),1,8)</f>
        <v/>
      </c>
      <c r="AC150" s="9">
        <f>INDEX(LINEST(L91:L150,M91:T150,TRUE,TRUE),1,7)</f>
        <v/>
      </c>
      <c r="AD150" s="9">
        <f>INDEX(LINEST(L91:L150,M91:T150,TRUE,TRUE),1,6)</f>
        <v/>
      </c>
      <c r="AE150" s="9">
        <f>INDEX(LINEST(L91:L150,M91:T150,TRUE,TRUE),1,5)</f>
        <v/>
      </c>
      <c r="AF150" s="9">
        <f>INDEX(LINEST(L91:L150,M91:T150,TRUE,TRUE),1,4)</f>
        <v/>
      </c>
      <c r="AG150" s="9">
        <f>INDEX(LINEST(L91:L150,M91:T150,TRUE,TRUE),1,3)</f>
        <v/>
      </c>
      <c r="AH150" s="9">
        <f>INDEX(LINEST(L91:L150,M91:T150,TRUE,TRUE),1,2)</f>
        <v/>
      </c>
      <c r="AI150" s="9">
        <f>INDEX(LINEST(L91:L150,M91:T150,TRUE,TRUE),1,1)</f>
        <v/>
      </c>
      <c r="AJ150" s="10">
        <f>INDEX(LINEST(L91:L150,M91:T150,TRUE,TRUE),3,1)</f>
        <v/>
      </c>
      <c r="AK150" s="9">
        <f>AA149/12+AB149*M150+AC149*N150+AD149*O150+AE149*P150+AF149*Q150+AG149*R150+AH149*S150+AI149*T150</f>
        <v/>
      </c>
      <c r="AL150" s="9">
        <f>AVERAGE(L90:L149)</f>
        <v/>
      </c>
    </row>
    <row r="151">
      <c r="L151" s="9">
        <f>LN(B151/B150)</f>
        <v/>
      </c>
      <c r="M151" s="9">
        <f>$M$1*(C151-C150)</f>
        <v/>
      </c>
      <c r="N151" s="9">
        <f>$N$1*(D151-D150)</f>
        <v/>
      </c>
      <c r="O151" s="9">
        <f>$O$1*LN(E151/E150)</f>
        <v/>
      </c>
      <c r="P151" s="9">
        <f>$P$1*LN(F151/F150)</f>
        <v/>
      </c>
      <c r="Q151" s="9">
        <f>$Q$1*(G151-G150)</f>
        <v/>
      </c>
      <c r="R151" s="9">
        <f>$R$1*(H151-H150)</f>
        <v/>
      </c>
      <c r="S151" s="9">
        <f>$S$1*LN(I151/I150)</f>
        <v/>
      </c>
      <c r="T151" s="9">
        <f>$T$1*LN(J151/J150)</f>
        <v/>
      </c>
      <c r="U151" s="9">
        <f>$W$12+$W$4*M151+$W$5*N151+$W$6*O151+$W$7*P151+$W$8*Q151+$W$9*R151+$W$10*S151+$W$11*T151</f>
        <v/>
      </c>
      <c r="AA151" s="10">
        <f>INDEX(LINEST(L92:L151,M92:T151,TRUE,TRUE),1,9)*12</f>
        <v/>
      </c>
      <c r="AB151" s="9">
        <f>INDEX(LINEST(L92:L151,M92:T151,TRUE,TRUE),1,8)</f>
        <v/>
      </c>
      <c r="AC151" s="9">
        <f>INDEX(LINEST(L92:L151,M92:T151,TRUE,TRUE),1,7)</f>
        <v/>
      </c>
      <c r="AD151" s="9">
        <f>INDEX(LINEST(L92:L151,M92:T151,TRUE,TRUE),1,6)</f>
        <v/>
      </c>
      <c r="AE151" s="9">
        <f>INDEX(LINEST(L92:L151,M92:T151,TRUE,TRUE),1,5)</f>
        <v/>
      </c>
      <c r="AF151" s="9">
        <f>INDEX(LINEST(L92:L151,M92:T151,TRUE,TRUE),1,4)</f>
        <v/>
      </c>
      <c r="AG151" s="9">
        <f>INDEX(LINEST(L92:L151,M92:T151,TRUE,TRUE),1,3)</f>
        <v/>
      </c>
      <c r="AH151" s="9">
        <f>INDEX(LINEST(L92:L151,M92:T151,TRUE,TRUE),1,2)</f>
        <v/>
      </c>
      <c r="AI151" s="9">
        <f>INDEX(LINEST(L92:L151,M92:T151,TRUE,TRUE),1,1)</f>
        <v/>
      </c>
      <c r="AJ151" s="10">
        <f>INDEX(LINEST(L92:L151,M92:T151,TRUE,TRUE),3,1)</f>
        <v/>
      </c>
      <c r="AK151" s="9">
        <f>AA150/12+AB150*M151+AC150*N151+AD150*O151+AE150*P151+AF150*Q151+AG150*R151+AH150*S151+AI150*T151</f>
        <v/>
      </c>
      <c r="AL151" s="9">
        <f>AVERAGE(L91:L150)</f>
        <v/>
      </c>
    </row>
    <row r="152">
      <c r="L152" s="9">
        <f>LN(B152/B151)</f>
        <v/>
      </c>
      <c r="M152" s="9">
        <f>$M$1*(C152-C151)</f>
        <v/>
      </c>
      <c r="N152" s="9">
        <f>$N$1*(D152-D151)</f>
        <v/>
      </c>
      <c r="O152" s="9">
        <f>$O$1*LN(E152/E151)</f>
        <v/>
      </c>
      <c r="P152" s="9">
        <f>$P$1*LN(F152/F151)</f>
        <v/>
      </c>
      <c r="Q152" s="9">
        <f>$Q$1*(G152-G151)</f>
        <v/>
      </c>
      <c r="R152" s="9">
        <f>$R$1*(H152-H151)</f>
        <v/>
      </c>
      <c r="S152" s="9">
        <f>$S$1*LN(I152/I151)</f>
        <v/>
      </c>
      <c r="T152" s="9">
        <f>$T$1*LN(J152/J151)</f>
        <v/>
      </c>
      <c r="U152" s="9">
        <f>$W$12+$W$4*M152+$W$5*N152+$W$6*O152+$W$7*P152+$W$8*Q152+$W$9*R152+$W$10*S152+$W$11*T152</f>
        <v/>
      </c>
      <c r="AA152" s="10">
        <f>INDEX(LINEST(L93:L152,M93:T152,TRUE,TRUE),1,9)*12</f>
        <v/>
      </c>
      <c r="AB152" s="9">
        <f>INDEX(LINEST(L93:L152,M93:T152,TRUE,TRUE),1,8)</f>
        <v/>
      </c>
      <c r="AC152" s="9">
        <f>INDEX(LINEST(L93:L152,M93:T152,TRUE,TRUE),1,7)</f>
        <v/>
      </c>
      <c r="AD152" s="9">
        <f>INDEX(LINEST(L93:L152,M93:T152,TRUE,TRUE),1,6)</f>
        <v/>
      </c>
      <c r="AE152" s="9">
        <f>INDEX(LINEST(L93:L152,M93:T152,TRUE,TRUE),1,5)</f>
        <v/>
      </c>
      <c r="AF152" s="9">
        <f>INDEX(LINEST(L93:L152,M93:T152,TRUE,TRUE),1,4)</f>
        <v/>
      </c>
      <c r="AG152" s="9">
        <f>INDEX(LINEST(L93:L152,M93:T152,TRUE,TRUE),1,3)</f>
        <v/>
      </c>
      <c r="AH152" s="9">
        <f>INDEX(LINEST(L93:L152,M93:T152,TRUE,TRUE),1,2)</f>
        <v/>
      </c>
      <c r="AI152" s="9">
        <f>INDEX(LINEST(L93:L152,M93:T152,TRUE,TRUE),1,1)</f>
        <v/>
      </c>
      <c r="AJ152" s="10">
        <f>INDEX(LINEST(L93:L152,M93:T152,TRUE,TRUE),3,1)</f>
        <v/>
      </c>
      <c r="AK152" s="9">
        <f>AA151/12+AB151*M152+AC151*N152+AD151*O152+AE151*P152+AF151*Q152+AG151*R152+AH151*S152+AI151*T152</f>
        <v/>
      </c>
      <c r="AL152" s="9">
        <f>AVERAGE(L92:L151)</f>
        <v/>
      </c>
    </row>
    <row r="153">
      <c r="L153" s="9">
        <f>LN(B153/B152)</f>
        <v/>
      </c>
      <c r="M153" s="9">
        <f>$M$1*(C153-C152)</f>
        <v/>
      </c>
      <c r="N153" s="9">
        <f>$N$1*(D153-D152)</f>
        <v/>
      </c>
      <c r="O153" s="9">
        <f>$O$1*LN(E153/E152)</f>
        <v/>
      </c>
      <c r="P153" s="9">
        <f>$P$1*LN(F153/F152)</f>
        <v/>
      </c>
      <c r="Q153" s="9">
        <f>$Q$1*(G153-G152)</f>
        <v/>
      </c>
      <c r="R153" s="9">
        <f>$R$1*(H153-H152)</f>
        <v/>
      </c>
      <c r="S153" s="9">
        <f>$S$1*LN(I153/I152)</f>
        <v/>
      </c>
      <c r="T153" s="9">
        <f>$T$1*LN(J153/J152)</f>
        <v/>
      </c>
      <c r="U153" s="9">
        <f>$W$12+$W$4*M153+$W$5*N153+$W$6*O153+$W$7*P153+$W$8*Q153+$W$9*R153+$W$10*S153+$W$11*T153</f>
        <v/>
      </c>
      <c r="AA153" s="10">
        <f>INDEX(LINEST(L94:L153,M94:T153,TRUE,TRUE),1,9)*12</f>
        <v/>
      </c>
      <c r="AB153" s="9">
        <f>INDEX(LINEST(L94:L153,M94:T153,TRUE,TRUE),1,8)</f>
        <v/>
      </c>
      <c r="AC153" s="9">
        <f>INDEX(LINEST(L94:L153,M94:T153,TRUE,TRUE),1,7)</f>
        <v/>
      </c>
      <c r="AD153" s="9">
        <f>INDEX(LINEST(L94:L153,M94:T153,TRUE,TRUE),1,6)</f>
        <v/>
      </c>
      <c r="AE153" s="9">
        <f>INDEX(LINEST(L94:L153,M94:T153,TRUE,TRUE),1,5)</f>
        <v/>
      </c>
      <c r="AF153" s="9">
        <f>INDEX(LINEST(L94:L153,M94:T153,TRUE,TRUE),1,4)</f>
        <v/>
      </c>
      <c r="AG153" s="9">
        <f>INDEX(LINEST(L94:L153,M94:T153,TRUE,TRUE),1,3)</f>
        <v/>
      </c>
      <c r="AH153" s="9">
        <f>INDEX(LINEST(L94:L153,M94:T153,TRUE,TRUE),1,2)</f>
        <v/>
      </c>
      <c r="AI153" s="9">
        <f>INDEX(LINEST(L94:L153,M94:T153,TRUE,TRUE),1,1)</f>
        <v/>
      </c>
      <c r="AJ153" s="10">
        <f>INDEX(LINEST(L94:L153,M94:T153,TRUE,TRUE),3,1)</f>
        <v/>
      </c>
      <c r="AK153" s="9">
        <f>AA152/12+AB152*M153+AC152*N153+AD152*O153+AE152*P153+AF152*Q153+AG152*R153+AH152*S153+AI152*T153</f>
        <v/>
      </c>
      <c r="AL153" s="9">
        <f>AVERAGE(L93:L152)</f>
        <v/>
      </c>
    </row>
    <row r="154">
      <c r="L154" s="9">
        <f>LN(B154/B153)</f>
        <v/>
      </c>
      <c r="M154" s="9">
        <f>$M$1*(C154-C153)</f>
        <v/>
      </c>
      <c r="N154" s="9">
        <f>$N$1*(D154-D153)</f>
        <v/>
      </c>
      <c r="O154" s="9">
        <f>$O$1*LN(E154/E153)</f>
        <v/>
      </c>
      <c r="P154" s="9">
        <f>$P$1*LN(F154/F153)</f>
        <v/>
      </c>
      <c r="Q154" s="9">
        <f>$Q$1*(G154-G153)</f>
        <v/>
      </c>
      <c r="R154" s="9">
        <f>$R$1*(H154-H153)</f>
        <v/>
      </c>
      <c r="S154" s="9">
        <f>$S$1*LN(I154/I153)</f>
        <v/>
      </c>
      <c r="T154" s="9">
        <f>$T$1*LN(J154/J153)</f>
        <v/>
      </c>
      <c r="U154" s="9">
        <f>$W$12+$W$4*M154+$W$5*N154+$W$6*O154+$W$7*P154+$W$8*Q154+$W$9*R154+$W$10*S154+$W$11*T154</f>
        <v/>
      </c>
      <c r="AA154" s="10">
        <f>INDEX(LINEST(L95:L154,M95:T154,TRUE,TRUE),1,9)*12</f>
        <v/>
      </c>
      <c r="AB154" s="9">
        <f>INDEX(LINEST(L95:L154,M95:T154,TRUE,TRUE),1,8)</f>
        <v/>
      </c>
      <c r="AC154" s="9">
        <f>INDEX(LINEST(L95:L154,M95:T154,TRUE,TRUE),1,7)</f>
        <v/>
      </c>
      <c r="AD154" s="9">
        <f>INDEX(LINEST(L95:L154,M95:T154,TRUE,TRUE),1,6)</f>
        <v/>
      </c>
      <c r="AE154" s="9">
        <f>INDEX(LINEST(L95:L154,M95:T154,TRUE,TRUE),1,5)</f>
        <v/>
      </c>
      <c r="AF154" s="9">
        <f>INDEX(LINEST(L95:L154,M95:T154,TRUE,TRUE),1,4)</f>
        <v/>
      </c>
      <c r="AG154" s="9">
        <f>INDEX(LINEST(L95:L154,M95:T154,TRUE,TRUE),1,3)</f>
        <v/>
      </c>
      <c r="AH154" s="9">
        <f>INDEX(LINEST(L95:L154,M95:T154,TRUE,TRUE),1,2)</f>
        <v/>
      </c>
      <c r="AI154" s="9">
        <f>INDEX(LINEST(L95:L154,M95:T154,TRUE,TRUE),1,1)</f>
        <v/>
      </c>
      <c r="AJ154" s="10">
        <f>INDEX(LINEST(L95:L154,M95:T154,TRUE,TRUE),3,1)</f>
        <v/>
      </c>
      <c r="AK154" s="9">
        <f>AA153/12+AB153*M154+AC153*N154+AD153*O154+AE153*P154+AF153*Q154+AG153*R154+AH153*S154+AI153*T154</f>
        <v/>
      </c>
      <c r="AL154" s="9">
        <f>AVERAGE(L94:L153)</f>
        <v/>
      </c>
    </row>
    <row r="155">
      <c r="L155" s="9">
        <f>LN(B155/B154)</f>
        <v/>
      </c>
      <c r="M155" s="9">
        <f>$M$1*(C155-C154)</f>
        <v/>
      </c>
      <c r="N155" s="9">
        <f>$N$1*(D155-D154)</f>
        <v/>
      </c>
      <c r="O155" s="9">
        <f>$O$1*LN(E155/E154)</f>
        <v/>
      </c>
      <c r="P155" s="9">
        <f>$P$1*LN(F155/F154)</f>
        <v/>
      </c>
      <c r="Q155" s="9">
        <f>$Q$1*(G155-G154)</f>
        <v/>
      </c>
      <c r="R155" s="9">
        <f>$R$1*(H155-H154)</f>
        <v/>
      </c>
      <c r="S155" s="9">
        <f>$S$1*LN(I155/I154)</f>
        <v/>
      </c>
      <c r="T155" s="9">
        <f>$T$1*LN(J155/J154)</f>
        <v/>
      </c>
      <c r="U155" s="9">
        <f>$W$12+$W$4*M155+$W$5*N155+$W$6*O155+$W$7*P155+$W$8*Q155+$W$9*R155+$W$10*S155+$W$11*T155</f>
        <v/>
      </c>
      <c r="AA155" s="10">
        <f>INDEX(LINEST(L96:L155,M96:T155,TRUE,TRUE),1,9)*12</f>
        <v/>
      </c>
      <c r="AB155" s="9">
        <f>INDEX(LINEST(L96:L155,M96:T155,TRUE,TRUE),1,8)</f>
        <v/>
      </c>
      <c r="AC155" s="9">
        <f>INDEX(LINEST(L96:L155,M96:T155,TRUE,TRUE),1,7)</f>
        <v/>
      </c>
      <c r="AD155" s="9">
        <f>INDEX(LINEST(L96:L155,M96:T155,TRUE,TRUE),1,6)</f>
        <v/>
      </c>
      <c r="AE155" s="9">
        <f>INDEX(LINEST(L96:L155,M96:T155,TRUE,TRUE),1,5)</f>
        <v/>
      </c>
      <c r="AF155" s="9">
        <f>INDEX(LINEST(L96:L155,M96:T155,TRUE,TRUE),1,4)</f>
        <v/>
      </c>
      <c r="AG155" s="9">
        <f>INDEX(LINEST(L96:L155,M96:T155,TRUE,TRUE),1,3)</f>
        <v/>
      </c>
      <c r="AH155" s="9">
        <f>INDEX(LINEST(L96:L155,M96:T155,TRUE,TRUE),1,2)</f>
        <v/>
      </c>
      <c r="AI155" s="9">
        <f>INDEX(LINEST(L96:L155,M96:T155,TRUE,TRUE),1,1)</f>
        <v/>
      </c>
      <c r="AJ155" s="10">
        <f>INDEX(LINEST(L96:L155,M96:T155,TRUE,TRUE),3,1)</f>
        <v/>
      </c>
      <c r="AK155" s="9">
        <f>AA154/12+AB154*M155+AC154*N155+AD154*O155+AE154*P155+AF154*Q155+AG154*R155+AH154*S155+AI154*T155</f>
        <v/>
      </c>
      <c r="AL155" s="9">
        <f>AVERAGE(L95:L154)</f>
        <v/>
      </c>
    </row>
    <row r="156">
      <c r="L156" s="9">
        <f>LN(B156/B155)</f>
        <v/>
      </c>
      <c r="M156" s="9">
        <f>$M$1*(C156-C155)</f>
        <v/>
      </c>
      <c r="N156" s="9">
        <f>$N$1*(D156-D155)</f>
        <v/>
      </c>
      <c r="O156" s="9">
        <f>$O$1*LN(E156/E155)</f>
        <v/>
      </c>
      <c r="P156" s="9">
        <f>$P$1*LN(F156/F155)</f>
        <v/>
      </c>
      <c r="Q156" s="9">
        <f>$Q$1*(G156-G155)</f>
        <v/>
      </c>
      <c r="R156" s="9">
        <f>$R$1*(H156-H155)</f>
        <v/>
      </c>
      <c r="S156" s="9">
        <f>$S$1*LN(I156/I155)</f>
        <v/>
      </c>
      <c r="T156" s="9">
        <f>$T$1*LN(J156/J155)</f>
        <v/>
      </c>
      <c r="U156" s="9">
        <f>$W$12+$W$4*M156+$W$5*N156+$W$6*O156+$W$7*P156+$W$8*Q156+$W$9*R156+$W$10*S156+$W$11*T156</f>
        <v/>
      </c>
      <c r="AA156" s="10">
        <f>INDEX(LINEST(L97:L156,M97:T156,TRUE,TRUE),1,9)*12</f>
        <v/>
      </c>
      <c r="AB156" s="9">
        <f>INDEX(LINEST(L97:L156,M97:T156,TRUE,TRUE),1,8)</f>
        <v/>
      </c>
      <c r="AC156" s="9">
        <f>INDEX(LINEST(L97:L156,M97:T156,TRUE,TRUE),1,7)</f>
        <v/>
      </c>
      <c r="AD156" s="9">
        <f>INDEX(LINEST(L97:L156,M97:T156,TRUE,TRUE),1,6)</f>
        <v/>
      </c>
      <c r="AE156" s="9">
        <f>INDEX(LINEST(L97:L156,M97:T156,TRUE,TRUE),1,5)</f>
        <v/>
      </c>
      <c r="AF156" s="9">
        <f>INDEX(LINEST(L97:L156,M97:T156,TRUE,TRUE),1,4)</f>
        <v/>
      </c>
      <c r="AG156" s="9">
        <f>INDEX(LINEST(L97:L156,M97:T156,TRUE,TRUE),1,3)</f>
        <v/>
      </c>
      <c r="AH156" s="9">
        <f>INDEX(LINEST(L97:L156,M97:T156,TRUE,TRUE),1,2)</f>
        <v/>
      </c>
      <c r="AI156" s="9">
        <f>INDEX(LINEST(L97:L156,M97:T156,TRUE,TRUE),1,1)</f>
        <v/>
      </c>
      <c r="AJ156" s="10">
        <f>INDEX(LINEST(L97:L156,M97:T156,TRUE,TRUE),3,1)</f>
        <v/>
      </c>
      <c r="AK156" s="9">
        <f>AA155/12+AB155*M156+AC155*N156+AD155*O156+AE155*P156+AF155*Q156+AG155*R156+AH155*S156+AI155*T156</f>
        <v/>
      </c>
      <c r="AL156" s="9">
        <f>AVERAGE(L96:L155)</f>
        <v/>
      </c>
    </row>
    <row r="157">
      <c r="L157" s="9">
        <f>LN(B157/B156)</f>
        <v/>
      </c>
      <c r="M157" s="9">
        <f>$M$1*(C157-C156)</f>
        <v/>
      </c>
      <c r="N157" s="9">
        <f>$N$1*(D157-D156)</f>
        <v/>
      </c>
      <c r="O157" s="9">
        <f>$O$1*LN(E157/E156)</f>
        <v/>
      </c>
      <c r="P157" s="9">
        <f>$P$1*LN(F157/F156)</f>
        <v/>
      </c>
      <c r="Q157" s="9">
        <f>$Q$1*(G157-G156)</f>
        <v/>
      </c>
      <c r="R157" s="9">
        <f>$R$1*(H157-H156)</f>
        <v/>
      </c>
      <c r="S157" s="9">
        <f>$S$1*LN(I157/I156)</f>
        <v/>
      </c>
      <c r="T157" s="9">
        <f>$T$1*LN(J157/J156)</f>
        <v/>
      </c>
      <c r="U157" s="9">
        <f>$W$12+$W$4*M157+$W$5*N157+$W$6*O157+$W$7*P157+$W$8*Q157+$W$9*R157+$W$10*S157+$W$11*T157</f>
        <v/>
      </c>
      <c r="AA157" s="10">
        <f>INDEX(LINEST(L98:L157,M98:T157,TRUE,TRUE),1,9)*12</f>
        <v/>
      </c>
      <c r="AB157" s="9">
        <f>INDEX(LINEST(L98:L157,M98:T157,TRUE,TRUE),1,8)</f>
        <v/>
      </c>
      <c r="AC157" s="9">
        <f>INDEX(LINEST(L98:L157,M98:T157,TRUE,TRUE),1,7)</f>
        <v/>
      </c>
      <c r="AD157" s="9">
        <f>INDEX(LINEST(L98:L157,M98:T157,TRUE,TRUE),1,6)</f>
        <v/>
      </c>
      <c r="AE157" s="9">
        <f>INDEX(LINEST(L98:L157,M98:T157,TRUE,TRUE),1,5)</f>
        <v/>
      </c>
      <c r="AF157" s="9">
        <f>INDEX(LINEST(L98:L157,M98:T157,TRUE,TRUE),1,4)</f>
        <v/>
      </c>
      <c r="AG157" s="9">
        <f>INDEX(LINEST(L98:L157,M98:T157,TRUE,TRUE),1,3)</f>
        <v/>
      </c>
      <c r="AH157" s="9">
        <f>INDEX(LINEST(L98:L157,M98:T157,TRUE,TRUE),1,2)</f>
        <v/>
      </c>
      <c r="AI157" s="9">
        <f>INDEX(LINEST(L98:L157,M98:T157,TRUE,TRUE),1,1)</f>
        <v/>
      </c>
      <c r="AJ157" s="10">
        <f>INDEX(LINEST(L98:L157,M98:T157,TRUE,TRUE),3,1)</f>
        <v/>
      </c>
      <c r="AK157" s="9">
        <f>AA156/12+AB156*M157+AC156*N157+AD156*O157+AE156*P157+AF156*Q157+AG156*R157+AH156*S157+AI156*T157</f>
        <v/>
      </c>
      <c r="AL157" s="9">
        <f>AVERAGE(L97:L156)</f>
        <v/>
      </c>
    </row>
    <row r="158">
      <c r="L158" s="9">
        <f>LN(B158/B157)</f>
        <v/>
      </c>
      <c r="M158" s="9">
        <f>$M$1*(C158-C157)</f>
        <v/>
      </c>
      <c r="N158" s="9">
        <f>$N$1*(D158-D157)</f>
        <v/>
      </c>
      <c r="O158" s="9">
        <f>$O$1*LN(E158/E157)</f>
        <v/>
      </c>
      <c r="P158" s="9">
        <f>$P$1*LN(F158/F157)</f>
        <v/>
      </c>
      <c r="Q158" s="9">
        <f>$Q$1*(G158-G157)</f>
        <v/>
      </c>
      <c r="R158" s="9">
        <f>$R$1*(H158-H157)</f>
        <v/>
      </c>
      <c r="S158" s="9">
        <f>$S$1*LN(I158/I157)</f>
        <v/>
      </c>
      <c r="T158" s="9">
        <f>$T$1*LN(J158/J157)</f>
        <v/>
      </c>
      <c r="U158" s="9">
        <f>$W$12+$W$4*M158+$W$5*N158+$W$6*O158+$W$7*P158+$W$8*Q158+$W$9*R158+$W$10*S158+$W$11*T158</f>
        <v/>
      </c>
      <c r="AA158" s="10">
        <f>INDEX(LINEST(L99:L158,M99:T158,TRUE,TRUE),1,9)*12</f>
        <v/>
      </c>
      <c r="AB158" s="9">
        <f>INDEX(LINEST(L99:L158,M99:T158,TRUE,TRUE),1,8)</f>
        <v/>
      </c>
      <c r="AC158" s="9">
        <f>INDEX(LINEST(L99:L158,M99:T158,TRUE,TRUE),1,7)</f>
        <v/>
      </c>
      <c r="AD158" s="9">
        <f>INDEX(LINEST(L99:L158,M99:T158,TRUE,TRUE),1,6)</f>
        <v/>
      </c>
      <c r="AE158" s="9">
        <f>INDEX(LINEST(L99:L158,M99:T158,TRUE,TRUE),1,5)</f>
        <v/>
      </c>
      <c r="AF158" s="9">
        <f>INDEX(LINEST(L99:L158,M99:T158,TRUE,TRUE),1,4)</f>
        <v/>
      </c>
      <c r="AG158" s="9">
        <f>INDEX(LINEST(L99:L158,M99:T158,TRUE,TRUE),1,3)</f>
        <v/>
      </c>
      <c r="AH158" s="9">
        <f>INDEX(LINEST(L99:L158,M99:T158,TRUE,TRUE),1,2)</f>
        <v/>
      </c>
      <c r="AI158" s="9">
        <f>INDEX(LINEST(L99:L158,M99:T158,TRUE,TRUE),1,1)</f>
        <v/>
      </c>
      <c r="AJ158" s="10">
        <f>INDEX(LINEST(L99:L158,M99:T158,TRUE,TRUE),3,1)</f>
        <v/>
      </c>
      <c r="AK158" s="9">
        <f>AA157/12+AB157*M158+AC157*N158+AD157*O158+AE157*P158+AF157*Q158+AG157*R158+AH157*S158+AI157*T158</f>
        <v/>
      </c>
      <c r="AL158" s="9">
        <f>AVERAGE(L98:L157)</f>
        <v/>
      </c>
    </row>
    <row r="159">
      <c r="L159" s="9">
        <f>LN(B159/B158)</f>
        <v/>
      </c>
      <c r="M159" s="9">
        <f>$M$1*(C159-C158)</f>
        <v/>
      </c>
      <c r="N159" s="9">
        <f>$N$1*(D159-D158)</f>
        <v/>
      </c>
      <c r="O159" s="9">
        <f>$O$1*LN(E159/E158)</f>
        <v/>
      </c>
      <c r="P159" s="9">
        <f>$P$1*LN(F159/F158)</f>
        <v/>
      </c>
      <c r="Q159" s="9">
        <f>$Q$1*(G159-G158)</f>
        <v/>
      </c>
      <c r="R159" s="9">
        <f>$R$1*(H159-H158)</f>
        <v/>
      </c>
      <c r="S159" s="9">
        <f>$S$1*LN(I159/I158)</f>
        <v/>
      </c>
      <c r="T159" s="9">
        <f>$T$1*LN(J159/J158)</f>
        <v/>
      </c>
      <c r="U159" s="9">
        <f>$W$12+$W$4*M159+$W$5*N159+$W$6*O159+$W$7*P159+$W$8*Q159+$W$9*R159+$W$10*S159+$W$11*T159</f>
        <v/>
      </c>
      <c r="AA159" s="10">
        <f>INDEX(LINEST(L100:L159,M100:T159,TRUE,TRUE),1,9)*12</f>
        <v/>
      </c>
      <c r="AB159" s="9">
        <f>INDEX(LINEST(L100:L159,M100:T159,TRUE,TRUE),1,8)</f>
        <v/>
      </c>
      <c r="AC159" s="9">
        <f>INDEX(LINEST(L100:L159,M100:T159,TRUE,TRUE),1,7)</f>
        <v/>
      </c>
      <c r="AD159" s="9">
        <f>INDEX(LINEST(L100:L159,M100:T159,TRUE,TRUE),1,6)</f>
        <v/>
      </c>
      <c r="AE159" s="9">
        <f>INDEX(LINEST(L100:L159,M100:T159,TRUE,TRUE),1,5)</f>
        <v/>
      </c>
      <c r="AF159" s="9">
        <f>INDEX(LINEST(L100:L159,M100:T159,TRUE,TRUE),1,4)</f>
        <v/>
      </c>
      <c r="AG159" s="9">
        <f>INDEX(LINEST(L100:L159,M100:T159,TRUE,TRUE),1,3)</f>
        <v/>
      </c>
      <c r="AH159" s="9">
        <f>INDEX(LINEST(L100:L159,M100:T159,TRUE,TRUE),1,2)</f>
        <v/>
      </c>
      <c r="AI159" s="9">
        <f>INDEX(LINEST(L100:L159,M100:T159,TRUE,TRUE),1,1)</f>
        <v/>
      </c>
      <c r="AJ159" s="10">
        <f>INDEX(LINEST(L100:L159,M100:T159,TRUE,TRUE),3,1)</f>
        <v/>
      </c>
      <c r="AK159" s="9">
        <f>AA158/12+AB158*M159+AC158*N159+AD158*O159+AE158*P159+AF158*Q159+AG158*R159+AH158*S159+AI158*T159</f>
        <v/>
      </c>
      <c r="AL159" s="9">
        <f>AVERAGE(L99:L158)</f>
        <v/>
      </c>
    </row>
    <row r="160">
      <c r="L160" s="9">
        <f>LN(B160/B159)</f>
        <v/>
      </c>
      <c r="M160" s="9">
        <f>$M$1*(C160-C159)</f>
        <v/>
      </c>
      <c r="N160" s="9">
        <f>$N$1*(D160-D159)</f>
        <v/>
      </c>
      <c r="O160" s="9">
        <f>$O$1*LN(E160/E159)</f>
        <v/>
      </c>
      <c r="P160" s="9">
        <f>$P$1*LN(F160/F159)</f>
        <v/>
      </c>
      <c r="Q160" s="9">
        <f>$Q$1*(G160-G159)</f>
        <v/>
      </c>
      <c r="R160" s="9">
        <f>$R$1*(H160-H159)</f>
        <v/>
      </c>
      <c r="S160" s="9">
        <f>$S$1*LN(I160/I159)</f>
        <v/>
      </c>
      <c r="T160" s="9">
        <f>$T$1*LN(J160/J159)</f>
        <v/>
      </c>
      <c r="U160" s="9">
        <f>$W$12+$W$4*M160+$W$5*N160+$W$6*O160+$W$7*P160+$W$8*Q160+$W$9*R160+$W$10*S160+$W$11*T160</f>
        <v/>
      </c>
      <c r="AA160" s="10">
        <f>INDEX(LINEST(L101:L160,M101:T160,TRUE,TRUE),1,9)*12</f>
        <v/>
      </c>
      <c r="AB160" s="9">
        <f>INDEX(LINEST(L101:L160,M101:T160,TRUE,TRUE),1,8)</f>
        <v/>
      </c>
      <c r="AC160" s="9">
        <f>INDEX(LINEST(L101:L160,M101:T160,TRUE,TRUE),1,7)</f>
        <v/>
      </c>
      <c r="AD160" s="9">
        <f>INDEX(LINEST(L101:L160,M101:T160,TRUE,TRUE),1,6)</f>
        <v/>
      </c>
      <c r="AE160" s="9">
        <f>INDEX(LINEST(L101:L160,M101:T160,TRUE,TRUE),1,5)</f>
        <v/>
      </c>
      <c r="AF160" s="9">
        <f>INDEX(LINEST(L101:L160,M101:T160,TRUE,TRUE),1,4)</f>
        <v/>
      </c>
      <c r="AG160" s="9">
        <f>INDEX(LINEST(L101:L160,M101:T160,TRUE,TRUE),1,3)</f>
        <v/>
      </c>
      <c r="AH160" s="9">
        <f>INDEX(LINEST(L101:L160,M101:T160,TRUE,TRUE),1,2)</f>
        <v/>
      </c>
      <c r="AI160" s="9">
        <f>INDEX(LINEST(L101:L160,M101:T160,TRUE,TRUE),1,1)</f>
        <v/>
      </c>
      <c r="AJ160" s="10">
        <f>INDEX(LINEST(L101:L160,M101:T160,TRUE,TRUE),3,1)</f>
        <v/>
      </c>
      <c r="AK160" s="9">
        <f>AA159/12+AB159*M160+AC159*N160+AD159*O160+AE159*P160+AF159*Q160+AG159*R160+AH159*S160+AI159*T160</f>
        <v/>
      </c>
      <c r="AL160" s="9">
        <f>AVERAGE(L100:L159)</f>
        <v/>
      </c>
    </row>
    <row r="161">
      <c r="L161" s="9">
        <f>LN(B161/B160)</f>
        <v/>
      </c>
      <c r="M161" s="9">
        <f>$M$1*(C161-C160)</f>
        <v/>
      </c>
      <c r="N161" s="9">
        <f>$N$1*(D161-D160)</f>
        <v/>
      </c>
      <c r="O161" s="9">
        <f>$O$1*LN(E161/E160)</f>
        <v/>
      </c>
      <c r="P161" s="9">
        <f>$P$1*LN(F161/F160)</f>
        <v/>
      </c>
      <c r="Q161" s="9">
        <f>$Q$1*(G161-G160)</f>
        <v/>
      </c>
      <c r="R161" s="9">
        <f>$R$1*(H161-H160)</f>
        <v/>
      </c>
      <c r="S161" s="9">
        <f>$S$1*LN(I161/I160)</f>
        <v/>
      </c>
      <c r="T161" s="9">
        <f>$T$1*LN(J161/J160)</f>
        <v/>
      </c>
      <c r="U161" s="9">
        <f>$W$12+$W$4*M161+$W$5*N161+$W$6*O161+$W$7*P161+$W$8*Q161+$W$9*R161+$W$10*S161+$W$11*T161</f>
        <v/>
      </c>
      <c r="AA161" s="10">
        <f>INDEX(LINEST(L102:L161,M102:T161,TRUE,TRUE),1,9)*12</f>
        <v/>
      </c>
      <c r="AB161" s="9">
        <f>INDEX(LINEST(L102:L161,M102:T161,TRUE,TRUE),1,8)</f>
        <v/>
      </c>
      <c r="AC161" s="9">
        <f>INDEX(LINEST(L102:L161,M102:T161,TRUE,TRUE),1,7)</f>
        <v/>
      </c>
      <c r="AD161" s="9">
        <f>INDEX(LINEST(L102:L161,M102:T161,TRUE,TRUE),1,6)</f>
        <v/>
      </c>
      <c r="AE161" s="9">
        <f>INDEX(LINEST(L102:L161,M102:T161,TRUE,TRUE),1,5)</f>
        <v/>
      </c>
      <c r="AF161" s="9">
        <f>INDEX(LINEST(L102:L161,M102:T161,TRUE,TRUE),1,4)</f>
        <v/>
      </c>
      <c r="AG161" s="9">
        <f>INDEX(LINEST(L102:L161,M102:T161,TRUE,TRUE),1,3)</f>
        <v/>
      </c>
      <c r="AH161" s="9">
        <f>INDEX(LINEST(L102:L161,M102:T161,TRUE,TRUE),1,2)</f>
        <v/>
      </c>
      <c r="AI161" s="9">
        <f>INDEX(LINEST(L102:L161,M102:T161,TRUE,TRUE),1,1)</f>
        <v/>
      </c>
      <c r="AJ161" s="10">
        <f>INDEX(LINEST(L102:L161,M102:T161,TRUE,TRUE),3,1)</f>
        <v/>
      </c>
      <c r="AK161" s="9">
        <f>AA160/12+AB160*M161+AC160*N161+AD160*O161+AE160*P161+AF160*Q161+AG160*R161+AH160*S161+AI160*T161</f>
        <v/>
      </c>
      <c r="AL161" s="9">
        <f>AVERAGE(L101:L160)</f>
        <v/>
      </c>
    </row>
    <row r="162">
      <c r="L162" s="9">
        <f>LN(B162/B161)</f>
        <v/>
      </c>
      <c r="M162" s="9">
        <f>$M$1*(C162-C161)</f>
        <v/>
      </c>
      <c r="N162" s="9">
        <f>$N$1*(D162-D161)</f>
        <v/>
      </c>
      <c r="O162" s="9">
        <f>$O$1*LN(E162/E161)</f>
        <v/>
      </c>
      <c r="P162" s="9">
        <f>$P$1*LN(F162/F161)</f>
        <v/>
      </c>
      <c r="Q162" s="9">
        <f>$Q$1*(G162-G161)</f>
        <v/>
      </c>
      <c r="R162" s="9">
        <f>$R$1*(H162-H161)</f>
        <v/>
      </c>
      <c r="S162" s="9">
        <f>$S$1*LN(I162/I161)</f>
        <v/>
      </c>
      <c r="T162" s="9">
        <f>$T$1*LN(J162/J161)</f>
        <v/>
      </c>
      <c r="U162" s="9">
        <f>$W$12+$W$4*M162+$W$5*N162+$W$6*O162+$W$7*P162+$W$8*Q162+$W$9*R162+$W$10*S162+$W$11*T162</f>
        <v/>
      </c>
      <c r="AA162" s="10">
        <f>INDEX(LINEST(L103:L162,M103:T162,TRUE,TRUE),1,9)*12</f>
        <v/>
      </c>
      <c r="AB162" s="9">
        <f>INDEX(LINEST(L103:L162,M103:T162,TRUE,TRUE),1,8)</f>
        <v/>
      </c>
      <c r="AC162" s="9">
        <f>INDEX(LINEST(L103:L162,M103:T162,TRUE,TRUE),1,7)</f>
        <v/>
      </c>
      <c r="AD162" s="9">
        <f>INDEX(LINEST(L103:L162,M103:T162,TRUE,TRUE),1,6)</f>
        <v/>
      </c>
      <c r="AE162" s="9">
        <f>INDEX(LINEST(L103:L162,M103:T162,TRUE,TRUE),1,5)</f>
        <v/>
      </c>
      <c r="AF162" s="9">
        <f>INDEX(LINEST(L103:L162,M103:T162,TRUE,TRUE),1,4)</f>
        <v/>
      </c>
      <c r="AG162" s="9">
        <f>INDEX(LINEST(L103:L162,M103:T162,TRUE,TRUE),1,3)</f>
        <v/>
      </c>
      <c r="AH162" s="9">
        <f>INDEX(LINEST(L103:L162,M103:T162,TRUE,TRUE),1,2)</f>
        <v/>
      </c>
      <c r="AI162" s="9">
        <f>INDEX(LINEST(L103:L162,M103:T162,TRUE,TRUE),1,1)</f>
        <v/>
      </c>
      <c r="AJ162" s="10">
        <f>INDEX(LINEST(L103:L162,M103:T162,TRUE,TRUE),3,1)</f>
        <v/>
      </c>
      <c r="AK162" s="9">
        <f>AA161/12+AB161*M162+AC161*N162+AD161*O162+AE161*P162+AF161*Q162+AG161*R162+AH161*S162+AI161*T162</f>
        <v/>
      </c>
      <c r="AL162" s="9">
        <f>AVERAGE(L102:L161)</f>
        <v/>
      </c>
    </row>
    <row r="163">
      <c r="L163" s="9">
        <f>LN(B163/B162)</f>
        <v/>
      </c>
      <c r="M163" s="9">
        <f>$M$1*(C163-C162)</f>
        <v/>
      </c>
      <c r="N163" s="9">
        <f>$N$1*(D163-D162)</f>
        <v/>
      </c>
      <c r="O163" s="9">
        <f>$O$1*LN(E163/E162)</f>
        <v/>
      </c>
      <c r="P163" s="9">
        <f>$P$1*LN(F163/F162)</f>
        <v/>
      </c>
      <c r="Q163" s="9">
        <f>$Q$1*(G163-G162)</f>
        <v/>
      </c>
      <c r="R163" s="9">
        <f>$R$1*(H163-H162)</f>
        <v/>
      </c>
      <c r="S163" s="9">
        <f>$S$1*LN(I163/I162)</f>
        <v/>
      </c>
      <c r="T163" s="9">
        <f>$T$1*LN(J163/J162)</f>
        <v/>
      </c>
      <c r="U163" s="9">
        <f>$W$12+$W$4*M163+$W$5*N163+$W$6*O163+$W$7*P163+$W$8*Q163+$W$9*R163+$W$10*S163+$W$11*T163</f>
        <v/>
      </c>
      <c r="AA163" s="10">
        <f>INDEX(LINEST(L104:L163,M104:T163,TRUE,TRUE),1,9)*12</f>
        <v/>
      </c>
      <c r="AB163" s="9">
        <f>INDEX(LINEST(L104:L163,M104:T163,TRUE,TRUE),1,8)</f>
        <v/>
      </c>
      <c r="AC163" s="9">
        <f>INDEX(LINEST(L104:L163,M104:T163,TRUE,TRUE),1,7)</f>
        <v/>
      </c>
      <c r="AD163" s="9">
        <f>INDEX(LINEST(L104:L163,M104:T163,TRUE,TRUE),1,6)</f>
        <v/>
      </c>
      <c r="AE163" s="9">
        <f>INDEX(LINEST(L104:L163,M104:T163,TRUE,TRUE),1,5)</f>
        <v/>
      </c>
      <c r="AF163" s="9">
        <f>INDEX(LINEST(L104:L163,M104:T163,TRUE,TRUE),1,4)</f>
        <v/>
      </c>
      <c r="AG163" s="9">
        <f>INDEX(LINEST(L104:L163,M104:T163,TRUE,TRUE),1,3)</f>
        <v/>
      </c>
      <c r="AH163" s="9">
        <f>INDEX(LINEST(L104:L163,M104:T163,TRUE,TRUE),1,2)</f>
        <v/>
      </c>
      <c r="AI163" s="9">
        <f>INDEX(LINEST(L104:L163,M104:T163,TRUE,TRUE),1,1)</f>
        <v/>
      </c>
      <c r="AJ163" s="10">
        <f>INDEX(LINEST(L104:L163,M104:T163,TRUE,TRUE),3,1)</f>
        <v/>
      </c>
      <c r="AK163" s="9">
        <f>AA162/12+AB162*M163+AC162*N163+AD162*O163+AE162*P163+AF162*Q163+AG162*R163+AH162*S163+AI162*T163</f>
        <v/>
      </c>
      <c r="AL163" s="9">
        <f>AVERAGE(L103:L162)</f>
        <v/>
      </c>
    </row>
    <row r="164">
      <c r="L164" s="9">
        <f>LN(B164/B163)</f>
        <v/>
      </c>
      <c r="M164" s="9">
        <f>$M$1*(C164-C163)</f>
        <v/>
      </c>
      <c r="N164" s="9">
        <f>$N$1*(D164-D163)</f>
        <v/>
      </c>
      <c r="O164" s="9">
        <f>$O$1*LN(E164/E163)</f>
        <v/>
      </c>
      <c r="P164" s="9">
        <f>$P$1*LN(F164/F163)</f>
        <v/>
      </c>
      <c r="Q164" s="9">
        <f>$Q$1*(G164-G163)</f>
        <v/>
      </c>
      <c r="R164" s="9">
        <f>$R$1*(H164-H163)</f>
        <v/>
      </c>
      <c r="S164" s="9">
        <f>$S$1*LN(I164/I163)</f>
        <v/>
      </c>
      <c r="T164" s="9">
        <f>$T$1*LN(J164/J163)</f>
        <v/>
      </c>
      <c r="U164" s="9">
        <f>$W$12+$W$4*M164+$W$5*N164+$W$6*O164+$W$7*P164+$W$8*Q164+$W$9*R164+$W$10*S164+$W$11*T164</f>
        <v/>
      </c>
      <c r="AA164" s="10">
        <f>INDEX(LINEST(L105:L164,M105:T164,TRUE,TRUE),1,9)*12</f>
        <v/>
      </c>
      <c r="AB164" s="9">
        <f>INDEX(LINEST(L105:L164,M105:T164,TRUE,TRUE),1,8)</f>
        <v/>
      </c>
      <c r="AC164" s="9">
        <f>INDEX(LINEST(L105:L164,M105:T164,TRUE,TRUE),1,7)</f>
        <v/>
      </c>
      <c r="AD164" s="9">
        <f>INDEX(LINEST(L105:L164,M105:T164,TRUE,TRUE),1,6)</f>
        <v/>
      </c>
      <c r="AE164" s="9">
        <f>INDEX(LINEST(L105:L164,M105:T164,TRUE,TRUE),1,5)</f>
        <v/>
      </c>
      <c r="AF164" s="9">
        <f>INDEX(LINEST(L105:L164,M105:T164,TRUE,TRUE),1,4)</f>
        <v/>
      </c>
      <c r="AG164" s="9">
        <f>INDEX(LINEST(L105:L164,M105:T164,TRUE,TRUE),1,3)</f>
        <v/>
      </c>
      <c r="AH164" s="9">
        <f>INDEX(LINEST(L105:L164,M105:T164,TRUE,TRUE),1,2)</f>
        <v/>
      </c>
      <c r="AI164" s="9">
        <f>INDEX(LINEST(L105:L164,M105:T164,TRUE,TRUE),1,1)</f>
        <v/>
      </c>
      <c r="AJ164" s="10">
        <f>INDEX(LINEST(L105:L164,M105:T164,TRUE,TRUE),3,1)</f>
        <v/>
      </c>
      <c r="AK164" s="9">
        <f>AA163/12+AB163*M164+AC163*N164+AD163*O164+AE163*P164+AF163*Q164+AG163*R164+AH163*S164+AI163*T164</f>
        <v/>
      </c>
      <c r="AL164" s="9">
        <f>AVERAGE(L104:L163)</f>
        <v/>
      </c>
    </row>
    <row r="165">
      <c r="L165" s="9">
        <f>LN(B165/B164)</f>
        <v/>
      </c>
      <c r="M165" s="9">
        <f>$M$1*(C165-C164)</f>
        <v/>
      </c>
      <c r="N165" s="9">
        <f>$N$1*(D165-D164)</f>
        <v/>
      </c>
      <c r="O165" s="9">
        <f>$O$1*LN(E165/E164)</f>
        <v/>
      </c>
      <c r="P165" s="9">
        <f>$P$1*LN(F165/F164)</f>
        <v/>
      </c>
      <c r="Q165" s="9">
        <f>$Q$1*(G165-G164)</f>
        <v/>
      </c>
      <c r="R165" s="9">
        <f>$R$1*(H165-H164)</f>
        <v/>
      </c>
      <c r="S165" s="9">
        <f>$S$1*LN(I165/I164)</f>
        <v/>
      </c>
      <c r="T165" s="9">
        <f>$T$1*LN(J165/J164)</f>
        <v/>
      </c>
      <c r="U165" s="9">
        <f>$W$12+$W$4*M165+$W$5*N165+$W$6*O165+$W$7*P165+$W$8*Q165+$W$9*R165+$W$10*S165+$W$11*T165</f>
        <v/>
      </c>
      <c r="AA165" s="10">
        <f>INDEX(LINEST(L106:L165,M106:T165,TRUE,TRUE),1,9)*12</f>
        <v/>
      </c>
      <c r="AB165" s="9">
        <f>INDEX(LINEST(L106:L165,M106:T165,TRUE,TRUE),1,8)</f>
        <v/>
      </c>
      <c r="AC165" s="9">
        <f>INDEX(LINEST(L106:L165,M106:T165,TRUE,TRUE),1,7)</f>
        <v/>
      </c>
      <c r="AD165" s="9">
        <f>INDEX(LINEST(L106:L165,M106:T165,TRUE,TRUE),1,6)</f>
        <v/>
      </c>
      <c r="AE165" s="9">
        <f>INDEX(LINEST(L106:L165,M106:T165,TRUE,TRUE),1,5)</f>
        <v/>
      </c>
      <c r="AF165" s="9">
        <f>INDEX(LINEST(L106:L165,M106:T165,TRUE,TRUE),1,4)</f>
        <v/>
      </c>
      <c r="AG165" s="9">
        <f>INDEX(LINEST(L106:L165,M106:T165,TRUE,TRUE),1,3)</f>
        <v/>
      </c>
      <c r="AH165" s="9">
        <f>INDEX(LINEST(L106:L165,M106:T165,TRUE,TRUE),1,2)</f>
        <v/>
      </c>
      <c r="AI165" s="9">
        <f>INDEX(LINEST(L106:L165,M106:T165,TRUE,TRUE),1,1)</f>
        <v/>
      </c>
      <c r="AJ165" s="10">
        <f>INDEX(LINEST(L106:L165,M106:T165,TRUE,TRUE),3,1)</f>
        <v/>
      </c>
      <c r="AK165" s="9">
        <f>AA164/12+AB164*M165+AC164*N165+AD164*O165+AE164*P165+AF164*Q165+AG164*R165+AH164*S165+AI164*T165</f>
        <v/>
      </c>
      <c r="AL165" s="9">
        <f>AVERAGE(L105:L164)</f>
        <v/>
      </c>
    </row>
    <row r="166">
      <c r="L166" s="9">
        <f>LN(B166/B165)</f>
        <v/>
      </c>
      <c r="M166" s="9">
        <f>$M$1*(C166-C165)</f>
        <v/>
      </c>
      <c r="N166" s="9">
        <f>$N$1*(D166-D165)</f>
        <v/>
      </c>
      <c r="O166" s="9">
        <f>$O$1*LN(E166/E165)</f>
        <v/>
      </c>
      <c r="P166" s="9">
        <f>$P$1*LN(F166/F165)</f>
        <v/>
      </c>
      <c r="Q166" s="9">
        <f>$Q$1*(G166-G165)</f>
        <v/>
      </c>
      <c r="R166" s="9">
        <f>$R$1*(H166-H165)</f>
        <v/>
      </c>
      <c r="S166" s="9">
        <f>$S$1*LN(I166/I165)</f>
        <v/>
      </c>
      <c r="T166" s="9">
        <f>$T$1*LN(J166/J165)</f>
        <v/>
      </c>
      <c r="U166" s="9">
        <f>$W$12+$W$4*M166+$W$5*N166+$W$6*O166+$W$7*P166+$W$8*Q166+$W$9*R166+$W$10*S166+$W$11*T166</f>
        <v/>
      </c>
      <c r="AA166" s="10">
        <f>INDEX(LINEST(L107:L166,M107:T166,TRUE,TRUE),1,9)*12</f>
        <v/>
      </c>
      <c r="AB166" s="9">
        <f>INDEX(LINEST(L107:L166,M107:T166,TRUE,TRUE),1,8)</f>
        <v/>
      </c>
      <c r="AC166" s="9">
        <f>INDEX(LINEST(L107:L166,M107:T166,TRUE,TRUE),1,7)</f>
        <v/>
      </c>
      <c r="AD166" s="9">
        <f>INDEX(LINEST(L107:L166,M107:T166,TRUE,TRUE),1,6)</f>
        <v/>
      </c>
      <c r="AE166" s="9">
        <f>INDEX(LINEST(L107:L166,M107:T166,TRUE,TRUE),1,5)</f>
        <v/>
      </c>
      <c r="AF166" s="9">
        <f>INDEX(LINEST(L107:L166,M107:T166,TRUE,TRUE),1,4)</f>
        <v/>
      </c>
      <c r="AG166" s="9">
        <f>INDEX(LINEST(L107:L166,M107:T166,TRUE,TRUE),1,3)</f>
        <v/>
      </c>
      <c r="AH166" s="9">
        <f>INDEX(LINEST(L107:L166,M107:T166,TRUE,TRUE),1,2)</f>
        <v/>
      </c>
      <c r="AI166" s="9">
        <f>INDEX(LINEST(L107:L166,M107:T166,TRUE,TRUE),1,1)</f>
        <v/>
      </c>
      <c r="AJ166" s="10">
        <f>INDEX(LINEST(L107:L166,M107:T166,TRUE,TRUE),3,1)</f>
        <v/>
      </c>
      <c r="AK166" s="9">
        <f>AA165/12+AB165*M166+AC165*N166+AD165*O166+AE165*P166+AF165*Q166+AG165*R166+AH165*S166+AI165*T166</f>
        <v/>
      </c>
      <c r="AL166" s="9">
        <f>AVERAGE(L106:L165)</f>
        <v/>
      </c>
    </row>
    <row r="167">
      <c r="L167" s="9">
        <f>LN(B167/B166)</f>
        <v/>
      </c>
      <c r="M167" s="9">
        <f>$M$1*(C167-C166)</f>
        <v/>
      </c>
      <c r="N167" s="9">
        <f>$N$1*(D167-D166)</f>
        <v/>
      </c>
      <c r="O167" s="9">
        <f>$O$1*LN(E167/E166)</f>
        <v/>
      </c>
      <c r="P167" s="9">
        <f>$P$1*LN(F167/F166)</f>
        <v/>
      </c>
      <c r="Q167" s="9">
        <f>$Q$1*(G167-G166)</f>
        <v/>
      </c>
      <c r="R167" s="9">
        <f>$R$1*(H167-H166)</f>
        <v/>
      </c>
      <c r="S167" s="9">
        <f>$S$1*LN(I167/I166)</f>
        <v/>
      </c>
      <c r="T167" s="9">
        <f>$T$1*LN(J167/J166)</f>
        <v/>
      </c>
      <c r="U167" s="9">
        <f>$W$12+$W$4*M167+$W$5*N167+$W$6*O167+$W$7*P167+$W$8*Q167+$W$9*R167+$W$10*S167+$W$11*T167</f>
        <v/>
      </c>
      <c r="AA167" s="10">
        <f>INDEX(LINEST(L108:L167,M108:T167,TRUE,TRUE),1,9)*12</f>
        <v/>
      </c>
      <c r="AB167" s="9">
        <f>INDEX(LINEST(L108:L167,M108:T167,TRUE,TRUE),1,8)</f>
        <v/>
      </c>
      <c r="AC167" s="9">
        <f>INDEX(LINEST(L108:L167,M108:T167,TRUE,TRUE),1,7)</f>
        <v/>
      </c>
      <c r="AD167" s="9">
        <f>INDEX(LINEST(L108:L167,M108:T167,TRUE,TRUE),1,6)</f>
        <v/>
      </c>
      <c r="AE167" s="9">
        <f>INDEX(LINEST(L108:L167,M108:T167,TRUE,TRUE),1,5)</f>
        <v/>
      </c>
      <c r="AF167" s="9">
        <f>INDEX(LINEST(L108:L167,M108:T167,TRUE,TRUE),1,4)</f>
        <v/>
      </c>
      <c r="AG167" s="9">
        <f>INDEX(LINEST(L108:L167,M108:T167,TRUE,TRUE),1,3)</f>
        <v/>
      </c>
      <c r="AH167" s="9">
        <f>INDEX(LINEST(L108:L167,M108:T167,TRUE,TRUE),1,2)</f>
        <v/>
      </c>
      <c r="AI167" s="9">
        <f>INDEX(LINEST(L108:L167,M108:T167,TRUE,TRUE),1,1)</f>
        <v/>
      </c>
      <c r="AJ167" s="10">
        <f>INDEX(LINEST(L108:L167,M108:T167,TRUE,TRUE),3,1)</f>
        <v/>
      </c>
      <c r="AK167" s="9">
        <f>AA166/12+AB166*M167+AC166*N167+AD166*O167+AE166*P167+AF166*Q167+AG166*R167+AH166*S167+AI166*T167</f>
        <v/>
      </c>
      <c r="AL167" s="9">
        <f>AVERAGE(L107:L166)</f>
        <v/>
      </c>
    </row>
    <row r="168">
      <c r="L168" s="9">
        <f>LN(B168/B167)</f>
        <v/>
      </c>
      <c r="M168" s="9">
        <f>$M$1*(C168-C167)</f>
        <v/>
      </c>
      <c r="N168" s="9">
        <f>$N$1*(D168-D167)</f>
        <v/>
      </c>
      <c r="O168" s="9">
        <f>$O$1*LN(E168/E167)</f>
        <v/>
      </c>
      <c r="P168" s="9">
        <f>$P$1*LN(F168/F167)</f>
        <v/>
      </c>
      <c r="Q168" s="9">
        <f>$Q$1*(G168-G167)</f>
        <v/>
      </c>
      <c r="R168" s="9">
        <f>$R$1*(H168-H167)</f>
        <v/>
      </c>
      <c r="S168" s="9">
        <f>$S$1*LN(I168/I167)</f>
        <v/>
      </c>
      <c r="T168" s="9">
        <f>$T$1*LN(J168/J167)</f>
        <v/>
      </c>
      <c r="U168" s="9">
        <f>$W$12+$W$4*M168+$W$5*N168+$W$6*O168+$W$7*P168+$W$8*Q168+$W$9*R168+$W$10*S168+$W$11*T168</f>
        <v/>
      </c>
      <c r="AA168" s="10">
        <f>INDEX(LINEST(L109:L168,M109:T168,TRUE,TRUE),1,9)*12</f>
        <v/>
      </c>
      <c r="AB168" s="9">
        <f>INDEX(LINEST(L109:L168,M109:T168,TRUE,TRUE),1,8)</f>
        <v/>
      </c>
      <c r="AC168" s="9">
        <f>INDEX(LINEST(L109:L168,M109:T168,TRUE,TRUE),1,7)</f>
        <v/>
      </c>
      <c r="AD168" s="9">
        <f>INDEX(LINEST(L109:L168,M109:T168,TRUE,TRUE),1,6)</f>
        <v/>
      </c>
      <c r="AE168" s="9">
        <f>INDEX(LINEST(L109:L168,M109:T168,TRUE,TRUE),1,5)</f>
        <v/>
      </c>
      <c r="AF168" s="9">
        <f>INDEX(LINEST(L109:L168,M109:T168,TRUE,TRUE),1,4)</f>
        <v/>
      </c>
      <c r="AG168" s="9">
        <f>INDEX(LINEST(L109:L168,M109:T168,TRUE,TRUE),1,3)</f>
        <v/>
      </c>
      <c r="AH168" s="9">
        <f>INDEX(LINEST(L109:L168,M109:T168,TRUE,TRUE),1,2)</f>
        <v/>
      </c>
      <c r="AI168" s="9">
        <f>INDEX(LINEST(L109:L168,M109:T168,TRUE,TRUE),1,1)</f>
        <v/>
      </c>
      <c r="AJ168" s="10">
        <f>INDEX(LINEST(L109:L168,M109:T168,TRUE,TRUE),3,1)</f>
        <v/>
      </c>
      <c r="AK168" s="9">
        <f>AA167/12+AB167*M168+AC167*N168+AD167*O168+AE167*P168+AF167*Q168+AG167*R168+AH167*S168+AI167*T168</f>
        <v/>
      </c>
      <c r="AL168" s="9">
        <f>AVERAGE(L108:L167)</f>
        <v/>
      </c>
    </row>
    <row r="169">
      <c r="L169" s="9">
        <f>LN(B169/B168)</f>
        <v/>
      </c>
      <c r="M169" s="9">
        <f>$M$1*(C169-C168)</f>
        <v/>
      </c>
      <c r="N169" s="9">
        <f>$N$1*(D169-D168)</f>
        <v/>
      </c>
      <c r="O169" s="9">
        <f>$O$1*LN(E169/E168)</f>
        <v/>
      </c>
      <c r="P169" s="9">
        <f>$P$1*LN(F169/F168)</f>
        <v/>
      </c>
      <c r="Q169" s="9">
        <f>$Q$1*(G169-G168)</f>
        <v/>
      </c>
      <c r="R169" s="9">
        <f>$R$1*(H169-H168)</f>
        <v/>
      </c>
      <c r="S169" s="9">
        <f>$S$1*LN(I169/I168)</f>
        <v/>
      </c>
      <c r="T169" s="9">
        <f>$T$1*LN(J169/J168)</f>
        <v/>
      </c>
      <c r="U169" s="9">
        <f>$W$12+$W$4*M169+$W$5*N169+$W$6*O169+$W$7*P169+$W$8*Q169+$W$9*R169+$W$10*S169+$W$11*T169</f>
        <v/>
      </c>
      <c r="AA169" s="10">
        <f>INDEX(LINEST(L110:L169,M110:T169,TRUE,TRUE),1,9)*12</f>
        <v/>
      </c>
      <c r="AB169" s="9">
        <f>INDEX(LINEST(L110:L169,M110:T169,TRUE,TRUE),1,8)</f>
        <v/>
      </c>
      <c r="AC169" s="9">
        <f>INDEX(LINEST(L110:L169,M110:T169,TRUE,TRUE),1,7)</f>
        <v/>
      </c>
      <c r="AD169" s="9">
        <f>INDEX(LINEST(L110:L169,M110:T169,TRUE,TRUE),1,6)</f>
        <v/>
      </c>
      <c r="AE169" s="9">
        <f>INDEX(LINEST(L110:L169,M110:T169,TRUE,TRUE),1,5)</f>
        <v/>
      </c>
      <c r="AF169" s="9">
        <f>INDEX(LINEST(L110:L169,M110:T169,TRUE,TRUE),1,4)</f>
        <v/>
      </c>
      <c r="AG169" s="9">
        <f>INDEX(LINEST(L110:L169,M110:T169,TRUE,TRUE),1,3)</f>
        <v/>
      </c>
      <c r="AH169" s="9">
        <f>INDEX(LINEST(L110:L169,M110:T169,TRUE,TRUE),1,2)</f>
        <v/>
      </c>
      <c r="AI169" s="9">
        <f>INDEX(LINEST(L110:L169,M110:T169,TRUE,TRUE),1,1)</f>
        <v/>
      </c>
      <c r="AJ169" s="10">
        <f>INDEX(LINEST(L110:L169,M110:T169,TRUE,TRUE),3,1)</f>
        <v/>
      </c>
      <c r="AK169" s="9">
        <f>AA168/12+AB168*M169+AC168*N169+AD168*O169+AE168*P169+AF168*Q169+AG168*R169+AH168*S169+AI168*T169</f>
        <v/>
      </c>
      <c r="AL169" s="9">
        <f>AVERAGE(L109:L168)</f>
        <v/>
      </c>
    </row>
    <row r="170">
      <c r="L170" s="9">
        <f>LN(B170/B169)</f>
        <v/>
      </c>
      <c r="M170" s="9">
        <f>$M$1*(C170-C169)</f>
        <v/>
      </c>
      <c r="N170" s="9">
        <f>$N$1*(D170-D169)</f>
        <v/>
      </c>
      <c r="O170" s="9">
        <f>$O$1*LN(E170/E169)</f>
        <v/>
      </c>
      <c r="P170" s="9">
        <f>$P$1*LN(F170/F169)</f>
        <v/>
      </c>
      <c r="Q170" s="9">
        <f>$Q$1*(G170-G169)</f>
        <v/>
      </c>
      <c r="R170" s="9">
        <f>$R$1*(H170-H169)</f>
        <v/>
      </c>
      <c r="S170" s="9">
        <f>$S$1*LN(I170/I169)</f>
        <v/>
      </c>
      <c r="T170" s="9">
        <f>$T$1*LN(J170/J169)</f>
        <v/>
      </c>
      <c r="U170" s="9">
        <f>$W$12+$W$4*M170+$W$5*N170+$W$6*O170+$W$7*P170+$W$8*Q170+$W$9*R170+$W$10*S170+$W$11*T170</f>
        <v/>
      </c>
      <c r="AA170" s="10">
        <f>INDEX(LINEST(L111:L170,M111:T170,TRUE,TRUE),1,9)*12</f>
        <v/>
      </c>
      <c r="AB170" s="9">
        <f>INDEX(LINEST(L111:L170,M111:T170,TRUE,TRUE),1,8)</f>
        <v/>
      </c>
      <c r="AC170" s="9">
        <f>INDEX(LINEST(L111:L170,M111:T170,TRUE,TRUE),1,7)</f>
        <v/>
      </c>
      <c r="AD170" s="9">
        <f>INDEX(LINEST(L111:L170,M111:T170,TRUE,TRUE),1,6)</f>
        <v/>
      </c>
      <c r="AE170" s="9">
        <f>INDEX(LINEST(L111:L170,M111:T170,TRUE,TRUE),1,5)</f>
        <v/>
      </c>
      <c r="AF170" s="9">
        <f>INDEX(LINEST(L111:L170,M111:T170,TRUE,TRUE),1,4)</f>
        <v/>
      </c>
      <c r="AG170" s="9">
        <f>INDEX(LINEST(L111:L170,M111:T170,TRUE,TRUE),1,3)</f>
        <v/>
      </c>
      <c r="AH170" s="9">
        <f>INDEX(LINEST(L111:L170,M111:T170,TRUE,TRUE),1,2)</f>
        <v/>
      </c>
      <c r="AI170" s="9">
        <f>INDEX(LINEST(L111:L170,M111:T170,TRUE,TRUE),1,1)</f>
        <v/>
      </c>
      <c r="AJ170" s="10">
        <f>INDEX(LINEST(L111:L170,M111:T170,TRUE,TRUE),3,1)</f>
        <v/>
      </c>
      <c r="AK170" s="9">
        <f>AA169/12+AB169*M170+AC169*N170+AD169*O170+AE169*P170+AF169*Q170+AG169*R170+AH169*S170+AI169*T170</f>
        <v/>
      </c>
      <c r="AL170" s="9">
        <f>AVERAGE(L110:L169)</f>
        <v/>
      </c>
    </row>
    <row r="171">
      <c r="L171" s="9">
        <f>LN(B171/B170)</f>
        <v/>
      </c>
      <c r="M171" s="9">
        <f>$M$1*(C171-C170)</f>
        <v/>
      </c>
      <c r="N171" s="9">
        <f>$N$1*(D171-D170)</f>
        <v/>
      </c>
      <c r="O171" s="9">
        <f>$O$1*LN(E171/E170)</f>
        <v/>
      </c>
      <c r="P171" s="9">
        <f>$P$1*LN(F171/F170)</f>
        <v/>
      </c>
      <c r="Q171" s="9">
        <f>$Q$1*(G171-G170)</f>
        <v/>
      </c>
      <c r="R171" s="9">
        <f>$R$1*(H171-H170)</f>
        <v/>
      </c>
      <c r="S171" s="9">
        <f>$S$1*LN(I171/I170)</f>
        <v/>
      </c>
      <c r="T171" s="9">
        <f>$T$1*LN(J171/J170)</f>
        <v/>
      </c>
      <c r="U171" s="9">
        <f>$W$12+$W$4*M171+$W$5*N171+$W$6*O171+$W$7*P171+$W$8*Q171+$W$9*R171+$W$10*S171+$W$11*T171</f>
        <v/>
      </c>
      <c r="AA171" s="10">
        <f>INDEX(LINEST(L112:L171,M112:T171,TRUE,TRUE),1,9)*12</f>
        <v/>
      </c>
      <c r="AB171" s="9">
        <f>INDEX(LINEST(L112:L171,M112:T171,TRUE,TRUE),1,8)</f>
        <v/>
      </c>
      <c r="AC171" s="9">
        <f>INDEX(LINEST(L112:L171,M112:T171,TRUE,TRUE),1,7)</f>
        <v/>
      </c>
      <c r="AD171" s="9">
        <f>INDEX(LINEST(L112:L171,M112:T171,TRUE,TRUE),1,6)</f>
        <v/>
      </c>
      <c r="AE171" s="9">
        <f>INDEX(LINEST(L112:L171,M112:T171,TRUE,TRUE),1,5)</f>
        <v/>
      </c>
      <c r="AF171" s="9">
        <f>INDEX(LINEST(L112:L171,M112:T171,TRUE,TRUE),1,4)</f>
        <v/>
      </c>
      <c r="AG171" s="9">
        <f>INDEX(LINEST(L112:L171,M112:T171,TRUE,TRUE),1,3)</f>
        <v/>
      </c>
      <c r="AH171" s="9">
        <f>INDEX(LINEST(L112:L171,M112:T171,TRUE,TRUE),1,2)</f>
        <v/>
      </c>
      <c r="AI171" s="9">
        <f>INDEX(LINEST(L112:L171,M112:T171,TRUE,TRUE),1,1)</f>
        <v/>
      </c>
      <c r="AJ171" s="10">
        <f>INDEX(LINEST(L112:L171,M112:T171,TRUE,TRUE),3,1)</f>
        <v/>
      </c>
      <c r="AK171" s="9">
        <f>AA170/12+AB170*M171+AC170*N171+AD170*O171+AE170*P171+AF170*Q171+AG170*R171+AH170*S171+AI170*T171</f>
        <v/>
      </c>
      <c r="AL171" s="9">
        <f>AVERAGE(L111:L170)</f>
        <v/>
      </c>
    </row>
    <row r="172">
      <c r="L172" s="9">
        <f>LN(B172/B171)</f>
        <v/>
      </c>
      <c r="M172" s="9">
        <f>$M$1*(C172-C171)</f>
        <v/>
      </c>
      <c r="N172" s="9">
        <f>$N$1*(D172-D171)</f>
        <v/>
      </c>
      <c r="O172" s="9">
        <f>$O$1*LN(E172/E171)</f>
        <v/>
      </c>
      <c r="P172" s="9">
        <f>$P$1*LN(F172/F171)</f>
        <v/>
      </c>
      <c r="Q172" s="9">
        <f>$Q$1*(G172-G171)</f>
        <v/>
      </c>
      <c r="R172" s="9">
        <f>$R$1*(H172-H171)</f>
        <v/>
      </c>
      <c r="S172" s="9">
        <f>$S$1*LN(I172/I171)</f>
        <v/>
      </c>
      <c r="T172" s="9">
        <f>$T$1*LN(J172/J171)</f>
        <v/>
      </c>
      <c r="U172" s="9">
        <f>$W$12+$W$4*M172+$W$5*N172+$W$6*O172+$W$7*P172+$W$8*Q172+$W$9*R172+$W$10*S172+$W$11*T172</f>
        <v/>
      </c>
      <c r="AA172" s="10">
        <f>INDEX(LINEST(L113:L172,M113:T172,TRUE,TRUE),1,9)*12</f>
        <v/>
      </c>
      <c r="AB172" s="9">
        <f>INDEX(LINEST(L113:L172,M113:T172,TRUE,TRUE),1,8)</f>
        <v/>
      </c>
      <c r="AC172" s="9">
        <f>INDEX(LINEST(L113:L172,M113:T172,TRUE,TRUE),1,7)</f>
        <v/>
      </c>
      <c r="AD172" s="9">
        <f>INDEX(LINEST(L113:L172,M113:T172,TRUE,TRUE),1,6)</f>
        <v/>
      </c>
      <c r="AE172" s="9">
        <f>INDEX(LINEST(L113:L172,M113:T172,TRUE,TRUE),1,5)</f>
        <v/>
      </c>
      <c r="AF172" s="9">
        <f>INDEX(LINEST(L113:L172,M113:T172,TRUE,TRUE),1,4)</f>
        <v/>
      </c>
      <c r="AG172" s="9">
        <f>INDEX(LINEST(L113:L172,M113:T172,TRUE,TRUE),1,3)</f>
        <v/>
      </c>
      <c r="AH172" s="9">
        <f>INDEX(LINEST(L113:L172,M113:T172,TRUE,TRUE),1,2)</f>
        <v/>
      </c>
      <c r="AI172" s="9">
        <f>INDEX(LINEST(L113:L172,M113:T172,TRUE,TRUE),1,1)</f>
        <v/>
      </c>
      <c r="AJ172" s="10">
        <f>INDEX(LINEST(L113:L172,M113:T172,TRUE,TRUE),3,1)</f>
        <v/>
      </c>
      <c r="AK172" s="9">
        <f>AA171/12+AB171*M172+AC171*N172+AD171*O172+AE171*P172+AF171*Q172+AG171*R172+AH171*S172+AI171*T172</f>
        <v/>
      </c>
      <c r="AL172" s="9">
        <f>AVERAGE(L112:L171)</f>
        <v/>
      </c>
    </row>
    <row r="173">
      <c r="L173" s="9">
        <f>LN(B173/B172)</f>
        <v/>
      </c>
      <c r="M173" s="9">
        <f>$M$1*(C173-C172)</f>
        <v/>
      </c>
      <c r="N173" s="9">
        <f>$N$1*(D173-D172)</f>
        <v/>
      </c>
      <c r="O173" s="9">
        <f>$O$1*LN(E173/E172)</f>
        <v/>
      </c>
      <c r="P173" s="9">
        <f>$P$1*LN(F173/F172)</f>
        <v/>
      </c>
      <c r="Q173" s="9">
        <f>$Q$1*(G173-G172)</f>
        <v/>
      </c>
      <c r="R173" s="9">
        <f>$R$1*(H173-H172)</f>
        <v/>
      </c>
      <c r="S173" s="9">
        <f>$S$1*LN(I173/I172)</f>
        <v/>
      </c>
      <c r="T173" s="9">
        <f>$T$1*LN(J173/J172)</f>
        <v/>
      </c>
      <c r="U173" s="9">
        <f>$W$12+$W$4*M173+$W$5*N173+$W$6*O173+$W$7*P173+$W$8*Q173+$W$9*R173+$W$10*S173+$W$11*T173</f>
        <v/>
      </c>
      <c r="AA173" s="10">
        <f>INDEX(LINEST(L114:L173,M114:T173,TRUE,TRUE),1,9)*12</f>
        <v/>
      </c>
      <c r="AB173" s="9">
        <f>INDEX(LINEST(L114:L173,M114:T173,TRUE,TRUE),1,8)</f>
        <v/>
      </c>
      <c r="AC173" s="9">
        <f>INDEX(LINEST(L114:L173,M114:T173,TRUE,TRUE),1,7)</f>
        <v/>
      </c>
      <c r="AD173" s="9">
        <f>INDEX(LINEST(L114:L173,M114:T173,TRUE,TRUE),1,6)</f>
        <v/>
      </c>
      <c r="AE173" s="9">
        <f>INDEX(LINEST(L114:L173,M114:T173,TRUE,TRUE),1,5)</f>
        <v/>
      </c>
      <c r="AF173" s="9">
        <f>INDEX(LINEST(L114:L173,M114:T173,TRUE,TRUE),1,4)</f>
        <v/>
      </c>
      <c r="AG173" s="9">
        <f>INDEX(LINEST(L114:L173,M114:T173,TRUE,TRUE),1,3)</f>
        <v/>
      </c>
      <c r="AH173" s="9">
        <f>INDEX(LINEST(L114:L173,M114:T173,TRUE,TRUE),1,2)</f>
        <v/>
      </c>
      <c r="AI173" s="9">
        <f>INDEX(LINEST(L114:L173,M114:T173,TRUE,TRUE),1,1)</f>
        <v/>
      </c>
      <c r="AJ173" s="10">
        <f>INDEX(LINEST(L114:L173,M114:T173,TRUE,TRUE),3,1)</f>
        <v/>
      </c>
      <c r="AK173" s="9">
        <f>AA172/12+AB172*M173+AC172*N173+AD172*O173+AE172*P173+AF172*Q173+AG172*R173+AH172*S173+AI172*T173</f>
        <v/>
      </c>
      <c r="AL173" s="9">
        <f>AVERAGE(L113:L172)</f>
        <v/>
      </c>
    </row>
    <row r="174">
      <c r="L174" s="9">
        <f>LN(B174/B173)</f>
        <v/>
      </c>
      <c r="M174" s="9">
        <f>$M$1*(C174-C173)</f>
        <v/>
      </c>
      <c r="N174" s="9">
        <f>$N$1*(D174-D173)</f>
        <v/>
      </c>
      <c r="O174" s="9">
        <f>$O$1*LN(E174/E173)</f>
        <v/>
      </c>
      <c r="P174" s="9">
        <f>$P$1*LN(F174/F173)</f>
        <v/>
      </c>
      <c r="Q174" s="9">
        <f>$Q$1*(G174-G173)</f>
        <v/>
      </c>
      <c r="R174" s="9">
        <f>$R$1*(H174-H173)</f>
        <v/>
      </c>
      <c r="S174" s="9">
        <f>$S$1*LN(I174/I173)</f>
        <v/>
      </c>
      <c r="T174" s="9">
        <f>$T$1*LN(J174/J173)</f>
        <v/>
      </c>
      <c r="U174" s="9">
        <f>$W$12+$W$4*M174+$W$5*N174+$W$6*O174+$W$7*P174+$W$8*Q174+$W$9*R174+$W$10*S174+$W$11*T174</f>
        <v/>
      </c>
      <c r="AA174" s="10">
        <f>INDEX(LINEST(L115:L174,M115:T174,TRUE,TRUE),1,9)*12</f>
        <v/>
      </c>
      <c r="AB174" s="9">
        <f>INDEX(LINEST(L115:L174,M115:T174,TRUE,TRUE),1,8)</f>
        <v/>
      </c>
      <c r="AC174" s="9">
        <f>INDEX(LINEST(L115:L174,M115:T174,TRUE,TRUE),1,7)</f>
        <v/>
      </c>
      <c r="AD174" s="9">
        <f>INDEX(LINEST(L115:L174,M115:T174,TRUE,TRUE),1,6)</f>
        <v/>
      </c>
      <c r="AE174" s="9">
        <f>INDEX(LINEST(L115:L174,M115:T174,TRUE,TRUE),1,5)</f>
        <v/>
      </c>
      <c r="AF174" s="9">
        <f>INDEX(LINEST(L115:L174,M115:T174,TRUE,TRUE),1,4)</f>
        <v/>
      </c>
      <c r="AG174" s="9">
        <f>INDEX(LINEST(L115:L174,M115:T174,TRUE,TRUE),1,3)</f>
        <v/>
      </c>
      <c r="AH174" s="9">
        <f>INDEX(LINEST(L115:L174,M115:T174,TRUE,TRUE),1,2)</f>
        <v/>
      </c>
      <c r="AI174" s="9">
        <f>INDEX(LINEST(L115:L174,M115:T174,TRUE,TRUE),1,1)</f>
        <v/>
      </c>
      <c r="AJ174" s="10">
        <f>INDEX(LINEST(L115:L174,M115:T174,TRUE,TRUE),3,1)</f>
        <v/>
      </c>
      <c r="AK174" s="9">
        <f>AA173/12+AB173*M174+AC173*N174+AD173*O174+AE173*P174+AF173*Q174+AG173*R174+AH173*S174+AI173*T174</f>
        <v/>
      </c>
      <c r="AL174" s="9">
        <f>AVERAGE(L114:L173)</f>
        <v/>
      </c>
    </row>
    <row r="175">
      <c r="L175" s="9">
        <f>LN(B175/B174)</f>
        <v/>
      </c>
      <c r="M175" s="9">
        <f>$M$1*(C175-C174)</f>
        <v/>
      </c>
      <c r="N175" s="9">
        <f>$N$1*(D175-D174)</f>
        <v/>
      </c>
      <c r="O175" s="9">
        <f>$O$1*LN(E175/E174)</f>
        <v/>
      </c>
      <c r="P175" s="9">
        <f>$P$1*LN(F175/F174)</f>
        <v/>
      </c>
      <c r="Q175" s="9">
        <f>$Q$1*(G175-G174)</f>
        <v/>
      </c>
      <c r="R175" s="9">
        <f>$R$1*(H175-H174)</f>
        <v/>
      </c>
      <c r="S175" s="9">
        <f>$S$1*LN(I175/I174)</f>
        <v/>
      </c>
      <c r="T175" s="9">
        <f>$T$1*LN(J175/J174)</f>
        <v/>
      </c>
      <c r="U175" s="9">
        <f>$W$12+$W$4*M175+$W$5*N175+$W$6*O175+$W$7*P175+$W$8*Q175+$W$9*R175+$W$10*S175+$W$11*T175</f>
        <v/>
      </c>
      <c r="AA175" s="10">
        <f>INDEX(LINEST(L116:L175,M116:T175,TRUE,TRUE),1,9)*12</f>
        <v/>
      </c>
      <c r="AB175" s="9">
        <f>INDEX(LINEST(L116:L175,M116:T175,TRUE,TRUE),1,8)</f>
        <v/>
      </c>
      <c r="AC175" s="9">
        <f>INDEX(LINEST(L116:L175,M116:T175,TRUE,TRUE),1,7)</f>
        <v/>
      </c>
      <c r="AD175" s="9">
        <f>INDEX(LINEST(L116:L175,M116:T175,TRUE,TRUE),1,6)</f>
        <v/>
      </c>
      <c r="AE175" s="9">
        <f>INDEX(LINEST(L116:L175,M116:T175,TRUE,TRUE),1,5)</f>
        <v/>
      </c>
      <c r="AF175" s="9">
        <f>INDEX(LINEST(L116:L175,M116:T175,TRUE,TRUE),1,4)</f>
        <v/>
      </c>
      <c r="AG175" s="9">
        <f>INDEX(LINEST(L116:L175,M116:T175,TRUE,TRUE),1,3)</f>
        <v/>
      </c>
      <c r="AH175" s="9">
        <f>INDEX(LINEST(L116:L175,M116:T175,TRUE,TRUE),1,2)</f>
        <v/>
      </c>
      <c r="AI175" s="9">
        <f>INDEX(LINEST(L116:L175,M116:T175,TRUE,TRUE),1,1)</f>
        <v/>
      </c>
      <c r="AJ175" s="10">
        <f>INDEX(LINEST(L116:L175,M116:T175,TRUE,TRUE),3,1)</f>
        <v/>
      </c>
      <c r="AK175" s="9">
        <f>AA174/12+AB174*M175+AC174*N175+AD174*O175+AE174*P175+AF174*Q175+AG174*R175+AH174*S175+AI174*T175</f>
        <v/>
      </c>
      <c r="AL175" s="9">
        <f>AVERAGE(L115:L174)</f>
        <v/>
      </c>
    </row>
    <row r="176">
      <c r="L176" s="9">
        <f>LN(B176/B175)</f>
        <v/>
      </c>
      <c r="M176" s="9">
        <f>$M$1*(C176-C175)</f>
        <v/>
      </c>
      <c r="N176" s="9">
        <f>$N$1*(D176-D175)</f>
        <v/>
      </c>
      <c r="O176" s="9">
        <f>$O$1*LN(E176/E175)</f>
        <v/>
      </c>
      <c r="P176" s="9">
        <f>$P$1*LN(F176/F175)</f>
        <v/>
      </c>
      <c r="Q176" s="9">
        <f>$Q$1*(G176-G175)</f>
        <v/>
      </c>
      <c r="R176" s="9">
        <f>$R$1*(H176-H175)</f>
        <v/>
      </c>
      <c r="S176" s="9">
        <f>$S$1*LN(I176/I175)</f>
        <v/>
      </c>
      <c r="T176" s="9">
        <f>$T$1*LN(J176/J175)</f>
        <v/>
      </c>
      <c r="U176" s="9">
        <f>$W$12+$W$4*M176+$W$5*N176+$W$6*O176+$W$7*P176+$W$8*Q176+$W$9*R176+$W$10*S176+$W$11*T176</f>
        <v/>
      </c>
      <c r="AA176" s="10">
        <f>INDEX(LINEST(L117:L176,M117:T176,TRUE,TRUE),1,9)*12</f>
        <v/>
      </c>
      <c r="AB176" s="9">
        <f>INDEX(LINEST(L117:L176,M117:T176,TRUE,TRUE),1,8)</f>
        <v/>
      </c>
      <c r="AC176" s="9">
        <f>INDEX(LINEST(L117:L176,M117:T176,TRUE,TRUE),1,7)</f>
        <v/>
      </c>
      <c r="AD176" s="9">
        <f>INDEX(LINEST(L117:L176,M117:T176,TRUE,TRUE),1,6)</f>
        <v/>
      </c>
      <c r="AE176" s="9">
        <f>INDEX(LINEST(L117:L176,M117:T176,TRUE,TRUE),1,5)</f>
        <v/>
      </c>
      <c r="AF176" s="9">
        <f>INDEX(LINEST(L117:L176,M117:T176,TRUE,TRUE),1,4)</f>
        <v/>
      </c>
      <c r="AG176" s="9">
        <f>INDEX(LINEST(L117:L176,M117:T176,TRUE,TRUE),1,3)</f>
        <v/>
      </c>
      <c r="AH176" s="9">
        <f>INDEX(LINEST(L117:L176,M117:T176,TRUE,TRUE),1,2)</f>
        <v/>
      </c>
      <c r="AI176" s="9">
        <f>INDEX(LINEST(L117:L176,M117:T176,TRUE,TRUE),1,1)</f>
        <v/>
      </c>
      <c r="AJ176" s="10">
        <f>INDEX(LINEST(L117:L176,M117:T176,TRUE,TRUE),3,1)</f>
        <v/>
      </c>
      <c r="AK176" s="9">
        <f>AA175/12+AB175*M176+AC175*N176+AD175*O176+AE175*P176+AF175*Q176+AG175*R176+AH175*S176+AI175*T176</f>
        <v/>
      </c>
      <c r="AL176" s="9">
        <f>AVERAGE(L116:L175)</f>
        <v/>
      </c>
    </row>
    <row r="177">
      <c r="L177" s="9">
        <f>LN(B177/B176)</f>
        <v/>
      </c>
      <c r="M177" s="9">
        <f>$M$1*(C177-C176)</f>
        <v/>
      </c>
      <c r="N177" s="9">
        <f>$N$1*(D177-D176)</f>
        <v/>
      </c>
      <c r="O177" s="9">
        <f>$O$1*LN(E177/E176)</f>
        <v/>
      </c>
      <c r="P177" s="9">
        <f>$P$1*LN(F177/F176)</f>
        <v/>
      </c>
      <c r="Q177" s="9">
        <f>$Q$1*(G177-G176)</f>
        <v/>
      </c>
      <c r="R177" s="9">
        <f>$R$1*(H177-H176)</f>
        <v/>
      </c>
      <c r="S177" s="9">
        <f>$S$1*LN(I177/I176)</f>
        <v/>
      </c>
      <c r="T177" s="9">
        <f>$T$1*LN(J177/J176)</f>
        <v/>
      </c>
      <c r="U177" s="9">
        <f>$W$12+$W$4*M177+$W$5*N177+$W$6*O177+$W$7*P177+$W$8*Q177+$W$9*R177+$W$10*S177+$W$11*T177</f>
        <v/>
      </c>
      <c r="AA177" s="10">
        <f>INDEX(LINEST(L118:L177,M118:T177,TRUE,TRUE),1,9)*12</f>
        <v/>
      </c>
      <c r="AB177" s="9">
        <f>INDEX(LINEST(L118:L177,M118:T177,TRUE,TRUE),1,8)</f>
        <v/>
      </c>
      <c r="AC177" s="9">
        <f>INDEX(LINEST(L118:L177,M118:T177,TRUE,TRUE),1,7)</f>
        <v/>
      </c>
      <c r="AD177" s="9">
        <f>INDEX(LINEST(L118:L177,M118:T177,TRUE,TRUE),1,6)</f>
        <v/>
      </c>
      <c r="AE177" s="9">
        <f>INDEX(LINEST(L118:L177,M118:T177,TRUE,TRUE),1,5)</f>
        <v/>
      </c>
      <c r="AF177" s="9">
        <f>INDEX(LINEST(L118:L177,M118:T177,TRUE,TRUE),1,4)</f>
        <v/>
      </c>
      <c r="AG177" s="9">
        <f>INDEX(LINEST(L118:L177,M118:T177,TRUE,TRUE),1,3)</f>
        <v/>
      </c>
      <c r="AH177" s="9">
        <f>INDEX(LINEST(L118:L177,M118:T177,TRUE,TRUE),1,2)</f>
        <v/>
      </c>
      <c r="AI177" s="9">
        <f>INDEX(LINEST(L118:L177,M118:T177,TRUE,TRUE),1,1)</f>
        <v/>
      </c>
      <c r="AJ177" s="10">
        <f>INDEX(LINEST(L118:L177,M118:T177,TRUE,TRUE),3,1)</f>
        <v/>
      </c>
      <c r="AK177" s="9">
        <f>AA176/12+AB176*M177+AC176*N177+AD176*O177+AE176*P177+AF176*Q177+AG176*R177+AH176*S177+AI176*T177</f>
        <v/>
      </c>
      <c r="AL177" s="9">
        <f>AVERAGE(L117:L176)</f>
        <v/>
      </c>
    </row>
    <row r="178">
      <c r="L178" s="9">
        <f>LN(B178/B177)</f>
        <v/>
      </c>
      <c r="M178" s="9">
        <f>$M$1*(C178-C177)</f>
        <v/>
      </c>
      <c r="N178" s="9">
        <f>$N$1*(D178-D177)</f>
        <v/>
      </c>
      <c r="O178" s="9">
        <f>$O$1*LN(E178/E177)</f>
        <v/>
      </c>
      <c r="P178" s="9">
        <f>$P$1*LN(F178/F177)</f>
        <v/>
      </c>
      <c r="Q178" s="9">
        <f>$Q$1*(G178-G177)</f>
        <v/>
      </c>
      <c r="R178" s="9">
        <f>$R$1*(H178-H177)</f>
        <v/>
      </c>
      <c r="S178" s="9">
        <f>$S$1*LN(I178/I177)</f>
        <v/>
      </c>
      <c r="T178" s="9">
        <f>$T$1*LN(J178/J177)</f>
        <v/>
      </c>
      <c r="U178" s="9">
        <f>$W$12+$W$4*M178+$W$5*N178+$W$6*O178+$W$7*P178+$W$8*Q178+$W$9*R178+$W$10*S178+$W$11*T178</f>
        <v/>
      </c>
      <c r="AA178" s="10">
        <f>INDEX(LINEST(L119:L178,M119:T178,TRUE,TRUE),1,9)*12</f>
        <v/>
      </c>
      <c r="AB178" s="9">
        <f>INDEX(LINEST(L119:L178,M119:T178,TRUE,TRUE),1,8)</f>
        <v/>
      </c>
      <c r="AC178" s="9">
        <f>INDEX(LINEST(L119:L178,M119:T178,TRUE,TRUE),1,7)</f>
        <v/>
      </c>
      <c r="AD178" s="9">
        <f>INDEX(LINEST(L119:L178,M119:T178,TRUE,TRUE),1,6)</f>
        <v/>
      </c>
      <c r="AE178" s="9">
        <f>INDEX(LINEST(L119:L178,M119:T178,TRUE,TRUE),1,5)</f>
        <v/>
      </c>
      <c r="AF178" s="9">
        <f>INDEX(LINEST(L119:L178,M119:T178,TRUE,TRUE),1,4)</f>
        <v/>
      </c>
      <c r="AG178" s="9">
        <f>INDEX(LINEST(L119:L178,M119:T178,TRUE,TRUE),1,3)</f>
        <v/>
      </c>
      <c r="AH178" s="9">
        <f>INDEX(LINEST(L119:L178,M119:T178,TRUE,TRUE),1,2)</f>
        <v/>
      </c>
      <c r="AI178" s="9">
        <f>INDEX(LINEST(L119:L178,M119:T178,TRUE,TRUE),1,1)</f>
        <v/>
      </c>
      <c r="AJ178" s="10">
        <f>INDEX(LINEST(L119:L178,M119:T178,TRUE,TRUE),3,1)</f>
        <v/>
      </c>
      <c r="AK178" s="9">
        <f>AA177/12+AB177*M178+AC177*N178+AD177*O178+AE177*P178+AF177*Q178+AG177*R178+AH177*S178+AI177*T178</f>
        <v/>
      </c>
      <c r="AL178" s="9">
        <f>AVERAGE(L118:L177)</f>
        <v/>
      </c>
    </row>
    <row r="179">
      <c r="L179" s="9">
        <f>LN(B179/B178)</f>
        <v/>
      </c>
      <c r="M179" s="9">
        <f>$M$1*(C179-C178)</f>
        <v/>
      </c>
      <c r="N179" s="9">
        <f>$N$1*(D179-D178)</f>
        <v/>
      </c>
      <c r="O179" s="9">
        <f>$O$1*LN(E179/E178)</f>
        <v/>
      </c>
      <c r="P179" s="9">
        <f>$P$1*LN(F179/F178)</f>
        <v/>
      </c>
      <c r="Q179" s="9">
        <f>$Q$1*(G179-G178)</f>
        <v/>
      </c>
      <c r="R179" s="9">
        <f>$R$1*(H179-H178)</f>
        <v/>
      </c>
      <c r="S179" s="9">
        <f>$S$1*LN(I179/I178)</f>
        <v/>
      </c>
      <c r="T179" s="9">
        <f>$T$1*LN(J179/J178)</f>
        <v/>
      </c>
      <c r="U179" s="9">
        <f>$W$12+$W$4*M179+$W$5*N179+$W$6*O179+$W$7*P179+$W$8*Q179+$W$9*R179+$W$10*S179+$W$11*T179</f>
        <v/>
      </c>
      <c r="AA179" s="10">
        <f>INDEX(LINEST(L120:L179,M120:T179,TRUE,TRUE),1,9)*12</f>
        <v/>
      </c>
      <c r="AB179" s="9">
        <f>INDEX(LINEST(L120:L179,M120:T179,TRUE,TRUE),1,8)</f>
        <v/>
      </c>
      <c r="AC179" s="9">
        <f>INDEX(LINEST(L120:L179,M120:T179,TRUE,TRUE),1,7)</f>
        <v/>
      </c>
      <c r="AD179" s="9">
        <f>INDEX(LINEST(L120:L179,M120:T179,TRUE,TRUE),1,6)</f>
        <v/>
      </c>
      <c r="AE179" s="9">
        <f>INDEX(LINEST(L120:L179,M120:T179,TRUE,TRUE),1,5)</f>
        <v/>
      </c>
      <c r="AF179" s="9">
        <f>INDEX(LINEST(L120:L179,M120:T179,TRUE,TRUE),1,4)</f>
        <v/>
      </c>
      <c r="AG179" s="9">
        <f>INDEX(LINEST(L120:L179,M120:T179,TRUE,TRUE),1,3)</f>
        <v/>
      </c>
      <c r="AH179" s="9">
        <f>INDEX(LINEST(L120:L179,M120:T179,TRUE,TRUE),1,2)</f>
        <v/>
      </c>
      <c r="AI179" s="9">
        <f>INDEX(LINEST(L120:L179,M120:T179,TRUE,TRUE),1,1)</f>
        <v/>
      </c>
      <c r="AJ179" s="10">
        <f>INDEX(LINEST(L120:L179,M120:T179,TRUE,TRUE),3,1)</f>
        <v/>
      </c>
      <c r="AK179" s="9">
        <f>AA178/12+AB178*M179+AC178*N179+AD178*O179+AE178*P179+AF178*Q179+AG178*R179+AH178*S179+AI178*T179</f>
        <v/>
      </c>
      <c r="AL179" s="9">
        <f>AVERAGE(L119:L178)</f>
        <v/>
      </c>
    </row>
    <row r="180">
      <c r="L180" s="9">
        <f>LN(B180/B179)</f>
        <v/>
      </c>
      <c r="M180" s="9">
        <f>$M$1*(C180-C179)</f>
        <v/>
      </c>
      <c r="N180" s="9">
        <f>$N$1*(D180-D179)</f>
        <v/>
      </c>
      <c r="O180" s="9">
        <f>$O$1*LN(E180/E179)</f>
        <v/>
      </c>
      <c r="P180" s="9">
        <f>$P$1*LN(F180/F179)</f>
        <v/>
      </c>
      <c r="Q180" s="9">
        <f>$Q$1*(G180-G179)</f>
        <v/>
      </c>
      <c r="R180" s="9">
        <f>$R$1*(H180-H179)</f>
        <v/>
      </c>
      <c r="S180" s="9">
        <f>$S$1*LN(I180/I179)</f>
        <v/>
      </c>
      <c r="T180" s="9">
        <f>$T$1*LN(J180/J179)</f>
        <v/>
      </c>
      <c r="U180" s="9">
        <f>$W$12+$W$4*M180+$W$5*N180+$W$6*O180+$W$7*P180+$W$8*Q180+$W$9*R180+$W$10*S180+$W$11*T180</f>
        <v/>
      </c>
      <c r="AA180" s="10">
        <f>INDEX(LINEST(L121:L180,M121:T180,TRUE,TRUE),1,9)*12</f>
        <v/>
      </c>
      <c r="AB180" s="9">
        <f>INDEX(LINEST(L121:L180,M121:T180,TRUE,TRUE),1,8)</f>
        <v/>
      </c>
      <c r="AC180" s="9">
        <f>INDEX(LINEST(L121:L180,M121:T180,TRUE,TRUE),1,7)</f>
        <v/>
      </c>
      <c r="AD180" s="9">
        <f>INDEX(LINEST(L121:L180,M121:T180,TRUE,TRUE),1,6)</f>
        <v/>
      </c>
      <c r="AE180" s="9">
        <f>INDEX(LINEST(L121:L180,M121:T180,TRUE,TRUE),1,5)</f>
        <v/>
      </c>
      <c r="AF180" s="9">
        <f>INDEX(LINEST(L121:L180,M121:T180,TRUE,TRUE),1,4)</f>
        <v/>
      </c>
      <c r="AG180" s="9">
        <f>INDEX(LINEST(L121:L180,M121:T180,TRUE,TRUE),1,3)</f>
        <v/>
      </c>
      <c r="AH180" s="9">
        <f>INDEX(LINEST(L121:L180,M121:T180,TRUE,TRUE),1,2)</f>
        <v/>
      </c>
      <c r="AI180" s="9">
        <f>INDEX(LINEST(L121:L180,M121:T180,TRUE,TRUE),1,1)</f>
        <v/>
      </c>
      <c r="AJ180" s="10">
        <f>INDEX(LINEST(L121:L180,M121:T180,TRUE,TRUE),3,1)</f>
        <v/>
      </c>
      <c r="AK180" s="9">
        <f>AA179/12+AB179*M180+AC179*N180+AD179*O180+AE179*P180+AF179*Q180+AG179*R180+AH179*S180+AI179*T180</f>
        <v/>
      </c>
      <c r="AL180" s="9">
        <f>AVERAGE(L120:L179)</f>
        <v/>
      </c>
    </row>
    <row r="181">
      <c r="L181" s="9">
        <f>LN(B181/B180)</f>
        <v/>
      </c>
      <c r="M181" s="9">
        <f>$M$1*(C181-C180)</f>
        <v/>
      </c>
      <c r="N181" s="9">
        <f>$N$1*(D181-D180)</f>
        <v/>
      </c>
      <c r="O181" s="9">
        <f>$O$1*LN(E181/E180)</f>
        <v/>
      </c>
      <c r="P181" s="9">
        <f>$P$1*LN(F181/F180)</f>
        <v/>
      </c>
      <c r="Q181" s="9">
        <f>$Q$1*(G181-G180)</f>
        <v/>
      </c>
      <c r="R181" s="9">
        <f>$R$1*(H181-H180)</f>
        <v/>
      </c>
      <c r="S181" s="9">
        <f>$S$1*LN(I181/I180)</f>
        <v/>
      </c>
      <c r="T181" s="9">
        <f>$T$1*LN(J181/J180)</f>
        <v/>
      </c>
      <c r="U181" s="9">
        <f>$W$12+$W$4*M181+$W$5*N181+$W$6*O181+$W$7*P181+$W$8*Q181+$W$9*R181+$W$10*S181+$W$11*T181</f>
        <v/>
      </c>
      <c r="AA181" s="10">
        <f>INDEX(LINEST(L122:L181,M122:T181,TRUE,TRUE),1,9)*12</f>
        <v/>
      </c>
      <c r="AB181" s="9">
        <f>INDEX(LINEST(L122:L181,M122:T181,TRUE,TRUE),1,8)</f>
        <v/>
      </c>
      <c r="AC181" s="9">
        <f>INDEX(LINEST(L122:L181,M122:T181,TRUE,TRUE),1,7)</f>
        <v/>
      </c>
      <c r="AD181" s="9">
        <f>INDEX(LINEST(L122:L181,M122:T181,TRUE,TRUE),1,6)</f>
        <v/>
      </c>
      <c r="AE181" s="9">
        <f>INDEX(LINEST(L122:L181,M122:T181,TRUE,TRUE),1,5)</f>
        <v/>
      </c>
      <c r="AF181" s="9">
        <f>INDEX(LINEST(L122:L181,M122:T181,TRUE,TRUE),1,4)</f>
        <v/>
      </c>
      <c r="AG181" s="9">
        <f>INDEX(LINEST(L122:L181,M122:T181,TRUE,TRUE),1,3)</f>
        <v/>
      </c>
      <c r="AH181" s="9">
        <f>INDEX(LINEST(L122:L181,M122:T181,TRUE,TRUE),1,2)</f>
        <v/>
      </c>
      <c r="AI181" s="9">
        <f>INDEX(LINEST(L122:L181,M122:T181,TRUE,TRUE),1,1)</f>
        <v/>
      </c>
      <c r="AJ181" s="10">
        <f>INDEX(LINEST(L122:L181,M122:T181,TRUE,TRUE),3,1)</f>
        <v/>
      </c>
      <c r="AK181" s="9">
        <f>AA180/12+AB180*M181+AC180*N181+AD180*O181+AE180*P181+AF180*Q181+AG180*R181+AH180*S181+AI180*T181</f>
        <v/>
      </c>
      <c r="AL181" s="9">
        <f>AVERAGE(L121:L180)</f>
        <v/>
      </c>
    </row>
    <row r="182">
      <c r="L182" s="9">
        <f>LN(B182/B181)</f>
        <v/>
      </c>
      <c r="M182" s="9">
        <f>$M$1*(C182-C181)</f>
        <v/>
      </c>
      <c r="N182" s="9">
        <f>$N$1*(D182-D181)</f>
        <v/>
      </c>
      <c r="O182" s="9">
        <f>$O$1*LN(E182/E181)</f>
        <v/>
      </c>
      <c r="P182" s="9">
        <f>$P$1*LN(F182/F181)</f>
        <v/>
      </c>
      <c r="Q182" s="9">
        <f>$Q$1*(G182-G181)</f>
        <v/>
      </c>
      <c r="R182" s="9">
        <f>$R$1*(H182-H181)</f>
        <v/>
      </c>
      <c r="S182" s="9">
        <f>$S$1*LN(I182/I181)</f>
        <v/>
      </c>
      <c r="T182" s="9">
        <f>$T$1*LN(J182/J181)</f>
        <v/>
      </c>
      <c r="U182" s="9">
        <f>$W$12+$W$4*M182+$W$5*N182+$W$6*O182+$W$7*P182+$W$8*Q182+$W$9*R182+$W$10*S182+$W$11*T182</f>
        <v/>
      </c>
      <c r="AA182" s="10">
        <f>INDEX(LINEST(L123:L182,M123:T182,TRUE,TRUE),1,9)*12</f>
        <v/>
      </c>
      <c r="AB182" s="9">
        <f>INDEX(LINEST(L123:L182,M123:T182,TRUE,TRUE),1,8)</f>
        <v/>
      </c>
      <c r="AC182" s="9">
        <f>INDEX(LINEST(L123:L182,M123:T182,TRUE,TRUE),1,7)</f>
        <v/>
      </c>
      <c r="AD182" s="9">
        <f>INDEX(LINEST(L123:L182,M123:T182,TRUE,TRUE),1,6)</f>
        <v/>
      </c>
      <c r="AE182" s="9">
        <f>INDEX(LINEST(L123:L182,M123:T182,TRUE,TRUE),1,5)</f>
        <v/>
      </c>
      <c r="AF182" s="9">
        <f>INDEX(LINEST(L123:L182,M123:T182,TRUE,TRUE),1,4)</f>
        <v/>
      </c>
      <c r="AG182" s="9">
        <f>INDEX(LINEST(L123:L182,M123:T182,TRUE,TRUE),1,3)</f>
        <v/>
      </c>
      <c r="AH182" s="9">
        <f>INDEX(LINEST(L123:L182,M123:T182,TRUE,TRUE),1,2)</f>
        <v/>
      </c>
      <c r="AI182" s="9">
        <f>INDEX(LINEST(L123:L182,M123:T182,TRUE,TRUE),1,1)</f>
        <v/>
      </c>
      <c r="AJ182" s="10">
        <f>INDEX(LINEST(L123:L182,M123:T182,TRUE,TRUE),3,1)</f>
        <v/>
      </c>
      <c r="AK182" s="9">
        <f>AA181/12+AB181*M182+AC181*N182+AD181*O182+AE181*P182+AF181*Q182+AG181*R182+AH181*S182+AI181*T182</f>
        <v/>
      </c>
      <c r="AL182" s="9">
        <f>AVERAGE(L122:L181)</f>
        <v/>
      </c>
    </row>
    <row r="183">
      <c r="L183" s="9">
        <f>LN(B183/B182)</f>
        <v/>
      </c>
      <c r="M183" s="9">
        <f>$M$1*(C183-C182)</f>
        <v/>
      </c>
      <c r="N183" s="9">
        <f>$N$1*(D183-D182)</f>
        <v/>
      </c>
      <c r="O183" s="9">
        <f>$O$1*LN(E183/E182)</f>
        <v/>
      </c>
      <c r="P183" s="9">
        <f>$P$1*LN(F183/F182)</f>
        <v/>
      </c>
      <c r="Q183" s="9">
        <f>$Q$1*(G183-G182)</f>
        <v/>
      </c>
      <c r="R183" s="9">
        <f>$R$1*(H183-H182)</f>
        <v/>
      </c>
      <c r="S183" s="9">
        <f>$S$1*LN(I183/I182)</f>
        <v/>
      </c>
      <c r="T183" s="9">
        <f>$T$1*LN(J183/J182)</f>
        <v/>
      </c>
      <c r="U183" s="9">
        <f>$W$12+$W$4*M183+$W$5*N183+$W$6*O183+$W$7*P183+$W$8*Q183+$W$9*R183+$W$10*S183+$W$11*T183</f>
        <v/>
      </c>
      <c r="AA183" s="10">
        <f>INDEX(LINEST(L124:L183,M124:T183,TRUE,TRUE),1,9)*12</f>
        <v/>
      </c>
      <c r="AB183" s="9">
        <f>INDEX(LINEST(L124:L183,M124:T183,TRUE,TRUE),1,8)</f>
        <v/>
      </c>
      <c r="AC183" s="9">
        <f>INDEX(LINEST(L124:L183,M124:T183,TRUE,TRUE),1,7)</f>
        <v/>
      </c>
      <c r="AD183" s="9">
        <f>INDEX(LINEST(L124:L183,M124:T183,TRUE,TRUE),1,6)</f>
        <v/>
      </c>
      <c r="AE183" s="9">
        <f>INDEX(LINEST(L124:L183,M124:T183,TRUE,TRUE),1,5)</f>
        <v/>
      </c>
      <c r="AF183" s="9">
        <f>INDEX(LINEST(L124:L183,M124:T183,TRUE,TRUE),1,4)</f>
        <v/>
      </c>
      <c r="AG183" s="9">
        <f>INDEX(LINEST(L124:L183,M124:T183,TRUE,TRUE),1,3)</f>
        <v/>
      </c>
      <c r="AH183" s="9">
        <f>INDEX(LINEST(L124:L183,M124:T183,TRUE,TRUE),1,2)</f>
        <v/>
      </c>
      <c r="AI183" s="9">
        <f>INDEX(LINEST(L124:L183,M124:T183,TRUE,TRUE),1,1)</f>
        <v/>
      </c>
      <c r="AJ183" s="10">
        <f>INDEX(LINEST(L124:L183,M124:T183,TRUE,TRUE),3,1)</f>
        <v/>
      </c>
      <c r="AK183" s="9">
        <f>AA182/12+AB182*M183+AC182*N183+AD182*O183+AE182*P183+AF182*Q183+AG182*R183+AH182*S183+AI182*T183</f>
        <v/>
      </c>
      <c r="AL183" s="9">
        <f>AVERAGE(L123:L182)</f>
        <v/>
      </c>
    </row>
    <row r="184">
      <c r="L184" s="9">
        <f>LN(B184/B183)</f>
        <v/>
      </c>
      <c r="M184" s="9">
        <f>$M$1*(C184-C183)</f>
        <v/>
      </c>
      <c r="N184" s="9">
        <f>$N$1*(D184-D183)</f>
        <v/>
      </c>
      <c r="O184" s="9">
        <f>$O$1*LN(E184/E183)</f>
        <v/>
      </c>
      <c r="P184" s="9">
        <f>$P$1*LN(F184/F183)</f>
        <v/>
      </c>
      <c r="Q184" s="9">
        <f>$Q$1*(G184-G183)</f>
        <v/>
      </c>
      <c r="R184" s="9">
        <f>$R$1*(H184-H183)</f>
        <v/>
      </c>
      <c r="S184" s="9">
        <f>$S$1*LN(I184/I183)</f>
        <v/>
      </c>
      <c r="T184" s="9">
        <f>$T$1*LN(J184/J183)</f>
        <v/>
      </c>
      <c r="U184" s="9">
        <f>$W$12+$W$4*M184+$W$5*N184+$W$6*O184+$W$7*P184+$W$8*Q184+$W$9*R184+$W$10*S184+$W$11*T184</f>
        <v/>
      </c>
      <c r="AA184" s="10">
        <f>INDEX(LINEST(L125:L184,M125:T184,TRUE,TRUE),1,9)*12</f>
        <v/>
      </c>
      <c r="AB184" s="9">
        <f>INDEX(LINEST(L125:L184,M125:T184,TRUE,TRUE),1,8)</f>
        <v/>
      </c>
      <c r="AC184" s="9">
        <f>INDEX(LINEST(L125:L184,M125:T184,TRUE,TRUE),1,7)</f>
        <v/>
      </c>
      <c r="AD184" s="9">
        <f>INDEX(LINEST(L125:L184,M125:T184,TRUE,TRUE),1,6)</f>
        <v/>
      </c>
      <c r="AE184" s="9">
        <f>INDEX(LINEST(L125:L184,M125:T184,TRUE,TRUE),1,5)</f>
        <v/>
      </c>
      <c r="AF184" s="9">
        <f>INDEX(LINEST(L125:L184,M125:T184,TRUE,TRUE),1,4)</f>
        <v/>
      </c>
      <c r="AG184" s="9">
        <f>INDEX(LINEST(L125:L184,M125:T184,TRUE,TRUE),1,3)</f>
        <v/>
      </c>
      <c r="AH184" s="9">
        <f>INDEX(LINEST(L125:L184,M125:T184,TRUE,TRUE),1,2)</f>
        <v/>
      </c>
      <c r="AI184" s="9">
        <f>INDEX(LINEST(L125:L184,M125:T184,TRUE,TRUE),1,1)</f>
        <v/>
      </c>
      <c r="AJ184" s="10">
        <f>INDEX(LINEST(L125:L184,M125:T184,TRUE,TRUE),3,1)</f>
        <v/>
      </c>
      <c r="AK184" s="9">
        <f>AA183/12+AB183*M184+AC183*N184+AD183*O184+AE183*P184+AF183*Q184+AG183*R184+AH183*S184+AI183*T184</f>
        <v/>
      </c>
      <c r="AL184" s="9">
        <f>AVERAGE(L124:L183)</f>
        <v/>
      </c>
    </row>
    <row r="185">
      <c r="L185" s="9">
        <f>LN(B185/B184)</f>
        <v/>
      </c>
      <c r="M185" s="9">
        <f>$M$1*(C185-C184)</f>
        <v/>
      </c>
      <c r="N185" s="9">
        <f>$N$1*(D185-D184)</f>
        <v/>
      </c>
      <c r="O185" s="9">
        <f>$O$1*LN(E185/E184)</f>
        <v/>
      </c>
      <c r="P185" s="9">
        <f>$P$1*LN(F185/F184)</f>
        <v/>
      </c>
      <c r="Q185" s="9">
        <f>$Q$1*(G185-G184)</f>
        <v/>
      </c>
      <c r="R185" s="9">
        <f>$R$1*(H185-H184)</f>
        <v/>
      </c>
      <c r="S185" s="9">
        <f>$S$1*LN(I185/I184)</f>
        <v/>
      </c>
      <c r="T185" s="9">
        <f>$T$1*LN(J185/J184)</f>
        <v/>
      </c>
      <c r="U185" s="9">
        <f>$W$12+$W$4*M185+$W$5*N185+$W$6*O185+$W$7*P185+$W$8*Q185+$W$9*R185+$W$10*S185+$W$11*T185</f>
        <v/>
      </c>
      <c r="AA185" s="10">
        <f>INDEX(LINEST(L126:L185,M126:T185,TRUE,TRUE),1,9)*12</f>
        <v/>
      </c>
      <c r="AB185" s="9">
        <f>INDEX(LINEST(L126:L185,M126:T185,TRUE,TRUE),1,8)</f>
        <v/>
      </c>
      <c r="AC185" s="9">
        <f>INDEX(LINEST(L126:L185,M126:T185,TRUE,TRUE),1,7)</f>
        <v/>
      </c>
      <c r="AD185" s="9">
        <f>INDEX(LINEST(L126:L185,M126:T185,TRUE,TRUE),1,6)</f>
        <v/>
      </c>
      <c r="AE185" s="9">
        <f>INDEX(LINEST(L126:L185,M126:T185,TRUE,TRUE),1,5)</f>
        <v/>
      </c>
      <c r="AF185" s="9">
        <f>INDEX(LINEST(L126:L185,M126:T185,TRUE,TRUE),1,4)</f>
        <v/>
      </c>
      <c r="AG185" s="9">
        <f>INDEX(LINEST(L126:L185,M126:T185,TRUE,TRUE),1,3)</f>
        <v/>
      </c>
      <c r="AH185" s="9">
        <f>INDEX(LINEST(L126:L185,M126:T185,TRUE,TRUE),1,2)</f>
        <v/>
      </c>
      <c r="AI185" s="9">
        <f>INDEX(LINEST(L126:L185,M126:T185,TRUE,TRUE),1,1)</f>
        <v/>
      </c>
      <c r="AJ185" s="10">
        <f>INDEX(LINEST(L126:L185,M126:T185,TRUE,TRUE),3,1)</f>
        <v/>
      </c>
      <c r="AK185" s="9">
        <f>AA184/12+AB184*M185+AC184*N185+AD184*O185+AE184*P185+AF184*Q185+AG184*R185+AH184*S185+AI184*T185</f>
        <v/>
      </c>
      <c r="AL185" s="9">
        <f>AVERAGE(L125:L184)</f>
        <v/>
      </c>
    </row>
    <row r="186">
      <c r="L186" s="9">
        <f>LN(B186/B185)</f>
        <v/>
      </c>
      <c r="M186" s="9">
        <f>$M$1*(C186-C185)</f>
        <v/>
      </c>
      <c r="N186" s="9">
        <f>$N$1*(D186-D185)</f>
        <v/>
      </c>
      <c r="O186" s="9">
        <f>$O$1*LN(E186/E185)</f>
        <v/>
      </c>
      <c r="P186" s="9">
        <f>$P$1*LN(F186/F185)</f>
        <v/>
      </c>
      <c r="Q186" s="9">
        <f>$Q$1*(G186-G185)</f>
        <v/>
      </c>
      <c r="R186" s="9">
        <f>$R$1*(H186-H185)</f>
        <v/>
      </c>
      <c r="S186" s="9">
        <f>$S$1*LN(I186/I185)</f>
        <v/>
      </c>
      <c r="T186" s="9">
        <f>$T$1*LN(J186/J185)</f>
        <v/>
      </c>
      <c r="U186" s="9">
        <f>$W$12+$W$4*M186+$W$5*N186+$W$6*O186+$W$7*P186+$W$8*Q186+$W$9*R186+$W$10*S186+$W$11*T186</f>
        <v/>
      </c>
      <c r="AA186" s="10">
        <f>INDEX(LINEST(L127:L186,M127:T186,TRUE,TRUE),1,9)*12</f>
        <v/>
      </c>
      <c r="AB186" s="9">
        <f>INDEX(LINEST(L127:L186,M127:T186,TRUE,TRUE),1,8)</f>
        <v/>
      </c>
      <c r="AC186" s="9">
        <f>INDEX(LINEST(L127:L186,M127:T186,TRUE,TRUE),1,7)</f>
        <v/>
      </c>
      <c r="AD186" s="9">
        <f>INDEX(LINEST(L127:L186,M127:T186,TRUE,TRUE),1,6)</f>
        <v/>
      </c>
      <c r="AE186" s="9">
        <f>INDEX(LINEST(L127:L186,M127:T186,TRUE,TRUE),1,5)</f>
        <v/>
      </c>
      <c r="AF186" s="9">
        <f>INDEX(LINEST(L127:L186,M127:T186,TRUE,TRUE),1,4)</f>
        <v/>
      </c>
      <c r="AG186" s="9">
        <f>INDEX(LINEST(L127:L186,M127:T186,TRUE,TRUE),1,3)</f>
        <v/>
      </c>
      <c r="AH186" s="9">
        <f>INDEX(LINEST(L127:L186,M127:T186,TRUE,TRUE),1,2)</f>
        <v/>
      </c>
      <c r="AI186" s="9">
        <f>INDEX(LINEST(L127:L186,M127:T186,TRUE,TRUE),1,1)</f>
        <v/>
      </c>
      <c r="AJ186" s="10">
        <f>INDEX(LINEST(L127:L186,M127:T186,TRUE,TRUE),3,1)</f>
        <v/>
      </c>
      <c r="AK186" s="9">
        <f>AA185/12+AB185*M186+AC185*N186+AD185*O186+AE185*P186+AF185*Q186+AG185*R186+AH185*S186+AI185*T186</f>
        <v/>
      </c>
      <c r="AL186" s="9">
        <f>AVERAGE(L126:L185)</f>
        <v/>
      </c>
    </row>
    <row r="187">
      <c r="L187" s="9">
        <f>LN(B187/B186)</f>
        <v/>
      </c>
      <c r="M187" s="9">
        <f>$M$1*(C187-C186)</f>
        <v/>
      </c>
      <c r="N187" s="9">
        <f>$N$1*(D187-D186)</f>
        <v/>
      </c>
      <c r="O187" s="9">
        <f>$O$1*LN(E187/E186)</f>
        <v/>
      </c>
      <c r="P187" s="9">
        <f>$P$1*LN(F187/F186)</f>
        <v/>
      </c>
      <c r="Q187" s="9">
        <f>$Q$1*(G187-G186)</f>
        <v/>
      </c>
      <c r="R187" s="9">
        <f>$R$1*(H187-H186)</f>
        <v/>
      </c>
      <c r="S187" s="9">
        <f>$S$1*LN(I187/I186)</f>
        <v/>
      </c>
      <c r="T187" s="9">
        <f>$T$1*LN(J187/J186)</f>
        <v/>
      </c>
      <c r="U187" s="9">
        <f>$W$12+$W$4*M187+$W$5*N187+$W$6*O187+$W$7*P187+$W$8*Q187+$W$9*R187+$W$10*S187+$W$11*T187</f>
        <v/>
      </c>
      <c r="AA187" s="10">
        <f>INDEX(LINEST(L128:L187,M128:T187,TRUE,TRUE),1,9)*12</f>
        <v/>
      </c>
      <c r="AB187" s="9">
        <f>INDEX(LINEST(L128:L187,M128:T187,TRUE,TRUE),1,8)</f>
        <v/>
      </c>
      <c r="AC187" s="9">
        <f>INDEX(LINEST(L128:L187,M128:T187,TRUE,TRUE),1,7)</f>
        <v/>
      </c>
      <c r="AD187" s="9">
        <f>INDEX(LINEST(L128:L187,M128:T187,TRUE,TRUE),1,6)</f>
        <v/>
      </c>
      <c r="AE187" s="9">
        <f>INDEX(LINEST(L128:L187,M128:T187,TRUE,TRUE),1,5)</f>
        <v/>
      </c>
      <c r="AF187" s="9">
        <f>INDEX(LINEST(L128:L187,M128:T187,TRUE,TRUE),1,4)</f>
        <v/>
      </c>
      <c r="AG187" s="9">
        <f>INDEX(LINEST(L128:L187,M128:T187,TRUE,TRUE),1,3)</f>
        <v/>
      </c>
      <c r="AH187" s="9">
        <f>INDEX(LINEST(L128:L187,M128:T187,TRUE,TRUE),1,2)</f>
        <v/>
      </c>
      <c r="AI187" s="9">
        <f>INDEX(LINEST(L128:L187,M128:T187,TRUE,TRUE),1,1)</f>
        <v/>
      </c>
      <c r="AJ187" s="10">
        <f>INDEX(LINEST(L128:L187,M128:T187,TRUE,TRUE),3,1)</f>
        <v/>
      </c>
      <c r="AK187" s="9">
        <f>AA186/12+AB186*M187+AC186*N187+AD186*O187+AE186*P187+AF186*Q187+AG186*R187+AH186*S187+AI186*T187</f>
        <v/>
      </c>
      <c r="AL187" s="9">
        <f>AVERAGE(L127:L186)</f>
        <v/>
      </c>
    </row>
    <row r="188">
      <c r="L188" s="9">
        <f>LN(B188/B187)</f>
        <v/>
      </c>
      <c r="M188" s="9">
        <f>$M$1*(C188-C187)</f>
        <v/>
      </c>
      <c r="N188" s="9">
        <f>$N$1*(D188-D187)</f>
        <v/>
      </c>
      <c r="O188" s="9">
        <f>$O$1*LN(E188/E187)</f>
        <v/>
      </c>
      <c r="P188" s="9">
        <f>$P$1*LN(F188/F187)</f>
        <v/>
      </c>
      <c r="Q188" s="9">
        <f>$Q$1*(G188-G187)</f>
        <v/>
      </c>
      <c r="R188" s="9">
        <f>$R$1*(H188-H187)</f>
        <v/>
      </c>
      <c r="S188" s="9">
        <f>$S$1*LN(I188/I187)</f>
        <v/>
      </c>
      <c r="T188" s="9">
        <f>$T$1*LN(J188/J187)</f>
        <v/>
      </c>
      <c r="U188" s="9">
        <f>$W$12+$W$4*M188+$W$5*N188+$W$6*O188+$W$7*P188+$W$8*Q188+$W$9*R188+$W$10*S188+$W$11*T188</f>
        <v/>
      </c>
      <c r="AA188" s="10">
        <f>INDEX(LINEST(L129:L188,M129:T188,TRUE,TRUE),1,9)*12</f>
        <v/>
      </c>
      <c r="AB188" s="9">
        <f>INDEX(LINEST(L129:L188,M129:T188,TRUE,TRUE),1,8)</f>
        <v/>
      </c>
      <c r="AC188" s="9">
        <f>INDEX(LINEST(L129:L188,M129:T188,TRUE,TRUE),1,7)</f>
        <v/>
      </c>
      <c r="AD188" s="9">
        <f>INDEX(LINEST(L129:L188,M129:T188,TRUE,TRUE),1,6)</f>
        <v/>
      </c>
      <c r="AE188" s="9">
        <f>INDEX(LINEST(L129:L188,M129:T188,TRUE,TRUE),1,5)</f>
        <v/>
      </c>
      <c r="AF188" s="9">
        <f>INDEX(LINEST(L129:L188,M129:T188,TRUE,TRUE),1,4)</f>
        <v/>
      </c>
      <c r="AG188" s="9">
        <f>INDEX(LINEST(L129:L188,M129:T188,TRUE,TRUE),1,3)</f>
        <v/>
      </c>
      <c r="AH188" s="9">
        <f>INDEX(LINEST(L129:L188,M129:T188,TRUE,TRUE),1,2)</f>
        <v/>
      </c>
      <c r="AI188" s="9">
        <f>INDEX(LINEST(L129:L188,M129:T188,TRUE,TRUE),1,1)</f>
        <v/>
      </c>
      <c r="AJ188" s="10">
        <f>INDEX(LINEST(L129:L188,M129:T188,TRUE,TRUE),3,1)</f>
        <v/>
      </c>
      <c r="AK188" s="9">
        <f>AA187/12+AB187*M188+AC187*N188+AD187*O188+AE187*P188+AF187*Q188+AG187*R188+AH187*S188+AI187*T188</f>
        <v/>
      </c>
      <c r="AL188" s="9">
        <f>AVERAGE(L128:L187)</f>
        <v/>
      </c>
    </row>
    <row r="189">
      <c r="L189" s="9">
        <f>LN(B189/B188)</f>
        <v/>
      </c>
      <c r="M189" s="9">
        <f>$M$1*(C189-C188)</f>
        <v/>
      </c>
      <c r="N189" s="9">
        <f>$N$1*(D189-D188)</f>
        <v/>
      </c>
      <c r="O189" s="9">
        <f>$O$1*LN(E189/E188)</f>
        <v/>
      </c>
      <c r="P189" s="9">
        <f>$P$1*LN(F189/F188)</f>
        <v/>
      </c>
      <c r="Q189" s="9">
        <f>$Q$1*(G189-G188)</f>
        <v/>
      </c>
      <c r="R189" s="9">
        <f>$R$1*(H189-H188)</f>
        <v/>
      </c>
      <c r="S189" s="9">
        <f>$S$1*LN(I189/I188)</f>
        <v/>
      </c>
      <c r="T189" s="9">
        <f>$T$1*LN(J189/J188)</f>
        <v/>
      </c>
      <c r="U189" s="9">
        <f>$W$12+$W$4*M189+$W$5*N189+$W$6*O189+$W$7*P189+$W$8*Q189+$W$9*R189+$W$10*S189+$W$11*T189</f>
        <v/>
      </c>
      <c r="AA189" s="10">
        <f>INDEX(LINEST(L130:L189,M130:T189,TRUE,TRUE),1,9)*12</f>
        <v/>
      </c>
      <c r="AB189" s="9">
        <f>INDEX(LINEST(L130:L189,M130:T189,TRUE,TRUE),1,8)</f>
        <v/>
      </c>
      <c r="AC189" s="9">
        <f>INDEX(LINEST(L130:L189,M130:T189,TRUE,TRUE),1,7)</f>
        <v/>
      </c>
      <c r="AD189" s="9">
        <f>INDEX(LINEST(L130:L189,M130:T189,TRUE,TRUE),1,6)</f>
        <v/>
      </c>
      <c r="AE189" s="9">
        <f>INDEX(LINEST(L130:L189,M130:T189,TRUE,TRUE),1,5)</f>
        <v/>
      </c>
      <c r="AF189" s="9">
        <f>INDEX(LINEST(L130:L189,M130:T189,TRUE,TRUE),1,4)</f>
        <v/>
      </c>
      <c r="AG189" s="9">
        <f>INDEX(LINEST(L130:L189,M130:T189,TRUE,TRUE),1,3)</f>
        <v/>
      </c>
      <c r="AH189" s="9">
        <f>INDEX(LINEST(L130:L189,M130:T189,TRUE,TRUE),1,2)</f>
        <v/>
      </c>
      <c r="AI189" s="9">
        <f>INDEX(LINEST(L130:L189,M130:T189,TRUE,TRUE),1,1)</f>
        <v/>
      </c>
      <c r="AJ189" s="10">
        <f>INDEX(LINEST(L130:L189,M130:T189,TRUE,TRUE),3,1)</f>
        <v/>
      </c>
      <c r="AK189" s="9">
        <f>AA188/12+AB188*M189+AC188*N189+AD188*O189+AE188*P189+AF188*Q189+AG188*R189+AH188*S189+AI188*T189</f>
        <v/>
      </c>
      <c r="AL189" s="9">
        <f>AVERAGE(L129:L188)</f>
        <v/>
      </c>
    </row>
    <row r="190">
      <c r="L190" s="9">
        <f>LN(B190/B189)</f>
        <v/>
      </c>
      <c r="M190" s="9">
        <f>$M$1*(C190-C189)</f>
        <v/>
      </c>
      <c r="N190" s="9">
        <f>$N$1*(D190-D189)</f>
        <v/>
      </c>
      <c r="O190" s="9">
        <f>$O$1*LN(E190/E189)</f>
        <v/>
      </c>
      <c r="P190" s="9">
        <f>$P$1*LN(F190/F189)</f>
        <v/>
      </c>
      <c r="Q190" s="9">
        <f>$Q$1*(G190-G189)</f>
        <v/>
      </c>
      <c r="R190" s="9">
        <f>$R$1*(H190-H189)</f>
        <v/>
      </c>
      <c r="S190" s="9">
        <f>$S$1*LN(I190/I189)</f>
        <v/>
      </c>
      <c r="T190" s="9">
        <f>$T$1*LN(J190/J189)</f>
        <v/>
      </c>
      <c r="U190" s="9">
        <f>$W$12+$W$4*M190+$W$5*N190+$W$6*O190+$W$7*P190+$W$8*Q190+$W$9*R190+$W$10*S190+$W$11*T190</f>
        <v/>
      </c>
      <c r="AA190" s="10">
        <f>INDEX(LINEST(L131:L190,M131:T190,TRUE,TRUE),1,9)*12</f>
        <v/>
      </c>
      <c r="AB190" s="9">
        <f>INDEX(LINEST(L131:L190,M131:T190,TRUE,TRUE),1,8)</f>
        <v/>
      </c>
      <c r="AC190" s="9">
        <f>INDEX(LINEST(L131:L190,M131:T190,TRUE,TRUE),1,7)</f>
        <v/>
      </c>
      <c r="AD190" s="9">
        <f>INDEX(LINEST(L131:L190,M131:T190,TRUE,TRUE),1,6)</f>
        <v/>
      </c>
      <c r="AE190" s="9">
        <f>INDEX(LINEST(L131:L190,M131:T190,TRUE,TRUE),1,5)</f>
        <v/>
      </c>
      <c r="AF190" s="9">
        <f>INDEX(LINEST(L131:L190,M131:T190,TRUE,TRUE),1,4)</f>
        <v/>
      </c>
      <c r="AG190" s="9">
        <f>INDEX(LINEST(L131:L190,M131:T190,TRUE,TRUE),1,3)</f>
        <v/>
      </c>
      <c r="AH190" s="9">
        <f>INDEX(LINEST(L131:L190,M131:T190,TRUE,TRUE),1,2)</f>
        <v/>
      </c>
      <c r="AI190" s="9">
        <f>INDEX(LINEST(L131:L190,M131:T190,TRUE,TRUE),1,1)</f>
        <v/>
      </c>
      <c r="AJ190" s="10">
        <f>INDEX(LINEST(L131:L190,M131:T190,TRUE,TRUE),3,1)</f>
        <v/>
      </c>
      <c r="AK190" s="9">
        <f>AA189/12+AB189*M190+AC189*N190+AD189*O190+AE189*P190+AF189*Q190+AG189*R190+AH189*S190+AI189*T190</f>
        <v/>
      </c>
      <c r="AL190" s="9">
        <f>AVERAGE(L130:L189)</f>
        <v/>
      </c>
    </row>
    <row r="191">
      <c r="L191" s="9">
        <f>LN(B191/B190)</f>
        <v/>
      </c>
      <c r="M191" s="9">
        <f>$M$1*(C191-C190)</f>
        <v/>
      </c>
      <c r="N191" s="9">
        <f>$N$1*(D191-D190)</f>
        <v/>
      </c>
      <c r="O191" s="9">
        <f>$O$1*LN(E191/E190)</f>
        <v/>
      </c>
      <c r="P191" s="9">
        <f>$P$1*LN(F191/F190)</f>
        <v/>
      </c>
      <c r="Q191" s="9">
        <f>$Q$1*(G191-G190)</f>
        <v/>
      </c>
      <c r="R191" s="9">
        <f>$R$1*(H191-H190)</f>
        <v/>
      </c>
      <c r="S191" s="9">
        <f>$S$1*LN(I191/I190)</f>
        <v/>
      </c>
      <c r="T191" s="9">
        <f>$T$1*LN(J191/J190)</f>
        <v/>
      </c>
      <c r="U191" s="9">
        <f>$W$12+$W$4*M191+$W$5*N191+$W$6*O191+$W$7*P191+$W$8*Q191+$W$9*R191+$W$10*S191+$W$11*T191</f>
        <v/>
      </c>
      <c r="AA191" s="10">
        <f>INDEX(LINEST(L132:L191,M132:T191,TRUE,TRUE),1,9)*12</f>
        <v/>
      </c>
      <c r="AB191" s="9">
        <f>INDEX(LINEST(L132:L191,M132:T191,TRUE,TRUE),1,8)</f>
        <v/>
      </c>
      <c r="AC191" s="9">
        <f>INDEX(LINEST(L132:L191,M132:T191,TRUE,TRUE),1,7)</f>
        <v/>
      </c>
      <c r="AD191" s="9">
        <f>INDEX(LINEST(L132:L191,M132:T191,TRUE,TRUE),1,6)</f>
        <v/>
      </c>
      <c r="AE191" s="9">
        <f>INDEX(LINEST(L132:L191,M132:T191,TRUE,TRUE),1,5)</f>
        <v/>
      </c>
      <c r="AF191" s="9">
        <f>INDEX(LINEST(L132:L191,M132:T191,TRUE,TRUE),1,4)</f>
        <v/>
      </c>
      <c r="AG191" s="9">
        <f>INDEX(LINEST(L132:L191,M132:T191,TRUE,TRUE),1,3)</f>
        <v/>
      </c>
      <c r="AH191" s="9">
        <f>INDEX(LINEST(L132:L191,M132:T191,TRUE,TRUE),1,2)</f>
        <v/>
      </c>
      <c r="AI191" s="9">
        <f>INDEX(LINEST(L132:L191,M132:T191,TRUE,TRUE),1,1)</f>
        <v/>
      </c>
      <c r="AJ191" s="10">
        <f>INDEX(LINEST(L132:L191,M132:T191,TRUE,TRUE),3,1)</f>
        <v/>
      </c>
      <c r="AK191" s="9">
        <f>AA190/12+AB190*M191+AC190*N191+AD190*O191+AE190*P191+AF190*Q191+AG190*R191+AH190*S191+AI190*T191</f>
        <v/>
      </c>
      <c r="AL191" s="9">
        <f>AVERAGE(L131:L190)</f>
        <v/>
      </c>
    </row>
    <row r="192">
      <c r="L192" s="9">
        <f>LN(B192/B191)</f>
        <v/>
      </c>
      <c r="M192" s="9">
        <f>$M$1*(C192-C191)</f>
        <v/>
      </c>
      <c r="N192" s="9">
        <f>$N$1*(D192-D191)</f>
        <v/>
      </c>
      <c r="O192" s="9">
        <f>$O$1*LN(E192/E191)</f>
        <v/>
      </c>
      <c r="P192" s="9">
        <f>$P$1*LN(F192/F191)</f>
        <v/>
      </c>
      <c r="Q192" s="9">
        <f>$Q$1*(G192-G191)</f>
        <v/>
      </c>
      <c r="R192" s="9">
        <f>$R$1*(H192-H191)</f>
        <v/>
      </c>
      <c r="S192" s="9">
        <f>$S$1*LN(I192/I191)</f>
        <v/>
      </c>
      <c r="T192" s="9">
        <f>$T$1*LN(J192/J191)</f>
        <v/>
      </c>
      <c r="U192" s="9">
        <f>$W$12+$W$4*M192+$W$5*N192+$W$6*O192+$W$7*P192+$W$8*Q192+$W$9*R192+$W$10*S192+$W$11*T192</f>
        <v/>
      </c>
      <c r="AA192" s="10">
        <f>INDEX(LINEST(L133:L192,M133:T192,TRUE,TRUE),1,9)*12</f>
        <v/>
      </c>
      <c r="AB192" s="9">
        <f>INDEX(LINEST(L133:L192,M133:T192,TRUE,TRUE),1,8)</f>
        <v/>
      </c>
      <c r="AC192" s="9">
        <f>INDEX(LINEST(L133:L192,M133:T192,TRUE,TRUE),1,7)</f>
        <v/>
      </c>
      <c r="AD192" s="9">
        <f>INDEX(LINEST(L133:L192,M133:T192,TRUE,TRUE),1,6)</f>
        <v/>
      </c>
      <c r="AE192" s="9">
        <f>INDEX(LINEST(L133:L192,M133:T192,TRUE,TRUE),1,5)</f>
        <v/>
      </c>
      <c r="AF192" s="9">
        <f>INDEX(LINEST(L133:L192,M133:T192,TRUE,TRUE),1,4)</f>
        <v/>
      </c>
      <c r="AG192" s="9">
        <f>INDEX(LINEST(L133:L192,M133:T192,TRUE,TRUE),1,3)</f>
        <v/>
      </c>
      <c r="AH192" s="9">
        <f>INDEX(LINEST(L133:L192,M133:T192,TRUE,TRUE),1,2)</f>
        <v/>
      </c>
      <c r="AI192" s="9">
        <f>INDEX(LINEST(L133:L192,M133:T192,TRUE,TRUE),1,1)</f>
        <v/>
      </c>
      <c r="AJ192" s="10">
        <f>INDEX(LINEST(L133:L192,M133:T192,TRUE,TRUE),3,1)</f>
        <v/>
      </c>
      <c r="AK192" s="9">
        <f>AA191/12+AB191*M192+AC191*N192+AD191*O192+AE191*P192+AF191*Q192+AG191*R192+AH191*S192+AI191*T192</f>
        <v/>
      </c>
      <c r="AL192" s="9">
        <f>AVERAGE(L132:L191)</f>
        <v/>
      </c>
    </row>
    <row r="193">
      <c r="L193" s="9">
        <f>LN(B193/B192)</f>
        <v/>
      </c>
      <c r="M193" s="9">
        <f>$M$1*(C193-C192)</f>
        <v/>
      </c>
      <c r="N193" s="9">
        <f>$N$1*(D193-D192)</f>
        <v/>
      </c>
      <c r="O193" s="9">
        <f>$O$1*LN(E193/E192)</f>
        <v/>
      </c>
      <c r="P193" s="9">
        <f>$P$1*LN(F193/F192)</f>
        <v/>
      </c>
      <c r="Q193" s="9">
        <f>$Q$1*(G193-G192)</f>
        <v/>
      </c>
      <c r="R193" s="9">
        <f>$R$1*(H193-H192)</f>
        <v/>
      </c>
      <c r="S193" s="9">
        <f>$S$1*LN(I193/I192)</f>
        <v/>
      </c>
      <c r="T193" s="9">
        <f>$T$1*LN(J193/J192)</f>
        <v/>
      </c>
      <c r="U193" s="9">
        <f>$W$12+$W$4*M193+$W$5*N193+$W$6*O193+$W$7*P193+$W$8*Q193+$W$9*R193+$W$10*S193+$W$11*T193</f>
        <v/>
      </c>
      <c r="AA193" s="10">
        <f>INDEX(LINEST(L134:L193,M134:T193,TRUE,TRUE),1,9)*12</f>
        <v/>
      </c>
      <c r="AB193" s="9">
        <f>INDEX(LINEST(L134:L193,M134:T193,TRUE,TRUE),1,8)</f>
        <v/>
      </c>
      <c r="AC193" s="9">
        <f>INDEX(LINEST(L134:L193,M134:T193,TRUE,TRUE),1,7)</f>
        <v/>
      </c>
      <c r="AD193" s="9">
        <f>INDEX(LINEST(L134:L193,M134:T193,TRUE,TRUE),1,6)</f>
        <v/>
      </c>
      <c r="AE193" s="9">
        <f>INDEX(LINEST(L134:L193,M134:T193,TRUE,TRUE),1,5)</f>
        <v/>
      </c>
      <c r="AF193" s="9">
        <f>INDEX(LINEST(L134:L193,M134:T193,TRUE,TRUE),1,4)</f>
        <v/>
      </c>
      <c r="AG193" s="9">
        <f>INDEX(LINEST(L134:L193,M134:T193,TRUE,TRUE),1,3)</f>
        <v/>
      </c>
      <c r="AH193" s="9">
        <f>INDEX(LINEST(L134:L193,M134:T193,TRUE,TRUE),1,2)</f>
        <v/>
      </c>
      <c r="AI193" s="9">
        <f>INDEX(LINEST(L134:L193,M134:T193,TRUE,TRUE),1,1)</f>
        <v/>
      </c>
      <c r="AJ193" s="10">
        <f>INDEX(LINEST(L134:L193,M134:T193,TRUE,TRUE),3,1)</f>
        <v/>
      </c>
      <c r="AK193" s="9">
        <f>AA192/12+AB192*M193+AC192*N193+AD192*O193+AE192*P193+AF192*Q193+AG192*R193+AH192*S193+AI192*T193</f>
        <v/>
      </c>
      <c r="AL193" s="9">
        <f>AVERAGE(L133:L192)</f>
        <v/>
      </c>
    </row>
    <row r="194">
      <c r="L194" s="9">
        <f>LN(B194/B193)</f>
        <v/>
      </c>
      <c r="M194" s="9">
        <f>$M$1*(C194-C193)</f>
        <v/>
      </c>
      <c r="N194" s="9">
        <f>$N$1*(D194-D193)</f>
        <v/>
      </c>
      <c r="O194" s="9">
        <f>$O$1*LN(E194/E193)</f>
        <v/>
      </c>
      <c r="P194" s="9">
        <f>$P$1*LN(F194/F193)</f>
        <v/>
      </c>
      <c r="Q194" s="9">
        <f>$Q$1*(G194-G193)</f>
        <v/>
      </c>
      <c r="R194" s="9">
        <f>$R$1*(H194-H193)</f>
        <v/>
      </c>
      <c r="S194" s="9">
        <f>$S$1*LN(I194/I193)</f>
        <v/>
      </c>
      <c r="T194" s="9">
        <f>$T$1*LN(J194/J193)</f>
        <v/>
      </c>
      <c r="U194" s="9">
        <f>$W$12+$W$4*M194+$W$5*N194+$W$6*O194+$W$7*P194+$W$8*Q194+$W$9*R194+$W$10*S194+$W$11*T194</f>
        <v/>
      </c>
      <c r="AA194" s="10">
        <f>INDEX(LINEST(L135:L194,M135:T194,TRUE,TRUE),1,9)*12</f>
        <v/>
      </c>
      <c r="AB194" s="9">
        <f>INDEX(LINEST(L135:L194,M135:T194,TRUE,TRUE),1,8)</f>
        <v/>
      </c>
      <c r="AC194" s="9">
        <f>INDEX(LINEST(L135:L194,M135:T194,TRUE,TRUE),1,7)</f>
        <v/>
      </c>
      <c r="AD194" s="9">
        <f>INDEX(LINEST(L135:L194,M135:T194,TRUE,TRUE),1,6)</f>
        <v/>
      </c>
      <c r="AE194" s="9">
        <f>INDEX(LINEST(L135:L194,M135:T194,TRUE,TRUE),1,5)</f>
        <v/>
      </c>
      <c r="AF194" s="9">
        <f>INDEX(LINEST(L135:L194,M135:T194,TRUE,TRUE),1,4)</f>
        <v/>
      </c>
      <c r="AG194" s="9">
        <f>INDEX(LINEST(L135:L194,M135:T194,TRUE,TRUE),1,3)</f>
        <v/>
      </c>
      <c r="AH194" s="9">
        <f>INDEX(LINEST(L135:L194,M135:T194,TRUE,TRUE),1,2)</f>
        <v/>
      </c>
      <c r="AI194" s="9">
        <f>INDEX(LINEST(L135:L194,M135:T194,TRUE,TRUE),1,1)</f>
        <v/>
      </c>
      <c r="AJ194" s="10">
        <f>INDEX(LINEST(L135:L194,M135:T194,TRUE,TRUE),3,1)</f>
        <v/>
      </c>
      <c r="AK194" s="9">
        <f>AA193/12+AB193*M194+AC193*N194+AD193*O194+AE193*P194+AF193*Q194+AG193*R194+AH193*S194+AI193*T194</f>
        <v/>
      </c>
      <c r="AL194" s="9">
        <f>AVERAGE(L134:L193)</f>
        <v/>
      </c>
    </row>
    <row r="195">
      <c r="L195" s="9">
        <f>LN(B195/B194)</f>
        <v/>
      </c>
      <c r="M195" s="9">
        <f>$M$1*(C195-C194)</f>
        <v/>
      </c>
      <c r="N195" s="9">
        <f>$N$1*(D195-D194)</f>
        <v/>
      </c>
      <c r="O195" s="9">
        <f>$O$1*LN(E195/E194)</f>
        <v/>
      </c>
      <c r="P195" s="9">
        <f>$P$1*LN(F195/F194)</f>
        <v/>
      </c>
      <c r="Q195" s="9">
        <f>$Q$1*(G195-G194)</f>
        <v/>
      </c>
      <c r="R195" s="9">
        <f>$R$1*(H195-H194)</f>
        <v/>
      </c>
      <c r="S195" s="9">
        <f>$S$1*LN(I195/I194)</f>
        <v/>
      </c>
      <c r="T195" s="9">
        <f>$T$1*LN(J195/J194)</f>
        <v/>
      </c>
      <c r="U195" s="9">
        <f>$W$12+$W$4*M195+$W$5*N195+$W$6*O195+$W$7*P195+$W$8*Q195+$W$9*R195+$W$10*S195+$W$11*T195</f>
        <v/>
      </c>
      <c r="AA195" s="10">
        <f>INDEX(LINEST(L136:L195,M136:T195,TRUE,TRUE),1,9)*12</f>
        <v/>
      </c>
      <c r="AB195" s="9">
        <f>INDEX(LINEST(L136:L195,M136:T195,TRUE,TRUE),1,8)</f>
        <v/>
      </c>
      <c r="AC195" s="9">
        <f>INDEX(LINEST(L136:L195,M136:T195,TRUE,TRUE),1,7)</f>
        <v/>
      </c>
      <c r="AD195" s="9">
        <f>INDEX(LINEST(L136:L195,M136:T195,TRUE,TRUE),1,6)</f>
        <v/>
      </c>
      <c r="AE195" s="9">
        <f>INDEX(LINEST(L136:L195,M136:T195,TRUE,TRUE),1,5)</f>
        <v/>
      </c>
      <c r="AF195" s="9">
        <f>INDEX(LINEST(L136:L195,M136:T195,TRUE,TRUE),1,4)</f>
        <v/>
      </c>
      <c r="AG195" s="9">
        <f>INDEX(LINEST(L136:L195,M136:T195,TRUE,TRUE),1,3)</f>
        <v/>
      </c>
      <c r="AH195" s="9">
        <f>INDEX(LINEST(L136:L195,M136:T195,TRUE,TRUE),1,2)</f>
        <v/>
      </c>
      <c r="AI195" s="9">
        <f>INDEX(LINEST(L136:L195,M136:T195,TRUE,TRUE),1,1)</f>
        <v/>
      </c>
      <c r="AJ195" s="10">
        <f>INDEX(LINEST(L136:L195,M136:T195,TRUE,TRUE),3,1)</f>
        <v/>
      </c>
      <c r="AK195" s="9">
        <f>AA194/12+AB194*M195+AC194*N195+AD194*O195+AE194*P195+AF194*Q195+AG194*R195+AH194*S195+AI194*T195</f>
        <v/>
      </c>
      <c r="AL195" s="9">
        <f>AVERAGE(L135:L194)</f>
        <v/>
      </c>
    </row>
    <row r="196">
      <c r="L196" s="9">
        <f>LN(B196/B195)</f>
        <v/>
      </c>
      <c r="M196" s="9">
        <f>$M$1*(C196-C195)</f>
        <v/>
      </c>
      <c r="N196" s="9">
        <f>$N$1*(D196-D195)</f>
        <v/>
      </c>
      <c r="O196" s="9">
        <f>$O$1*LN(E196/E195)</f>
        <v/>
      </c>
      <c r="P196" s="9">
        <f>$P$1*LN(F196/F195)</f>
        <v/>
      </c>
      <c r="Q196" s="9">
        <f>$Q$1*(G196-G195)</f>
        <v/>
      </c>
      <c r="R196" s="9">
        <f>$R$1*(H196-H195)</f>
        <v/>
      </c>
      <c r="S196" s="9">
        <f>$S$1*LN(I196/I195)</f>
        <v/>
      </c>
      <c r="T196" s="9">
        <f>$T$1*LN(J196/J195)</f>
        <v/>
      </c>
      <c r="U196" s="9">
        <f>$W$12+$W$4*M196+$W$5*N196+$W$6*O196+$W$7*P196+$W$8*Q196+$W$9*R196+$W$10*S196+$W$11*T196</f>
        <v/>
      </c>
      <c r="AA196" s="10">
        <f>INDEX(LINEST(L137:L196,M137:T196,TRUE,TRUE),1,9)*12</f>
        <v/>
      </c>
      <c r="AB196" s="9">
        <f>INDEX(LINEST(L137:L196,M137:T196,TRUE,TRUE),1,8)</f>
        <v/>
      </c>
      <c r="AC196" s="9">
        <f>INDEX(LINEST(L137:L196,M137:T196,TRUE,TRUE),1,7)</f>
        <v/>
      </c>
      <c r="AD196" s="9">
        <f>INDEX(LINEST(L137:L196,M137:T196,TRUE,TRUE),1,6)</f>
        <v/>
      </c>
      <c r="AE196" s="9">
        <f>INDEX(LINEST(L137:L196,M137:T196,TRUE,TRUE),1,5)</f>
        <v/>
      </c>
      <c r="AF196" s="9">
        <f>INDEX(LINEST(L137:L196,M137:T196,TRUE,TRUE),1,4)</f>
        <v/>
      </c>
      <c r="AG196" s="9">
        <f>INDEX(LINEST(L137:L196,M137:T196,TRUE,TRUE),1,3)</f>
        <v/>
      </c>
      <c r="AH196" s="9">
        <f>INDEX(LINEST(L137:L196,M137:T196,TRUE,TRUE),1,2)</f>
        <v/>
      </c>
      <c r="AI196" s="9">
        <f>INDEX(LINEST(L137:L196,M137:T196,TRUE,TRUE),1,1)</f>
        <v/>
      </c>
      <c r="AJ196" s="10">
        <f>INDEX(LINEST(L137:L196,M137:T196,TRUE,TRUE),3,1)</f>
        <v/>
      </c>
      <c r="AK196" s="9">
        <f>AA195/12+AB195*M196+AC195*N196+AD195*O196+AE195*P196+AF195*Q196+AG195*R196+AH195*S196+AI195*T196</f>
        <v/>
      </c>
      <c r="AL196" s="9">
        <f>AVERAGE(L136:L195)</f>
        <v/>
      </c>
    </row>
    <row r="197">
      <c r="L197" s="9">
        <f>LN(B197/B196)</f>
        <v/>
      </c>
      <c r="M197" s="9">
        <f>$M$1*(C197-C196)</f>
        <v/>
      </c>
      <c r="N197" s="9">
        <f>$N$1*(D197-D196)</f>
        <v/>
      </c>
      <c r="O197" s="9">
        <f>$O$1*LN(E197/E196)</f>
        <v/>
      </c>
      <c r="P197" s="9">
        <f>$P$1*LN(F197/F196)</f>
        <v/>
      </c>
      <c r="Q197" s="9">
        <f>$Q$1*(G197-G196)</f>
        <v/>
      </c>
      <c r="R197" s="9">
        <f>$R$1*(H197-H196)</f>
        <v/>
      </c>
      <c r="S197" s="9">
        <f>$S$1*LN(I197/I196)</f>
        <v/>
      </c>
      <c r="T197" s="9">
        <f>$T$1*LN(J197/J196)</f>
        <v/>
      </c>
      <c r="U197" s="9">
        <f>$W$12+$W$4*M197+$W$5*N197+$W$6*O197+$W$7*P197+$W$8*Q197+$W$9*R197+$W$10*S197+$W$11*T197</f>
        <v/>
      </c>
      <c r="AA197" s="10">
        <f>INDEX(LINEST(L138:L197,M138:T197,TRUE,TRUE),1,9)*12</f>
        <v/>
      </c>
      <c r="AB197" s="9">
        <f>INDEX(LINEST(L138:L197,M138:T197,TRUE,TRUE),1,8)</f>
        <v/>
      </c>
      <c r="AC197" s="9">
        <f>INDEX(LINEST(L138:L197,M138:T197,TRUE,TRUE),1,7)</f>
        <v/>
      </c>
      <c r="AD197" s="9">
        <f>INDEX(LINEST(L138:L197,M138:T197,TRUE,TRUE),1,6)</f>
        <v/>
      </c>
      <c r="AE197" s="9">
        <f>INDEX(LINEST(L138:L197,M138:T197,TRUE,TRUE),1,5)</f>
        <v/>
      </c>
      <c r="AF197" s="9">
        <f>INDEX(LINEST(L138:L197,M138:T197,TRUE,TRUE),1,4)</f>
        <v/>
      </c>
      <c r="AG197" s="9">
        <f>INDEX(LINEST(L138:L197,M138:T197,TRUE,TRUE),1,3)</f>
        <v/>
      </c>
      <c r="AH197" s="9">
        <f>INDEX(LINEST(L138:L197,M138:T197,TRUE,TRUE),1,2)</f>
        <v/>
      </c>
      <c r="AI197" s="9">
        <f>INDEX(LINEST(L138:L197,M138:T197,TRUE,TRUE),1,1)</f>
        <v/>
      </c>
      <c r="AJ197" s="10">
        <f>INDEX(LINEST(L138:L197,M138:T197,TRUE,TRUE),3,1)</f>
        <v/>
      </c>
      <c r="AK197" s="9">
        <f>AA196/12+AB196*M197+AC196*N197+AD196*O197+AE196*P197+AF196*Q197+AG196*R197+AH196*S197+AI196*T197</f>
        <v/>
      </c>
      <c r="AL197" s="9">
        <f>AVERAGE(L137:L196)</f>
        <v/>
      </c>
    </row>
    <row r="198">
      <c r="L198" s="9">
        <f>LN(B198/B197)</f>
        <v/>
      </c>
      <c r="M198" s="9">
        <f>$M$1*(C198-C197)</f>
        <v/>
      </c>
      <c r="N198" s="9">
        <f>$N$1*(D198-D197)</f>
        <v/>
      </c>
      <c r="O198" s="9">
        <f>$O$1*LN(E198/E197)</f>
        <v/>
      </c>
      <c r="P198" s="9">
        <f>$P$1*LN(F198/F197)</f>
        <v/>
      </c>
      <c r="Q198" s="9">
        <f>$Q$1*(G198-G197)</f>
        <v/>
      </c>
      <c r="R198" s="9">
        <f>$R$1*(H198-H197)</f>
        <v/>
      </c>
      <c r="S198" s="9">
        <f>$S$1*LN(I198/I197)</f>
        <v/>
      </c>
      <c r="T198" s="9">
        <f>$T$1*LN(J198/J197)</f>
        <v/>
      </c>
      <c r="U198" s="9">
        <f>$W$12+$W$4*M198+$W$5*N198+$W$6*O198+$W$7*P198+$W$8*Q198+$W$9*R198+$W$10*S198+$W$11*T198</f>
        <v/>
      </c>
      <c r="AA198" s="10">
        <f>INDEX(LINEST(L139:L198,M139:T198,TRUE,TRUE),1,9)*12</f>
        <v/>
      </c>
      <c r="AB198" s="9">
        <f>INDEX(LINEST(L139:L198,M139:T198,TRUE,TRUE),1,8)</f>
        <v/>
      </c>
      <c r="AC198" s="9">
        <f>INDEX(LINEST(L139:L198,M139:T198,TRUE,TRUE),1,7)</f>
        <v/>
      </c>
      <c r="AD198" s="9">
        <f>INDEX(LINEST(L139:L198,M139:T198,TRUE,TRUE),1,6)</f>
        <v/>
      </c>
      <c r="AE198" s="9">
        <f>INDEX(LINEST(L139:L198,M139:T198,TRUE,TRUE),1,5)</f>
        <v/>
      </c>
      <c r="AF198" s="9">
        <f>INDEX(LINEST(L139:L198,M139:T198,TRUE,TRUE),1,4)</f>
        <v/>
      </c>
      <c r="AG198" s="9">
        <f>INDEX(LINEST(L139:L198,M139:T198,TRUE,TRUE),1,3)</f>
        <v/>
      </c>
      <c r="AH198" s="9">
        <f>INDEX(LINEST(L139:L198,M139:T198,TRUE,TRUE),1,2)</f>
        <v/>
      </c>
      <c r="AI198" s="9">
        <f>INDEX(LINEST(L139:L198,M139:T198,TRUE,TRUE),1,1)</f>
        <v/>
      </c>
      <c r="AJ198" s="10">
        <f>INDEX(LINEST(L139:L198,M139:T198,TRUE,TRUE),3,1)</f>
        <v/>
      </c>
      <c r="AK198" s="9">
        <f>AA197/12+AB197*M198+AC197*N198+AD197*O198+AE197*P198+AF197*Q198+AG197*R198+AH197*S198+AI197*T198</f>
        <v/>
      </c>
      <c r="AL198" s="9">
        <f>AVERAGE(L138:L197)</f>
        <v/>
      </c>
    </row>
    <row r="199">
      <c r="L199" s="9">
        <f>LN(B199/B198)</f>
        <v/>
      </c>
      <c r="M199" s="9">
        <f>$M$1*(C199-C198)</f>
        <v/>
      </c>
      <c r="N199" s="9">
        <f>$N$1*(D199-D198)</f>
        <v/>
      </c>
      <c r="O199" s="9">
        <f>$O$1*LN(E199/E198)</f>
        <v/>
      </c>
      <c r="P199" s="9">
        <f>$P$1*LN(F199/F198)</f>
        <v/>
      </c>
      <c r="Q199" s="9">
        <f>$Q$1*(G199-G198)</f>
        <v/>
      </c>
      <c r="R199" s="9">
        <f>$R$1*(H199-H198)</f>
        <v/>
      </c>
      <c r="S199" s="9">
        <f>$S$1*LN(I199/I198)</f>
        <v/>
      </c>
      <c r="T199" s="9">
        <f>$T$1*LN(J199/J198)</f>
        <v/>
      </c>
      <c r="U199" s="9">
        <f>$W$12+$W$4*M199+$W$5*N199+$W$6*O199+$W$7*P199+$W$8*Q199+$W$9*R199+$W$10*S199+$W$11*T199</f>
        <v/>
      </c>
      <c r="AA199" s="10">
        <f>INDEX(LINEST(L140:L199,M140:T199,TRUE,TRUE),1,9)*12</f>
        <v/>
      </c>
      <c r="AB199" s="9">
        <f>INDEX(LINEST(L140:L199,M140:T199,TRUE,TRUE),1,8)</f>
        <v/>
      </c>
      <c r="AC199" s="9">
        <f>INDEX(LINEST(L140:L199,M140:T199,TRUE,TRUE),1,7)</f>
        <v/>
      </c>
      <c r="AD199" s="9">
        <f>INDEX(LINEST(L140:L199,M140:T199,TRUE,TRUE),1,6)</f>
        <v/>
      </c>
      <c r="AE199" s="9">
        <f>INDEX(LINEST(L140:L199,M140:T199,TRUE,TRUE),1,5)</f>
        <v/>
      </c>
      <c r="AF199" s="9">
        <f>INDEX(LINEST(L140:L199,M140:T199,TRUE,TRUE),1,4)</f>
        <v/>
      </c>
      <c r="AG199" s="9">
        <f>INDEX(LINEST(L140:L199,M140:T199,TRUE,TRUE),1,3)</f>
        <v/>
      </c>
      <c r="AH199" s="9">
        <f>INDEX(LINEST(L140:L199,M140:T199,TRUE,TRUE),1,2)</f>
        <v/>
      </c>
      <c r="AI199" s="9">
        <f>INDEX(LINEST(L140:L199,M140:T199,TRUE,TRUE),1,1)</f>
        <v/>
      </c>
      <c r="AJ199" s="10">
        <f>INDEX(LINEST(L140:L199,M140:T199,TRUE,TRUE),3,1)</f>
        <v/>
      </c>
      <c r="AK199" s="9">
        <f>AA198/12+AB198*M199+AC198*N199+AD198*O199+AE198*P199+AF198*Q199+AG198*R199+AH198*S199+AI198*T199</f>
        <v/>
      </c>
      <c r="AL199" s="9">
        <f>AVERAGE(L139:L198)</f>
        <v/>
      </c>
    </row>
    <row r="200">
      <c r="L200" s="9">
        <f>LN(B200/B199)</f>
        <v/>
      </c>
      <c r="M200" s="9">
        <f>$M$1*(C200-C199)</f>
        <v/>
      </c>
      <c r="N200" s="9">
        <f>$N$1*(D200-D199)</f>
        <v/>
      </c>
      <c r="O200" s="9">
        <f>$O$1*LN(E200/E199)</f>
        <v/>
      </c>
      <c r="P200" s="9">
        <f>$P$1*LN(F200/F199)</f>
        <v/>
      </c>
      <c r="Q200" s="9">
        <f>$Q$1*(G200-G199)</f>
        <v/>
      </c>
      <c r="R200" s="9">
        <f>$R$1*(H200-H199)</f>
        <v/>
      </c>
      <c r="S200" s="9">
        <f>$S$1*LN(I200/I199)</f>
        <v/>
      </c>
      <c r="T200" s="9">
        <f>$T$1*LN(J200/J199)</f>
        <v/>
      </c>
      <c r="U200" s="9">
        <f>$W$12+$W$4*M200+$W$5*N200+$W$6*O200+$W$7*P200+$W$8*Q200+$W$9*R200+$W$10*S200+$W$11*T200</f>
        <v/>
      </c>
      <c r="AA200" s="10">
        <f>INDEX(LINEST(L141:L200,M141:T200,TRUE,TRUE),1,9)*12</f>
        <v/>
      </c>
      <c r="AB200" s="9">
        <f>INDEX(LINEST(L141:L200,M141:T200,TRUE,TRUE),1,8)</f>
        <v/>
      </c>
      <c r="AC200" s="9">
        <f>INDEX(LINEST(L141:L200,M141:T200,TRUE,TRUE),1,7)</f>
        <v/>
      </c>
      <c r="AD200" s="9">
        <f>INDEX(LINEST(L141:L200,M141:T200,TRUE,TRUE),1,6)</f>
        <v/>
      </c>
      <c r="AE200" s="9">
        <f>INDEX(LINEST(L141:L200,M141:T200,TRUE,TRUE),1,5)</f>
        <v/>
      </c>
      <c r="AF200" s="9">
        <f>INDEX(LINEST(L141:L200,M141:T200,TRUE,TRUE),1,4)</f>
        <v/>
      </c>
      <c r="AG200" s="9">
        <f>INDEX(LINEST(L141:L200,M141:T200,TRUE,TRUE),1,3)</f>
        <v/>
      </c>
      <c r="AH200" s="9">
        <f>INDEX(LINEST(L141:L200,M141:T200,TRUE,TRUE),1,2)</f>
        <v/>
      </c>
      <c r="AI200" s="9">
        <f>INDEX(LINEST(L141:L200,M141:T200,TRUE,TRUE),1,1)</f>
        <v/>
      </c>
      <c r="AJ200" s="10">
        <f>INDEX(LINEST(L141:L200,M141:T200,TRUE,TRUE),3,1)</f>
        <v/>
      </c>
      <c r="AK200" s="9">
        <f>AA199/12+AB199*M200+AC199*N200+AD199*O200+AE199*P200+AF199*Q200+AG199*R200+AH199*S200+AI199*T200</f>
        <v/>
      </c>
      <c r="AL200" s="9">
        <f>AVERAGE(L140:L199)</f>
        <v/>
      </c>
    </row>
    <row r="201">
      <c r="L201" s="9">
        <f>LN(B201/B200)</f>
        <v/>
      </c>
      <c r="M201" s="9">
        <f>$M$1*(C201-C200)</f>
        <v/>
      </c>
      <c r="N201" s="9">
        <f>$N$1*(D201-D200)</f>
        <v/>
      </c>
      <c r="O201" s="9">
        <f>$O$1*LN(E201/E200)</f>
        <v/>
      </c>
      <c r="P201" s="9">
        <f>$P$1*LN(F201/F200)</f>
        <v/>
      </c>
      <c r="Q201" s="9">
        <f>$Q$1*(G201-G200)</f>
        <v/>
      </c>
      <c r="R201" s="9">
        <f>$R$1*(H201-H200)</f>
        <v/>
      </c>
      <c r="S201" s="9">
        <f>$S$1*LN(I201/I200)</f>
        <v/>
      </c>
      <c r="T201" s="9">
        <f>$T$1*LN(J201/J200)</f>
        <v/>
      </c>
      <c r="U201" s="9">
        <f>$W$12+$W$4*M201+$W$5*N201+$W$6*O201+$W$7*P201+$W$8*Q201+$W$9*R201+$W$10*S201+$W$11*T201</f>
        <v/>
      </c>
      <c r="AA201" s="10">
        <f>INDEX(LINEST(L142:L201,M142:T201,TRUE,TRUE),1,9)*12</f>
        <v/>
      </c>
      <c r="AB201" s="9">
        <f>INDEX(LINEST(L142:L201,M142:T201,TRUE,TRUE),1,8)</f>
        <v/>
      </c>
      <c r="AC201" s="9">
        <f>INDEX(LINEST(L142:L201,M142:T201,TRUE,TRUE),1,7)</f>
        <v/>
      </c>
      <c r="AD201" s="9">
        <f>INDEX(LINEST(L142:L201,M142:T201,TRUE,TRUE),1,6)</f>
        <v/>
      </c>
      <c r="AE201" s="9">
        <f>INDEX(LINEST(L142:L201,M142:T201,TRUE,TRUE),1,5)</f>
        <v/>
      </c>
      <c r="AF201" s="9">
        <f>INDEX(LINEST(L142:L201,M142:T201,TRUE,TRUE),1,4)</f>
        <v/>
      </c>
      <c r="AG201" s="9">
        <f>INDEX(LINEST(L142:L201,M142:T201,TRUE,TRUE),1,3)</f>
        <v/>
      </c>
      <c r="AH201" s="9">
        <f>INDEX(LINEST(L142:L201,M142:T201,TRUE,TRUE),1,2)</f>
        <v/>
      </c>
      <c r="AI201" s="9">
        <f>INDEX(LINEST(L142:L201,M142:T201,TRUE,TRUE),1,1)</f>
        <v/>
      </c>
      <c r="AJ201" s="10">
        <f>INDEX(LINEST(L142:L201,M142:T201,TRUE,TRUE),3,1)</f>
        <v/>
      </c>
      <c r="AK201" s="9">
        <f>AA200/12+AB200*M201+AC200*N201+AD200*O201+AE200*P201+AF200*Q201+AG200*R201+AH200*S201+AI200*T201</f>
        <v/>
      </c>
      <c r="AL201" s="9">
        <f>AVERAGE(L141:L200)</f>
        <v/>
      </c>
    </row>
    <row r="202">
      <c r="L202" s="9">
        <f>LN(B202/B201)</f>
        <v/>
      </c>
      <c r="M202" s="9">
        <f>$M$1*(C202-C201)</f>
        <v/>
      </c>
      <c r="N202" s="9">
        <f>$N$1*(D202-D201)</f>
        <v/>
      </c>
      <c r="O202" s="9">
        <f>$O$1*LN(E202/E201)</f>
        <v/>
      </c>
      <c r="P202" s="9">
        <f>$P$1*LN(F202/F201)</f>
        <v/>
      </c>
      <c r="Q202" s="9">
        <f>$Q$1*(G202-G201)</f>
        <v/>
      </c>
      <c r="R202" s="9">
        <f>$R$1*(H202-H201)</f>
        <v/>
      </c>
      <c r="S202" s="9">
        <f>$S$1*LN(I202/I201)</f>
        <v/>
      </c>
      <c r="T202" s="9">
        <f>$T$1*LN(J202/J201)</f>
        <v/>
      </c>
      <c r="U202" s="9">
        <f>$W$12+$W$4*M202+$W$5*N202+$W$6*O202+$W$7*P202+$W$8*Q202+$W$9*R202+$W$10*S202+$W$11*T202</f>
        <v/>
      </c>
      <c r="AA202" s="10">
        <f>INDEX(LINEST(L143:L202,M143:T202,TRUE,TRUE),1,9)*12</f>
        <v/>
      </c>
      <c r="AB202" s="9">
        <f>INDEX(LINEST(L143:L202,M143:T202,TRUE,TRUE),1,8)</f>
        <v/>
      </c>
      <c r="AC202" s="9">
        <f>INDEX(LINEST(L143:L202,M143:T202,TRUE,TRUE),1,7)</f>
        <v/>
      </c>
      <c r="AD202" s="9">
        <f>INDEX(LINEST(L143:L202,M143:T202,TRUE,TRUE),1,6)</f>
        <v/>
      </c>
      <c r="AE202" s="9">
        <f>INDEX(LINEST(L143:L202,M143:T202,TRUE,TRUE),1,5)</f>
        <v/>
      </c>
      <c r="AF202" s="9">
        <f>INDEX(LINEST(L143:L202,M143:T202,TRUE,TRUE),1,4)</f>
        <v/>
      </c>
      <c r="AG202" s="9">
        <f>INDEX(LINEST(L143:L202,M143:T202,TRUE,TRUE),1,3)</f>
        <v/>
      </c>
      <c r="AH202" s="9">
        <f>INDEX(LINEST(L143:L202,M143:T202,TRUE,TRUE),1,2)</f>
        <v/>
      </c>
      <c r="AI202" s="9">
        <f>INDEX(LINEST(L143:L202,M143:T202,TRUE,TRUE),1,1)</f>
        <v/>
      </c>
      <c r="AJ202" s="10">
        <f>INDEX(LINEST(L143:L202,M143:T202,TRUE,TRUE),3,1)</f>
        <v/>
      </c>
      <c r="AK202" s="9">
        <f>AA201/12+AB201*M202+AC201*N202+AD201*O202+AE201*P202+AF201*Q202+AG201*R202+AH201*S202+AI201*T202</f>
        <v/>
      </c>
      <c r="AL202" s="9">
        <f>AVERAGE(L142:L201)</f>
        <v/>
      </c>
    </row>
    <row r="203">
      <c r="L203" s="9">
        <f>LN(B203/B202)</f>
        <v/>
      </c>
      <c r="M203" s="9">
        <f>$M$1*(C203-C202)</f>
        <v/>
      </c>
      <c r="N203" s="9">
        <f>$N$1*(D203-D202)</f>
        <v/>
      </c>
      <c r="O203" s="9">
        <f>$O$1*LN(E203/E202)</f>
        <v/>
      </c>
      <c r="P203" s="9">
        <f>$P$1*LN(F203/F202)</f>
        <v/>
      </c>
      <c r="Q203" s="9">
        <f>$Q$1*(G203-G202)</f>
        <v/>
      </c>
      <c r="R203" s="9">
        <f>$R$1*(H203-H202)</f>
        <v/>
      </c>
      <c r="S203" s="9">
        <f>$S$1*LN(I203/I202)</f>
        <v/>
      </c>
      <c r="T203" s="9">
        <f>$T$1*LN(J203/J202)</f>
        <v/>
      </c>
      <c r="U203" s="9">
        <f>$W$12+$W$4*M203+$W$5*N203+$W$6*O203+$W$7*P203+$W$8*Q203+$W$9*R203+$W$10*S203+$W$11*T203</f>
        <v/>
      </c>
      <c r="AA203" s="10">
        <f>INDEX(LINEST(L144:L203,M144:T203,TRUE,TRUE),1,9)*12</f>
        <v/>
      </c>
      <c r="AB203" s="9">
        <f>INDEX(LINEST(L144:L203,M144:T203,TRUE,TRUE),1,8)</f>
        <v/>
      </c>
      <c r="AC203" s="9">
        <f>INDEX(LINEST(L144:L203,M144:T203,TRUE,TRUE),1,7)</f>
        <v/>
      </c>
      <c r="AD203" s="9">
        <f>INDEX(LINEST(L144:L203,M144:T203,TRUE,TRUE),1,6)</f>
        <v/>
      </c>
      <c r="AE203" s="9">
        <f>INDEX(LINEST(L144:L203,M144:T203,TRUE,TRUE),1,5)</f>
        <v/>
      </c>
      <c r="AF203" s="9">
        <f>INDEX(LINEST(L144:L203,M144:T203,TRUE,TRUE),1,4)</f>
        <v/>
      </c>
      <c r="AG203" s="9">
        <f>INDEX(LINEST(L144:L203,M144:T203,TRUE,TRUE),1,3)</f>
        <v/>
      </c>
      <c r="AH203" s="9">
        <f>INDEX(LINEST(L144:L203,M144:T203,TRUE,TRUE),1,2)</f>
        <v/>
      </c>
      <c r="AI203" s="9">
        <f>INDEX(LINEST(L144:L203,M144:T203,TRUE,TRUE),1,1)</f>
        <v/>
      </c>
      <c r="AJ203" s="10">
        <f>INDEX(LINEST(L144:L203,M144:T203,TRUE,TRUE),3,1)</f>
        <v/>
      </c>
      <c r="AK203" s="9">
        <f>AA202/12+AB202*M203+AC202*N203+AD202*O203+AE202*P203+AF202*Q203+AG202*R203+AH202*S203+AI202*T203</f>
        <v/>
      </c>
      <c r="AL203" s="9">
        <f>AVERAGE(L143:L202)</f>
        <v/>
      </c>
    </row>
    <row r="204">
      <c r="L204" s="9">
        <f>LN(B204/B203)</f>
        <v/>
      </c>
      <c r="M204" s="9">
        <f>$M$1*(C204-C203)</f>
        <v/>
      </c>
      <c r="N204" s="9">
        <f>$N$1*(D204-D203)</f>
        <v/>
      </c>
      <c r="O204" s="9">
        <f>$O$1*LN(E204/E203)</f>
        <v/>
      </c>
      <c r="P204" s="9">
        <f>$P$1*LN(F204/F203)</f>
        <v/>
      </c>
      <c r="Q204" s="9">
        <f>$Q$1*(G204-G203)</f>
        <v/>
      </c>
      <c r="R204" s="9">
        <f>$R$1*(H204-H203)</f>
        <v/>
      </c>
      <c r="S204" s="9">
        <f>$S$1*LN(I204/I203)</f>
        <v/>
      </c>
      <c r="T204" s="9">
        <f>$T$1*LN(J204/J203)</f>
        <v/>
      </c>
      <c r="U204" s="9">
        <f>$W$12+$W$4*M204+$W$5*N204+$W$6*O204+$W$7*P204+$W$8*Q204+$W$9*R204+$W$10*S204+$W$11*T204</f>
        <v/>
      </c>
      <c r="AA204" s="10">
        <f>INDEX(LINEST(L145:L204,M145:T204,TRUE,TRUE),1,9)*12</f>
        <v/>
      </c>
      <c r="AB204" s="9">
        <f>INDEX(LINEST(L145:L204,M145:T204,TRUE,TRUE),1,8)</f>
        <v/>
      </c>
      <c r="AC204" s="9">
        <f>INDEX(LINEST(L145:L204,M145:T204,TRUE,TRUE),1,7)</f>
        <v/>
      </c>
      <c r="AD204" s="9">
        <f>INDEX(LINEST(L145:L204,M145:T204,TRUE,TRUE),1,6)</f>
        <v/>
      </c>
      <c r="AE204" s="9">
        <f>INDEX(LINEST(L145:L204,M145:T204,TRUE,TRUE),1,5)</f>
        <v/>
      </c>
      <c r="AF204" s="9">
        <f>INDEX(LINEST(L145:L204,M145:T204,TRUE,TRUE),1,4)</f>
        <v/>
      </c>
      <c r="AG204" s="9">
        <f>INDEX(LINEST(L145:L204,M145:T204,TRUE,TRUE),1,3)</f>
        <v/>
      </c>
      <c r="AH204" s="9">
        <f>INDEX(LINEST(L145:L204,M145:T204,TRUE,TRUE),1,2)</f>
        <v/>
      </c>
      <c r="AI204" s="9">
        <f>INDEX(LINEST(L145:L204,M145:T204,TRUE,TRUE),1,1)</f>
        <v/>
      </c>
      <c r="AJ204" s="10">
        <f>INDEX(LINEST(L145:L204,M145:T204,TRUE,TRUE),3,1)</f>
        <v/>
      </c>
      <c r="AK204" s="9">
        <f>AA203/12+AB203*M204+AC203*N204+AD203*O204+AE203*P204+AF203*Q204+AG203*R204+AH203*S204+AI203*T204</f>
        <v/>
      </c>
      <c r="AL204" s="9">
        <f>AVERAGE(L144:L203)</f>
        <v/>
      </c>
    </row>
    <row r="205">
      <c r="L205" s="9">
        <f>LN(B205/B204)</f>
        <v/>
      </c>
      <c r="M205" s="9">
        <f>$M$1*(C205-C204)</f>
        <v/>
      </c>
      <c r="N205" s="9">
        <f>$N$1*(D205-D204)</f>
        <v/>
      </c>
      <c r="O205" s="9">
        <f>$O$1*LN(E205/E204)</f>
        <v/>
      </c>
      <c r="P205" s="9">
        <f>$P$1*LN(F205/F204)</f>
        <v/>
      </c>
      <c r="Q205" s="9">
        <f>$Q$1*(G205-G204)</f>
        <v/>
      </c>
      <c r="R205" s="9">
        <f>$R$1*(H205-H204)</f>
        <v/>
      </c>
      <c r="S205" s="9">
        <f>$S$1*LN(I205/I204)</f>
        <v/>
      </c>
      <c r="T205" s="9">
        <f>$T$1*LN(J205/J204)</f>
        <v/>
      </c>
      <c r="U205" s="9">
        <f>$W$12+$W$4*M205+$W$5*N205+$W$6*O205+$W$7*P205+$W$8*Q205+$W$9*R205+$W$10*S205+$W$11*T205</f>
        <v/>
      </c>
      <c r="AA205" s="10">
        <f>INDEX(LINEST(L146:L205,M146:T205,TRUE,TRUE),1,9)*12</f>
        <v/>
      </c>
      <c r="AB205" s="9">
        <f>INDEX(LINEST(L146:L205,M146:T205,TRUE,TRUE),1,8)</f>
        <v/>
      </c>
      <c r="AC205" s="9">
        <f>INDEX(LINEST(L146:L205,M146:T205,TRUE,TRUE),1,7)</f>
        <v/>
      </c>
      <c r="AD205" s="9">
        <f>INDEX(LINEST(L146:L205,M146:T205,TRUE,TRUE),1,6)</f>
        <v/>
      </c>
      <c r="AE205" s="9">
        <f>INDEX(LINEST(L146:L205,M146:T205,TRUE,TRUE),1,5)</f>
        <v/>
      </c>
      <c r="AF205" s="9">
        <f>INDEX(LINEST(L146:L205,M146:T205,TRUE,TRUE),1,4)</f>
        <v/>
      </c>
      <c r="AG205" s="9">
        <f>INDEX(LINEST(L146:L205,M146:T205,TRUE,TRUE),1,3)</f>
        <v/>
      </c>
      <c r="AH205" s="9">
        <f>INDEX(LINEST(L146:L205,M146:T205,TRUE,TRUE),1,2)</f>
        <v/>
      </c>
      <c r="AI205" s="9">
        <f>INDEX(LINEST(L146:L205,M146:T205,TRUE,TRUE),1,1)</f>
        <v/>
      </c>
      <c r="AJ205" s="10">
        <f>INDEX(LINEST(L146:L205,M146:T205,TRUE,TRUE),3,1)</f>
        <v/>
      </c>
      <c r="AK205" s="9">
        <f>AA204/12+AB204*M205+AC204*N205+AD204*O205+AE204*P205+AF204*Q205+AG204*R205+AH204*S205+AI204*T205</f>
        <v/>
      </c>
      <c r="AL205" s="9">
        <f>AVERAGE(L145:L204)</f>
        <v/>
      </c>
    </row>
    <row r="206">
      <c r="L206" s="9">
        <f>LN(B206/B205)</f>
        <v/>
      </c>
      <c r="M206" s="9">
        <f>$M$1*(C206-C205)</f>
        <v/>
      </c>
      <c r="N206" s="9">
        <f>$N$1*(D206-D205)</f>
        <v/>
      </c>
      <c r="O206" s="9">
        <f>$O$1*LN(E206/E205)</f>
        <v/>
      </c>
      <c r="P206" s="9">
        <f>$P$1*LN(F206/F205)</f>
        <v/>
      </c>
      <c r="Q206" s="9">
        <f>$Q$1*(G206-G205)</f>
        <v/>
      </c>
      <c r="R206" s="9">
        <f>$R$1*(H206-H205)</f>
        <v/>
      </c>
      <c r="S206" s="9">
        <f>$S$1*LN(I206/I205)</f>
        <v/>
      </c>
      <c r="T206" s="9">
        <f>$T$1*LN(J206/J205)</f>
        <v/>
      </c>
      <c r="U206" s="9">
        <f>$W$12+$W$4*M206+$W$5*N206+$W$6*O206+$W$7*P206+$W$8*Q206+$W$9*R206+$W$10*S206+$W$11*T206</f>
        <v/>
      </c>
      <c r="AA206" s="10">
        <f>INDEX(LINEST(L147:L206,M147:T206,TRUE,TRUE),1,9)*12</f>
        <v/>
      </c>
      <c r="AB206" s="9">
        <f>INDEX(LINEST(L147:L206,M147:T206,TRUE,TRUE),1,8)</f>
        <v/>
      </c>
      <c r="AC206" s="9">
        <f>INDEX(LINEST(L147:L206,M147:T206,TRUE,TRUE),1,7)</f>
        <v/>
      </c>
      <c r="AD206" s="9">
        <f>INDEX(LINEST(L147:L206,M147:T206,TRUE,TRUE),1,6)</f>
        <v/>
      </c>
      <c r="AE206" s="9">
        <f>INDEX(LINEST(L147:L206,M147:T206,TRUE,TRUE),1,5)</f>
        <v/>
      </c>
      <c r="AF206" s="9">
        <f>INDEX(LINEST(L147:L206,M147:T206,TRUE,TRUE),1,4)</f>
        <v/>
      </c>
      <c r="AG206" s="9">
        <f>INDEX(LINEST(L147:L206,M147:T206,TRUE,TRUE),1,3)</f>
        <v/>
      </c>
      <c r="AH206" s="9">
        <f>INDEX(LINEST(L147:L206,M147:T206,TRUE,TRUE),1,2)</f>
        <v/>
      </c>
      <c r="AI206" s="9">
        <f>INDEX(LINEST(L147:L206,M147:T206,TRUE,TRUE),1,1)</f>
        <v/>
      </c>
      <c r="AJ206" s="10">
        <f>INDEX(LINEST(L147:L206,M147:T206,TRUE,TRUE),3,1)</f>
        <v/>
      </c>
      <c r="AK206" s="9">
        <f>AA205/12+AB205*M206+AC205*N206+AD205*O206+AE205*P206+AF205*Q206+AG205*R206+AH205*S206+AI205*T206</f>
        <v/>
      </c>
      <c r="AL206" s="9">
        <f>AVERAGE(L146:L205)</f>
        <v/>
      </c>
    </row>
    <row r="207">
      <c r="L207" s="9">
        <f>LN(B207/B206)</f>
        <v/>
      </c>
      <c r="M207" s="9">
        <f>$M$1*(C207-C206)</f>
        <v/>
      </c>
      <c r="N207" s="9">
        <f>$N$1*(D207-D206)</f>
        <v/>
      </c>
      <c r="O207" s="9">
        <f>$O$1*LN(E207/E206)</f>
        <v/>
      </c>
      <c r="P207" s="9">
        <f>$P$1*LN(F207/F206)</f>
        <v/>
      </c>
      <c r="Q207" s="9">
        <f>$Q$1*(G207-G206)</f>
        <v/>
      </c>
      <c r="R207" s="9">
        <f>$R$1*(H207-H206)</f>
        <v/>
      </c>
      <c r="S207" s="9">
        <f>$S$1*LN(I207/I206)</f>
        <v/>
      </c>
      <c r="T207" s="9">
        <f>$T$1*LN(J207/J206)</f>
        <v/>
      </c>
      <c r="U207" s="9">
        <f>$W$12+$W$4*M207+$W$5*N207+$W$6*O207+$W$7*P207+$W$8*Q207+$W$9*R207+$W$10*S207+$W$11*T207</f>
        <v/>
      </c>
      <c r="AA207" s="10">
        <f>INDEX(LINEST(L148:L207,M148:T207,TRUE,TRUE),1,9)*12</f>
        <v/>
      </c>
      <c r="AB207" s="9">
        <f>INDEX(LINEST(L148:L207,M148:T207,TRUE,TRUE),1,8)</f>
        <v/>
      </c>
      <c r="AC207" s="9">
        <f>INDEX(LINEST(L148:L207,M148:T207,TRUE,TRUE),1,7)</f>
        <v/>
      </c>
      <c r="AD207" s="9">
        <f>INDEX(LINEST(L148:L207,M148:T207,TRUE,TRUE),1,6)</f>
        <v/>
      </c>
      <c r="AE207" s="9">
        <f>INDEX(LINEST(L148:L207,M148:T207,TRUE,TRUE),1,5)</f>
        <v/>
      </c>
      <c r="AF207" s="9">
        <f>INDEX(LINEST(L148:L207,M148:T207,TRUE,TRUE),1,4)</f>
        <v/>
      </c>
      <c r="AG207" s="9">
        <f>INDEX(LINEST(L148:L207,M148:T207,TRUE,TRUE),1,3)</f>
        <v/>
      </c>
      <c r="AH207" s="9">
        <f>INDEX(LINEST(L148:L207,M148:T207,TRUE,TRUE),1,2)</f>
        <v/>
      </c>
      <c r="AI207" s="9">
        <f>INDEX(LINEST(L148:L207,M148:T207,TRUE,TRUE),1,1)</f>
        <v/>
      </c>
      <c r="AJ207" s="10">
        <f>INDEX(LINEST(L148:L207,M148:T207,TRUE,TRUE),3,1)</f>
        <v/>
      </c>
      <c r="AK207" s="9">
        <f>AA206/12+AB206*M207+AC206*N207+AD206*O207+AE206*P207+AF206*Q207+AG206*R207+AH206*S207+AI206*T207</f>
        <v/>
      </c>
      <c r="AL207" s="9">
        <f>AVERAGE(L147:L206)</f>
        <v/>
      </c>
    </row>
    <row r="208">
      <c r="L208" s="9">
        <f>LN(B208/B207)</f>
        <v/>
      </c>
      <c r="M208" s="9">
        <f>$M$1*(C208-C207)</f>
        <v/>
      </c>
      <c r="N208" s="9">
        <f>$N$1*(D208-D207)</f>
        <v/>
      </c>
      <c r="O208" s="9">
        <f>$O$1*LN(E208/E207)</f>
        <v/>
      </c>
      <c r="P208" s="9">
        <f>$P$1*LN(F208/F207)</f>
        <v/>
      </c>
      <c r="Q208" s="9">
        <f>$Q$1*(G208-G207)</f>
        <v/>
      </c>
      <c r="R208" s="9">
        <f>$R$1*(H208-H207)</f>
        <v/>
      </c>
      <c r="S208" s="9">
        <f>$S$1*LN(I208/I207)</f>
        <v/>
      </c>
      <c r="T208" s="9">
        <f>$T$1*LN(J208/J207)</f>
        <v/>
      </c>
      <c r="U208" s="9">
        <f>$W$12+$W$4*M208+$W$5*N208+$W$6*O208+$W$7*P208+$W$8*Q208+$W$9*R208+$W$10*S208+$W$11*T208</f>
        <v/>
      </c>
      <c r="AA208" s="10">
        <f>INDEX(LINEST(L149:L208,M149:T208,TRUE,TRUE),1,9)*12</f>
        <v/>
      </c>
      <c r="AB208" s="9">
        <f>INDEX(LINEST(L149:L208,M149:T208,TRUE,TRUE),1,8)</f>
        <v/>
      </c>
      <c r="AC208" s="9">
        <f>INDEX(LINEST(L149:L208,M149:T208,TRUE,TRUE),1,7)</f>
        <v/>
      </c>
      <c r="AD208" s="9">
        <f>INDEX(LINEST(L149:L208,M149:T208,TRUE,TRUE),1,6)</f>
        <v/>
      </c>
      <c r="AE208" s="9">
        <f>INDEX(LINEST(L149:L208,M149:T208,TRUE,TRUE),1,5)</f>
        <v/>
      </c>
      <c r="AF208" s="9">
        <f>INDEX(LINEST(L149:L208,M149:T208,TRUE,TRUE),1,4)</f>
        <v/>
      </c>
      <c r="AG208" s="9">
        <f>INDEX(LINEST(L149:L208,M149:T208,TRUE,TRUE),1,3)</f>
        <v/>
      </c>
      <c r="AH208" s="9">
        <f>INDEX(LINEST(L149:L208,M149:T208,TRUE,TRUE),1,2)</f>
        <v/>
      </c>
      <c r="AI208" s="9">
        <f>INDEX(LINEST(L149:L208,M149:T208,TRUE,TRUE),1,1)</f>
        <v/>
      </c>
      <c r="AJ208" s="10">
        <f>INDEX(LINEST(L149:L208,M149:T208,TRUE,TRUE),3,1)</f>
        <v/>
      </c>
      <c r="AK208" s="9">
        <f>AA207/12+AB207*M208+AC207*N208+AD207*O208+AE207*P208+AF207*Q208+AG207*R208+AH207*S208+AI207*T208</f>
        <v/>
      </c>
      <c r="AL208" s="9">
        <f>AVERAGE(L148:L207)</f>
        <v/>
      </c>
    </row>
    <row r="209">
      <c r="L209" s="9">
        <f>LN(B209/B208)</f>
        <v/>
      </c>
      <c r="M209" s="9">
        <f>$M$1*(C209-C208)</f>
        <v/>
      </c>
      <c r="N209" s="9">
        <f>$N$1*(D209-D208)</f>
        <v/>
      </c>
      <c r="O209" s="9">
        <f>$O$1*LN(E209/E208)</f>
        <v/>
      </c>
      <c r="P209" s="9">
        <f>$P$1*LN(F209/F208)</f>
        <v/>
      </c>
      <c r="Q209" s="9">
        <f>$Q$1*(G209-G208)</f>
        <v/>
      </c>
      <c r="R209" s="9">
        <f>$R$1*(H209-H208)</f>
        <v/>
      </c>
      <c r="S209" s="9">
        <f>$S$1*LN(I209/I208)</f>
        <v/>
      </c>
      <c r="T209" s="9">
        <f>$T$1*LN(J209/J208)</f>
        <v/>
      </c>
      <c r="U209" s="9">
        <f>$W$12+$W$4*M209+$W$5*N209+$W$6*O209+$W$7*P209+$W$8*Q209+$W$9*R209+$W$10*S209+$W$11*T209</f>
        <v/>
      </c>
      <c r="AA209" s="10">
        <f>INDEX(LINEST(L150:L209,M150:T209,TRUE,TRUE),1,9)*12</f>
        <v/>
      </c>
      <c r="AB209" s="9">
        <f>INDEX(LINEST(L150:L209,M150:T209,TRUE,TRUE),1,8)</f>
        <v/>
      </c>
      <c r="AC209" s="9">
        <f>INDEX(LINEST(L150:L209,M150:T209,TRUE,TRUE),1,7)</f>
        <v/>
      </c>
      <c r="AD209" s="9">
        <f>INDEX(LINEST(L150:L209,M150:T209,TRUE,TRUE),1,6)</f>
        <v/>
      </c>
      <c r="AE209" s="9">
        <f>INDEX(LINEST(L150:L209,M150:T209,TRUE,TRUE),1,5)</f>
        <v/>
      </c>
      <c r="AF209" s="9">
        <f>INDEX(LINEST(L150:L209,M150:T209,TRUE,TRUE),1,4)</f>
        <v/>
      </c>
      <c r="AG209" s="9">
        <f>INDEX(LINEST(L150:L209,M150:T209,TRUE,TRUE),1,3)</f>
        <v/>
      </c>
      <c r="AH209" s="9">
        <f>INDEX(LINEST(L150:L209,M150:T209,TRUE,TRUE),1,2)</f>
        <v/>
      </c>
      <c r="AI209" s="9">
        <f>INDEX(LINEST(L150:L209,M150:T209,TRUE,TRUE),1,1)</f>
        <v/>
      </c>
      <c r="AJ209" s="10">
        <f>INDEX(LINEST(L150:L209,M150:T209,TRUE,TRUE),3,1)</f>
        <v/>
      </c>
      <c r="AK209" s="9">
        <f>AA208/12+AB208*M209+AC208*N209+AD208*O209+AE208*P209+AF208*Q209+AG208*R209+AH208*S209+AI208*T209</f>
        <v/>
      </c>
      <c r="AL209" s="9">
        <f>AVERAGE(L149:L208)</f>
        <v/>
      </c>
    </row>
    <row r="210">
      <c r="L210" s="9">
        <f>LN(B210/B209)</f>
        <v/>
      </c>
      <c r="M210" s="9">
        <f>$M$1*(C210-C209)</f>
        <v/>
      </c>
      <c r="N210" s="9">
        <f>$N$1*(D210-D209)</f>
        <v/>
      </c>
      <c r="O210" s="9">
        <f>$O$1*LN(E210/E209)</f>
        <v/>
      </c>
      <c r="P210" s="9">
        <f>$P$1*LN(F210/F209)</f>
        <v/>
      </c>
      <c r="Q210" s="9">
        <f>$Q$1*(G210-G209)</f>
        <v/>
      </c>
      <c r="R210" s="9">
        <f>$R$1*(H210-H209)</f>
        <v/>
      </c>
      <c r="S210" s="9">
        <f>$S$1*LN(I210/I209)</f>
        <v/>
      </c>
      <c r="T210" s="9">
        <f>$T$1*LN(J210/J209)</f>
        <v/>
      </c>
      <c r="U210" s="9">
        <f>$W$12+$W$4*M210+$W$5*N210+$W$6*O210+$W$7*P210+$W$8*Q210+$W$9*R210+$W$10*S210+$W$11*T210</f>
        <v/>
      </c>
      <c r="AA210" s="10">
        <f>INDEX(LINEST(L151:L210,M151:T210,TRUE,TRUE),1,9)*12</f>
        <v/>
      </c>
      <c r="AB210" s="9">
        <f>INDEX(LINEST(L151:L210,M151:T210,TRUE,TRUE),1,8)</f>
        <v/>
      </c>
      <c r="AC210" s="9">
        <f>INDEX(LINEST(L151:L210,M151:T210,TRUE,TRUE),1,7)</f>
        <v/>
      </c>
      <c r="AD210" s="9">
        <f>INDEX(LINEST(L151:L210,M151:T210,TRUE,TRUE),1,6)</f>
        <v/>
      </c>
      <c r="AE210" s="9">
        <f>INDEX(LINEST(L151:L210,M151:T210,TRUE,TRUE),1,5)</f>
        <v/>
      </c>
      <c r="AF210" s="9">
        <f>INDEX(LINEST(L151:L210,M151:T210,TRUE,TRUE),1,4)</f>
        <v/>
      </c>
      <c r="AG210" s="9">
        <f>INDEX(LINEST(L151:L210,M151:T210,TRUE,TRUE),1,3)</f>
        <v/>
      </c>
      <c r="AH210" s="9">
        <f>INDEX(LINEST(L151:L210,M151:T210,TRUE,TRUE),1,2)</f>
        <v/>
      </c>
      <c r="AI210" s="9">
        <f>INDEX(LINEST(L151:L210,M151:T210,TRUE,TRUE),1,1)</f>
        <v/>
      </c>
      <c r="AJ210" s="10">
        <f>INDEX(LINEST(L151:L210,M151:T210,TRUE,TRUE),3,1)</f>
        <v/>
      </c>
      <c r="AK210" s="9">
        <f>AA209/12+AB209*M210+AC209*N210+AD209*O210+AE209*P210+AF209*Q210+AG209*R210+AH209*S210+AI209*T210</f>
        <v/>
      </c>
      <c r="AL210" s="9">
        <f>AVERAGE(L150:L209)</f>
        <v/>
      </c>
    </row>
    <row r="211">
      <c r="L211" s="9">
        <f>LN(B211/B210)</f>
        <v/>
      </c>
      <c r="M211" s="9">
        <f>$M$1*(C211-C210)</f>
        <v/>
      </c>
      <c r="N211" s="9">
        <f>$N$1*(D211-D210)</f>
        <v/>
      </c>
      <c r="O211" s="9">
        <f>$O$1*LN(E211/E210)</f>
        <v/>
      </c>
      <c r="P211" s="9">
        <f>$P$1*LN(F211/F210)</f>
        <v/>
      </c>
      <c r="Q211" s="9">
        <f>$Q$1*(G211-G210)</f>
        <v/>
      </c>
      <c r="R211" s="9">
        <f>$R$1*(H211-H210)</f>
        <v/>
      </c>
      <c r="S211" s="9">
        <f>$S$1*LN(I211/I210)</f>
        <v/>
      </c>
      <c r="T211" s="9">
        <f>$T$1*LN(J211/J210)</f>
        <v/>
      </c>
      <c r="U211" s="9">
        <f>$W$12+$W$4*M211+$W$5*N211+$W$6*O211+$W$7*P211+$W$8*Q211+$W$9*R211+$W$10*S211+$W$11*T211</f>
        <v/>
      </c>
      <c r="AA211" s="10">
        <f>INDEX(LINEST(L152:L211,M152:T211,TRUE,TRUE),1,9)*12</f>
        <v/>
      </c>
      <c r="AB211" s="9">
        <f>INDEX(LINEST(L152:L211,M152:T211,TRUE,TRUE),1,8)</f>
        <v/>
      </c>
      <c r="AC211" s="9">
        <f>INDEX(LINEST(L152:L211,M152:T211,TRUE,TRUE),1,7)</f>
        <v/>
      </c>
      <c r="AD211" s="9">
        <f>INDEX(LINEST(L152:L211,M152:T211,TRUE,TRUE),1,6)</f>
        <v/>
      </c>
      <c r="AE211" s="9">
        <f>INDEX(LINEST(L152:L211,M152:T211,TRUE,TRUE),1,5)</f>
        <v/>
      </c>
      <c r="AF211" s="9">
        <f>INDEX(LINEST(L152:L211,M152:T211,TRUE,TRUE),1,4)</f>
        <v/>
      </c>
      <c r="AG211" s="9">
        <f>INDEX(LINEST(L152:L211,M152:T211,TRUE,TRUE),1,3)</f>
        <v/>
      </c>
      <c r="AH211" s="9">
        <f>INDEX(LINEST(L152:L211,M152:T211,TRUE,TRUE),1,2)</f>
        <v/>
      </c>
      <c r="AI211" s="9">
        <f>INDEX(LINEST(L152:L211,M152:T211,TRUE,TRUE),1,1)</f>
        <v/>
      </c>
      <c r="AJ211" s="10">
        <f>INDEX(LINEST(L152:L211,M152:T211,TRUE,TRUE),3,1)</f>
        <v/>
      </c>
      <c r="AK211" s="9">
        <f>AA210/12+AB210*M211+AC210*N211+AD210*O211+AE210*P211+AF210*Q211+AG210*R211+AH210*S211+AI210*T211</f>
        <v/>
      </c>
      <c r="AL211" s="9">
        <f>AVERAGE(L151:L210)</f>
        <v/>
      </c>
    </row>
    <row r="212">
      <c r="L212" s="9">
        <f>LN(B212/B211)</f>
        <v/>
      </c>
      <c r="M212" s="9">
        <f>$M$1*(C212-C211)</f>
        <v/>
      </c>
      <c r="N212" s="9">
        <f>$N$1*(D212-D211)</f>
        <v/>
      </c>
      <c r="O212" s="9">
        <f>$O$1*LN(E212/E211)</f>
        <v/>
      </c>
      <c r="P212" s="9">
        <f>$P$1*LN(F212/F211)</f>
        <v/>
      </c>
      <c r="Q212" s="9">
        <f>$Q$1*(G212-G211)</f>
        <v/>
      </c>
      <c r="R212" s="9">
        <f>$R$1*(H212-H211)</f>
        <v/>
      </c>
      <c r="S212" s="9">
        <f>$S$1*LN(I212/I211)</f>
        <v/>
      </c>
      <c r="T212" s="9">
        <f>$T$1*LN(J212/J211)</f>
        <v/>
      </c>
      <c r="U212" s="9">
        <f>$W$12+$W$4*M212+$W$5*N212+$W$6*O212+$W$7*P212+$W$8*Q212+$W$9*R212+$W$10*S212+$W$11*T212</f>
        <v/>
      </c>
      <c r="AA212" s="10">
        <f>INDEX(LINEST(L153:L212,M153:T212,TRUE,TRUE),1,9)*12</f>
        <v/>
      </c>
      <c r="AB212" s="9">
        <f>INDEX(LINEST(L153:L212,M153:T212,TRUE,TRUE),1,8)</f>
        <v/>
      </c>
      <c r="AC212" s="9">
        <f>INDEX(LINEST(L153:L212,M153:T212,TRUE,TRUE),1,7)</f>
        <v/>
      </c>
      <c r="AD212" s="9">
        <f>INDEX(LINEST(L153:L212,M153:T212,TRUE,TRUE),1,6)</f>
        <v/>
      </c>
      <c r="AE212" s="9">
        <f>INDEX(LINEST(L153:L212,M153:T212,TRUE,TRUE),1,5)</f>
        <v/>
      </c>
      <c r="AF212" s="9">
        <f>INDEX(LINEST(L153:L212,M153:T212,TRUE,TRUE),1,4)</f>
        <v/>
      </c>
      <c r="AG212" s="9">
        <f>INDEX(LINEST(L153:L212,M153:T212,TRUE,TRUE),1,3)</f>
        <v/>
      </c>
      <c r="AH212" s="9">
        <f>INDEX(LINEST(L153:L212,M153:T212,TRUE,TRUE),1,2)</f>
        <v/>
      </c>
      <c r="AI212" s="9">
        <f>INDEX(LINEST(L153:L212,M153:T212,TRUE,TRUE),1,1)</f>
        <v/>
      </c>
      <c r="AJ212" s="10">
        <f>INDEX(LINEST(L153:L212,M153:T212,TRUE,TRUE),3,1)</f>
        <v/>
      </c>
      <c r="AK212" s="9">
        <f>AA211/12+AB211*M212+AC211*N212+AD211*O212+AE211*P212+AF211*Q212+AG211*R212+AH211*S212+AI211*T212</f>
        <v/>
      </c>
      <c r="AL212" s="9">
        <f>AVERAGE(L152:L211)</f>
        <v/>
      </c>
    </row>
    <row r="213">
      <c r="L213" s="9">
        <f>LN(B213/B212)</f>
        <v/>
      </c>
      <c r="M213" s="9">
        <f>$M$1*(C213-C212)</f>
        <v/>
      </c>
      <c r="N213" s="9">
        <f>$N$1*(D213-D212)</f>
        <v/>
      </c>
      <c r="O213" s="9">
        <f>$O$1*LN(E213/E212)</f>
        <v/>
      </c>
      <c r="P213" s="9">
        <f>$P$1*LN(F213/F212)</f>
        <v/>
      </c>
      <c r="Q213" s="9">
        <f>$Q$1*(G213-G212)</f>
        <v/>
      </c>
      <c r="R213" s="9">
        <f>$R$1*(H213-H212)</f>
        <v/>
      </c>
      <c r="S213" s="9">
        <f>$S$1*LN(I213/I212)</f>
        <v/>
      </c>
      <c r="T213" s="9">
        <f>$T$1*LN(J213/J212)</f>
        <v/>
      </c>
      <c r="U213" s="9">
        <f>$W$12+$W$4*M213+$W$5*N213+$W$6*O213+$W$7*P213+$W$8*Q213+$W$9*R213+$W$10*S213+$W$11*T213</f>
        <v/>
      </c>
      <c r="AA213" s="10">
        <f>INDEX(LINEST(L154:L213,M154:T213,TRUE,TRUE),1,9)*12</f>
        <v/>
      </c>
      <c r="AB213" s="9">
        <f>INDEX(LINEST(L154:L213,M154:T213,TRUE,TRUE),1,8)</f>
        <v/>
      </c>
      <c r="AC213" s="9">
        <f>INDEX(LINEST(L154:L213,M154:T213,TRUE,TRUE),1,7)</f>
        <v/>
      </c>
      <c r="AD213" s="9">
        <f>INDEX(LINEST(L154:L213,M154:T213,TRUE,TRUE),1,6)</f>
        <v/>
      </c>
      <c r="AE213" s="9">
        <f>INDEX(LINEST(L154:L213,M154:T213,TRUE,TRUE),1,5)</f>
        <v/>
      </c>
      <c r="AF213" s="9">
        <f>INDEX(LINEST(L154:L213,M154:T213,TRUE,TRUE),1,4)</f>
        <v/>
      </c>
      <c r="AG213" s="9">
        <f>INDEX(LINEST(L154:L213,M154:T213,TRUE,TRUE),1,3)</f>
        <v/>
      </c>
      <c r="AH213" s="9">
        <f>INDEX(LINEST(L154:L213,M154:T213,TRUE,TRUE),1,2)</f>
        <v/>
      </c>
      <c r="AI213" s="9">
        <f>INDEX(LINEST(L154:L213,M154:T213,TRUE,TRUE),1,1)</f>
        <v/>
      </c>
      <c r="AJ213" s="10">
        <f>INDEX(LINEST(L154:L213,M154:T213,TRUE,TRUE),3,1)</f>
        <v/>
      </c>
      <c r="AK213" s="9">
        <f>AA212/12+AB212*M213+AC212*N213+AD212*O213+AE212*P213+AF212*Q213+AG212*R213+AH212*S213+AI212*T213</f>
        <v/>
      </c>
      <c r="AL213" s="9">
        <f>AVERAGE(L153:L212)</f>
        <v/>
      </c>
    </row>
    <row r="214">
      <c r="L214" s="9">
        <f>LN(B214/B213)</f>
        <v/>
      </c>
      <c r="M214" s="9">
        <f>$M$1*(C214-C213)</f>
        <v/>
      </c>
      <c r="N214" s="9">
        <f>$N$1*(D214-D213)</f>
        <v/>
      </c>
      <c r="O214" s="9">
        <f>$O$1*LN(E214/E213)</f>
        <v/>
      </c>
      <c r="P214" s="9">
        <f>$P$1*LN(F214/F213)</f>
        <v/>
      </c>
      <c r="Q214" s="9">
        <f>$Q$1*(G214-G213)</f>
        <v/>
      </c>
      <c r="R214" s="9">
        <f>$R$1*(H214-H213)</f>
        <v/>
      </c>
      <c r="S214" s="9">
        <f>$S$1*LN(I214/I213)</f>
        <v/>
      </c>
      <c r="T214" s="9">
        <f>$T$1*LN(J214/J213)</f>
        <v/>
      </c>
      <c r="U214" s="9">
        <f>$W$12+$W$4*M214+$W$5*N214+$W$6*O214+$W$7*P214+$W$8*Q214+$W$9*R214+$W$10*S214+$W$11*T214</f>
        <v/>
      </c>
      <c r="AA214" s="10">
        <f>INDEX(LINEST(L155:L214,M155:T214,TRUE,TRUE),1,9)*12</f>
        <v/>
      </c>
      <c r="AB214" s="9">
        <f>INDEX(LINEST(L155:L214,M155:T214,TRUE,TRUE),1,8)</f>
        <v/>
      </c>
      <c r="AC214" s="9">
        <f>INDEX(LINEST(L155:L214,M155:T214,TRUE,TRUE),1,7)</f>
        <v/>
      </c>
      <c r="AD214" s="9">
        <f>INDEX(LINEST(L155:L214,M155:T214,TRUE,TRUE),1,6)</f>
        <v/>
      </c>
      <c r="AE214" s="9">
        <f>INDEX(LINEST(L155:L214,M155:T214,TRUE,TRUE),1,5)</f>
        <v/>
      </c>
      <c r="AF214" s="9">
        <f>INDEX(LINEST(L155:L214,M155:T214,TRUE,TRUE),1,4)</f>
        <v/>
      </c>
      <c r="AG214" s="9">
        <f>INDEX(LINEST(L155:L214,M155:T214,TRUE,TRUE),1,3)</f>
        <v/>
      </c>
      <c r="AH214" s="9">
        <f>INDEX(LINEST(L155:L214,M155:T214,TRUE,TRUE),1,2)</f>
        <v/>
      </c>
      <c r="AI214" s="9">
        <f>INDEX(LINEST(L155:L214,M155:T214,TRUE,TRUE),1,1)</f>
        <v/>
      </c>
      <c r="AJ214" s="10">
        <f>INDEX(LINEST(L155:L214,M155:T214,TRUE,TRUE),3,1)</f>
        <v/>
      </c>
      <c r="AK214" s="9">
        <f>AA213/12+AB213*M214+AC213*N214+AD213*O214+AE213*P214+AF213*Q214+AG213*R214+AH213*S214+AI213*T214</f>
        <v/>
      </c>
      <c r="AL214" s="9">
        <f>AVERAGE(L154:L213)</f>
        <v/>
      </c>
    </row>
    <row r="215">
      <c r="L215" s="9">
        <f>LN(B215/B214)</f>
        <v/>
      </c>
      <c r="M215" s="9">
        <f>$M$1*(C215-C214)</f>
        <v/>
      </c>
      <c r="N215" s="9">
        <f>$N$1*(D215-D214)</f>
        <v/>
      </c>
      <c r="O215" s="9">
        <f>$O$1*LN(E215/E214)</f>
        <v/>
      </c>
      <c r="P215" s="9">
        <f>$P$1*LN(F215/F214)</f>
        <v/>
      </c>
      <c r="Q215" s="9">
        <f>$Q$1*(G215-G214)</f>
        <v/>
      </c>
      <c r="R215" s="9">
        <f>$R$1*(H215-H214)</f>
        <v/>
      </c>
      <c r="S215" s="9">
        <f>$S$1*LN(I215/I214)</f>
        <v/>
      </c>
      <c r="T215" s="9">
        <f>$T$1*LN(J215/J214)</f>
        <v/>
      </c>
      <c r="U215" s="9">
        <f>$W$12+$W$4*M215+$W$5*N215+$W$6*O215+$W$7*P215+$W$8*Q215+$W$9*R215+$W$10*S215+$W$11*T215</f>
        <v/>
      </c>
      <c r="AA215" s="10">
        <f>INDEX(LINEST(L156:L215,M156:T215,TRUE,TRUE),1,9)*12</f>
        <v/>
      </c>
      <c r="AB215" s="9">
        <f>INDEX(LINEST(L156:L215,M156:T215,TRUE,TRUE),1,8)</f>
        <v/>
      </c>
      <c r="AC215" s="9">
        <f>INDEX(LINEST(L156:L215,M156:T215,TRUE,TRUE),1,7)</f>
        <v/>
      </c>
      <c r="AD215" s="9">
        <f>INDEX(LINEST(L156:L215,M156:T215,TRUE,TRUE),1,6)</f>
        <v/>
      </c>
      <c r="AE215" s="9">
        <f>INDEX(LINEST(L156:L215,M156:T215,TRUE,TRUE),1,5)</f>
        <v/>
      </c>
      <c r="AF215" s="9">
        <f>INDEX(LINEST(L156:L215,M156:T215,TRUE,TRUE),1,4)</f>
        <v/>
      </c>
      <c r="AG215" s="9">
        <f>INDEX(LINEST(L156:L215,M156:T215,TRUE,TRUE),1,3)</f>
        <v/>
      </c>
      <c r="AH215" s="9">
        <f>INDEX(LINEST(L156:L215,M156:T215,TRUE,TRUE),1,2)</f>
        <v/>
      </c>
      <c r="AI215" s="9">
        <f>INDEX(LINEST(L156:L215,M156:T215,TRUE,TRUE),1,1)</f>
        <v/>
      </c>
      <c r="AJ215" s="10">
        <f>INDEX(LINEST(L156:L215,M156:T215,TRUE,TRUE),3,1)</f>
        <v/>
      </c>
      <c r="AK215" s="9">
        <f>AA214/12+AB214*M215+AC214*N215+AD214*O215+AE214*P215+AF214*Q215+AG214*R215+AH214*S215+AI214*T215</f>
        <v/>
      </c>
      <c r="AL215" s="9">
        <f>AVERAGE(L155:L214)</f>
        <v/>
      </c>
    </row>
    <row r="216">
      <c r="L216" s="9">
        <f>LN(B216/B215)</f>
        <v/>
      </c>
      <c r="M216" s="9">
        <f>$M$1*(C216-C215)</f>
        <v/>
      </c>
      <c r="N216" s="9">
        <f>$N$1*(D216-D215)</f>
        <v/>
      </c>
      <c r="O216" s="9">
        <f>$O$1*LN(E216/E215)</f>
        <v/>
      </c>
      <c r="P216" s="9">
        <f>$P$1*LN(F216/F215)</f>
        <v/>
      </c>
      <c r="Q216" s="9">
        <f>$Q$1*(G216-G215)</f>
        <v/>
      </c>
      <c r="R216" s="9">
        <f>$R$1*(H216-H215)</f>
        <v/>
      </c>
      <c r="S216" s="9">
        <f>$S$1*LN(I216/I215)</f>
        <v/>
      </c>
      <c r="T216" s="9">
        <f>$T$1*LN(J216/J215)</f>
        <v/>
      </c>
      <c r="U216" s="9">
        <f>$W$12+$W$4*M216+$W$5*N216+$W$6*O216+$W$7*P216+$W$8*Q216+$W$9*R216+$W$10*S216+$W$11*T216</f>
        <v/>
      </c>
      <c r="AA216" s="10">
        <f>INDEX(LINEST(L157:L216,M157:T216,TRUE,TRUE),1,9)*12</f>
        <v/>
      </c>
      <c r="AB216" s="9">
        <f>INDEX(LINEST(L157:L216,M157:T216,TRUE,TRUE),1,8)</f>
        <v/>
      </c>
      <c r="AC216" s="9">
        <f>INDEX(LINEST(L157:L216,M157:T216,TRUE,TRUE),1,7)</f>
        <v/>
      </c>
      <c r="AD216" s="9">
        <f>INDEX(LINEST(L157:L216,M157:T216,TRUE,TRUE),1,6)</f>
        <v/>
      </c>
      <c r="AE216" s="9">
        <f>INDEX(LINEST(L157:L216,M157:T216,TRUE,TRUE),1,5)</f>
        <v/>
      </c>
      <c r="AF216" s="9">
        <f>INDEX(LINEST(L157:L216,M157:T216,TRUE,TRUE),1,4)</f>
        <v/>
      </c>
      <c r="AG216" s="9">
        <f>INDEX(LINEST(L157:L216,M157:T216,TRUE,TRUE),1,3)</f>
        <v/>
      </c>
      <c r="AH216" s="9">
        <f>INDEX(LINEST(L157:L216,M157:T216,TRUE,TRUE),1,2)</f>
        <v/>
      </c>
      <c r="AI216" s="9">
        <f>INDEX(LINEST(L157:L216,M157:T216,TRUE,TRUE),1,1)</f>
        <v/>
      </c>
      <c r="AJ216" s="10">
        <f>INDEX(LINEST(L157:L216,M157:T216,TRUE,TRUE),3,1)</f>
        <v/>
      </c>
      <c r="AK216" s="9">
        <f>AA215/12+AB215*M216+AC215*N216+AD215*O216+AE215*P216+AF215*Q216+AG215*R216+AH215*S216+AI215*T216</f>
        <v/>
      </c>
      <c r="AL216" s="9">
        <f>AVERAGE(L156:L215)</f>
        <v/>
      </c>
    </row>
    <row r="217">
      <c r="L217" s="9">
        <f>LN(B217/B216)</f>
        <v/>
      </c>
      <c r="M217" s="9">
        <f>$M$1*(C217-C216)</f>
        <v/>
      </c>
      <c r="N217" s="9">
        <f>$N$1*(D217-D216)</f>
        <v/>
      </c>
      <c r="O217" s="9">
        <f>$O$1*LN(E217/E216)</f>
        <v/>
      </c>
      <c r="P217" s="9">
        <f>$P$1*LN(F217/F216)</f>
        <v/>
      </c>
      <c r="Q217" s="9">
        <f>$Q$1*(G217-G216)</f>
        <v/>
      </c>
      <c r="R217" s="9">
        <f>$R$1*(H217-H216)</f>
        <v/>
      </c>
      <c r="S217" s="9">
        <f>$S$1*LN(I217/I216)</f>
        <v/>
      </c>
      <c r="T217" s="9">
        <f>$T$1*LN(J217/J216)</f>
        <v/>
      </c>
      <c r="U217" s="9">
        <f>$W$12+$W$4*M217+$W$5*N217+$W$6*O217+$W$7*P217+$W$8*Q217+$W$9*R217+$W$10*S217+$W$11*T217</f>
        <v/>
      </c>
      <c r="AA217" s="10">
        <f>INDEX(LINEST(L158:L217,M158:T217,TRUE,TRUE),1,9)*12</f>
        <v/>
      </c>
      <c r="AB217" s="9">
        <f>INDEX(LINEST(L158:L217,M158:T217,TRUE,TRUE),1,8)</f>
        <v/>
      </c>
      <c r="AC217" s="9">
        <f>INDEX(LINEST(L158:L217,M158:T217,TRUE,TRUE),1,7)</f>
        <v/>
      </c>
      <c r="AD217" s="9">
        <f>INDEX(LINEST(L158:L217,M158:T217,TRUE,TRUE),1,6)</f>
        <v/>
      </c>
      <c r="AE217" s="9">
        <f>INDEX(LINEST(L158:L217,M158:T217,TRUE,TRUE),1,5)</f>
        <v/>
      </c>
      <c r="AF217" s="9">
        <f>INDEX(LINEST(L158:L217,M158:T217,TRUE,TRUE),1,4)</f>
        <v/>
      </c>
      <c r="AG217" s="9">
        <f>INDEX(LINEST(L158:L217,M158:T217,TRUE,TRUE),1,3)</f>
        <v/>
      </c>
      <c r="AH217" s="9">
        <f>INDEX(LINEST(L158:L217,M158:T217,TRUE,TRUE),1,2)</f>
        <v/>
      </c>
      <c r="AI217" s="9">
        <f>INDEX(LINEST(L158:L217,M158:T217,TRUE,TRUE),1,1)</f>
        <v/>
      </c>
      <c r="AJ217" s="10">
        <f>INDEX(LINEST(L158:L217,M158:T217,TRUE,TRUE),3,1)</f>
        <v/>
      </c>
      <c r="AK217" s="9">
        <f>AA216/12+AB216*M217+AC216*N217+AD216*O217+AE216*P217+AF216*Q217+AG216*R217+AH216*S217+AI216*T217</f>
        <v/>
      </c>
      <c r="AL217" s="9">
        <f>AVERAGE(L157:L216)</f>
        <v/>
      </c>
    </row>
    <row r="218">
      <c r="L218" s="9">
        <f>LN(B218/B217)</f>
        <v/>
      </c>
      <c r="M218" s="9">
        <f>$M$1*(C218-C217)</f>
        <v/>
      </c>
      <c r="N218" s="9">
        <f>$N$1*(D218-D217)</f>
        <v/>
      </c>
      <c r="O218" s="9">
        <f>$O$1*LN(E218/E217)</f>
        <v/>
      </c>
      <c r="P218" s="9">
        <f>$P$1*LN(F218/F217)</f>
        <v/>
      </c>
      <c r="Q218" s="9">
        <f>$Q$1*(G218-G217)</f>
        <v/>
      </c>
      <c r="R218" s="9">
        <f>$R$1*(H218-H217)</f>
        <v/>
      </c>
      <c r="S218" s="9">
        <f>$S$1*LN(I218/I217)</f>
        <v/>
      </c>
      <c r="T218" s="9">
        <f>$T$1*LN(J218/J217)</f>
        <v/>
      </c>
      <c r="U218" s="9">
        <f>$W$12+$W$4*M218+$W$5*N218+$W$6*O218+$W$7*P218+$W$8*Q218+$W$9*R218+$W$10*S218+$W$11*T218</f>
        <v/>
      </c>
      <c r="AA218" s="10">
        <f>INDEX(LINEST(L159:L218,M159:T218,TRUE,TRUE),1,9)*12</f>
        <v/>
      </c>
      <c r="AB218" s="9">
        <f>INDEX(LINEST(L159:L218,M159:T218,TRUE,TRUE),1,8)</f>
        <v/>
      </c>
      <c r="AC218" s="9">
        <f>INDEX(LINEST(L159:L218,M159:T218,TRUE,TRUE),1,7)</f>
        <v/>
      </c>
      <c r="AD218" s="9">
        <f>INDEX(LINEST(L159:L218,M159:T218,TRUE,TRUE),1,6)</f>
        <v/>
      </c>
      <c r="AE218" s="9">
        <f>INDEX(LINEST(L159:L218,M159:T218,TRUE,TRUE),1,5)</f>
        <v/>
      </c>
      <c r="AF218" s="9">
        <f>INDEX(LINEST(L159:L218,M159:T218,TRUE,TRUE),1,4)</f>
        <v/>
      </c>
      <c r="AG218" s="9">
        <f>INDEX(LINEST(L159:L218,M159:T218,TRUE,TRUE),1,3)</f>
        <v/>
      </c>
      <c r="AH218" s="9">
        <f>INDEX(LINEST(L159:L218,M159:T218,TRUE,TRUE),1,2)</f>
        <v/>
      </c>
      <c r="AI218" s="9">
        <f>INDEX(LINEST(L159:L218,M159:T218,TRUE,TRUE),1,1)</f>
        <v/>
      </c>
      <c r="AJ218" s="10">
        <f>INDEX(LINEST(L159:L218,M159:T218,TRUE,TRUE),3,1)</f>
        <v/>
      </c>
      <c r="AK218" s="9">
        <f>AA217/12+AB217*M218+AC217*N218+AD217*O218+AE217*P218+AF217*Q218+AG217*R218+AH217*S218+AI217*T218</f>
        <v/>
      </c>
      <c r="AL218" s="9">
        <f>AVERAGE(L158:L217)</f>
        <v/>
      </c>
    </row>
    <row r="219">
      <c r="L219" s="9">
        <f>LN(B219/B218)</f>
        <v/>
      </c>
      <c r="M219" s="9">
        <f>$M$1*(C219-C218)</f>
        <v/>
      </c>
      <c r="N219" s="9">
        <f>$N$1*(D219-D218)</f>
        <v/>
      </c>
      <c r="O219" s="9">
        <f>$O$1*LN(E219/E218)</f>
        <v/>
      </c>
      <c r="P219" s="9">
        <f>$P$1*LN(F219/F218)</f>
        <v/>
      </c>
      <c r="Q219" s="9">
        <f>$Q$1*(G219-G218)</f>
        <v/>
      </c>
      <c r="R219" s="9">
        <f>$R$1*(H219-H218)</f>
        <v/>
      </c>
      <c r="S219" s="9">
        <f>$S$1*LN(I219/I218)</f>
        <v/>
      </c>
      <c r="T219" s="9">
        <f>$T$1*LN(J219/J218)</f>
        <v/>
      </c>
      <c r="U219" s="9">
        <f>$W$12+$W$4*M219+$W$5*N219+$W$6*O219+$W$7*P219+$W$8*Q219+$W$9*R219+$W$10*S219+$W$11*T219</f>
        <v/>
      </c>
      <c r="AA219" s="10">
        <f>INDEX(LINEST(L160:L219,M160:T219,TRUE,TRUE),1,9)*12</f>
        <v/>
      </c>
      <c r="AB219" s="9">
        <f>INDEX(LINEST(L160:L219,M160:T219,TRUE,TRUE),1,8)</f>
        <v/>
      </c>
      <c r="AC219" s="9">
        <f>INDEX(LINEST(L160:L219,M160:T219,TRUE,TRUE),1,7)</f>
        <v/>
      </c>
      <c r="AD219" s="9">
        <f>INDEX(LINEST(L160:L219,M160:T219,TRUE,TRUE),1,6)</f>
        <v/>
      </c>
      <c r="AE219" s="9">
        <f>INDEX(LINEST(L160:L219,M160:T219,TRUE,TRUE),1,5)</f>
        <v/>
      </c>
      <c r="AF219" s="9">
        <f>INDEX(LINEST(L160:L219,M160:T219,TRUE,TRUE),1,4)</f>
        <v/>
      </c>
      <c r="AG219" s="9">
        <f>INDEX(LINEST(L160:L219,M160:T219,TRUE,TRUE),1,3)</f>
        <v/>
      </c>
      <c r="AH219" s="9">
        <f>INDEX(LINEST(L160:L219,M160:T219,TRUE,TRUE),1,2)</f>
        <v/>
      </c>
      <c r="AI219" s="9">
        <f>INDEX(LINEST(L160:L219,M160:T219,TRUE,TRUE),1,1)</f>
        <v/>
      </c>
      <c r="AJ219" s="10">
        <f>INDEX(LINEST(L160:L219,M160:T219,TRUE,TRUE),3,1)</f>
        <v/>
      </c>
      <c r="AK219" s="9">
        <f>AA218/12+AB218*M219+AC218*N219+AD218*O219+AE218*P219+AF218*Q219+AG218*R219+AH218*S219+AI218*T219</f>
        <v/>
      </c>
      <c r="AL219" s="9">
        <f>AVERAGE(L159:L218)</f>
        <v/>
      </c>
    </row>
    <row r="220">
      <c r="L220" s="9">
        <f>LN(B220/B219)</f>
        <v/>
      </c>
      <c r="M220" s="9">
        <f>$M$1*(C220-C219)</f>
        <v/>
      </c>
      <c r="N220" s="9">
        <f>$N$1*(D220-D219)</f>
        <v/>
      </c>
      <c r="O220" s="9">
        <f>$O$1*LN(E220/E219)</f>
        <v/>
      </c>
      <c r="P220" s="9">
        <f>$P$1*LN(F220/F219)</f>
        <v/>
      </c>
      <c r="Q220" s="9">
        <f>$Q$1*(G220-G219)</f>
        <v/>
      </c>
      <c r="R220" s="9">
        <f>$R$1*(H220-H219)</f>
        <v/>
      </c>
      <c r="S220" s="9">
        <f>$S$1*LN(I220/I219)</f>
        <v/>
      </c>
      <c r="T220" s="9">
        <f>$T$1*LN(J220/J219)</f>
        <v/>
      </c>
      <c r="U220" s="9">
        <f>$W$12+$W$4*M220+$W$5*N220+$W$6*O220+$W$7*P220+$W$8*Q220+$W$9*R220+$W$10*S220+$W$11*T220</f>
        <v/>
      </c>
      <c r="AA220" s="10">
        <f>INDEX(LINEST(L161:L220,M161:T220,TRUE,TRUE),1,9)*12</f>
        <v/>
      </c>
      <c r="AB220" s="9">
        <f>INDEX(LINEST(L161:L220,M161:T220,TRUE,TRUE),1,8)</f>
        <v/>
      </c>
      <c r="AC220" s="9">
        <f>INDEX(LINEST(L161:L220,M161:T220,TRUE,TRUE),1,7)</f>
        <v/>
      </c>
      <c r="AD220" s="9">
        <f>INDEX(LINEST(L161:L220,M161:T220,TRUE,TRUE),1,6)</f>
        <v/>
      </c>
      <c r="AE220" s="9">
        <f>INDEX(LINEST(L161:L220,M161:T220,TRUE,TRUE),1,5)</f>
        <v/>
      </c>
      <c r="AF220" s="9">
        <f>INDEX(LINEST(L161:L220,M161:T220,TRUE,TRUE),1,4)</f>
        <v/>
      </c>
      <c r="AG220" s="9">
        <f>INDEX(LINEST(L161:L220,M161:T220,TRUE,TRUE),1,3)</f>
        <v/>
      </c>
      <c r="AH220" s="9">
        <f>INDEX(LINEST(L161:L220,M161:T220,TRUE,TRUE),1,2)</f>
        <v/>
      </c>
      <c r="AI220" s="9">
        <f>INDEX(LINEST(L161:L220,M161:T220,TRUE,TRUE),1,1)</f>
        <v/>
      </c>
      <c r="AJ220" s="10">
        <f>INDEX(LINEST(L161:L220,M161:T220,TRUE,TRUE),3,1)</f>
        <v/>
      </c>
      <c r="AK220" s="9">
        <f>AA219/12+AB219*M220+AC219*N220+AD219*O220+AE219*P220+AF219*Q220+AG219*R220+AH219*S220+AI219*T220</f>
        <v/>
      </c>
      <c r="AL220" s="9">
        <f>AVERAGE(L160:L219)</f>
        <v/>
      </c>
    </row>
    <row r="221">
      <c r="L221" s="9">
        <f>LN(B221/B220)</f>
        <v/>
      </c>
      <c r="M221" s="9">
        <f>$M$1*(C221-C220)</f>
        <v/>
      </c>
      <c r="N221" s="9">
        <f>$N$1*(D221-D220)</f>
        <v/>
      </c>
      <c r="O221" s="9">
        <f>$O$1*LN(E221/E220)</f>
        <v/>
      </c>
      <c r="P221" s="9">
        <f>$P$1*LN(F221/F220)</f>
        <v/>
      </c>
      <c r="Q221" s="9">
        <f>$Q$1*(G221-G220)</f>
        <v/>
      </c>
      <c r="R221" s="9">
        <f>$R$1*(H221-H220)</f>
        <v/>
      </c>
      <c r="S221" s="9">
        <f>$S$1*LN(I221/I220)</f>
        <v/>
      </c>
      <c r="T221" s="9">
        <f>$T$1*LN(J221/J220)</f>
        <v/>
      </c>
      <c r="U221" s="9">
        <f>$W$12+$W$4*M221+$W$5*N221+$W$6*O221+$W$7*P221+$W$8*Q221+$W$9*R221+$W$10*S221+$W$11*T221</f>
        <v/>
      </c>
      <c r="AA221" s="10">
        <f>INDEX(LINEST(L162:L221,M162:T221,TRUE,TRUE),1,9)*12</f>
        <v/>
      </c>
      <c r="AB221" s="9">
        <f>INDEX(LINEST(L162:L221,M162:T221,TRUE,TRUE),1,8)</f>
        <v/>
      </c>
      <c r="AC221" s="9">
        <f>INDEX(LINEST(L162:L221,M162:T221,TRUE,TRUE),1,7)</f>
        <v/>
      </c>
      <c r="AD221" s="9">
        <f>INDEX(LINEST(L162:L221,M162:T221,TRUE,TRUE),1,6)</f>
        <v/>
      </c>
      <c r="AE221" s="9">
        <f>INDEX(LINEST(L162:L221,M162:T221,TRUE,TRUE),1,5)</f>
        <v/>
      </c>
      <c r="AF221" s="9">
        <f>INDEX(LINEST(L162:L221,M162:T221,TRUE,TRUE),1,4)</f>
        <v/>
      </c>
      <c r="AG221" s="9">
        <f>INDEX(LINEST(L162:L221,M162:T221,TRUE,TRUE),1,3)</f>
        <v/>
      </c>
      <c r="AH221" s="9">
        <f>INDEX(LINEST(L162:L221,M162:T221,TRUE,TRUE),1,2)</f>
        <v/>
      </c>
      <c r="AI221" s="9">
        <f>INDEX(LINEST(L162:L221,M162:T221,TRUE,TRUE),1,1)</f>
        <v/>
      </c>
      <c r="AJ221" s="10">
        <f>INDEX(LINEST(L162:L221,M162:T221,TRUE,TRUE),3,1)</f>
        <v/>
      </c>
      <c r="AK221" s="9">
        <f>AA220/12+AB220*M221+AC220*N221+AD220*O221+AE220*P221+AF220*Q221+AG220*R221+AH220*S221+AI220*T221</f>
        <v/>
      </c>
      <c r="AL221" s="9">
        <f>AVERAGE(L161:L220)</f>
        <v/>
      </c>
    </row>
    <row r="222">
      <c r="L222" s="9">
        <f>LN(B222/B221)</f>
        <v/>
      </c>
      <c r="M222" s="9">
        <f>$M$1*(C222-C221)</f>
        <v/>
      </c>
      <c r="N222" s="9">
        <f>$N$1*(D222-D221)</f>
        <v/>
      </c>
      <c r="O222" s="9">
        <f>$O$1*LN(E222/E221)</f>
        <v/>
      </c>
      <c r="P222" s="9">
        <f>$P$1*LN(F222/F221)</f>
        <v/>
      </c>
      <c r="Q222" s="9">
        <f>$Q$1*(G222-G221)</f>
        <v/>
      </c>
      <c r="R222" s="9">
        <f>$R$1*(H222-H221)</f>
        <v/>
      </c>
      <c r="S222" s="9">
        <f>$S$1*LN(I222/I221)</f>
        <v/>
      </c>
      <c r="T222" s="9">
        <f>$T$1*LN(J222/J221)</f>
        <v/>
      </c>
      <c r="U222" s="9">
        <f>$W$12+$W$4*M222+$W$5*N222+$W$6*O222+$W$7*P222+$W$8*Q222+$W$9*R222+$W$10*S222+$W$11*T222</f>
        <v/>
      </c>
      <c r="AA222" s="10">
        <f>INDEX(LINEST(L163:L222,M163:T222,TRUE,TRUE),1,9)*12</f>
        <v/>
      </c>
      <c r="AB222" s="9">
        <f>INDEX(LINEST(L163:L222,M163:T222,TRUE,TRUE),1,8)</f>
        <v/>
      </c>
      <c r="AC222" s="9">
        <f>INDEX(LINEST(L163:L222,M163:T222,TRUE,TRUE),1,7)</f>
        <v/>
      </c>
      <c r="AD222" s="9">
        <f>INDEX(LINEST(L163:L222,M163:T222,TRUE,TRUE),1,6)</f>
        <v/>
      </c>
      <c r="AE222" s="9">
        <f>INDEX(LINEST(L163:L222,M163:T222,TRUE,TRUE),1,5)</f>
        <v/>
      </c>
      <c r="AF222" s="9">
        <f>INDEX(LINEST(L163:L222,M163:T222,TRUE,TRUE),1,4)</f>
        <v/>
      </c>
      <c r="AG222" s="9">
        <f>INDEX(LINEST(L163:L222,M163:T222,TRUE,TRUE),1,3)</f>
        <v/>
      </c>
      <c r="AH222" s="9">
        <f>INDEX(LINEST(L163:L222,M163:T222,TRUE,TRUE),1,2)</f>
        <v/>
      </c>
      <c r="AI222" s="9">
        <f>INDEX(LINEST(L163:L222,M163:T222,TRUE,TRUE),1,1)</f>
        <v/>
      </c>
      <c r="AJ222" s="10">
        <f>INDEX(LINEST(L163:L222,M163:T222,TRUE,TRUE),3,1)</f>
        <v/>
      </c>
      <c r="AK222" s="9">
        <f>AA221/12+AB221*M222+AC221*N222+AD221*O222+AE221*P222+AF221*Q222+AG221*R222+AH221*S222+AI221*T222</f>
        <v/>
      </c>
      <c r="AL222" s="9">
        <f>AVERAGE(L162:L221)</f>
        <v/>
      </c>
    </row>
    <row r="223">
      <c r="L223" s="9">
        <f>LN(B223/B222)</f>
        <v/>
      </c>
      <c r="M223" s="9">
        <f>$M$1*(C223-C222)</f>
        <v/>
      </c>
      <c r="N223" s="9">
        <f>$N$1*(D223-D222)</f>
        <v/>
      </c>
      <c r="O223" s="9">
        <f>$O$1*LN(E223/E222)</f>
        <v/>
      </c>
      <c r="P223" s="9">
        <f>$P$1*LN(F223/F222)</f>
        <v/>
      </c>
      <c r="Q223" s="9">
        <f>$Q$1*(G223-G222)</f>
        <v/>
      </c>
      <c r="R223" s="9">
        <f>$R$1*(H223-H222)</f>
        <v/>
      </c>
      <c r="S223" s="9">
        <f>$S$1*LN(I223/I222)</f>
        <v/>
      </c>
      <c r="T223" s="9">
        <f>$T$1*LN(J223/J222)</f>
        <v/>
      </c>
      <c r="U223" s="9">
        <f>$W$12+$W$4*M223+$W$5*N223+$W$6*O223+$W$7*P223+$W$8*Q223+$W$9*R223+$W$10*S223+$W$11*T223</f>
        <v/>
      </c>
      <c r="AA223" s="10">
        <f>INDEX(LINEST(L164:L223,M164:T223,TRUE,TRUE),1,9)*12</f>
        <v/>
      </c>
      <c r="AB223" s="9">
        <f>INDEX(LINEST(L164:L223,M164:T223,TRUE,TRUE),1,8)</f>
        <v/>
      </c>
      <c r="AC223" s="9">
        <f>INDEX(LINEST(L164:L223,M164:T223,TRUE,TRUE),1,7)</f>
        <v/>
      </c>
      <c r="AD223" s="9">
        <f>INDEX(LINEST(L164:L223,M164:T223,TRUE,TRUE),1,6)</f>
        <v/>
      </c>
      <c r="AE223" s="9">
        <f>INDEX(LINEST(L164:L223,M164:T223,TRUE,TRUE),1,5)</f>
        <v/>
      </c>
      <c r="AF223" s="9">
        <f>INDEX(LINEST(L164:L223,M164:T223,TRUE,TRUE),1,4)</f>
        <v/>
      </c>
      <c r="AG223" s="9">
        <f>INDEX(LINEST(L164:L223,M164:T223,TRUE,TRUE),1,3)</f>
        <v/>
      </c>
      <c r="AH223" s="9">
        <f>INDEX(LINEST(L164:L223,M164:T223,TRUE,TRUE),1,2)</f>
        <v/>
      </c>
      <c r="AI223" s="9">
        <f>INDEX(LINEST(L164:L223,M164:T223,TRUE,TRUE),1,1)</f>
        <v/>
      </c>
      <c r="AJ223" s="10">
        <f>INDEX(LINEST(L164:L223,M164:T223,TRUE,TRUE),3,1)</f>
        <v/>
      </c>
      <c r="AK223" s="9">
        <f>AA222/12+AB222*M223+AC222*N223+AD222*O223+AE222*P223+AF222*Q223+AG222*R223+AH222*S223+AI222*T223</f>
        <v/>
      </c>
      <c r="AL223" s="9">
        <f>AVERAGE(L163:L222)</f>
        <v/>
      </c>
    </row>
    <row r="224">
      <c r="L224" s="9">
        <f>LN(B224/B223)</f>
        <v/>
      </c>
      <c r="M224" s="9">
        <f>$M$1*(C224-C223)</f>
        <v/>
      </c>
      <c r="N224" s="9">
        <f>$N$1*(D224-D223)</f>
        <v/>
      </c>
      <c r="O224" s="9">
        <f>$O$1*LN(E224/E223)</f>
        <v/>
      </c>
      <c r="P224" s="9">
        <f>$P$1*LN(F224/F223)</f>
        <v/>
      </c>
      <c r="Q224" s="9">
        <f>$Q$1*(G224-G223)</f>
        <v/>
      </c>
      <c r="R224" s="9">
        <f>$R$1*(H224-H223)</f>
        <v/>
      </c>
      <c r="S224" s="9">
        <f>$S$1*LN(I224/I223)</f>
        <v/>
      </c>
      <c r="T224" s="9">
        <f>$T$1*LN(J224/J223)</f>
        <v/>
      </c>
      <c r="U224" s="9">
        <f>$W$12+$W$4*M224+$W$5*N224+$W$6*O224+$W$7*P224+$W$8*Q224+$W$9*R224+$W$10*S224+$W$11*T224</f>
        <v/>
      </c>
      <c r="AA224" s="10">
        <f>INDEX(LINEST(L165:L224,M165:T224,TRUE,TRUE),1,9)*12</f>
        <v/>
      </c>
      <c r="AB224" s="9">
        <f>INDEX(LINEST(L165:L224,M165:T224,TRUE,TRUE),1,8)</f>
        <v/>
      </c>
      <c r="AC224" s="9">
        <f>INDEX(LINEST(L165:L224,M165:T224,TRUE,TRUE),1,7)</f>
        <v/>
      </c>
      <c r="AD224" s="9">
        <f>INDEX(LINEST(L165:L224,M165:T224,TRUE,TRUE),1,6)</f>
        <v/>
      </c>
      <c r="AE224" s="9">
        <f>INDEX(LINEST(L165:L224,M165:T224,TRUE,TRUE),1,5)</f>
        <v/>
      </c>
      <c r="AF224" s="9">
        <f>INDEX(LINEST(L165:L224,M165:T224,TRUE,TRUE),1,4)</f>
        <v/>
      </c>
      <c r="AG224" s="9">
        <f>INDEX(LINEST(L165:L224,M165:T224,TRUE,TRUE),1,3)</f>
        <v/>
      </c>
      <c r="AH224" s="9">
        <f>INDEX(LINEST(L165:L224,M165:T224,TRUE,TRUE),1,2)</f>
        <v/>
      </c>
      <c r="AI224" s="9">
        <f>INDEX(LINEST(L165:L224,M165:T224,TRUE,TRUE),1,1)</f>
        <v/>
      </c>
      <c r="AJ224" s="10">
        <f>INDEX(LINEST(L165:L224,M165:T224,TRUE,TRUE),3,1)</f>
        <v/>
      </c>
      <c r="AK224" s="9">
        <f>AA223/12+AB223*M224+AC223*N224+AD223*O224+AE223*P224+AF223*Q224+AG223*R224+AH223*S224+AI223*T224</f>
        <v/>
      </c>
      <c r="AL224" s="9">
        <f>AVERAGE(L164:L223)</f>
        <v/>
      </c>
    </row>
    <row r="225">
      <c r="L225" s="9">
        <f>LN(B225/B224)</f>
        <v/>
      </c>
      <c r="M225" s="9">
        <f>$M$1*(C225-C224)</f>
        <v/>
      </c>
      <c r="N225" s="9">
        <f>$N$1*(D225-D224)</f>
        <v/>
      </c>
      <c r="O225" s="9">
        <f>$O$1*LN(E225/E224)</f>
        <v/>
      </c>
      <c r="P225" s="9">
        <f>$P$1*LN(F225/F224)</f>
        <v/>
      </c>
      <c r="Q225" s="9">
        <f>$Q$1*(G225-G224)</f>
        <v/>
      </c>
      <c r="R225" s="9">
        <f>$R$1*(H225-H224)</f>
        <v/>
      </c>
      <c r="S225" s="9">
        <f>$S$1*LN(I225/I224)</f>
        <v/>
      </c>
      <c r="T225" s="9">
        <f>$T$1*LN(J225/J224)</f>
        <v/>
      </c>
      <c r="U225" s="9">
        <f>$W$12+$W$4*M225+$W$5*N225+$W$6*O225+$W$7*P225+$W$8*Q225+$W$9*R225+$W$10*S225+$W$11*T225</f>
        <v/>
      </c>
      <c r="AA225" s="10">
        <f>INDEX(LINEST(L166:L225,M166:T225,TRUE,TRUE),1,9)*12</f>
        <v/>
      </c>
      <c r="AB225" s="9">
        <f>INDEX(LINEST(L166:L225,M166:T225,TRUE,TRUE),1,8)</f>
        <v/>
      </c>
      <c r="AC225" s="9">
        <f>INDEX(LINEST(L166:L225,M166:T225,TRUE,TRUE),1,7)</f>
        <v/>
      </c>
      <c r="AD225" s="9">
        <f>INDEX(LINEST(L166:L225,M166:T225,TRUE,TRUE),1,6)</f>
        <v/>
      </c>
      <c r="AE225" s="9">
        <f>INDEX(LINEST(L166:L225,M166:T225,TRUE,TRUE),1,5)</f>
        <v/>
      </c>
      <c r="AF225" s="9">
        <f>INDEX(LINEST(L166:L225,M166:T225,TRUE,TRUE),1,4)</f>
        <v/>
      </c>
      <c r="AG225" s="9">
        <f>INDEX(LINEST(L166:L225,M166:T225,TRUE,TRUE),1,3)</f>
        <v/>
      </c>
      <c r="AH225" s="9">
        <f>INDEX(LINEST(L166:L225,M166:T225,TRUE,TRUE),1,2)</f>
        <v/>
      </c>
      <c r="AI225" s="9">
        <f>INDEX(LINEST(L166:L225,M166:T225,TRUE,TRUE),1,1)</f>
        <v/>
      </c>
      <c r="AJ225" s="10">
        <f>INDEX(LINEST(L166:L225,M166:T225,TRUE,TRUE),3,1)</f>
        <v/>
      </c>
      <c r="AK225" s="9">
        <f>AA224/12+AB224*M225+AC224*N225+AD224*O225+AE224*P225+AF224*Q225+AG224*R225+AH224*S225+AI224*T225</f>
        <v/>
      </c>
      <c r="AL225" s="9">
        <f>AVERAGE(L165:L224)</f>
        <v/>
      </c>
    </row>
    <row r="226">
      <c r="L226" s="9">
        <f>LN(B226/B225)</f>
        <v/>
      </c>
      <c r="M226" s="9">
        <f>$M$1*(C226-C225)</f>
        <v/>
      </c>
      <c r="N226" s="9">
        <f>$N$1*(D226-D225)</f>
        <v/>
      </c>
      <c r="O226" s="9">
        <f>$O$1*LN(E226/E225)</f>
        <v/>
      </c>
      <c r="P226" s="9">
        <f>$P$1*LN(F226/F225)</f>
        <v/>
      </c>
      <c r="Q226" s="9">
        <f>$Q$1*(G226-G225)</f>
        <v/>
      </c>
      <c r="R226" s="9">
        <f>$R$1*(H226-H225)</f>
        <v/>
      </c>
      <c r="S226" s="9">
        <f>$S$1*LN(I226/I225)</f>
        <v/>
      </c>
      <c r="T226" s="9">
        <f>$T$1*LN(J226/J225)</f>
        <v/>
      </c>
      <c r="U226" s="9">
        <f>$W$12+$W$4*M226+$W$5*N226+$W$6*O226+$W$7*P226+$W$8*Q226+$W$9*R226+$W$10*S226+$W$11*T226</f>
        <v/>
      </c>
      <c r="AA226" s="10">
        <f>INDEX(LINEST(L167:L226,M167:T226,TRUE,TRUE),1,9)*12</f>
        <v/>
      </c>
      <c r="AB226" s="9">
        <f>INDEX(LINEST(L167:L226,M167:T226,TRUE,TRUE),1,8)</f>
        <v/>
      </c>
      <c r="AC226" s="9">
        <f>INDEX(LINEST(L167:L226,M167:T226,TRUE,TRUE),1,7)</f>
        <v/>
      </c>
      <c r="AD226" s="9">
        <f>INDEX(LINEST(L167:L226,M167:T226,TRUE,TRUE),1,6)</f>
        <v/>
      </c>
      <c r="AE226" s="9">
        <f>INDEX(LINEST(L167:L226,M167:T226,TRUE,TRUE),1,5)</f>
        <v/>
      </c>
      <c r="AF226" s="9">
        <f>INDEX(LINEST(L167:L226,M167:T226,TRUE,TRUE),1,4)</f>
        <v/>
      </c>
      <c r="AG226" s="9">
        <f>INDEX(LINEST(L167:L226,M167:T226,TRUE,TRUE),1,3)</f>
        <v/>
      </c>
      <c r="AH226" s="9">
        <f>INDEX(LINEST(L167:L226,M167:T226,TRUE,TRUE),1,2)</f>
        <v/>
      </c>
      <c r="AI226" s="9">
        <f>INDEX(LINEST(L167:L226,M167:T226,TRUE,TRUE),1,1)</f>
        <v/>
      </c>
      <c r="AJ226" s="10">
        <f>INDEX(LINEST(L167:L226,M167:T226,TRUE,TRUE),3,1)</f>
        <v/>
      </c>
      <c r="AK226" s="9">
        <f>AA225/12+AB225*M226+AC225*N226+AD225*O226+AE225*P226+AF225*Q226+AG225*R226+AH225*S226+AI225*T226</f>
        <v/>
      </c>
      <c r="AL226" s="9">
        <f>AVERAGE(L166:L225)</f>
        <v/>
      </c>
    </row>
    <row r="227">
      <c r="L227" s="9">
        <f>LN(B227/B226)</f>
        <v/>
      </c>
      <c r="M227" s="9">
        <f>$M$1*(C227-C226)</f>
        <v/>
      </c>
      <c r="N227" s="9">
        <f>$N$1*(D227-D226)</f>
        <v/>
      </c>
      <c r="O227" s="9">
        <f>$O$1*LN(E227/E226)</f>
        <v/>
      </c>
      <c r="P227" s="9">
        <f>$P$1*LN(F227/F226)</f>
        <v/>
      </c>
      <c r="Q227" s="9">
        <f>$Q$1*(G227-G226)</f>
        <v/>
      </c>
      <c r="R227" s="9">
        <f>$R$1*(H227-H226)</f>
        <v/>
      </c>
      <c r="S227" s="9">
        <f>$S$1*LN(I227/I226)</f>
        <v/>
      </c>
      <c r="T227" s="9">
        <f>$T$1*LN(J227/J226)</f>
        <v/>
      </c>
      <c r="U227" s="9">
        <f>$W$12+$W$4*M227+$W$5*N227+$W$6*O227+$W$7*P227+$W$8*Q227+$W$9*R227+$W$10*S227+$W$11*T227</f>
        <v/>
      </c>
      <c r="AA227" s="10">
        <f>INDEX(LINEST(L168:L227,M168:T227,TRUE,TRUE),1,9)*12</f>
        <v/>
      </c>
      <c r="AB227" s="9">
        <f>INDEX(LINEST(L168:L227,M168:T227,TRUE,TRUE),1,8)</f>
        <v/>
      </c>
      <c r="AC227" s="9">
        <f>INDEX(LINEST(L168:L227,M168:T227,TRUE,TRUE),1,7)</f>
        <v/>
      </c>
      <c r="AD227" s="9">
        <f>INDEX(LINEST(L168:L227,M168:T227,TRUE,TRUE),1,6)</f>
        <v/>
      </c>
      <c r="AE227" s="9">
        <f>INDEX(LINEST(L168:L227,M168:T227,TRUE,TRUE),1,5)</f>
        <v/>
      </c>
      <c r="AF227" s="9">
        <f>INDEX(LINEST(L168:L227,M168:T227,TRUE,TRUE),1,4)</f>
        <v/>
      </c>
      <c r="AG227" s="9">
        <f>INDEX(LINEST(L168:L227,M168:T227,TRUE,TRUE),1,3)</f>
        <v/>
      </c>
      <c r="AH227" s="9">
        <f>INDEX(LINEST(L168:L227,M168:T227,TRUE,TRUE),1,2)</f>
        <v/>
      </c>
      <c r="AI227" s="9">
        <f>INDEX(LINEST(L168:L227,M168:T227,TRUE,TRUE),1,1)</f>
        <v/>
      </c>
      <c r="AJ227" s="10">
        <f>INDEX(LINEST(L168:L227,M168:T227,TRUE,TRUE),3,1)</f>
        <v/>
      </c>
      <c r="AK227" s="9">
        <f>AA226/12+AB226*M227+AC226*N227+AD226*O227+AE226*P227+AF226*Q227+AG226*R227+AH226*S227+AI226*T227</f>
        <v/>
      </c>
      <c r="AL227" s="9">
        <f>AVERAGE(L167:L226)</f>
        <v/>
      </c>
    </row>
    <row r="228">
      <c r="L228" s="9">
        <f>LN(B228/B227)</f>
        <v/>
      </c>
      <c r="M228" s="9">
        <f>$M$1*(C228-C227)</f>
        <v/>
      </c>
      <c r="N228" s="9">
        <f>$N$1*(D228-D227)</f>
        <v/>
      </c>
      <c r="O228" s="9">
        <f>$O$1*LN(E228/E227)</f>
        <v/>
      </c>
      <c r="P228" s="9">
        <f>$P$1*LN(F228/F227)</f>
        <v/>
      </c>
      <c r="Q228" s="9">
        <f>$Q$1*(G228-G227)</f>
        <v/>
      </c>
      <c r="R228" s="9">
        <f>$R$1*(H228-H227)</f>
        <v/>
      </c>
      <c r="S228" s="9">
        <f>$S$1*LN(I228/I227)</f>
        <v/>
      </c>
      <c r="T228" s="9">
        <f>$T$1*LN(J228/J227)</f>
        <v/>
      </c>
      <c r="U228" s="9">
        <f>$W$12+$W$4*M228+$W$5*N228+$W$6*O228+$W$7*P228+$W$8*Q228+$W$9*R228+$W$10*S228+$W$11*T228</f>
        <v/>
      </c>
      <c r="AA228" s="10">
        <f>INDEX(LINEST(L169:L228,M169:T228,TRUE,TRUE),1,9)*12</f>
        <v/>
      </c>
      <c r="AB228" s="9">
        <f>INDEX(LINEST(L169:L228,M169:T228,TRUE,TRUE),1,8)</f>
        <v/>
      </c>
      <c r="AC228" s="9">
        <f>INDEX(LINEST(L169:L228,M169:T228,TRUE,TRUE),1,7)</f>
        <v/>
      </c>
      <c r="AD228" s="9">
        <f>INDEX(LINEST(L169:L228,M169:T228,TRUE,TRUE),1,6)</f>
        <v/>
      </c>
      <c r="AE228" s="9">
        <f>INDEX(LINEST(L169:L228,M169:T228,TRUE,TRUE),1,5)</f>
        <v/>
      </c>
      <c r="AF228" s="9">
        <f>INDEX(LINEST(L169:L228,M169:T228,TRUE,TRUE),1,4)</f>
        <v/>
      </c>
      <c r="AG228" s="9">
        <f>INDEX(LINEST(L169:L228,M169:T228,TRUE,TRUE),1,3)</f>
        <v/>
      </c>
      <c r="AH228" s="9">
        <f>INDEX(LINEST(L169:L228,M169:T228,TRUE,TRUE),1,2)</f>
        <v/>
      </c>
      <c r="AI228" s="9">
        <f>INDEX(LINEST(L169:L228,M169:T228,TRUE,TRUE),1,1)</f>
        <v/>
      </c>
      <c r="AJ228" s="10">
        <f>INDEX(LINEST(L169:L228,M169:T228,TRUE,TRUE),3,1)</f>
        <v/>
      </c>
      <c r="AK228" s="9">
        <f>AA227/12+AB227*M228+AC227*N228+AD227*O228+AE227*P228+AF227*Q228+AG227*R228+AH227*S228+AI227*T228</f>
        <v/>
      </c>
      <c r="AL228" s="9">
        <f>AVERAGE(L168:L227)</f>
        <v/>
      </c>
    </row>
    <row r="229">
      <c r="L229" s="9">
        <f>LN(B229/B228)</f>
        <v/>
      </c>
      <c r="M229" s="9">
        <f>$M$1*(C229-C228)</f>
        <v/>
      </c>
      <c r="N229" s="9">
        <f>$N$1*(D229-D228)</f>
        <v/>
      </c>
      <c r="O229" s="9">
        <f>$O$1*LN(E229/E228)</f>
        <v/>
      </c>
      <c r="P229" s="9">
        <f>$P$1*LN(F229/F228)</f>
        <v/>
      </c>
      <c r="Q229" s="9">
        <f>$Q$1*(G229-G228)</f>
        <v/>
      </c>
      <c r="R229" s="9">
        <f>$R$1*(H229-H228)</f>
        <v/>
      </c>
      <c r="S229" s="9">
        <f>$S$1*LN(I229/I228)</f>
        <v/>
      </c>
      <c r="T229" s="9">
        <f>$T$1*LN(J229/J228)</f>
        <v/>
      </c>
      <c r="U229" s="9">
        <f>$W$12+$W$4*M229+$W$5*N229+$W$6*O229+$W$7*P229+$W$8*Q229+$W$9*R229+$W$10*S229+$W$11*T229</f>
        <v/>
      </c>
      <c r="AA229" s="10">
        <f>INDEX(LINEST(L170:L229,M170:T229,TRUE,TRUE),1,9)*12</f>
        <v/>
      </c>
      <c r="AB229" s="9">
        <f>INDEX(LINEST(L170:L229,M170:T229,TRUE,TRUE),1,8)</f>
        <v/>
      </c>
      <c r="AC229" s="9">
        <f>INDEX(LINEST(L170:L229,M170:T229,TRUE,TRUE),1,7)</f>
        <v/>
      </c>
      <c r="AD229" s="9">
        <f>INDEX(LINEST(L170:L229,M170:T229,TRUE,TRUE),1,6)</f>
        <v/>
      </c>
      <c r="AE229" s="9">
        <f>INDEX(LINEST(L170:L229,M170:T229,TRUE,TRUE),1,5)</f>
        <v/>
      </c>
      <c r="AF229" s="9">
        <f>INDEX(LINEST(L170:L229,M170:T229,TRUE,TRUE),1,4)</f>
        <v/>
      </c>
      <c r="AG229" s="9">
        <f>INDEX(LINEST(L170:L229,M170:T229,TRUE,TRUE),1,3)</f>
        <v/>
      </c>
      <c r="AH229" s="9">
        <f>INDEX(LINEST(L170:L229,M170:T229,TRUE,TRUE),1,2)</f>
        <v/>
      </c>
      <c r="AI229" s="9">
        <f>INDEX(LINEST(L170:L229,M170:T229,TRUE,TRUE),1,1)</f>
        <v/>
      </c>
      <c r="AJ229" s="10">
        <f>INDEX(LINEST(L170:L229,M170:T229,TRUE,TRUE),3,1)</f>
        <v/>
      </c>
      <c r="AK229" s="9">
        <f>AA228/12+AB228*M229+AC228*N229+AD228*O229+AE228*P229+AF228*Q229+AG228*R229+AH228*S229+AI228*T229</f>
        <v/>
      </c>
      <c r="AL229" s="9">
        <f>AVERAGE(L169:L228)</f>
        <v/>
      </c>
    </row>
    <row r="230">
      <c r="L230" s="9">
        <f>LN(B230/B229)</f>
        <v/>
      </c>
      <c r="M230" s="9">
        <f>$M$1*(C230-C229)</f>
        <v/>
      </c>
      <c r="N230" s="9">
        <f>$N$1*(D230-D229)</f>
        <v/>
      </c>
      <c r="O230" s="9">
        <f>$O$1*LN(E230/E229)</f>
        <v/>
      </c>
      <c r="P230" s="9">
        <f>$P$1*LN(F230/F229)</f>
        <v/>
      </c>
      <c r="Q230" s="9">
        <f>$Q$1*(G230-G229)</f>
        <v/>
      </c>
      <c r="R230" s="9">
        <f>$R$1*(H230-H229)</f>
        <v/>
      </c>
      <c r="S230" s="9">
        <f>$S$1*LN(I230/I229)</f>
        <v/>
      </c>
      <c r="T230" s="9">
        <f>$T$1*LN(J230/J229)</f>
        <v/>
      </c>
      <c r="U230" s="9">
        <f>$W$12+$W$4*M230+$W$5*N230+$W$6*O230+$W$7*P230+$W$8*Q230+$W$9*R230+$W$10*S230+$W$11*T230</f>
        <v/>
      </c>
      <c r="AA230" s="10">
        <f>INDEX(LINEST(L171:L230,M171:T230,TRUE,TRUE),1,9)*12</f>
        <v/>
      </c>
      <c r="AB230" s="9">
        <f>INDEX(LINEST(L171:L230,M171:T230,TRUE,TRUE),1,8)</f>
        <v/>
      </c>
      <c r="AC230" s="9">
        <f>INDEX(LINEST(L171:L230,M171:T230,TRUE,TRUE),1,7)</f>
        <v/>
      </c>
      <c r="AD230" s="9">
        <f>INDEX(LINEST(L171:L230,M171:T230,TRUE,TRUE),1,6)</f>
        <v/>
      </c>
      <c r="AE230" s="9">
        <f>INDEX(LINEST(L171:L230,M171:T230,TRUE,TRUE),1,5)</f>
        <v/>
      </c>
      <c r="AF230" s="9">
        <f>INDEX(LINEST(L171:L230,M171:T230,TRUE,TRUE),1,4)</f>
        <v/>
      </c>
      <c r="AG230" s="9">
        <f>INDEX(LINEST(L171:L230,M171:T230,TRUE,TRUE),1,3)</f>
        <v/>
      </c>
      <c r="AH230" s="9">
        <f>INDEX(LINEST(L171:L230,M171:T230,TRUE,TRUE),1,2)</f>
        <v/>
      </c>
      <c r="AI230" s="9">
        <f>INDEX(LINEST(L171:L230,M171:T230,TRUE,TRUE),1,1)</f>
        <v/>
      </c>
      <c r="AJ230" s="10">
        <f>INDEX(LINEST(L171:L230,M171:T230,TRUE,TRUE),3,1)</f>
        <v/>
      </c>
      <c r="AK230" s="9">
        <f>AA229/12+AB229*M230+AC229*N230+AD229*O230+AE229*P230+AF229*Q230+AG229*R230+AH229*S230+AI229*T230</f>
        <v/>
      </c>
      <c r="AL230" s="9">
        <f>AVERAGE(L170:L229)</f>
        <v/>
      </c>
    </row>
    <row r="231">
      <c r="L231" s="9">
        <f>LN(B231/B230)</f>
        <v/>
      </c>
      <c r="M231" s="9">
        <f>$M$1*(C231-C230)</f>
        <v/>
      </c>
      <c r="N231" s="9">
        <f>$N$1*(D231-D230)</f>
        <v/>
      </c>
      <c r="O231" s="9">
        <f>$O$1*LN(E231/E230)</f>
        <v/>
      </c>
      <c r="P231" s="9">
        <f>$P$1*LN(F231/F230)</f>
        <v/>
      </c>
      <c r="Q231" s="9">
        <f>$Q$1*(G231-G230)</f>
        <v/>
      </c>
      <c r="R231" s="9">
        <f>$R$1*(H231-H230)</f>
        <v/>
      </c>
      <c r="S231" s="9">
        <f>$S$1*LN(I231/I230)</f>
        <v/>
      </c>
      <c r="T231" s="9">
        <f>$T$1*LN(J231/J230)</f>
        <v/>
      </c>
      <c r="U231" s="9">
        <f>$W$12+$W$4*M231+$W$5*N231+$W$6*O231+$W$7*P231+$W$8*Q231+$W$9*R231+$W$10*S231+$W$11*T231</f>
        <v/>
      </c>
      <c r="AA231" s="10">
        <f>INDEX(LINEST(L172:L231,M172:T231,TRUE,TRUE),1,9)*12</f>
        <v/>
      </c>
      <c r="AB231" s="9">
        <f>INDEX(LINEST(L172:L231,M172:T231,TRUE,TRUE),1,8)</f>
        <v/>
      </c>
      <c r="AC231" s="9">
        <f>INDEX(LINEST(L172:L231,M172:T231,TRUE,TRUE),1,7)</f>
        <v/>
      </c>
      <c r="AD231" s="9">
        <f>INDEX(LINEST(L172:L231,M172:T231,TRUE,TRUE),1,6)</f>
        <v/>
      </c>
      <c r="AE231" s="9">
        <f>INDEX(LINEST(L172:L231,M172:T231,TRUE,TRUE),1,5)</f>
        <v/>
      </c>
      <c r="AF231" s="9">
        <f>INDEX(LINEST(L172:L231,M172:T231,TRUE,TRUE),1,4)</f>
        <v/>
      </c>
      <c r="AG231" s="9">
        <f>INDEX(LINEST(L172:L231,M172:T231,TRUE,TRUE),1,3)</f>
        <v/>
      </c>
      <c r="AH231" s="9">
        <f>INDEX(LINEST(L172:L231,M172:T231,TRUE,TRUE),1,2)</f>
        <v/>
      </c>
      <c r="AI231" s="9">
        <f>INDEX(LINEST(L172:L231,M172:T231,TRUE,TRUE),1,1)</f>
        <v/>
      </c>
      <c r="AJ231" s="10">
        <f>INDEX(LINEST(L172:L231,M172:T231,TRUE,TRUE),3,1)</f>
        <v/>
      </c>
      <c r="AK231" s="9">
        <f>AA230/12+AB230*M231+AC230*N231+AD230*O231+AE230*P231+AF230*Q231+AG230*R231+AH230*S231+AI230*T231</f>
        <v/>
      </c>
      <c r="AL231" s="9">
        <f>AVERAGE(L171:L230)</f>
        <v/>
      </c>
    </row>
    <row r="232">
      <c r="L232" s="9">
        <f>LN(B232/B231)</f>
        <v/>
      </c>
      <c r="M232" s="9">
        <f>$M$1*(C232-C231)</f>
        <v/>
      </c>
      <c r="N232" s="9">
        <f>$N$1*(D232-D231)</f>
        <v/>
      </c>
      <c r="O232" s="9">
        <f>$O$1*LN(E232/E231)</f>
        <v/>
      </c>
      <c r="P232" s="9">
        <f>$P$1*LN(F232/F231)</f>
        <v/>
      </c>
      <c r="Q232" s="9">
        <f>$Q$1*(G232-G231)</f>
        <v/>
      </c>
      <c r="R232" s="9">
        <f>$R$1*(H232-H231)</f>
        <v/>
      </c>
      <c r="S232" s="9">
        <f>$S$1*LN(I232/I231)</f>
        <v/>
      </c>
      <c r="T232" s="9">
        <f>$T$1*LN(J232/J231)</f>
        <v/>
      </c>
      <c r="U232" s="9">
        <f>$W$12+$W$4*M232+$W$5*N232+$W$6*O232+$W$7*P232+$W$8*Q232+$W$9*R232+$W$10*S232+$W$11*T232</f>
        <v/>
      </c>
      <c r="AA232" s="10">
        <f>INDEX(LINEST(L173:L232,M173:T232,TRUE,TRUE),1,9)*12</f>
        <v/>
      </c>
      <c r="AB232" s="9">
        <f>INDEX(LINEST(L173:L232,M173:T232,TRUE,TRUE),1,8)</f>
        <v/>
      </c>
      <c r="AC232" s="9">
        <f>INDEX(LINEST(L173:L232,M173:T232,TRUE,TRUE),1,7)</f>
        <v/>
      </c>
      <c r="AD232" s="9">
        <f>INDEX(LINEST(L173:L232,M173:T232,TRUE,TRUE),1,6)</f>
        <v/>
      </c>
      <c r="AE232" s="9">
        <f>INDEX(LINEST(L173:L232,M173:T232,TRUE,TRUE),1,5)</f>
        <v/>
      </c>
      <c r="AF232" s="9">
        <f>INDEX(LINEST(L173:L232,M173:T232,TRUE,TRUE),1,4)</f>
        <v/>
      </c>
      <c r="AG232" s="9">
        <f>INDEX(LINEST(L173:L232,M173:T232,TRUE,TRUE),1,3)</f>
        <v/>
      </c>
      <c r="AH232" s="9">
        <f>INDEX(LINEST(L173:L232,M173:T232,TRUE,TRUE),1,2)</f>
        <v/>
      </c>
      <c r="AI232" s="9">
        <f>INDEX(LINEST(L173:L232,M173:T232,TRUE,TRUE),1,1)</f>
        <v/>
      </c>
      <c r="AJ232" s="10">
        <f>INDEX(LINEST(L173:L232,M173:T232,TRUE,TRUE),3,1)</f>
        <v/>
      </c>
      <c r="AK232" s="9">
        <f>AA231/12+AB231*M232+AC231*N232+AD231*O232+AE231*P232+AF231*Q232+AG231*R232+AH231*S232+AI231*T232</f>
        <v/>
      </c>
      <c r="AL232" s="9">
        <f>AVERAGE(L172:L231)</f>
        <v/>
      </c>
    </row>
    <row r="233">
      <c r="L233" s="9">
        <f>LN(B233/B232)</f>
        <v/>
      </c>
      <c r="M233" s="9">
        <f>$M$1*(C233-C232)</f>
        <v/>
      </c>
      <c r="N233" s="9">
        <f>$N$1*(D233-D232)</f>
        <v/>
      </c>
      <c r="O233" s="9">
        <f>$O$1*LN(E233/E232)</f>
        <v/>
      </c>
      <c r="P233" s="9">
        <f>$P$1*LN(F233/F232)</f>
        <v/>
      </c>
      <c r="Q233" s="9">
        <f>$Q$1*(G233-G232)</f>
        <v/>
      </c>
      <c r="R233" s="9">
        <f>$R$1*(H233-H232)</f>
        <v/>
      </c>
      <c r="S233" s="9">
        <f>$S$1*LN(I233/I232)</f>
        <v/>
      </c>
      <c r="T233" s="9">
        <f>$T$1*LN(J233/J232)</f>
        <v/>
      </c>
      <c r="U233" s="9">
        <f>$W$12+$W$4*M233+$W$5*N233+$W$6*O233+$W$7*P233+$W$8*Q233+$W$9*R233+$W$10*S233+$W$11*T233</f>
        <v/>
      </c>
      <c r="AA233" s="10">
        <f>INDEX(LINEST(L174:L233,M174:T233,TRUE,TRUE),1,9)*12</f>
        <v/>
      </c>
      <c r="AB233" s="9">
        <f>INDEX(LINEST(L174:L233,M174:T233,TRUE,TRUE),1,8)</f>
        <v/>
      </c>
      <c r="AC233" s="9">
        <f>INDEX(LINEST(L174:L233,M174:T233,TRUE,TRUE),1,7)</f>
        <v/>
      </c>
      <c r="AD233" s="9">
        <f>INDEX(LINEST(L174:L233,M174:T233,TRUE,TRUE),1,6)</f>
        <v/>
      </c>
      <c r="AE233" s="9">
        <f>INDEX(LINEST(L174:L233,M174:T233,TRUE,TRUE),1,5)</f>
        <v/>
      </c>
      <c r="AF233" s="9">
        <f>INDEX(LINEST(L174:L233,M174:T233,TRUE,TRUE),1,4)</f>
        <v/>
      </c>
      <c r="AG233" s="9">
        <f>INDEX(LINEST(L174:L233,M174:T233,TRUE,TRUE),1,3)</f>
        <v/>
      </c>
      <c r="AH233" s="9">
        <f>INDEX(LINEST(L174:L233,M174:T233,TRUE,TRUE),1,2)</f>
        <v/>
      </c>
      <c r="AI233" s="9">
        <f>INDEX(LINEST(L174:L233,M174:T233,TRUE,TRUE),1,1)</f>
        <v/>
      </c>
      <c r="AJ233" s="10">
        <f>INDEX(LINEST(L174:L233,M174:T233,TRUE,TRUE),3,1)</f>
        <v/>
      </c>
      <c r="AK233" s="9">
        <f>AA232/12+AB232*M233+AC232*N233+AD232*O233+AE232*P233+AF232*Q233+AG232*R233+AH232*S233+AI232*T233</f>
        <v/>
      </c>
      <c r="AL233" s="9">
        <f>AVERAGE(L173:L232)</f>
        <v/>
      </c>
    </row>
    <row r="234">
      <c r="L234" s="9">
        <f>LN(B234/B233)</f>
        <v/>
      </c>
      <c r="M234" s="9">
        <f>$M$1*(C234-C233)</f>
        <v/>
      </c>
      <c r="N234" s="9">
        <f>$N$1*(D234-D233)</f>
        <v/>
      </c>
      <c r="O234" s="9">
        <f>$O$1*LN(E234/E233)</f>
        <v/>
      </c>
      <c r="P234" s="9">
        <f>$P$1*LN(F234/F233)</f>
        <v/>
      </c>
      <c r="Q234" s="9">
        <f>$Q$1*(G234-G233)</f>
        <v/>
      </c>
      <c r="R234" s="9">
        <f>$R$1*(H234-H233)</f>
        <v/>
      </c>
      <c r="S234" s="9">
        <f>$S$1*LN(I234/I233)</f>
        <v/>
      </c>
      <c r="T234" s="9">
        <f>$T$1*LN(J234/J233)</f>
        <v/>
      </c>
      <c r="U234" s="9">
        <f>$W$12+$W$4*M234+$W$5*N234+$W$6*O234+$W$7*P234+$W$8*Q234+$W$9*R234+$W$10*S234+$W$11*T234</f>
        <v/>
      </c>
      <c r="AA234" s="10">
        <f>INDEX(LINEST(L175:L234,M175:T234,TRUE,TRUE),1,9)*12</f>
        <v/>
      </c>
      <c r="AB234" s="9">
        <f>INDEX(LINEST(L175:L234,M175:T234,TRUE,TRUE),1,8)</f>
        <v/>
      </c>
      <c r="AC234" s="9">
        <f>INDEX(LINEST(L175:L234,M175:T234,TRUE,TRUE),1,7)</f>
        <v/>
      </c>
      <c r="AD234" s="9">
        <f>INDEX(LINEST(L175:L234,M175:T234,TRUE,TRUE),1,6)</f>
        <v/>
      </c>
      <c r="AE234" s="9">
        <f>INDEX(LINEST(L175:L234,M175:T234,TRUE,TRUE),1,5)</f>
        <v/>
      </c>
      <c r="AF234" s="9">
        <f>INDEX(LINEST(L175:L234,M175:T234,TRUE,TRUE),1,4)</f>
        <v/>
      </c>
      <c r="AG234" s="9">
        <f>INDEX(LINEST(L175:L234,M175:T234,TRUE,TRUE),1,3)</f>
        <v/>
      </c>
      <c r="AH234" s="9">
        <f>INDEX(LINEST(L175:L234,M175:T234,TRUE,TRUE),1,2)</f>
        <v/>
      </c>
      <c r="AI234" s="9">
        <f>INDEX(LINEST(L175:L234,M175:T234,TRUE,TRUE),1,1)</f>
        <v/>
      </c>
      <c r="AJ234" s="10">
        <f>INDEX(LINEST(L175:L234,M175:T234,TRUE,TRUE),3,1)</f>
        <v/>
      </c>
      <c r="AK234" s="9">
        <f>AA233/12+AB233*M234+AC233*N234+AD233*O234+AE233*P234+AF233*Q234+AG233*R234+AH233*S234+AI233*T234</f>
        <v/>
      </c>
      <c r="AL234" s="9">
        <f>AVERAGE(L174:L233)</f>
        <v/>
      </c>
    </row>
    <row r="235">
      <c r="L235" s="9">
        <f>LN(B235/B234)</f>
        <v/>
      </c>
      <c r="M235" s="9">
        <f>$M$1*(C235-C234)</f>
        <v/>
      </c>
      <c r="N235" s="9">
        <f>$N$1*(D235-D234)</f>
        <v/>
      </c>
      <c r="O235" s="9">
        <f>$O$1*LN(E235/E234)</f>
        <v/>
      </c>
      <c r="P235" s="9">
        <f>$P$1*LN(F235/F234)</f>
        <v/>
      </c>
      <c r="Q235" s="9">
        <f>$Q$1*(G235-G234)</f>
        <v/>
      </c>
      <c r="R235" s="9">
        <f>$R$1*(H235-H234)</f>
        <v/>
      </c>
      <c r="S235" s="9">
        <f>$S$1*LN(I235/I234)</f>
        <v/>
      </c>
      <c r="T235" s="9">
        <f>$T$1*LN(J235/J234)</f>
        <v/>
      </c>
      <c r="U235" s="9">
        <f>$W$12+$W$4*M235+$W$5*N235+$W$6*O235+$W$7*P235+$W$8*Q235+$W$9*R235+$W$10*S235+$W$11*T235</f>
        <v/>
      </c>
      <c r="AA235" s="10">
        <f>INDEX(LINEST(L176:L235,M176:T235,TRUE,TRUE),1,9)*12</f>
        <v/>
      </c>
      <c r="AB235" s="9">
        <f>INDEX(LINEST(L176:L235,M176:T235,TRUE,TRUE),1,8)</f>
        <v/>
      </c>
      <c r="AC235" s="9">
        <f>INDEX(LINEST(L176:L235,M176:T235,TRUE,TRUE),1,7)</f>
        <v/>
      </c>
      <c r="AD235" s="9">
        <f>INDEX(LINEST(L176:L235,M176:T235,TRUE,TRUE),1,6)</f>
        <v/>
      </c>
      <c r="AE235" s="9">
        <f>INDEX(LINEST(L176:L235,M176:T235,TRUE,TRUE),1,5)</f>
        <v/>
      </c>
      <c r="AF235" s="9">
        <f>INDEX(LINEST(L176:L235,M176:T235,TRUE,TRUE),1,4)</f>
        <v/>
      </c>
      <c r="AG235" s="9">
        <f>INDEX(LINEST(L176:L235,M176:T235,TRUE,TRUE),1,3)</f>
        <v/>
      </c>
      <c r="AH235" s="9">
        <f>INDEX(LINEST(L176:L235,M176:T235,TRUE,TRUE),1,2)</f>
        <v/>
      </c>
      <c r="AI235" s="9">
        <f>INDEX(LINEST(L176:L235,M176:T235,TRUE,TRUE),1,1)</f>
        <v/>
      </c>
      <c r="AJ235" s="10">
        <f>INDEX(LINEST(L176:L235,M176:T235,TRUE,TRUE),3,1)</f>
        <v/>
      </c>
      <c r="AK235" s="9">
        <f>AA234/12+AB234*M235+AC234*N235+AD234*O235+AE234*P235+AF234*Q235+AG234*R235+AH234*S235+AI234*T235</f>
        <v/>
      </c>
      <c r="AL235" s="9">
        <f>AVERAGE(L175:L234)</f>
        <v/>
      </c>
    </row>
    <row r="236">
      <c r="L236" s="9">
        <f>LN(B236/B235)</f>
        <v/>
      </c>
      <c r="M236" s="9">
        <f>$M$1*(C236-C235)</f>
        <v/>
      </c>
      <c r="N236" s="9">
        <f>$N$1*(D236-D235)</f>
        <v/>
      </c>
      <c r="O236" s="9">
        <f>$O$1*LN(E236/E235)</f>
        <v/>
      </c>
      <c r="P236" s="9">
        <f>$P$1*LN(F236/F235)</f>
        <v/>
      </c>
      <c r="Q236" s="9">
        <f>$Q$1*(G236-G235)</f>
        <v/>
      </c>
      <c r="R236" s="9">
        <f>$R$1*(H236-H235)</f>
        <v/>
      </c>
      <c r="S236" s="9">
        <f>$S$1*LN(I236/I235)</f>
        <v/>
      </c>
      <c r="T236" s="9">
        <f>$T$1*LN(J236/J235)</f>
        <v/>
      </c>
      <c r="U236" s="9">
        <f>$W$12+$W$4*M236+$W$5*N236+$W$6*O236+$W$7*P236+$W$8*Q236+$W$9*R236+$W$10*S236+$W$11*T236</f>
        <v/>
      </c>
      <c r="AA236" s="10">
        <f>INDEX(LINEST(L177:L236,M177:T236,TRUE,TRUE),1,9)*12</f>
        <v/>
      </c>
      <c r="AB236" s="9">
        <f>INDEX(LINEST(L177:L236,M177:T236,TRUE,TRUE),1,8)</f>
        <v/>
      </c>
      <c r="AC236" s="9">
        <f>INDEX(LINEST(L177:L236,M177:T236,TRUE,TRUE),1,7)</f>
        <v/>
      </c>
      <c r="AD236" s="9">
        <f>INDEX(LINEST(L177:L236,M177:T236,TRUE,TRUE),1,6)</f>
        <v/>
      </c>
      <c r="AE236" s="9">
        <f>INDEX(LINEST(L177:L236,M177:T236,TRUE,TRUE),1,5)</f>
        <v/>
      </c>
      <c r="AF236" s="9">
        <f>INDEX(LINEST(L177:L236,M177:T236,TRUE,TRUE),1,4)</f>
        <v/>
      </c>
      <c r="AG236" s="9">
        <f>INDEX(LINEST(L177:L236,M177:T236,TRUE,TRUE),1,3)</f>
        <v/>
      </c>
      <c r="AH236" s="9">
        <f>INDEX(LINEST(L177:L236,M177:T236,TRUE,TRUE),1,2)</f>
        <v/>
      </c>
      <c r="AI236" s="9">
        <f>INDEX(LINEST(L177:L236,M177:T236,TRUE,TRUE),1,1)</f>
        <v/>
      </c>
      <c r="AJ236" s="10">
        <f>INDEX(LINEST(L177:L236,M177:T236,TRUE,TRUE),3,1)</f>
        <v/>
      </c>
      <c r="AK236" s="9">
        <f>AA235/12+AB235*M236+AC235*N236+AD235*O236+AE235*P236+AF235*Q236+AG235*R236+AH235*S236+AI235*T236</f>
        <v/>
      </c>
      <c r="AL236" s="9">
        <f>AVERAGE(L176:L235)</f>
        <v/>
      </c>
    </row>
    <row r="237">
      <c r="L237" s="9">
        <f>LN(B237/B236)</f>
        <v/>
      </c>
      <c r="M237" s="9">
        <f>$M$1*(C237-C236)</f>
        <v/>
      </c>
      <c r="N237" s="9">
        <f>$N$1*(D237-D236)</f>
        <v/>
      </c>
      <c r="O237" s="9">
        <f>$O$1*LN(E237/E236)</f>
        <v/>
      </c>
      <c r="P237" s="9">
        <f>$P$1*LN(F237/F236)</f>
        <v/>
      </c>
      <c r="Q237" s="9">
        <f>$Q$1*(G237-G236)</f>
        <v/>
      </c>
      <c r="R237" s="9">
        <f>$R$1*(H237-H236)</f>
        <v/>
      </c>
      <c r="S237" s="9">
        <f>$S$1*LN(I237/I236)</f>
        <v/>
      </c>
      <c r="T237" s="9">
        <f>$T$1*LN(J237/J236)</f>
        <v/>
      </c>
      <c r="U237" s="9">
        <f>$W$12+$W$4*M237+$W$5*N237+$W$6*O237+$W$7*P237+$W$8*Q237+$W$9*R237+$W$10*S237+$W$11*T237</f>
        <v/>
      </c>
      <c r="AA237" s="10">
        <f>INDEX(LINEST(L178:L237,M178:T237,TRUE,TRUE),1,9)*12</f>
        <v/>
      </c>
      <c r="AB237" s="9">
        <f>INDEX(LINEST(L178:L237,M178:T237,TRUE,TRUE),1,8)</f>
        <v/>
      </c>
      <c r="AC237" s="9">
        <f>INDEX(LINEST(L178:L237,M178:T237,TRUE,TRUE),1,7)</f>
        <v/>
      </c>
      <c r="AD237" s="9">
        <f>INDEX(LINEST(L178:L237,M178:T237,TRUE,TRUE),1,6)</f>
        <v/>
      </c>
      <c r="AE237" s="9">
        <f>INDEX(LINEST(L178:L237,M178:T237,TRUE,TRUE),1,5)</f>
        <v/>
      </c>
      <c r="AF237" s="9">
        <f>INDEX(LINEST(L178:L237,M178:T237,TRUE,TRUE),1,4)</f>
        <v/>
      </c>
      <c r="AG237" s="9">
        <f>INDEX(LINEST(L178:L237,M178:T237,TRUE,TRUE),1,3)</f>
        <v/>
      </c>
      <c r="AH237" s="9">
        <f>INDEX(LINEST(L178:L237,M178:T237,TRUE,TRUE),1,2)</f>
        <v/>
      </c>
      <c r="AI237" s="9">
        <f>INDEX(LINEST(L178:L237,M178:T237,TRUE,TRUE),1,1)</f>
        <v/>
      </c>
      <c r="AJ237" s="10">
        <f>INDEX(LINEST(L178:L237,M178:T237,TRUE,TRUE),3,1)</f>
        <v/>
      </c>
      <c r="AK237" s="9">
        <f>AA236/12+AB236*M237+AC236*N237+AD236*O237+AE236*P237+AF236*Q237+AG236*R237+AH236*S237+AI236*T237</f>
        <v/>
      </c>
      <c r="AL237" s="9">
        <f>AVERAGE(L177:L236)</f>
        <v/>
      </c>
    </row>
    <row r="238">
      <c r="L238" s="9">
        <f>LN(B238/B237)</f>
        <v/>
      </c>
      <c r="M238" s="9">
        <f>$M$1*(C238-C237)</f>
        <v/>
      </c>
      <c r="N238" s="9">
        <f>$N$1*(D238-D237)</f>
        <v/>
      </c>
      <c r="O238" s="9">
        <f>$O$1*LN(E238/E237)</f>
        <v/>
      </c>
      <c r="P238" s="9">
        <f>$P$1*LN(F238/F237)</f>
        <v/>
      </c>
      <c r="Q238" s="9">
        <f>$Q$1*(G238-G237)</f>
        <v/>
      </c>
      <c r="R238" s="9">
        <f>$R$1*(H238-H237)</f>
        <v/>
      </c>
      <c r="S238" s="9">
        <f>$S$1*LN(I238/I237)</f>
        <v/>
      </c>
      <c r="T238" s="9">
        <f>$T$1*LN(J238/J237)</f>
        <v/>
      </c>
      <c r="U238" s="9">
        <f>$W$12+$W$4*M238+$W$5*N238+$W$6*O238+$W$7*P238+$W$8*Q238+$W$9*R238+$W$10*S238+$W$11*T238</f>
        <v/>
      </c>
      <c r="AA238" s="10">
        <f>INDEX(LINEST(L179:L238,M179:T238,TRUE,TRUE),1,9)*12</f>
        <v/>
      </c>
      <c r="AB238" s="9">
        <f>INDEX(LINEST(L179:L238,M179:T238,TRUE,TRUE),1,8)</f>
        <v/>
      </c>
      <c r="AC238" s="9">
        <f>INDEX(LINEST(L179:L238,M179:T238,TRUE,TRUE),1,7)</f>
        <v/>
      </c>
      <c r="AD238" s="9">
        <f>INDEX(LINEST(L179:L238,M179:T238,TRUE,TRUE),1,6)</f>
        <v/>
      </c>
      <c r="AE238" s="9">
        <f>INDEX(LINEST(L179:L238,M179:T238,TRUE,TRUE),1,5)</f>
        <v/>
      </c>
      <c r="AF238" s="9">
        <f>INDEX(LINEST(L179:L238,M179:T238,TRUE,TRUE),1,4)</f>
        <v/>
      </c>
      <c r="AG238" s="9">
        <f>INDEX(LINEST(L179:L238,M179:T238,TRUE,TRUE),1,3)</f>
        <v/>
      </c>
      <c r="AH238" s="9">
        <f>INDEX(LINEST(L179:L238,M179:T238,TRUE,TRUE),1,2)</f>
        <v/>
      </c>
      <c r="AI238" s="9">
        <f>INDEX(LINEST(L179:L238,M179:T238,TRUE,TRUE),1,1)</f>
        <v/>
      </c>
      <c r="AJ238" s="10">
        <f>INDEX(LINEST(L179:L238,M179:T238,TRUE,TRUE),3,1)</f>
        <v/>
      </c>
      <c r="AK238" s="9">
        <f>AA237/12+AB237*M238+AC237*N238+AD237*O238+AE237*P238+AF237*Q238+AG237*R238+AH237*S238+AI237*T238</f>
        <v/>
      </c>
      <c r="AL238" s="9">
        <f>AVERAGE(L178:L237)</f>
        <v/>
      </c>
    </row>
    <row r="239">
      <c r="L239" s="9">
        <f>LN(B239/B238)</f>
        <v/>
      </c>
      <c r="M239" s="9">
        <f>$M$1*(C239-C238)</f>
        <v/>
      </c>
      <c r="N239" s="9">
        <f>$N$1*(D239-D238)</f>
        <v/>
      </c>
      <c r="O239" s="9">
        <f>$O$1*LN(E239/E238)</f>
        <v/>
      </c>
      <c r="P239" s="9">
        <f>$P$1*LN(F239/F238)</f>
        <v/>
      </c>
      <c r="Q239" s="9">
        <f>$Q$1*(G239-G238)</f>
        <v/>
      </c>
      <c r="R239" s="9">
        <f>$R$1*(H239-H238)</f>
        <v/>
      </c>
      <c r="S239" s="9">
        <f>$S$1*LN(I239/I238)</f>
        <v/>
      </c>
      <c r="T239" s="9">
        <f>$T$1*LN(J239/J238)</f>
        <v/>
      </c>
      <c r="U239" s="9">
        <f>$W$12+$W$4*M239+$W$5*N239+$W$6*O239+$W$7*P239+$W$8*Q239+$W$9*R239+$W$10*S239+$W$11*T239</f>
        <v/>
      </c>
      <c r="AA239" s="10">
        <f>INDEX(LINEST(L180:L239,M180:T239,TRUE,TRUE),1,9)*12</f>
        <v/>
      </c>
      <c r="AB239" s="9">
        <f>INDEX(LINEST(L180:L239,M180:T239,TRUE,TRUE),1,8)</f>
        <v/>
      </c>
      <c r="AC239" s="9">
        <f>INDEX(LINEST(L180:L239,M180:T239,TRUE,TRUE),1,7)</f>
        <v/>
      </c>
      <c r="AD239" s="9">
        <f>INDEX(LINEST(L180:L239,M180:T239,TRUE,TRUE),1,6)</f>
        <v/>
      </c>
      <c r="AE239" s="9">
        <f>INDEX(LINEST(L180:L239,M180:T239,TRUE,TRUE),1,5)</f>
        <v/>
      </c>
      <c r="AF239" s="9">
        <f>INDEX(LINEST(L180:L239,M180:T239,TRUE,TRUE),1,4)</f>
        <v/>
      </c>
      <c r="AG239" s="9">
        <f>INDEX(LINEST(L180:L239,M180:T239,TRUE,TRUE),1,3)</f>
        <v/>
      </c>
      <c r="AH239" s="9">
        <f>INDEX(LINEST(L180:L239,M180:T239,TRUE,TRUE),1,2)</f>
        <v/>
      </c>
      <c r="AI239" s="9">
        <f>INDEX(LINEST(L180:L239,M180:T239,TRUE,TRUE),1,1)</f>
        <v/>
      </c>
      <c r="AJ239" s="10">
        <f>INDEX(LINEST(L180:L239,M180:T239,TRUE,TRUE),3,1)</f>
        <v/>
      </c>
      <c r="AK239" s="9">
        <f>AA238/12+AB238*M239+AC238*N239+AD238*O239+AE238*P239+AF238*Q239+AG238*R239+AH238*S239+AI238*T239</f>
        <v/>
      </c>
      <c r="AL239" s="9">
        <f>AVERAGE(L179:L238)</f>
        <v/>
      </c>
    </row>
    <row r="240">
      <c r="L240" s="9">
        <f>LN(B240/B239)</f>
        <v/>
      </c>
      <c r="M240" s="9">
        <f>$M$1*(C240-C239)</f>
        <v/>
      </c>
      <c r="N240" s="9">
        <f>$N$1*(D240-D239)</f>
        <v/>
      </c>
      <c r="O240" s="9">
        <f>$O$1*LN(E240/E239)</f>
        <v/>
      </c>
      <c r="P240" s="9">
        <f>$P$1*LN(F240/F239)</f>
        <v/>
      </c>
      <c r="Q240" s="9">
        <f>$Q$1*(G240-G239)</f>
        <v/>
      </c>
      <c r="R240" s="9">
        <f>$R$1*(H240-H239)</f>
        <v/>
      </c>
      <c r="S240" s="9">
        <f>$S$1*LN(I240/I239)</f>
        <v/>
      </c>
      <c r="T240" s="9">
        <f>$T$1*LN(J240/J239)</f>
        <v/>
      </c>
      <c r="U240" s="9">
        <f>$W$12+$W$4*M240+$W$5*N240+$W$6*O240+$W$7*P240+$W$8*Q240+$W$9*R240+$W$10*S240+$W$11*T240</f>
        <v/>
      </c>
      <c r="AA240" s="10">
        <f>INDEX(LINEST(L181:L240,M181:T240,TRUE,TRUE),1,9)*12</f>
        <v/>
      </c>
      <c r="AB240" s="9">
        <f>INDEX(LINEST(L181:L240,M181:T240,TRUE,TRUE),1,8)</f>
        <v/>
      </c>
      <c r="AC240" s="9">
        <f>INDEX(LINEST(L181:L240,M181:T240,TRUE,TRUE),1,7)</f>
        <v/>
      </c>
      <c r="AD240" s="9">
        <f>INDEX(LINEST(L181:L240,M181:T240,TRUE,TRUE),1,6)</f>
        <v/>
      </c>
      <c r="AE240" s="9">
        <f>INDEX(LINEST(L181:L240,M181:T240,TRUE,TRUE),1,5)</f>
        <v/>
      </c>
      <c r="AF240" s="9">
        <f>INDEX(LINEST(L181:L240,M181:T240,TRUE,TRUE),1,4)</f>
        <v/>
      </c>
      <c r="AG240" s="9">
        <f>INDEX(LINEST(L181:L240,M181:T240,TRUE,TRUE),1,3)</f>
        <v/>
      </c>
      <c r="AH240" s="9">
        <f>INDEX(LINEST(L181:L240,M181:T240,TRUE,TRUE),1,2)</f>
        <v/>
      </c>
      <c r="AI240" s="9">
        <f>INDEX(LINEST(L181:L240,M181:T240,TRUE,TRUE),1,1)</f>
        <v/>
      </c>
      <c r="AJ240" s="10">
        <f>INDEX(LINEST(L181:L240,M181:T240,TRUE,TRUE),3,1)</f>
        <v/>
      </c>
      <c r="AK240" s="9">
        <f>AA239/12+AB239*M240+AC239*N240+AD239*O240+AE239*P240+AF239*Q240+AG239*R240+AH239*S240+AI239*T240</f>
        <v/>
      </c>
      <c r="AL240" s="9">
        <f>AVERAGE(L180:L239)</f>
        <v/>
      </c>
    </row>
    <row r="241">
      <c r="L241" s="9">
        <f>LN(B241/B240)</f>
        <v/>
      </c>
      <c r="M241" s="9">
        <f>$M$1*(C241-C240)</f>
        <v/>
      </c>
      <c r="N241" s="9">
        <f>$N$1*(D241-D240)</f>
        <v/>
      </c>
      <c r="O241" s="9">
        <f>$O$1*LN(E241/E240)</f>
        <v/>
      </c>
      <c r="P241" s="9">
        <f>$P$1*LN(F241/F240)</f>
        <v/>
      </c>
      <c r="Q241" s="9">
        <f>$Q$1*(G241-G240)</f>
        <v/>
      </c>
      <c r="R241" s="9">
        <f>$R$1*(H241-H240)</f>
        <v/>
      </c>
      <c r="S241" s="9">
        <f>$S$1*LN(I241/I240)</f>
        <v/>
      </c>
      <c r="T241" s="9">
        <f>$T$1*LN(J241/J240)</f>
        <v/>
      </c>
      <c r="U241" s="9">
        <f>$W$12+$W$4*M241+$W$5*N241+$W$6*O241+$W$7*P241+$W$8*Q241+$W$9*R241+$W$10*S241+$W$11*T241</f>
        <v/>
      </c>
      <c r="AA241" s="10">
        <f>INDEX(LINEST(L182:L241,M182:T241,TRUE,TRUE),1,9)*12</f>
        <v/>
      </c>
      <c r="AB241" s="9">
        <f>INDEX(LINEST(L182:L241,M182:T241,TRUE,TRUE),1,8)</f>
        <v/>
      </c>
      <c r="AC241" s="9">
        <f>INDEX(LINEST(L182:L241,M182:T241,TRUE,TRUE),1,7)</f>
        <v/>
      </c>
      <c r="AD241" s="9">
        <f>INDEX(LINEST(L182:L241,M182:T241,TRUE,TRUE),1,6)</f>
        <v/>
      </c>
      <c r="AE241" s="9">
        <f>INDEX(LINEST(L182:L241,M182:T241,TRUE,TRUE),1,5)</f>
        <v/>
      </c>
      <c r="AF241" s="9">
        <f>INDEX(LINEST(L182:L241,M182:T241,TRUE,TRUE),1,4)</f>
        <v/>
      </c>
      <c r="AG241" s="9">
        <f>INDEX(LINEST(L182:L241,M182:T241,TRUE,TRUE),1,3)</f>
        <v/>
      </c>
      <c r="AH241" s="9">
        <f>INDEX(LINEST(L182:L241,M182:T241,TRUE,TRUE),1,2)</f>
        <v/>
      </c>
      <c r="AI241" s="9">
        <f>INDEX(LINEST(L182:L241,M182:T241,TRUE,TRUE),1,1)</f>
        <v/>
      </c>
      <c r="AJ241" s="10">
        <f>INDEX(LINEST(L182:L241,M182:T241,TRUE,TRUE),3,1)</f>
        <v/>
      </c>
      <c r="AK241" s="9">
        <f>AA240/12+AB240*M241+AC240*N241+AD240*O241+AE240*P241+AF240*Q241+AG240*R241+AH240*S241+AI240*T241</f>
        <v/>
      </c>
      <c r="AL241" s="9">
        <f>AVERAGE(L181:L240)</f>
        <v/>
      </c>
    </row>
    <row r="242">
      <c r="L242" s="9">
        <f>LN(B242/B241)</f>
        <v/>
      </c>
      <c r="M242" s="9">
        <f>$M$1*(C242-C241)</f>
        <v/>
      </c>
      <c r="N242" s="9">
        <f>$N$1*(D242-D241)</f>
        <v/>
      </c>
      <c r="O242" s="9">
        <f>$O$1*LN(E242/E241)</f>
        <v/>
      </c>
      <c r="P242" s="9">
        <f>$P$1*LN(F242/F241)</f>
        <v/>
      </c>
      <c r="Q242" s="9">
        <f>$Q$1*(G242-G241)</f>
        <v/>
      </c>
      <c r="R242" s="9">
        <f>$R$1*(H242-H241)</f>
        <v/>
      </c>
      <c r="S242" s="9">
        <f>$S$1*LN(I242/I241)</f>
        <v/>
      </c>
      <c r="T242" s="9">
        <f>$T$1*LN(J242/J241)</f>
        <v/>
      </c>
      <c r="U242" s="9">
        <f>$W$12+$W$4*M242+$W$5*N242+$W$6*O242+$W$7*P242+$W$8*Q242+$W$9*R242+$W$10*S242+$W$11*T242</f>
        <v/>
      </c>
      <c r="AA242" s="10">
        <f>INDEX(LINEST(L183:L242,M183:T242,TRUE,TRUE),1,9)*12</f>
        <v/>
      </c>
      <c r="AB242" s="9">
        <f>INDEX(LINEST(L183:L242,M183:T242,TRUE,TRUE),1,8)</f>
        <v/>
      </c>
      <c r="AC242" s="9">
        <f>INDEX(LINEST(L183:L242,M183:T242,TRUE,TRUE),1,7)</f>
        <v/>
      </c>
      <c r="AD242" s="9">
        <f>INDEX(LINEST(L183:L242,M183:T242,TRUE,TRUE),1,6)</f>
        <v/>
      </c>
      <c r="AE242" s="9">
        <f>INDEX(LINEST(L183:L242,M183:T242,TRUE,TRUE),1,5)</f>
        <v/>
      </c>
      <c r="AF242" s="9">
        <f>INDEX(LINEST(L183:L242,M183:T242,TRUE,TRUE),1,4)</f>
        <v/>
      </c>
      <c r="AG242" s="9">
        <f>INDEX(LINEST(L183:L242,M183:T242,TRUE,TRUE),1,3)</f>
        <v/>
      </c>
      <c r="AH242" s="9">
        <f>INDEX(LINEST(L183:L242,M183:T242,TRUE,TRUE),1,2)</f>
        <v/>
      </c>
      <c r="AI242" s="9">
        <f>INDEX(LINEST(L183:L242,M183:T242,TRUE,TRUE),1,1)</f>
        <v/>
      </c>
      <c r="AJ242" s="10">
        <f>INDEX(LINEST(L183:L242,M183:T242,TRUE,TRUE),3,1)</f>
        <v/>
      </c>
      <c r="AK242" s="9">
        <f>AA241/12+AB241*M242+AC241*N242+AD241*O242+AE241*P242+AF241*Q242+AG241*R242+AH241*S242+AI241*T242</f>
        <v/>
      </c>
      <c r="AL242" s="9">
        <f>AVERAGE(L182:L241)</f>
        <v/>
      </c>
    </row>
    <row r="243">
      <c r="L243" s="9">
        <f>LN(B243/B242)</f>
        <v/>
      </c>
      <c r="M243" s="9">
        <f>$M$1*(C243-C242)</f>
        <v/>
      </c>
      <c r="N243" s="9">
        <f>$N$1*(D243-D242)</f>
        <v/>
      </c>
      <c r="O243" s="9">
        <f>$O$1*LN(E243/E242)</f>
        <v/>
      </c>
      <c r="P243" s="9">
        <f>$P$1*LN(F243/F242)</f>
        <v/>
      </c>
      <c r="Q243" s="9">
        <f>$Q$1*(G243-G242)</f>
        <v/>
      </c>
      <c r="R243" s="9">
        <f>$R$1*(H243-H242)</f>
        <v/>
      </c>
      <c r="S243" s="9">
        <f>$S$1*LN(I243/I242)</f>
        <v/>
      </c>
      <c r="T243" s="9">
        <f>$T$1*LN(J243/J242)</f>
        <v/>
      </c>
      <c r="U243" s="9">
        <f>$W$12+$W$4*M243+$W$5*N243+$W$6*O243+$W$7*P243+$W$8*Q243+$W$9*R243+$W$10*S243+$W$11*T243</f>
        <v/>
      </c>
      <c r="AA243" s="10">
        <f>INDEX(LINEST(L184:L243,M184:T243,TRUE,TRUE),1,9)*12</f>
        <v/>
      </c>
      <c r="AB243" s="9">
        <f>INDEX(LINEST(L184:L243,M184:T243,TRUE,TRUE),1,8)</f>
        <v/>
      </c>
      <c r="AC243" s="9">
        <f>INDEX(LINEST(L184:L243,M184:T243,TRUE,TRUE),1,7)</f>
        <v/>
      </c>
      <c r="AD243" s="9">
        <f>INDEX(LINEST(L184:L243,M184:T243,TRUE,TRUE),1,6)</f>
        <v/>
      </c>
      <c r="AE243" s="9">
        <f>INDEX(LINEST(L184:L243,M184:T243,TRUE,TRUE),1,5)</f>
        <v/>
      </c>
      <c r="AF243" s="9">
        <f>INDEX(LINEST(L184:L243,M184:T243,TRUE,TRUE),1,4)</f>
        <v/>
      </c>
      <c r="AG243" s="9">
        <f>INDEX(LINEST(L184:L243,M184:T243,TRUE,TRUE),1,3)</f>
        <v/>
      </c>
      <c r="AH243" s="9">
        <f>INDEX(LINEST(L184:L243,M184:T243,TRUE,TRUE),1,2)</f>
        <v/>
      </c>
      <c r="AI243" s="9">
        <f>INDEX(LINEST(L184:L243,M184:T243,TRUE,TRUE),1,1)</f>
        <v/>
      </c>
      <c r="AJ243" s="10">
        <f>INDEX(LINEST(L184:L243,M184:T243,TRUE,TRUE),3,1)</f>
        <v/>
      </c>
      <c r="AK243" s="9">
        <f>AA242/12+AB242*M243+AC242*N243+AD242*O243+AE242*P243+AF242*Q243+AG242*R243+AH242*S243+AI242*T243</f>
        <v/>
      </c>
      <c r="AL243" s="9">
        <f>AVERAGE(L183:L242)</f>
        <v/>
      </c>
    </row>
    <row r="244">
      <c r="L244" s="9">
        <f>LN(B244/B243)</f>
        <v/>
      </c>
      <c r="M244" s="9">
        <f>$M$1*(C244-C243)</f>
        <v/>
      </c>
      <c r="N244" s="9">
        <f>$N$1*(D244-D243)</f>
        <v/>
      </c>
      <c r="O244" s="9">
        <f>$O$1*LN(E244/E243)</f>
        <v/>
      </c>
      <c r="P244" s="9">
        <f>$P$1*LN(F244/F243)</f>
        <v/>
      </c>
      <c r="Q244" s="9">
        <f>$Q$1*(G244-G243)</f>
        <v/>
      </c>
      <c r="R244" s="9">
        <f>$R$1*(H244-H243)</f>
        <v/>
      </c>
      <c r="S244" s="9">
        <f>$S$1*LN(I244/I243)</f>
        <v/>
      </c>
      <c r="T244" s="9">
        <f>$T$1*LN(J244/J243)</f>
        <v/>
      </c>
      <c r="U244" s="9">
        <f>$W$12+$W$4*M244+$W$5*N244+$W$6*O244+$W$7*P244+$W$8*Q244+$W$9*R244+$W$10*S244+$W$11*T244</f>
        <v/>
      </c>
      <c r="AA244" s="10">
        <f>INDEX(LINEST(L185:L244,M185:T244,TRUE,TRUE),1,9)*12</f>
        <v/>
      </c>
      <c r="AB244" s="9">
        <f>INDEX(LINEST(L185:L244,M185:T244,TRUE,TRUE),1,8)</f>
        <v/>
      </c>
      <c r="AC244" s="9">
        <f>INDEX(LINEST(L185:L244,M185:T244,TRUE,TRUE),1,7)</f>
        <v/>
      </c>
      <c r="AD244" s="9">
        <f>INDEX(LINEST(L185:L244,M185:T244,TRUE,TRUE),1,6)</f>
        <v/>
      </c>
      <c r="AE244" s="9">
        <f>INDEX(LINEST(L185:L244,M185:T244,TRUE,TRUE),1,5)</f>
        <v/>
      </c>
      <c r="AF244" s="9">
        <f>INDEX(LINEST(L185:L244,M185:T244,TRUE,TRUE),1,4)</f>
        <v/>
      </c>
      <c r="AG244" s="9">
        <f>INDEX(LINEST(L185:L244,M185:T244,TRUE,TRUE),1,3)</f>
        <v/>
      </c>
      <c r="AH244" s="9">
        <f>INDEX(LINEST(L185:L244,M185:T244,TRUE,TRUE),1,2)</f>
        <v/>
      </c>
      <c r="AI244" s="9">
        <f>INDEX(LINEST(L185:L244,M185:T244,TRUE,TRUE),1,1)</f>
        <v/>
      </c>
      <c r="AJ244" s="10">
        <f>INDEX(LINEST(L185:L244,M185:T244,TRUE,TRUE),3,1)</f>
        <v/>
      </c>
      <c r="AK244" s="9">
        <f>AA243/12+AB243*M244+AC243*N244+AD243*O244+AE243*P244+AF243*Q244+AG243*R244+AH243*S244+AI243*T244</f>
        <v/>
      </c>
      <c r="AL244" s="9">
        <f>AVERAGE(L184:L243)</f>
        <v/>
      </c>
    </row>
    <row r="245">
      <c r="L245" s="9">
        <f>LN(B245/B244)</f>
        <v/>
      </c>
      <c r="M245" s="9">
        <f>$M$1*(C245-C244)</f>
        <v/>
      </c>
      <c r="N245" s="9">
        <f>$N$1*(D245-D244)</f>
        <v/>
      </c>
      <c r="O245" s="9">
        <f>$O$1*LN(E245/E244)</f>
        <v/>
      </c>
      <c r="P245" s="9">
        <f>$P$1*LN(F245/F244)</f>
        <v/>
      </c>
      <c r="Q245" s="9">
        <f>$Q$1*(G245-G244)</f>
        <v/>
      </c>
      <c r="R245" s="9">
        <f>$R$1*(H245-H244)</f>
        <v/>
      </c>
      <c r="S245" s="9">
        <f>$S$1*LN(I245/I244)</f>
        <v/>
      </c>
      <c r="T245" s="9">
        <f>$T$1*LN(J245/J244)</f>
        <v/>
      </c>
      <c r="U245" s="9">
        <f>$W$12+$W$4*M245+$W$5*N245+$W$6*O245+$W$7*P245+$W$8*Q245+$W$9*R245+$W$10*S245+$W$11*T245</f>
        <v/>
      </c>
      <c r="AA245" s="10">
        <f>INDEX(LINEST(L186:L245,M186:T245,TRUE,TRUE),1,9)*12</f>
        <v/>
      </c>
      <c r="AB245" s="9">
        <f>INDEX(LINEST(L186:L245,M186:T245,TRUE,TRUE),1,8)</f>
        <v/>
      </c>
      <c r="AC245" s="9">
        <f>INDEX(LINEST(L186:L245,M186:T245,TRUE,TRUE),1,7)</f>
        <v/>
      </c>
      <c r="AD245" s="9">
        <f>INDEX(LINEST(L186:L245,M186:T245,TRUE,TRUE),1,6)</f>
        <v/>
      </c>
      <c r="AE245" s="9">
        <f>INDEX(LINEST(L186:L245,M186:T245,TRUE,TRUE),1,5)</f>
        <v/>
      </c>
      <c r="AF245" s="9">
        <f>INDEX(LINEST(L186:L245,M186:T245,TRUE,TRUE),1,4)</f>
        <v/>
      </c>
      <c r="AG245" s="9">
        <f>INDEX(LINEST(L186:L245,M186:T245,TRUE,TRUE),1,3)</f>
        <v/>
      </c>
      <c r="AH245" s="9">
        <f>INDEX(LINEST(L186:L245,M186:T245,TRUE,TRUE),1,2)</f>
        <v/>
      </c>
      <c r="AI245" s="9">
        <f>INDEX(LINEST(L186:L245,M186:T245,TRUE,TRUE),1,1)</f>
        <v/>
      </c>
      <c r="AJ245" s="10">
        <f>INDEX(LINEST(L186:L245,M186:T245,TRUE,TRUE),3,1)</f>
        <v/>
      </c>
      <c r="AK245" s="9">
        <f>AA244/12+AB244*M245+AC244*N245+AD244*O245+AE244*P245+AF244*Q245+AG244*R245+AH244*S245+AI244*T245</f>
        <v/>
      </c>
      <c r="AL245" s="9">
        <f>AVERAGE(L185:L244)</f>
        <v/>
      </c>
    </row>
    <row r="246">
      <c r="L246" s="9">
        <f>LN(B246/B245)</f>
        <v/>
      </c>
      <c r="M246" s="9">
        <f>$M$1*(C246-C245)</f>
        <v/>
      </c>
      <c r="N246" s="9">
        <f>$N$1*(D246-D245)</f>
        <v/>
      </c>
      <c r="O246" s="9">
        <f>$O$1*LN(E246/E245)</f>
        <v/>
      </c>
      <c r="P246" s="9">
        <f>$P$1*LN(F246/F245)</f>
        <v/>
      </c>
      <c r="Q246" s="9">
        <f>$Q$1*(G246-G245)</f>
        <v/>
      </c>
      <c r="R246" s="9">
        <f>$R$1*(H246-H245)</f>
        <v/>
      </c>
      <c r="S246" s="9">
        <f>$S$1*LN(I246/I245)</f>
        <v/>
      </c>
      <c r="T246" s="9">
        <f>$T$1*LN(J246/J245)</f>
        <v/>
      </c>
      <c r="U246" s="9">
        <f>$W$12+$W$4*M246+$W$5*N246+$W$6*O246+$W$7*P246+$W$8*Q246+$W$9*R246+$W$10*S246+$W$11*T246</f>
        <v/>
      </c>
      <c r="AA246" s="10">
        <f>INDEX(LINEST(L187:L246,M187:T246,TRUE,TRUE),1,9)*12</f>
        <v/>
      </c>
      <c r="AB246" s="9">
        <f>INDEX(LINEST(L187:L246,M187:T246,TRUE,TRUE),1,8)</f>
        <v/>
      </c>
      <c r="AC246" s="9">
        <f>INDEX(LINEST(L187:L246,M187:T246,TRUE,TRUE),1,7)</f>
        <v/>
      </c>
      <c r="AD246" s="9">
        <f>INDEX(LINEST(L187:L246,M187:T246,TRUE,TRUE),1,6)</f>
        <v/>
      </c>
      <c r="AE246" s="9">
        <f>INDEX(LINEST(L187:L246,M187:T246,TRUE,TRUE),1,5)</f>
        <v/>
      </c>
      <c r="AF246" s="9">
        <f>INDEX(LINEST(L187:L246,M187:T246,TRUE,TRUE),1,4)</f>
        <v/>
      </c>
      <c r="AG246" s="9">
        <f>INDEX(LINEST(L187:L246,M187:T246,TRUE,TRUE),1,3)</f>
        <v/>
      </c>
      <c r="AH246" s="9">
        <f>INDEX(LINEST(L187:L246,M187:T246,TRUE,TRUE),1,2)</f>
        <v/>
      </c>
      <c r="AI246" s="9">
        <f>INDEX(LINEST(L187:L246,M187:T246,TRUE,TRUE),1,1)</f>
        <v/>
      </c>
      <c r="AJ246" s="10">
        <f>INDEX(LINEST(L187:L246,M187:T246,TRUE,TRUE),3,1)</f>
        <v/>
      </c>
      <c r="AK246" s="9">
        <f>AA245/12+AB245*M246+AC245*N246+AD245*O246+AE245*P246+AF245*Q246+AG245*R246+AH245*S246+AI245*T246</f>
        <v/>
      </c>
      <c r="AL246" s="9">
        <f>AVERAGE(L186:L245)</f>
        <v/>
      </c>
    </row>
    <row r="247">
      <c r="L247" s="9">
        <f>LN(B247/B246)</f>
        <v/>
      </c>
      <c r="M247" s="9">
        <f>$M$1*(C247-C246)</f>
        <v/>
      </c>
      <c r="N247" s="9">
        <f>$N$1*(D247-D246)</f>
        <v/>
      </c>
      <c r="O247" s="9">
        <f>$O$1*LN(E247/E246)</f>
        <v/>
      </c>
      <c r="P247" s="9">
        <f>$P$1*LN(F247/F246)</f>
        <v/>
      </c>
      <c r="Q247" s="9">
        <f>$Q$1*(G247-G246)</f>
        <v/>
      </c>
      <c r="R247" s="9">
        <f>$R$1*(H247-H246)</f>
        <v/>
      </c>
      <c r="S247" s="9">
        <f>$S$1*LN(I247/I246)</f>
        <v/>
      </c>
      <c r="T247" s="9">
        <f>$T$1*LN(J247/J246)</f>
        <v/>
      </c>
      <c r="U247" s="9">
        <f>$W$12+$W$4*M247+$W$5*N247+$W$6*O247+$W$7*P247+$W$8*Q247+$W$9*R247+$W$10*S247+$W$11*T247</f>
        <v/>
      </c>
      <c r="AA247" s="10">
        <f>INDEX(LINEST(L188:L247,M188:T247,TRUE,TRUE),1,9)*12</f>
        <v/>
      </c>
      <c r="AB247" s="9">
        <f>INDEX(LINEST(L188:L247,M188:T247,TRUE,TRUE),1,8)</f>
        <v/>
      </c>
      <c r="AC247" s="9">
        <f>INDEX(LINEST(L188:L247,M188:T247,TRUE,TRUE),1,7)</f>
        <v/>
      </c>
      <c r="AD247" s="9">
        <f>INDEX(LINEST(L188:L247,M188:T247,TRUE,TRUE),1,6)</f>
        <v/>
      </c>
      <c r="AE247" s="9">
        <f>INDEX(LINEST(L188:L247,M188:T247,TRUE,TRUE),1,5)</f>
        <v/>
      </c>
      <c r="AF247" s="9">
        <f>INDEX(LINEST(L188:L247,M188:T247,TRUE,TRUE),1,4)</f>
        <v/>
      </c>
      <c r="AG247" s="9">
        <f>INDEX(LINEST(L188:L247,M188:T247,TRUE,TRUE),1,3)</f>
        <v/>
      </c>
      <c r="AH247" s="9">
        <f>INDEX(LINEST(L188:L247,M188:T247,TRUE,TRUE),1,2)</f>
        <v/>
      </c>
      <c r="AI247" s="9">
        <f>INDEX(LINEST(L188:L247,M188:T247,TRUE,TRUE),1,1)</f>
        <v/>
      </c>
      <c r="AJ247" s="10">
        <f>INDEX(LINEST(L188:L247,M188:T247,TRUE,TRUE),3,1)</f>
        <v/>
      </c>
      <c r="AK247" s="9">
        <f>AA246/12+AB246*M247+AC246*N247+AD246*O247+AE246*P247+AF246*Q247+AG246*R247+AH246*S247+AI246*T247</f>
        <v/>
      </c>
      <c r="AL247" s="9">
        <f>AVERAGE(L187:L246)</f>
        <v/>
      </c>
    </row>
    <row r="248">
      <c r="L248" s="9">
        <f>LN(B248/B247)</f>
        <v/>
      </c>
      <c r="M248" s="9">
        <f>$M$1*(C248-C247)</f>
        <v/>
      </c>
      <c r="N248" s="9">
        <f>$N$1*(D248-D247)</f>
        <v/>
      </c>
      <c r="O248" s="9">
        <f>$O$1*LN(E248/E247)</f>
        <v/>
      </c>
      <c r="P248" s="9">
        <f>$P$1*LN(F248/F247)</f>
        <v/>
      </c>
      <c r="Q248" s="9">
        <f>$Q$1*(G248-G247)</f>
        <v/>
      </c>
      <c r="R248" s="9">
        <f>$R$1*(H248-H247)</f>
        <v/>
      </c>
      <c r="S248" s="9">
        <f>$S$1*LN(I248/I247)</f>
        <v/>
      </c>
      <c r="T248" s="9">
        <f>$T$1*LN(J248/J247)</f>
        <v/>
      </c>
      <c r="U248" s="9">
        <f>$W$12+$W$4*M248+$W$5*N248+$W$6*O248+$W$7*P248+$W$8*Q248+$W$9*R248+$W$10*S248+$W$11*T248</f>
        <v/>
      </c>
      <c r="AA248" s="10">
        <f>INDEX(LINEST(L189:L248,M189:T248,TRUE,TRUE),1,9)*12</f>
        <v/>
      </c>
      <c r="AB248" s="9">
        <f>INDEX(LINEST(L189:L248,M189:T248,TRUE,TRUE),1,8)</f>
        <v/>
      </c>
      <c r="AC248" s="9">
        <f>INDEX(LINEST(L189:L248,M189:T248,TRUE,TRUE),1,7)</f>
        <v/>
      </c>
      <c r="AD248" s="9">
        <f>INDEX(LINEST(L189:L248,M189:T248,TRUE,TRUE),1,6)</f>
        <v/>
      </c>
      <c r="AE248" s="9">
        <f>INDEX(LINEST(L189:L248,M189:T248,TRUE,TRUE),1,5)</f>
        <v/>
      </c>
      <c r="AF248" s="9">
        <f>INDEX(LINEST(L189:L248,M189:T248,TRUE,TRUE),1,4)</f>
        <v/>
      </c>
      <c r="AG248" s="9">
        <f>INDEX(LINEST(L189:L248,M189:T248,TRUE,TRUE),1,3)</f>
        <v/>
      </c>
      <c r="AH248" s="9">
        <f>INDEX(LINEST(L189:L248,M189:T248,TRUE,TRUE),1,2)</f>
        <v/>
      </c>
      <c r="AI248" s="9">
        <f>INDEX(LINEST(L189:L248,M189:T248,TRUE,TRUE),1,1)</f>
        <v/>
      </c>
      <c r="AJ248" s="10">
        <f>INDEX(LINEST(L189:L248,M189:T248,TRUE,TRUE),3,1)</f>
        <v/>
      </c>
      <c r="AK248" s="9">
        <f>AA247/12+AB247*M248+AC247*N248+AD247*O248+AE247*P248+AF247*Q248+AG247*R248+AH247*S248+AI247*T248</f>
        <v/>
      </c>
      <c r="AL248" s="9">
        <f>AVERAGE(L188:L247)</f>
        <v/>
      </c>
    </row>
    <row r="249">
      <c r="L249" s="9">
        <f>LN(B249/B248)</f>
        <v/>
      </c>
      <c r="M249" s="9">
        <f>$M$1*(C249-C248)</f>
        <v/>
      </c>
      <c r="N249" s="9">
        <f>$N$1*(D249-D248)</f>
        <v/>
      </c>
      <c r="O249" s="9">
        <f>$O$1*LN(E249/E248)</f>
        <v/>
      </c>
      <c r="P249" s="9">
        <f>$P$1*LN(F249/F248)</f>
        <v/>
      </c>
      <c r="Q249" s="9">
        <f>$Q$1*(G249-G248)</f>
        <v/>
      </c>
      <c r="R249" s="9">
        <f>$R$1*(H249-H248)</f>
        <v/>
      </c>
      <c r="S249" s="9">
        <f>$S$1*LN(I249/I248)</f>
        <v/>
      </c>
      <c r="T249" s="9">
        <f>$T$1*LN(J249/J248)</f>
        <v/>
      </c>
      <c r="U249" s="9">
        <f>$W$12+$W$4*M249+$W$5*N249+$W$6*O249+$W$7*P249+$W$8*Q249+$W$9*R249+$W$10*S249+$W$11*T249</f>
        <v/>
      </c>
      <c r="AA249" s="10">
        <f>INDEX(LINEST(L190:L249,M190:T249,TRUE,TRUE),1,9)*12</f>
        <v/>
      </c>
      <c r="AB249" s="9">
        <f>INDEX(LINEST(L190:L249,M190:T249,TRUE,TRUE),1,8)</f>
        <v/>
      </c>
      <c r="AC249" s="9">
        <f>INDEX(LINEST(L190:L249,M190:T249,TRUE,TRUE),1,7)</f>
        <v/>
      </c>
      <c r="AD249" s="9">
        <f>INDEX(LINEST(L190:L249,M190:T249,TRUE,TRUE),1,6)</f>
        <v/>
      </c>
      <c r="AE249" s="9">
        <f>INDEX(LINEST(L190:L249,M190:T249,TRUE,TRUE),1,5)</f>
        <v/>
      </c>
      <c r="AF249" s="9">
        <f>INDEX(LINEST(L190:L249,M190:T249,TRUE,TRUE),1,4)</f>
        <v/>
      </c>
      <c r="AG249" s="9">
        <f>INDEX(LINEST(L190:L249,M190:T249,TRUE,TRUE),1,3)</f>
        <v/>
      </c>
      <c r="AH249" s="9">
        <f>INDEX(LINEST(L190:L249,M190:T249,TRUE,TRUE),1,2)</f>
        <v/>
      </c>
      <c r="AI249" s="9">
        <f>INDEX(LINEST(L190:L249,M190:T249,TRUE,TRUE),1,1)</f>
        <v/>
      </c>
      <c r="AJ249" s="10">
        <f>INDEX(LINEST(L190:L249,M190:T249,TRUE,TRUE),3,1)</f>
        <v/>
      </c>
      <c r="AK249" s="9">
        <f>AA248/12+AB248*M249+AC248*N249+AD248*O249+AE248*P249+AF248*Q249+AG248*R249+AH248*S249+AI248*T249</f>
        <v/>
      </c>
      <c r="AL249" s="9">
        <f>AVERAGE(L189:L248)</f>
        <v/>
      </c>
    </row>
    <row r="250">
      <c r="L250" s="9">
        <f>LN(B250/B249)</f>
        <v/>
      </c>
      <c r="M250" s="9">
        <f>$M$1*(C250-C249)</f>
        <v/>
      </c>
      <c r="N250" s="9">
        <f>$N$1*(D250-D249)</f>
        <v/>
      </c>
      <c r="O250" s="9">
        <f>$O$1*LN(E250/E249)</f>
        <v/>
      </c>
      <c r="P250" s="9">
        <f>$P$1*LN(F250/F249)</f>
        <v/>
      </c>
      <c r="Q250" s="9">
        <f>$Q$1*(G250-G249)</f>
        <v/>
      </c>
      <c r="R250" s="9">
        <f>$R$1*(H250-H249)</f>
        <v/>
      </c>
      <c r="S250" s="9">
        <f>$S$1*LN(I250/I249)</f>
        <v/>
      </c>
      <c r="T250" s="9">
        <f>$T$1*LN(J250/J249)</f>
        <v/>
      </c>
      <c r="U250" s="9">
        <f>$W$12+$W$4*M250+$W$5*N250+$W$6*O250+$W$7*P250+$W$8*Q250+$W$9*R250+$W$10*S250+$W$11*T250</f>
        <v/>
      </c>
      <c r="AA250" s="10">
        <f>INDEX(LINEST(L191:L250,M191:T250,TRUE,TRUE),1,9)*12</f>
        <v/>
      </c>
      <c r="AB250" s="9">
        <f>INDEX(LINEST(L191:L250,M191:T250,TRUE,TRUE),1,8)</f>
        <v/>
      </c>
      <c r="AC250" s="9">
        <f>INDEX(LINEST(L191:L250,M191:T250,TRUE,TRUE),1,7)</f>
        <v/>
      </c>
      <c r="AD250" s="9">
        <f>INDEX(LINEST(L191:L250,M191:T250,TRUE,TRUE),1,6)</f>
        <v/>
      </c>
      <c r="AE250" s="9">
        <f>INDEX(LINEST(L191:L250,M191:T250,TRUE,TRUE),1,5)</f>
        <v/>
      </c>
      <c r="AF250" s="9">
        <f>INDEX(LINEST(L191:L250,M191:T250,TRUE,TRUE),1,4)</f>
        <v/>
      </c>
      <c r="AG250" s="9">
        <f>INDEX(LINEST(L191:L250,M191:T250,TRUE,TRUE),1,3)</f>
        <v/>
      </c>
      <c r="AH250" s="9">
        <f>INDEX(LINEST(L191:L250,M191:T250,TRUE,TRUE),1,2)</f>
        <v/>
      </c>
      <c r="AI250" s="9">
        <f>INDEX(LINEST(L191:L250,M191:T250,TRUE,TRUE),1,1)</f>
        <v/>
      </c>
      <c r="AJ250" s="10">
        <f>INDEX(LINEST(L191:L250,M191:T250,TRUE,TRUE),3,1)</f>
        <v/>
      </c>
      <c r="AK250" s="9">
        <f>AA249/12+AB249*M250+AC249*N250+AD249*O250+AE249*P250+AF249*Q250+AG249*R250+AH249*S250+AI249*T250</f>
        <v/>
      </c>
      <c r="AL250" s="9">
        <f>AVERAGE(L190:L249)</f>
        <v/>
      </c>
    </row>
    <row r="251">
      <c r="L251" s="9">
        <f>LN(B251/B250)</f>
        <v/>
      </c>
      <c r="M251" s="9">
        <f>$M$1*(C251-C250)</f>
        <v/>
      </c>
      <c r="N251" s="9">
        <f>$N$1*(D251-D250)</f>
        <v/>
      </c>
      <c r="O251" s="9">
        <f>$O$1*LN(E251/E250)</f>
        <v/>
      </c>
      <c r="P251" s="9">
        <f>$P$1*LN(F251/F250)</f>
        <v/>
      </c>
      <c r="Q251" s="9">
        <f>$Q$1*(G251-G250)</f>
        <v/>
      </c>
      <c r="R251" s="9">
        <f>$R$1*(H251-H250)</f>
        <v/>
      </c>
      <c r="S251" s="9">
        <f>$S$1*LN(I251/I250)</f>
        <v/>
      </c>
      <c r="T251" s="9">
        <f>$T$1*LN(J251/J250)</f>
        <v/>
      </c>
      <c r="U251" s="9">
        <f>$W$12+$W$4*M251+$W$5*N251+$W$6*O251+$W$7*P251+$W$8*Q251+$W$9*R251+$W$10*S251+$W$11*T251</f>
        <v/>
      </c>
      <c r="AA251" s="10">
        <f>INDEX(LINEST(L192:L251,M192:T251,TRUE,TRUE),1,9)*12</f>
        <v/>
      </c>
      <c r="AB251" s="9">
        <f>INDEX(LINEST(L192:L251,M192:T251,TRUE,TRUE),1,8)</f>
        <v/>
      </c>
      <c r="AC251" s="9">
        <f>INDEX(LINEST(L192:L251,M192:T251,TRUE,TRUE),1,7)</f>
        <v/>
      </c>
      <c r="AD251" s="9">
        <f>INDEX(LINEST(L192:L251,M192:T251,TRUE,TRUE),1,6)</f>
        <v/>
      </c>
      <c r="AE251" s="9">
        <f>INDEX(LINEST(L192:L251,M192:T251,TRUE,TRUE),1,5)</f>
        <v/>
      </c>
      <c r="AF251" s="9">
        <f>INDEX(LINEST(L192:L251,M192:T251,TRUE,TRUE),1,4)</f>
        <v/>
      </c>
      <c r="AG251" s="9">
        <f>INDEX(LINEST(L192:L251,M192:T251,TRUE,TRUE),1,3)</f>
        <v/>
      </c>
      <c r="AH251" s="9">
        <f>INDEX(LINEST(L192:L251,M192:T251,TRUE,TRUE),1,2)</f>
        <v/>
      </c>
      <c r="AI251" s="9">
        <f>INDEX(LINEST(L192:L251,M192:T251,TRUE,TRUE),1,1)</f>
        <v/>
      </c>
      <c r="AJ251" s="10">
        <f>INDEX(LINEST(L192:L251,M192:T251,TRUE,TRUE),3,1)</f>
        <v/>
      </c>
      <c r="AK251" s="9">
        <f>AA250/12+AB250*M251+AC250*N251+AD250*O251+AE250*P251+AF250*Q251+AG250*R251+AH250*S251+AI250*T251</f>
        <v/>
      </c>
      <c r="AL251" s="9">
        <f>AVERAGE(L191:L250)</f>
        <v/>
      </c>
    </row>
    <row r="252">
      <c r="L252" s="9">
        <f>LN(B252/B251)</f>
        <v/>
      </c>
      <c r="M252" s="9">
        <f>$M$1*(C252-C251)</f>
        <v/>
      </c>
      <c r="N252" s="9">
        <f>$N$1*(D252-D251)</f>
        <v/>
      </c>
      <c r="O252" s="9">
        <f>$O$1*LN(E252/E251)</f>
        <v/>
      </c>
      <c r="P252" s="9">
        <f>$P$1*LN(F252/F251)</f>
        <v/>
      </c>
      <c r="Q252" s="9">
        <f>$Q$1*(G252-G251)</f>
        <v/>
      </c>
      <c r="R252" s="9">
        <f>$R$1*(H252-H251)</f>
        <v/>
      </c>
      <c r="S252" s="9">
        <f>$S$1*LN(I252/I251)</f>
        <v/>
      </c>
      <c r="T252" s="9">
        <f>$T$1*LN(J252/J251)</f>
        <v/>
      </c>
      <c r="U252" s="9">
        <f>$W$12+$W$4*M252+$W$5*N252+$W$6*O252+$W$7*P252+$W$8*Q252+$W$9*R252+$W$10*S252+$W$11*T252</f>
        <v/>
      </c>
      <c r="AA252" s="10">
        <f>INDEX(LINEST(L193:L252,M193:T252,TRUE,TRUE),1,9)*12</f>
        <v/>
      </c>
      <c r="AB252" s="9">
        <f>INDEX(LINEST(L193:L252,M193:T252,TRUE,TRUE),1,8)</f>
        <v/>
      </c>
      <c r="AC252" s="9">
        <f>INDEX(LINEST(L193:L252,M193:T252,TRUE,TRUE),1,7)</f>
        <v/>
      </c>
      <c r="AD252" s="9">
        <f>INDEX(LINEST(L193:L252,M193:T252,TRUE,TRUE),1,6)</f>
        <v/>
      </c>
      <c r="AE252" s="9">
        <f>INDEX(LINEST(L193:L252,M193:T252,TRUE,TRUE),1,5)</f>
        <v/>
      </c>
      <c r="AF252" s="9">
        <f>INDEX(LINEST(L193:L252,M193:T252,TRUE,TRUE),1,4)</f>
        <v/>
      </c>
      <c r="AG252" s="9">
        <f>INDEX(LINEST(L193:L252,M193:T252,TRUE,TRUE),1,3)</f>
        <v/>
      </c>
      <c r="AH252" s="9">
        <f>INDEX(LINEST(L193:L252,M193:T252,TRUE,TRUE),1,2)</f>
        <v/>
      </c>
      <c r="AI252" s="9">
        <f>INDEX(LINEST(L193:L252,M193:T252,TRUE,TRUE),1,1)</f>
        <v/>
      </c>
      <c r="AJ252" s="10">
        <f>INDEX(LINEST(L193:L252,M193:T252,TRUE,TRUE),3,1)</f>
        <v/>
      </c>
      <c r="AK252" s="9">
        <f>AA251/12+AB251*M252+AC251*N252+AD251*O252+AE251*P252+AF251*Q252+AG251*R252+AH251*S252+AI251*T252</f>
        <v/>
      </c>
      <c r="AL252" s="9">
        <f>AVERAGE(L192:L251)</f>
        <v/>
      </c>
    </row>
    <row r="253">
      <c r="L253" s="9">
        <f>LN(B253/B252)</f>
        <v/>
      </c>
      <c r="M253" s="9">
        <f>$M$1*(C253-C252)</f>
        <v/>
      </c>
      <c r="N253" s="9">
        <f>$N$1*(D253-D252)</f>
        <v/>
      </c>
      <c r="O253" s="9">
        <f>$O$1*LN(E253/E252)</f>
        <v/>
      </c>
      <c r="P253" s="9">
        <f>$P$1*LN(F253/F252)</f>
        <v/>
      </c>
      <c r="Q253" s="9">
        <f>$Q$1*(G253-G252)</f>
        <v/>
      </c>
      <c r="R253" s="9">
        <f>$R$1*(H253-H252)</f>
        <v/>
      </c>
      <c r="S253" s="9">
        <f>$S$1*LN(I253/I252)</f>
        <v/>
      </c>
      <c r="T253" s="9">
        <f>$T$1*LN(J253/J252)</f>
        <v/>
      </c>
      <c r="U253" s="9">
        <f>$W$12+$W$4*M253+$W$5*N253+$W$6*O253+$W$7*P253+$W$8*Q253+$W$9*R253+$W$10*S253+$W$11*T253</f>
        <v/>
      </c>
      <c r="AA253" s="10">
        <f>INDEX(LINEST(L194:L253,M194:T253,TRUE,TRUE),1,9)*12</f>
        <v/>
      </c>
      <c r="AB253" s="9">
        <f>INDEX(LINEST(L194:L253,M194:T253,TRUE,TRUE),1,8)</f>
        <v/>
      </c>
      <c r="AC253" s="9">
        <f>INDEX(LINEST(L194:L253,M194:T253,TRUE,TRUE),1,7)</f>
        <v/>
      </c>
      <c r="AD253" s="9">
        <f>INDEX(LINEST(L194:L253,M194:T253,TRUE,TRUE),1,6)</f>
        <v/>
      </c>
      <c r="AE253" s="9">
        <f>INDEX(LINEST(L194:L253,M194:T253,TRUE,TRUE),1,5)</f>
        <v/>
      </c>
      <c r="AF253" s="9">
        <f>INDEX(LINEST(L194:L253,M194:T253,TRUE,TRUE),1,4)</f>
        <v/>
      </c>
      <c r="AG253" s="9">
        <f>INDEX(LINEST(L194:L253,M194:T253,TRUE,TRUE),1,3)</f>
        <v/>
      </c>
      <c r="AH253" s="9">
        <f>INDEX(LINEST(L194:L253,M194:T253,TRUE,TRUE),1,2)</f>
        <v/>
      </c>
      <c r="AI253" s="9">
        <f>INDEX(LINEST(L194:L253,M194:T253,TRUE,TRUE),1,1)</f>
        <v/>
      </c>
      <c r="AJ253" s="10">
        <f>INDEX(LINEST(L194:L253,M194:T253,TRUE,TRUE),3,1)</f>
        <v/>
      </c>
      <c r="AK253" s="9">
        <f>AA252/12+AB252*M253+AC252*N253+AD252*O253+AE252*P253+AF252*Q253+AG252*R253+AH252*S253+AI252*T253</f>
        <v/>
      </c>
      <c r="AL253" s="9">
        <f>AVERAGE(L193:L252)</f>
        <v/>
      </c>
    </row>
    <row r="254">
      <c r="L254" s="9">
        <f>LN(B254/B253)</f>
        <v/>
      </c>
      <c r="M254" s="9">
        <f>$M$1*(C254-C253)</f>
        <v/>
      </c>
      <c r="N254" s="9">
        <f>$N$1*(D254-D253)</f>
        <v/>
      </c>
      <c r="O254" s="9">
        <f>$O$1*LN(E254/E253)</f>
        <v/>
      </c>
      <c r="P254" s="9">
        <f>$P$1*LN(F254/F253)</f>
        <v/>
      </c>
      <c r="Q254" s="9">
        <f>$Q$1*(G254-G253)</f>
        <v/>
      </c>
      <c r="R254" s="9">
        <f>$R$1*(H254-H253)</f>
        <v/>
      </c>
      <c r="S254" s="9">
        <f>$S$1*LN(I254/I253)</f>
        <v/>
      </c>
      <c r="T254" s="9">
        <f>$T$1*LN(J254/J253)</f>
        <v/>
      </c>
      <c r="U254" s="9">
        <f>$W$12+$W$4*M254+$W$5*N254+$W$6*O254+$W$7*P254+$W$8*Q254+$W$9*R254+$W$10*S254+$W$11*T254</f>
        <v/>
      </c>
      <c r="AA254" s="10">
        <f>INDEX(LINEST(L195:L254,M195:T254,TRUE,TRUE),1,9)*12</f>
        <v/>
      </c>
      <c r="AB254" s="9">
        <f>INDEX(LINEST(L195:L254,M195:T254,TRUE,TRUE),1,8)</f>
        <v/>
      </c>
      <c r="AC254" s="9">
        <f>INDEX(LINEST(L195:L254,M195:T254,TRUE,TRUE),1,7)</f>
        <v/>
      </c>
      <c r="AD254" s="9">
        <f>INDEX(LINEST(L195:L254,M195:T254,TRUE,TRUE),1,6)</f>
        <v/>
      </c>
      <c r="AE254" s="9">
        <f>INDEX(LINEST(L195:L254,M195:T254,TRUE,TRUE),1,5)</f>
        <v/>
      </c>
      <c r="AF254" s="9">
        <f>INDEX(LINEST(L195:L254,M195:T254,TRUE,TRUE),1,4)</f>
        <v/>
      </c>
      <c r="AG254" s="9">
        <f>INDEX(LINEST(L195:L254,M195:T254,TRUE,TRUE),1,3)</f>
        <v/>
      </c>
      <c r="AH254" s="9">
        <f>INDEX(LINEST(L195:L254,M195:T254,TRUE,TRUE),1,2)</f>
        <v/>
      </c>
      <c r="AI254" s="9">
        <f>INDEX(LINEST(L195:L254,M195:T254,TRUE,TRUE),1,1)</f>
        <v/>
      </c>
      <c r="AJ254" s="10">
        <f>INDEX(LINEST(L195:L254,M195:T254,TRUE,TRUE),3,1)</f>
        <v/>
      </c>
      <c r="AK254" s="9">
        <f>AA253/12+AB253*M254+AC253*N254+AD253*O254+AE253*P254+AF253*Q254+AG253*R254+AH253*S254+AI253*T254</f>
        <v/>
      </c>
      <c r="AL254" s="9">
        <f>AVERAGE(L194:L253)</f>
        <v/>
      </c>
    </row>
    <row r="255">
      <c r="L255" s="9">
        <f>LN(B255/B254)</f>
        <v/>
      </c>
      <c r="M255" s="9">
        <f>$M$1*(C255-C254)</f>
        <v/>
      </c>
      <c r="N255" s="9">
        <f>$N$1*(D255-D254)</f>
        <v/>
      </c>
      <c r="O255" s="9">
        <f>$O$1*LN(E255/E254)</f>
        <v/>
      </c>
      <c r="P255" s="9">
        <f>$P$1*LN(F255/F254)</f>
        <v/>
      </c>
      <c r="Q255" s="9">
        <f>$Q$1*(G255-G254)</f>
        <v/>
      </c>
      <c r="R255" s="9">
        <f>$R$1*(H255-H254)</f>
        <v/>
      </c>
      <c r="S255" s="9">
        <f>$S$1*LN(I255/I254)</f>
        <v/>
      </c>
      <c r="T255" s="9">
        <f>$T$1*LN(J255/J254)</f>
        <v/>
      </c>
      <c r="U255" s="9">
        <f>$W$12+$W$4*M255+$W$5*N255+$W$6*O255+$W$7*P255+$W$8*Q255+$W$9*R255+$W$10*S255+$W$11*T255</f>
        <v/>
      </c>
      <c r="AA255" s="10">
        <f>INDEX(LINEST(L196:L255,M196:T255,TRUE,TRUE),1,9)*12</f>
        <v/>
      </c>
      <c r="AB255" s="9">
        <f>INDEX(LINEST(L196:L255,M196:T255,TRUE,TRUE),1,8)</f>
        <v/>
      </c>
      <c r="AC255" s="9">
        <f>INDEX(LINEST(L196:L255,M196:T255,TRUE,TRUE),1,7)</f>
        <v/>
      </c>
      <c r="AD255" s="9">
        <f>INDEX(LINEST(L196:L255,M196:T255,TRUE,TRUE),1,6)</f>
        <v/>
      </c>
      <c r="AE255" s="9">
        <f>INDEX(LINEST(L196:L255,M196:T255,TRUE,TRUE),1,5)</f>
        <v/>
      </c>
      <c r="AF255" s="9">
        <f>INDEX(LINEST(L196:L255,M196:T255,TRUE,TRUE),1,4)</f>
        <v/>
      </c>
      <c r="AG255" s="9">
        <f>INDEX(LINEST(L196:L255,M196:T255,TRUE,TRUE),1,3)</f>
        <v/>
      </c>
      <c r="AH255" s="9">
        <f>INDEX(LINEST(L196:L255,M196:T255,TRUE,TRUE),1,2)</f>
        <v/>
      </c>
      <c r="AI255" s="9">
        <f>INDEX(LINEST(L196:L255,M196:T255,TRUE,TRUE),1,1)</f>
        <v/>
      </c>
      <c r="AJ255" s="10">
        <f>INDEX(LINEST(L196:L255,M196:T255,TRUE,TRUE),3,1)</f>
        <v/>
      </c>
      <c r="AK255" s="9">
        <f>AA254/12+AB254*M255+AC254*N255+AD254*O255+AE254*P255+AF254*Q255+AG254*R255+AH254*S255+AI254*T255</f>
        <v/>
      </c>
      <c r="AL255" s="9">
        <f>AVERAGE(L195:L254)</f>
        <v/>
      </c>
    </row>
    <row r="256">
      <c r="L256" s="9">
        <f>LN(B256/B255)</f>
        <v/>
      </c>
      <c r="M256" s="9">
        <f>$M$1*(C256-C255)</f>
        <v/>
      </c>
      <c r="N256" s="9">
        <f>$N$1*(D256-D255)</f>
        <v/>
      </c>
      <c r="O256" s="9">
        <f>$O$1*LN(E256/E255)</f>
        <v/>
      </c>
      <c r="P256" s="9">
        <f>$P$1*LN(F256/F255)</f>
        <v/>
      </c>
      <c r="Q256" s="9">
        <f>$Q$1*(G256-G255)</f>
        <v/>
      </c>
      <c r="R256" s="9">
        <f>$R$1*(H256-H255)</f>
        <v/>
      </c>
      <c r="S256" s="9">
        <f>$S$1*LN(I256/I255)</f>
        <v/>
      </c>
      <c r="T256" s="9">
        <f>$T$1*LN(J256/J255)</f>
        <v/>
      </c>
      <c r="U256" s="9">
        <f>$W$12+$W$4*M256+$W$5*N256+$W$6*O256+$W$7*P256+$W$8*Q256+$W$9*R256+$W$10*S256+$W$11*T256</f>
        <v/>
      </c>
      <c r="AA256" s="10">
        <f>INDEX(LINEST(L197:L256,M197:T256,TRUE,TRUE),1,9)*12</f>
        <v/>
      </c>
      <c r="AB256" s="9">
        <f>INDEX(LINEST(L197:L256,M197:T256,TRUE,TRUE),1,8)</f>
        <v/>
      </c>
      <c r="AC256" s="9">
        <f>INDEX(LINEST(L197:L256,M197:T256,TRUE,TRUE),1,7)</f>
        <v/>
      </c>
      <c r="AD256" s="9">
        <f>INDEX(LINEST(L197:L256,M197:T256,TRUE,TRUE),1,6)</f>
        <v/>
      </c>
      <c r="AE256" s="9">
        <f>INDEX(LINEST(L197:L256,M197:T256,TRUE,TRUE),1,5)</f>
        <v/>
      </c>
      <c r="AF256" s="9">
        <f>INDEX(LINEST(L197:L256,M197:T256,TRUE,TRUE),1,4)</f>
        <v/>
      </c>
      <c r="AG256" s="9">
        <f>INDEX(LINEST(L197:L256,M197:T256,TRUE,TRUE),1,3)</f>
        <v/>
      </c>
      <c r="AH256" s="9">
        <f>INDEX(LINEST(L197:L256,M197:T256,TRUE,TRUE),1,2)</f>
        <v/>
      </c>
      <c r="AI256" s="9">
        <f>INDEX(LINEST(L197:L256,M197:T256,TRUE,TRUE),1,1)</f>
        <v/>
      </c>
      <c r="AJ256" s="10">
        <f>INDEX(LINEST(L197:L256,M197:T256,TRUE,TRUE),3,1)</f>
        <v/>
      </c>
      <c r="AK256" s="9">
        <f>AA255/12+AB255*M256+AC255*N256+AD255*O256+AE255*P256+AF255*Q256+AG255*R256+AH255*S256+AI255*T256</f>
        <v/>
      </c>
      <c r="AL256" s="9">
        <f>AVERAGE(L196:L255)</f>
        <v/>
      </c>
    </row>
    <row r="257">
      <c r="L257" s="9">
        <f>LN(B257/B256)</f>
        <v/>
      </c>
      <c r="M257" s="9">
        <f>$M$1*(C257-C256)</f>
        <v/>
      </c>
      <c r="N257" s="9">
        <f>$N$1*(D257-D256)</f>
        <v/>
      </c>
      <c r="O257" s="9">
        <f>$O$1*LN(E257/E256)</f>
        <v/>
      </c>
      <c r="P257" s="9">
        <f>$P$1*LN(F257/F256)</f>
        <v/>
      </c>
      <c r="Q257" s="9">
        <f>$Q$1*(G257-G256)</f>
        <v/>
      </c>
      <c r="R257" s="9">
        <f>$R$1*(H257-H256)</f>
        <v/>
      </c>
      <c r="S257" s="9">
        <f>$S$1*LN(I257/I256)</f>
        <v/>
      </c>
      <c r="T257" s="9">
        <f>$T$1*LN(J257/J256)</f>
        <v/>
      </c>
      <c r="U257" s="9">
        <f>$W$12+$W$4*M257+$W$5*N257+$W$6*O257+$W$7*P257+$W$8*Q257+$W$9*R257+$W$10*S257+$W$11*T257</f>
        <v/>
      </c>
      <c r="AA257" s="10">
        <f>INDEX(LINEST(L198:L257,M198:T257,TRUE,TRUE),1,9)*12</f>
        <v/>
      </c>
      <c r="AB257" s="9">
        <f>INDEX(LINEST(L198:L257,M198:T257,TRUE,TRUE),1,8)</f>
        <v/>
      </c>
      <c r="AC257" s="9">
        <f>INDEX(LINEST(L198:L257,M198:T257,TRUE,TRUE),1,7)</f>
        <v/>
      </c>
      <c r="AD257" s="9">
        <f>INDEX(LINEST(L198:L257,M198:T257,TRUE,TRUE),1,6)</f>
        <v/>
      </c>
      <c r="AE257" s="9">
        <f>INDEX(LINEST(L198:L257,M198:T257,TRUE,TRUE),1,5)</f>
        <v/>
      </c>
      <c r="AF257" s="9">
        <f>INDEX(LINEST(L198:L257,M198:T257,TRUE,TRUE),1,4)</f>
        <v/>
      </c>
      <c r="AG257" s="9">
        <f>INDEX(LINEST(L198:L257,M198:T257,TRUE,TRUE),1,3)</f>
        <v/>
      </c>
      <c r="AH257" s="9">
        <f>INDEX(LINEST(L198:L257,M198:T257,TRUE,TRUE),1,2)</f>
        <v/>
      </c>
      <c r="AI257" s="9">
        <f>INDEX(LINEST(L198:L257,M198:T257,TRUE,TRUE),1,1)</f>
        <v/>
      </c>
      <c r="AJ257" s="10">
        <f>INDEX(LINEST(L198:L257,M198:T257,TRUE,TRUE),3,1)</f>
        <v/>
      </c>
      <c r="AK257" s="9">
        <f>AA256/12+AB256*M257+AC256*N257+AD256*O257+AE256*P257+AF256*Q257+AG256*R257+AH256*S257+AI256*T257</f>
        <v/>
      </c>
      <c r="AL257" s="9">
        <f>AVERAGE(L197:L256)</f>
        <v/>
      </c>
    </row>
    <row r="258">
      <c r="L258" s="9">
        <f>LN(B258/B257)</f>
        <v/>
      </c>
      <c r="M258" s="9">
        <f>$M$1*(C258-C257)</f>
        <v/>
      </c>
      <c r="N258" s="9">
        <f>$N$1*(D258-D257)</f>
        <v/>
      </c>
      <c r="O258" s="9">
        <f>$O$1*LN(E258/E257)</f>
        <v/>
      </c>
      <c r="P258" s="9">
        <f>$P$1*LN(F258/F257)</f>
        <v/>
      </c>
      <c r="Q258" s="9">
        <f>$Q$1*(G258-G257)</f>
        <v/>
      </c>
      <c r="R258" s="9">
        <f>$R$1*(H258-H257)</f>
        <v/>
      </c>
      <c r="S258" s="9">
        <f>$S$1*LN(I258/I257)</f>
        <v/>
      </c>
      <c r="T258" s="9">
        <f>$T$1*LN(J258/J257)</f>
        <v/>
      </c>
      <c r="U258" s="9">
        <f>$W$12+$W$4*M258+$W$5*N258+$W$6*O258+$W$7*P258+$W$8*Q258+$W$9*R258+$W$10*S258+$W$11*T258</f>
        <v/>
      </c>
      <c r="AA258" s="10">
        <f>INDEX(LINEST(L199:L258,M199:T258,TRUE,TRUE),1,9)*12</f>
        <v/>
      </c>
      <c r="AB258" s="9">
        <f>INDEX(LINEST(L199:L258,M199:T258,TRUE,TRUE),1,8)</f>
        <v/>
      </c>
      <c r="AC258" s="9">
        <f>INDEX(LINEST(L199:L258,M199:T258,TRUE,TRUE),1,7)</f>
        <v/>
      </c>
      <c r="AD258" s="9">
        <f>INDEX(LINEST(L199:L258,M199:T258,TRUE,TRUE),1,6)</f>
        <v/>
      </c>
      <c r="AE258" s="9">
        <f>INDEX(LINEST(L199:L258,M199:T258,TRUE,TRUE),1,5)</f>
        <v/>
      </c>
      <c r="AF258" s="9">
        <f>INDEX(LINEST(L199:L258,M199:T258,TRUE,TRUE),1,4)</f>
        <v/>
      </c>
      <c r="AG258" s="9">
        <f>INDEX(LINEST(L199:L258,M199:T258,TRUE,TRUE),1,3)</f>
        <v/>
      </c>
      <c r="AH258" s="9">
        <f>INDEX(LINEST(L199:L258,M199:T258,TRUE,TRUE),1,2)</f>
        <v/>
      </c>
      <c r="AI258" s="9">
        <f>INDEX(LINEST(L199:L258,M199:T258,TRUE,TRUE),1,1)</f>
        <v/>
      </c>
      <c r="AJ258" s="10">
        <f>INDEX(LINEST(L199:L258,M199:T258,TRUE,TRUE),3,1)</f>
        <v/>
      </c>
      <c r="AK258" s="9">
        <f>AA257/12+AB257*M258+AC257*N258+AD257*O258+AE257*P258+AF257*Q258+AG257*R258+AH257*S258+AI257*T258</f>
        <v/>
      </c>
      <c r="AL258" s="9">
        <f>AVERAGE(L198:L257)</f>
        <v/>
      </c>
    </row>
    <row r="259">
      <c r="L259" s="9">
        <f>LN(B259/B258)</f>
        <v/>
      </c>
      <c r="M259" s="9">
        <f>$M$1*(C259-C258)</f>
        <v/>
      </c>
      <c r="N259" s="9">
        <f>$N$1*(D259-D258)</f>
        <v/>
      </c>
      <c r="O259" s="9">
        <f>$O$1*LN(E259/E258)</f>
        <v/>
      </c>
      <c r="P259" s="9">
        <f>$P$1*LN(F259/F258)</f>
        <v/>
      </c>
      <c r="Q259" s="9">
        <f>$Q$1*(G259-G258)</f>
        <v/>
      </c>
      <c r="R259" s="9">
        <f>$R$1*(H259-H258)</f>
        <v/>
      </c>
      <c r="S259" s="9">
        <f>$S$1*LN(I259/I258)</f>
        <v/>
      </c>
      <c r="T259" s="9">
        <f>$T$1*LN(J259/J258)</f>
        <v/>
      </c>
      <c r="U259" s="9">
        <f>$W$12+$W$4*M259+$W$5*N259+$W$6*O259+$W$7*P259+$W$8*Q259+$W$9*R259+$W$10*S259+$W$11*T259</f>
        <v/>
      </c>
      <c r="AA259" s="10">
        <f>INDEX(LINEST(L200:L259,M200:T259,TRUE,TRUE),1,9)*12</f>
        <v/>
      </c>
      <c r="AB259" s="9">
        <f>INDEX(LINEST(L200:L259,M200:T259,TRUE,TRUE),1,8)</f>
        <v/>
      </c>
      <c r="AC259" s="9">
        <f>INDEX(LINEST(L200:L259,M200:T259,TRUE,TRUE),1,7)</f>
        <v/>
      </c>
      <c r="AD259" s="9">
        <f>INDEX(LINEST(L200:L259,M200:T259,TRUE,TRUE),1,6)</f>
        <v/>
      </c>
      <c r="AE259" s="9">
        <f>INDEX(LINEST(L200:L259,M200:T259,TRUE,TRUE),1,5)</f>
        <v/>
      </c>
      <c r="AF259" s="9">
        <f>INDEX(LINEST(L200:L259,M200:T259,TRUE,TRUE),1,4)</f>
        <v/>
      </c>
      <c r="AG259" s="9">
        <f>INDEX(LINEST(L200:L259,M200:T259,TRUE,TRUE),1,3)</f>
        <v/>
      </c>
      <c r="AH259" s="9">
        <f>INDEX(LINEST(L200:L259,M200:T259,TRUE,TRUE),1,2)</f>
        <v/>
      </c>
      <c r="AI259" s="9">
        <f>INDEX(LINEST(L200:L259,M200:T259,TRUE,TRUE),1,1)</f>
        <v/>
      </c>
      <c r="AJ259" s="10">
        <f>INDEX(LINEST(L200:L259,M200:T259,TRUE,TRUE),3,1)</f>
        <v/>
      </c>
      <c r="AK259" s="9">
        <f>AA258/12+AB258*M259+AC258*N259+AD258*O259+AE258*P259+AF258*Q259+AG258*R259+AH258*S259+AI258*T259</f>
        <v/>
      </c>
      <c r="AL259" s="9">
        <f>AVERAGE(L199:L258)</f>
        <v/>
      </c>
    </row>
    <row r="260">
      <c r="L260" s="9">
        <f>LN(B260/B259)</f>
        <v/>
      </c>
      <c r="M260" s="9">
        <f>$M$1*(C260-C259)</f>
        <v/>
      </c>
      <c r="N260" s="9">
        <f>$N$1*(D260-D259)</f>
        <v/>
      </c>
      <c r="O260" s="9">
        <f>$O$1*LN(E260/E259)</f>
        <v/>
      </c>
      <c r="P260" s="9">
        <f>$P$1*LN(F260/F259)</f>
        <v/>
      </c>
      <c r="Q260" s="9">
        <f>$Q$1*(G260-G259)</f>
        <v/>
      </c>
      <c r="R260" s="9">
        <f>$R$1*(H260-H259)</f>
        <v/>
      </c>
      <c r="S260" s="9">
        <f>$S$1*LN(I260/I259)</f>
        <v/>
      </c>
      <c r="T260" s="9">
        <f>$T$1*LN(J260/J259)</f>
        <v/>
      </c>
      <c r="U260" s="9">
        <f>$W$12+$W$4*M260+$W$5*N260+$W$6*O260+$W$7*P260+$W$8*Q260+$W$9*R260+$W$10*S260+$W$11*T260</f>
        <v/>
      </c>
      <c r="AA260" s="10">
        <f>INDEX(LINEST(L201:L260,M201:T260,TRUE,TRUE),1,9)*12</f>
        <v/>
      </c>
      <c r="AB260" s="9">
        <f>INDEX(LINEST(L201:L260,M201:T260,TRUE,TRUE),1,8)</f>
        <v/>
      </c>
      <c r="AC260" s="9">
        <f>INDEX(LINEST(L201:L260,M201:T260,TRUE,TRUE),1,7)</f>
        <v/>
      </c>
      <c r="AD260" s="9">
        <f>INDEX(LINEST(L201:L260,M201:T260,TRUE,TRUE),1,6)</f>
        <v/>
      </c>
      <c r="AE260" s="9">
        <f>INDEX(LINEST(L201:L260,M201:T260,TRUE,TRUE),1,5)</f>
        <v/>
      </c>
      <c r="AF260" s="9">
        <f>INDEX(LINEST(L201:L260,M201:T260,TRUE,TRUE),1,4)</f>
        <v/>
      </c>
      <c r="AG260" s="9">
        <f>INDEX(LINEST(L201:L260,M201:T260,TRUE,TRUE),1,3)</f>
        <v/>
      </c>
      <c r="AH260" s="9">
        <f>INDEX(LINEST(L201:L260,M201:T260,TRUE,TRUE),1,2)</f>
        <v/>
      </c>
      <c r="AI260" s="9">
        <f>INDEX(LINEST(L201:L260,M201:T260,TRUE,TRUE),1,1)</f>
        <v/>
      </c>
      <c r="AJ260" s="10">
        <f>INDEX(LINEST(L201:L260,M201:T260,TRUE,TRUE),3,1)</f>
        <v/>
      </c>
      <c r="AK260" s="9">
        <f>AA259/12+AB259*M260+AC259*N260+AD259*O260+AE259*P260+AF259*Q260+AG259*R260+AH259*S260+AI259*T260</f>
        <v/>
      </c>
      <c r="AL260" s="9">
        <f>AVERAGE(L200:L259)</f>
        <v/>
      </c>
    </row>
    <row r="261">
      <c r="L261" s="9">
        <f>LN(B261/B260)</f>
        <v/>
      </c>
      <c r="M261" s="9">
        <f>$M$1*(C261-C260)</f>
        <v/>
      </c>
      <c r="N261" s="9">
        <f>$N$1*(D261-D260)</f>
        <v/>
      </c>
      <c r="O261" s="9">
        <f>$O$1*LN(E261/E260)</f>
        <v/>
      </c>
      <c r="P261" s="9">
        <f>$P$1*LN(F261/F260)</f>
        <v/>
      </c>
      <c r="Q261" s="9">
        <f>$Q$1*(G261-G260)</f>
        <v/>
      </c>
      <c r="R261" s="9">
        <f>$R$1*(H261-H260)</f>
        <v/>
      </c>
      <c r="S261" s="9">
        <f>$S$1*LN(I261/I260)</f>
        <v/>
      </c>
      <c r="T261" s="9">
        <f>$T$1*LN(J261/J260)</f>
        <v/>
      </c>
      <c r="U261" s="9">
        <f>$W$12+$W$4*M261+$W$5*N261+$W$6*O261+$W$7*P261+$W$8*Q261+$W$9*R261+$W$10*S261+$W$11*T261</f>
        <v/>
      </c>
      <c r="AA261" s="10">
        <f>INDEX(LINEST(L202:L261,M202:T261,TRUE,TRUE),1,9)*12</f>
        <v/>
      </c>
      <c r="AB261" s="9">
        <f>INDEX(LINEST(L202:L261,M202:T261,TRUE,TRUE),1,8)</f>
        <v/>
      </c>
      <c r="AC261" s="9">
        <f>INDEX(LINEST(L202:L261,M202:T261,TRUE,TRUE),1,7)</f>
        <v/>
      </c>
      <c r="AD261" s="9">
        <f>INDEX(LINEST(L202:L261,M202:T261,TRUE,TRUE),1,6)</f>
        <v/>
      </c>
      <c r="AE261" s="9">
        <f>INDEX(LINEST(L202:L261,M202:T261,TRUE,TRUE),1,5)</f>
        <v/>
      </c>
      <c r="AF261" s="9">
        <f>INDEX(LINEST(L202:L261,M202:T261,TRUE,TRUE),1,4)</f>
        <v/>
      </c>
      <c r="AG261" s="9">
        <f>INDEX(LINEST(L202:L261,M202:T261,TRUE,TRUE),1,3)</f>
        <v/>
      </c>
      <c r="AH261" s="9">
        <f>INDEX(LINEST(L202:L261,M202:T261,TRUE,TRUE),1,2)</f>
        <v/>
      </c>
      <c r="AI261" s="9">
        <f>INDEX(LINEST(L202:L261,M202:T261,TRUE,TRUE),1,1)</f>
        <v/>
      </c>
      <c r="AJ261" s="10">
        <f>INDEX(LINEST(L202:L261,M202:T261,TRUE,TRUE),3,1)</f>
        <v/>
      </c>
      <c r="AK261" s="9">
        <f>AA260/12+AB260*M261+AC260*N261+AD260*O261+AE260*P261+AF260*Q261+AG260*R261+AH260*S261+AI260*T261</f>
        <v/>
      </c>
      <c r="AL261" s="9">
        <f>AVERAGE(L201:L260)</f>
        <v/>
      </c>
    </row>
    <row r="262">
      <c r="L262" s="9">
        <f>LN(B262/B261)</f>
        <v/>
      </c>
      <c r="M262" s="9">
        <f>$M$1*(C262-C261)</f>
        <v/>
      </c>
      <c r="N262" s="9">
        <f>$N$1*(D262-D261)</f>
        <v/>
      </c>
      <c r="O262" s="9">
        <f>$O$1*LN(E262/E261)</f>
        <v/>
      </c>
      <c r="P262" s="9">
        <f>$P$1*LN(F262/F261)</f>
        <v/>
      </c>
      <c r="Q262" s="9">
        <f>$Q$1*(G262-G261)</f>
        <v/>
      </c>
      <c r="R262" s="9">
        <f>$R$1*(H262-H261)</f>
        <v/>
      </c>
      <c r="S262" s="9">
        <f>$S$1*LN(I262/I261)</f>
        <v/>
      </c>
      <c r="T262" s="9">
        <f>$T$1*LN(J262/J261)</f>
        <v/>
      </c>
      <c r="U262" s="9">
        <f>$W$12+$W$4*M262+$W$5*N262+$W$6*O262+$W$7*P262+$W$8*Q262+$W$9*R262+$W$10*S262+$W$11*T262</f>
        <v/>
      </c>
      <c r="AA262" s="10">
        <f>INDEX(LINEST(L203:L262,M203:T262,TRUE,TRUE),1,9)*12</f>
        <v/>
      </c>
      <c r="AB262" s="9">
        <f>INDEX(LINEST(L203:L262,M203:T262,TRUE,TRUE),1,8)</f>
        <v/>
      </c>
      <c r="AC262" s="9">
        <f>INDEX(LINEST(L203:L262,M203:T262,TRUE,TRUE),1,7)</f>
        <v/>
      </c>
      <c r="AD262" s="9">
        <f>INDEX(LINEST(L203:L262,M203:T262,TRUE,TRUE),1,6)</f>
        <v/>
      </c>
      <c r="AE262" s="9">
        <f>INDEX(LINEST(L203:L262,M203:T262,TRUE,TRUE),1,5)</f>
        <v/>
      </c>
      <c r="AF262" s="9">
        <f>INDEX(LINEST(L203:L262,M203:T262,TRUE,TRUE),1,4)</f>
        <v/>
      </c>
      <c r="AG262" s="9">
        <f>INDEX(LINEST(L203:L262,M203:T262,TRUE,TRUE),1,3)</f>
        <v/>
      </c>
      <c r="AH262" s="9">
        <f>INDEX(LINEST(L203:L262,M203:T262,TRUE,TRUE),1,2)</f>
        <v/>
      </c>
      <c r="AI262" s="9">
        <f>INDEX(LINEST(L203:L262,M203:T262,TRUE,TRUE),1,1)</f>
        <v/>
      </c>
      <c r="AJ262" s="10">
        <f>INDEX(LINEST(L203:L262,M203:T262,TRUE,TRUE),3,1)</f>
        <v/>
      </c>
      <c r="AK262" s="9">
        <f>AA261/12+AB261*M262+AC261*N262+AD261*O262+AE261*P262+AF261*Q262+AG261*R262+AH261*S262+AI261*T262</f>
        <v/>
      </c>
      <c r="AL262" s="9">
        <f>AVERAGE(L202:L261)</f>
        <v/>
      </c>
    </row>
    <row r="263">
      <c r="L263" s="9">
        <f>LN(B263/B262)</f>
        <v/>
      </c>
      <c r="M263" s="9">
        <f>$M$1*(C263-C262)</f>
        <v/>
      </c>
      <c r="N263" s="9">
        <f>$N$1*(D263-D262)</f>
        <v/>
      </c>
      <c r="O263" s="9">
        <f>$O$1*LN(E263/E262)</f>
        <v/>
      </c>
      <c r="P263" s="9">
        <f>$P$1*LN(F263/F262)</f>
        <v/>
      </c>
      <c r="Q263" s="9">
        <f>$Q$1*(G263-G262)</f>
        <v/>
      </c>
      <c r="R263" s="9">
        <f>$R$1*(H263-H262)</f>
        <v/>
      </c>
      <c r="S263" s="9">
        <f>$S$1*LN(I263/I262)</f>
        <v/>
      </c>
      <c r="T263" s="9">
        <f>$T$1*LN(J263/J262)</f>
        <v/>
      </c>
      <c r="U263" s="9">
        <f>$W$12+$W$4*M263+$W$5*N263+$W$6*O263+$W$7*P263+$W$8*Q263+$W$9*R263+$W$10*S263+$W$11*T263</f>
        <v/>
      </c>
      <c r="AA263" s="10">
        <f>INDEX(LINEST(L204:L263,M204:T263,TRUE,TRUE),1,9)*12</f>
        <v/>
      </c>
      <c r="AB263" s="9">
        <f>INDEX(LINEST(L204:L263,M204:T263,TRUE,TRUE),1,8)</f>
        <v/>
      </c>
      <c r="AC263" s="9">
        <f>INDEX(LINEST(L204:L263,M204:T263,TRUE,TRUE),1,7)</f>
        <v/>
      </c>
      <c r="AD263" s="9">
        <f>INDEX(LINEST(L204:L263,M204:T263,TRUE,TRUE),1,6)</f>
        <v/>
      </c>
      <c r="AE263" s="9">
        <f>INDEX(LINEST(L204:L263,M204:T263,TRUE,TRUE),1,5)</f>
        <v/>
      </c>
      <c r="AF263" s="9">
        <f>INDEX(LINEST(L204:L263,M204:T263,TRUE,TRUE),1,4)</f>
        <v/>
      </c>
      <c r="AG263" s="9">
        <f>INDEX(LINEST(L204:L263,M204:T263,TRUE,TRUE),1,3)</f>
        <v/>
      </c>
      <c r="AH263" s="9">
        <f>INDEX(LINEST(L204:L263,M204:T263,TRUE,TRUE),1,2)</f>
        <v/>
      </c>
      <c r="AI263" s="9">
        <f>INDEX(LINEST(L204:L263,M204:T263,TRUE,TRUE),1,1)</f>
        <v/>
      </c>
      <c r="AJ263" s="10">
        <f>INDEX(LINEST(L204:L263,M204:T263,TRUE,TRUE),3,1)</f>
        <v/>
      </c>
      <c r="AK263" s="9">
        <f>AA262/12+AB262*M263+AC262*N263+AD262*O263+AE262*P263+AF262*Q263+AG262*R263+AH262*S263+AI262*T263</f>
        <v/>
      </c>
      <c r="AL263" s="9">
        <f>AVERAGE(L203:L262)</f>
        <v/>
      </c>
    </row>
    <row r="264">
      <c r="L264" s="9">
        <f>LN(B264/B263)</f>
        <v/>
      </c>
      <c r="M264" s="9">
        <f>$M$1*(C264-C263)</f>
        <v/>
      </c>
      <c r="N264" s="9">
        <f>$N$1*(D264-D263)</f>
        <v/>
      </c>
      <c r="O264" s="9">
        <f>$O$1*LN(E264/E263)</f>
        <v/>
      </c>
      <c r="P264" s="9">
        <f>$P$1*LN(F264/F263)</f>
        <v/>
      </c>
      <c r="Q264" s="9">
        <f>$Q$1*(G264-G263)</f>
        <v/>
      </c>
      <c r="R264" s="9">
        <f>$R$1*(H264-H263)</f>
        <v/>
      </c>
      <c r="S264" s="9">
        <f>$S$1*LN(I264/I263)</f>
        <v/>
      </c>
      <c r="T264" s="9">
        <f>$T$1*LN(J264/J263)</f>
        <v/>
      </c>
      <c r="U264" s="9">
        <f>$W$12+$W$4*M264+$W$5*N264+$W$6*O264+$W$7*P264+$W$8*Q264+$W$9*R264+$W$10*S264+$W$11*T264</f>
        <v/>
      </c>
      <c r="AA264" s="10">
        <f>INDEX(LINEST(L205:L264,M205:T264,TRUE,TRUE),1,9)*12</f>
        <v/>
      </c>
      <c r="AB264" s="9">
        <f>INDEX(LINEST(L205:L264,M205:T264,TRUE,TRUE),1,8)</f>
        <v/>
      </c>
      <c r="AC264" s="9">
        <f>INDEX(LINEST(L205:L264,M205:T264,TRUE,TRUE),1,7)</f>
        <v/>
      </c>
      <c r="AD264" s="9">
        <f>INDEX(LINEST(L205:L264,M205:T264,TRUE,TRUE),1,6)</f>
        <v/>
      </c>
      <c r="AE264" s="9">
        <f>INDEX(LINEST(L205:L264,M205:T264,TRUE,TRUE),1,5)</f>
        <v/>
      </c>
      <c r="AF264" s="9">
        <f>INDEX(LINEST(L205:L264,M205:T264,TRUE,TRUE),1,4)</f>
        <v/>
      </c>
      <c r="AG264" s="9">
        <f>INDEX(LINEST(L205:L264,M205:T264,TRUE,TRUE),1,3)</f>
        <v/>
      </c>
      <c r="AH264" s="9">
        <f>INDEX(LINEST(L205:L264,M205:T264,TRUE,TRUE),1,2)</f>
        <v/>
      </c>
      <c r="AI264" s="9">
        <f>INDEX(LINEST(L205:L264,M205:T264,TRUE,TRUE),1,1)</f>
        <v/>
      </c>
      <c r="AJ264" s="10">
        <f>INDEX(LINEST(L205:L264,M205:T264,TRUE,TRUE),3,1)</f>
        <v/>
      </c>
      <c r="AK264" s="9">
        <f>AA263/12+AB263*M264+AC263*N264+AD263*O264+AE263*P264+AF263*Q264+AG263*R264+AH263*S264+AI263*T264</f>
        <v/>
      </c>
      <c r="AL264" s="9">
        <f>AVERAGE(L204:L263)</f>
        <v/>
      </c>
    </row>
    <row r="265">
      <c r="L265" s="9">
        <f>LN(B265/B264)</f>
        <v/>
      </c>
      <c r="M265" s="9">
        <f>$M$1*(C265-C264)</f>
        <v/>
      </c>
      <c r="N265" s="9">
        <f>$N$1*(D265-D264)</f>
        <v/>
      </c>
      <c r="O265" s="9">
        <f>$O$1*LN(E265/E264)</f>
        <v/>
      </c>
      <c r="P265" s="9">
        <f>$P$1*LN(F265/F264)</f>
        <v/>
      </c>
      <c r="Q265" s="9">
        <f>$Q$1*(G265-G264)</f>
        <v/>
      </c>
      <c r="R265" s="9">
        <f>$R$1*(H265-H264)</f>
        <v/>
      </c>
      <c r="S265" s="9">
        <f>$S$1*LN(I265/I264)</f>
        <v/>
      </c>
      <c r="T265" s="9">
        <f>$T$1*LN(J265/J264)</f>
        <v/>
      </c>
      <c r="U265" s="9">
        <f>$W$12+$W$4*M265+$W$5*N265+$W$6*O265+$W$7*P265+$W$8*Q265+$W$9*R265+$W$10*S265+$W$11*T265</f>
        <v/>
      </c>
      <c r="AA265" s="10">
        <f>INDEX(LINEST(L206:L265,M206:T265,TRUE,TRUE),1,9)*12</f>
        <v/>
      </c>
      <c r="AB265" s="9">
        <f>INDEX(LINEST(L206:L265,M206:T265,TRUE,TRUE),1,8)</f>
        <v/>
      </c>
      <c r="AC265" s="9">
        <f>INDEX(LINEST(L206:L265,M206:T265,TRUE,TRUE),1,7)</f>
        <v/>
      </c>
      <c r="AD265" s="9">
        <f>INDEX(LINEST(L206:L265,M206:T265,TRUE,TRUE),1,6)</f>
        <v/>
      </c>
      <c r="AE265" s="9">
        <f>INDEX(LINEST(L206:L265,M206:T265,TRUE,TRUE),1,5)</f>
        <v/>
      </c>
      <c r="AF265" s="9">
        <f>INDEX(LINEST(L206:L265,M206:T265,TRUE,TRUE),1,4)</f>
        <v/>
      </c>
      <c r="AG265" s="9">
        <f>INDEX(LINEST(L206:L265,M206:T265,TRUE,TRUE),1,3)</f>
        <v/>
      </c>
      <c r="AH265" s="9">
        <f>INDEX(LINEST(L206:L265,M206:T265,TRUE,TRUE),1,2)</f>
        <v/>
      </c>
      <c r="AI265" s="9">
        <f>INDEX(LINEST(L206:L265,M206:T265,TRUE,TRUE),1,1)</f>
        <v/>
      </c>
      <c r="AJ265" s="10">
        <f>INDEX(LINEST(L206:L265,M206:T265,TRUE,TRUE),3,1)</f>
        <v/>
      </c>
      <c r="AK265" s="9">
        <f>AA264/12+AB264*M265+AC264*N265+AD264*O265+AE264*P265+AF264*Q265+AG264*R265+AH264*S265+AI264*T265</f>
        <v/>
      </c>
      <c r="AL265" s="9">
        <f>AVERAGE(L205:L264)</f>
        <v/>
      </c>
    </row>
    <row r="266">
      <c r="L266" s="9">
        <f>LN(B266/B265)</f>
        <v/>
      </c>
      <c r="M266" s="9">
        <f>$M$1*(C266-C265)</f>
        <v/>
      </c>
      <c r="N266" s="9">
        <f>$N$1*(D266-D265)</f>
        <v/>
      </c>
      <c r="O266" s="9">
        <f>$O$1*LN(E266/E265)</f>
        <v/>
      </c>
      <c r="P266" s="9">
        <f>$P$1*LN(F266/F265)</f>
        <v/>
      </c>
      <c r="Q266" s="9">
        <f>$Q$1*(G266-G265)</f>
        <v/>
      </c>
      <c r="R266" s="9">
        <f>$R$1*(H266-H265)</f>
        <v/>
      </c>
      <c r="S266" s="9">
        <f>$S$1*LN(I266/I265)</f>
        <v/>
      </c>
      <c r="T266" s="9">
        <f>$T$1*LN(J266/J265)</f>
        <v/>
      </c>
      <c r="U266" s="9">
        <f>$W$12+$W$4*M266+$W$5*N266+$W$6*O266+$W$7*P266+$W$8*Q266+$W$9*R266+$W$10*S266+$W$11*T266</f>
        <v/>
      </c>
      <c r="AA266" s="10">
        <f>INDEX(LINEST(L207:L266,M207:T266,TRUE,TRUE),1,9)*12</f>
        <v/>
      </c>
      <c r="AB266" s="9">
        <f>INDEX(LINEST(L207:L266,M207:T266,TRUE,TRUE),1,8)</f>
        <v/>
      </c>
      <c r="AC266" s="9">
        <f>INDEX(LINEST(L207:L266,M207:T266,TRUE,TRUE),1,7)</f>
        <v/>
      </c>
      <c r="AD266" s="9">
        <f>INDEX(LINEST(L207:L266,M207:T266,TRUE,TRUE),1,6)</f>
        <v/>
      </c>
      <c r="AE266" s="9">
        <f>INDEX(LINEST(L207:L266,M207:T266,TRUE,TRUE),1,5)</f>
        <v/>
      </c>
      <c r="AF266" s="9">
        <f>INDEX(LINEST(L207:L266,M207:T266,TRUE,TRUE),1,4)</f>
        <v/>
      </c>
      <c r="AG266" s="9">
        <f>INDEX(LINEST(L207:L266,M207:T266,TRUE,TRUE),1,3)</f>
        <v/>
      </c>
      <c r="AH266" s="9">
        <f>INDEX(LINEST(L207:L266,M207:T266,TRUE,TRUE),1,2)</f>
        <v/>
      </c>
      <c r="AI266" s="9">
        <f>INDEX(LINEST(L207:L266,M207:T266,TRUE,TRUE),1,1)</f>
        <v/>
      </c>
      <c r="AJ266" s="10">
        <f>INDEX(LINEST(L207:L266,M207:T266,TRUE,TRUE),3,1)</f>
        <v/>
      </c>
      <c r="AK266" s="9">
        <f>AA265/12+AB265*M266+AC265*N266+AD265*O266+AE265*P266+AF265*Q266+AG265*R266+AH265*S266+AI265*T266</f>
        <v/>
      </c>
      <c r="AL266" s="9">
        <f>AVERAGE(L206:L265)</f>
        <v/>
      </c>
    </row>
    <row r="267">
      <c r="L267" s="9">
        <f>LN(B267/B266)</f>
        <v/>
      </c>
      <c r="M267" s="9">
        <f>$M$1*(C267-C266)</f>
        <v/>
      </c>
      <c r="N267" s="9">
        <f>$N$1*(D267-D266)</f>
        <v/>
      </c>
      <c r="O267" s="9">
        <f>$O$1*LN(E267/E266)</f>
        <v/>
      </c>
      <c r="P267" s="9">
        <f>$P$1*LN(F267/F266)</f>
        <v/>
      </c>
      <c r="Q267" s="9">
        <f>$Q$1*(G267-G266)</f>
        <v/>
      </c>
      <c r="R267" s="9">
        <f>$R$1*(H267-H266)</f>
        <v/>
      </c>
      <c r="S267" s="9">
        <f>$S$1*LN(I267/I266)</f>
        <v/>
      </c>
      <c r="T267" s="9">
        <f>$T$1*LN(J267/J266)</f>
        <v/>
      </c>
      <c r="U267" s="9">
        <f>$W$12+$W$4*M267+$W$5*N267+$W$6*O267+$W$7*P267+$W$8*Q267+$W$9*R267+$W$10*S267+$W$11*T267</f>
        <v/>
      </c>
      <c r="AA267" s="10">
        <f>INDEX(LINEST(L208:L267,M208:T267,TRUE,TRUE),1,9)*12</f>
        <v/>
      </c>
      <c r="AB267" s="9">
        <f>INDEX(LINEST(L208:L267,M208:T267,TRUE,TRUE),1,8)</f>
        <v/>
      </c>
      <c r="AC267" s="9">
        <f>INDEX(LINEST(L208:L267,M208:T267,TRUE,TRUE),1,7)</f>
        <v/>
      </c>
      <c r="AD267" s="9">
        <f>INDEX(LINEST(L208:L267,M208:T267,TRUE,TRUE),1,6)</f>
        <v/>
      </c>
      <c r="AE267" s="9">
        <f>INDEX(LINEST(L208:L267,M208:T267,TRUE,TRUE),1,5)</f>
        <v/>
      </c>
      <c r="AF267" s="9">
        <f>INDEX(LINEST(L208:L267,M208:T267,TRUE,TRUE),1,4)</f>
        <v/>
      </c>
      <c r="AG267" s="9">
        <f>INDEX(LINEST(L208:L267,M208:T267,TRUE,TRUE),1,3)</f>
        <v/>
      </c>
      <c r="AH267" s="9">
        <f>INDEX(LINEST(L208:L267,M208:T267,TRUE,TRUE),1,2)</f>
        <v/>
      </c>
      <c r="AI267" s="9">
        <f>INDEX(LINEST(L208:L267,M208:T267,TRUE,TRUE),1,1)</f>
        <v/>
      </c>
      <c r="AJ267" s="10">
        <f>INDEX(LINEST(L208:L267,M208:T267,TRUE,TRUE),3,1)</f>
        <v/>
      </c>
      <c r="AK267" s="9">
        <f>AA266/12+AB266*M267+AC266*N267+AD266*O267+AE266*P267+AF266*Q267+AG266*R267+AH266*S267+AI266*T267</f>
        <v/>
      </c>
      <c r="AL267" s="9">
        <f>AVERAGE(L207:L266)</f>
        <v/>
      </c>
    </row>
    <row r="268">
      <c r="L268" s="9">
        <f>LN(B268/B267)</f>
        <v/>
      </c>
      <c r="M268" s="9">
        <f>$M$1*(C268-C267)</f>
        <v/>
      </c>
      <c r="N268" s="9">
        <f>$N$1*(D268-D267)</f>
        <v/>
      </c>
      <c r="O268" s="9">
        <f>$O$1*LN(E268/E267)</f>
        <v/>
      </c>
      <c r="P268" s="9">
        <f>$P$1*LN(F268/F267)</f>
        <v/>
      </c>
      <c r="Q268" s="9">
        <f>$Q$1*(G268-G267)</f>
        <v/>
      </c>
      <c r="R268" s="9">
        <f>$R$1*(H268-H267)</f>
        <v/>
      </c>
      <c r="S268" s="9">
        <f>$S$1*LN(I268/I267)</f>
        <v/>
      </c>
      <c r="T268" s="9">
        <f>$T$1*LN(J268/J267)</f>
        <v/>
      </c>
      <c r="U268" s="9">
        <f>$W$12+$W$4*M268+$W$5*N268+$W$6*O268+$W$7*P268+$W$8*Q268+$W$9*R268+$W$10*S268+$W$11*T268</f>
        <v/>
      </c>
      <c r="AA268" s="10">
        <f>INDEX(LINEST(L209:L268,M209:T268,TRUE,TRUE),1,9)*12</f>
        <v/>
      </c>
      <c r="AB268" s="9">
        <f>INDEX(LINEST(L209:L268,M209:T268,TRUE,TRUE),1,8)</f>
        <v/>
      </c>
      <c r="AC268" s="9">
        <f>INDEX(LINEST(L209:L268,M209:T268,TRUE,TRUE),1,7)</f>
        <v/>
      </c>
      <c r="AD268" s="9">
        <f>INDEX(LINEST(L209:L268,M209:T268,TRUE,TRUE),1,6)</f>
        <v/>
      </c>
      <c r="AE268" s="9">
        <f>INDEX(LINEST(L209:L268,M209:T268,TRUE,TRUE),1,5)</f>
        <v/>
      </c>
      <c r="AF268" s="9">
        <f>INDEX(LINEST(L209:L268,M209:T268,TRUE,TRUE),1,4)</f>
        <v/>
      </c>
      <c r="AG268" s="9">
        <f>INDEX(LINEST(L209:L268,M209:T268,TRUE,TRUE),1,3)</f>
        <v/>
      </c>
      <c r="AH268" s="9">
        <f>INDEX(LINEST(L209:L268,M209:T268,TRUE,TRUE),1,2)</f>
        <v/>
      </c>
      <c r="AI268" s="9">
        <f>INDEX(LINEST(L209:L268,M209:T268,TRUE,TRUE),1,1)</f>
        <v/>
      </c>
      <c r="AJ268" s="10">
        <f>INDEX(LINEST(L209:L268,M209:T268,TRUE,TRUE),3,1)</f>
        <v/>
      </c>
      <c r="AK268" s="9">
        <f>AA267/12+AB267*M268+AC267*N268+AD267*O268+AE267*P268+AF267*Q268+AG267*R268+AH267*S268+AI267*T268</f>
        <v/>
      </c>
      <c r="AL268" s="9">
        <f>AVERAGE(L208:L267)</f>
        <v/>
      </c>
    </row>
    <row r="269">
      <c r="L269" s="9">
        <f>LN(B269/B268)</f>
        <v/>
      </c>
      <c r="M269" s="9">
        <f>$M$1*(C269-C268)</f>
        <v/>
      </c>
      <c r="N269" s="9">
        <f>$N$1*(D269-D268)</f>
        <v/>
      </c>
      <c r="O269" s="9">
        <f>$O$1*LN(E269/E268)</f>
        <v/>
      </c>
      <c r="P269" s="9">
        <f>$P$1*LN(F269/F268)</f>
        <v/>
      </c>
      <c r="Q269" s="9">
        <f>$Q$1*(G269-G268)</f>
        <v/>
      </c>
      <c r="R269" s="9">
        <f>$R$1*(H269-H268)</f>
        <v/>
      </c>
      <c r="S269" s="9">
        <f>$S$1*LN(I269/I268)</f>
        <v/>
      </c>
      <c r="T269" s="9">
        <f>$T$1*LN(J269/J268)</f>
        <v/>
      </c>
      <c r="U269" s="9">
        <f>$W$12+$W$4*M269+$W$5*N269+$W$6*O269+$W$7*P269+$W$8*Q269+$W$9*R269+$W$10*S269+$W$11*T269</f>
        <v/>
      </c>
      <c r="AA269" s="10">
        <f>INDEX(LINEST(L210:L269,M210:T269,TRUE,TRUE),1,9)*12</f>
        <v/>
      </c>
      <c r="AB269" s="9">
        <f>INDEX(LINEST(L210:L269,M210:T269,TRUE,TRUE),1,8)</f>
        <v/>
      </c>
      <c r="AC269" s="9">
        <f>INDEX(LINEST(L210:L269,M210:T269,TRUE,TRUE),1,7)</f>
        <v/>
      </c>
      <c r="AD269" s="9">
        <f>INDEX(LINEST(L210:L269,M210:T269,TRUE,TRUE),1,6)</f>
        <v/>
      </c>
      <c r="AE269" s="9">
        <f>INDEX(LINEST(L210:L269,M210:T269,TRUE,TRUE),1,5)</f>
        <v/>
      </c>
      <c r="AF269" s="9">
        <f>INDEX(LINEST(L210:L269,M210:T269,TRUE,TRUE),1,4)</f>
        <v/>
      </c>
      <c r="AG269" s="9">
        <f>INDEX(LINEST(L210:L269,M210:T269,TRUE,TRUE),1,3)</f>
        <v/>
      </c>
      <c r="AH269" s="9">
        <f>INDEX(LINEST(L210:L269,M210:T269,TRUE,TRUE),1,2)</f>
        <v/>
      </c>
      <c r="AI269" s="9">
        <f>INDEX(LINEST(L210:L269,M210:T269,TRUE,TRUE),1,1)</f>
        <v/>
      </c>
      <c r="AJ269" s="10">
        <f>INDEX(LINEST(L210:L269,M210:T269,TRUE,TRUE),3,1)</f>
        <v/>
      </c>
      <c r="AK269" s="9">
        <f>AA268/12+AB268*M269+AC268*N269+AD268*O269+AE268*P269+AF268*Q269+AG268*R269+AH268*S269+AI268*T269</f>
        <v/>
      </c>
      <c r="AL269" s="9">
        <f>AVERAGE(L209:L268)</f>
        <v/>
      </c>
    </row>
    <row r="270">
      <c r="L270" s="9">
        <f>LN(B270/B269)</f>
        <v/>
      </c>
      <c r="M270" s="9">
        <f>$M$1*(C270-C269)</f>
        <v/>
      </c>
      <c r="N270" s="9">
        <f>$N$1*(D270-D269)</f>
        <v/>
      </c>
      <c r="O270" s="9">
        <f>$O$1*LN(E270/E269)</f>
        <v/>
      </c>
      <c r="P270" s="9">
        <f>$P$1*LN(F270/F269)</f>
        <v/>
      </c>
      <c r="Q270" s="9">
        <f>$Q$1*(G270-G269)</f>
        <v/>
      </c>
      <c r="R270" s="9">
        <f>$R$1*(H270-H269)</f>
        <v/>
      </c>
      <c r="S270" s="9">
        <f>$S$1*LN(I270/I269)</f>
        <v/>
      </c>
      <c r="T270" s="9">
        <f>$T$1*LN(J270/J269)</f>
        <v/>
      </c>
      <c r="U270" s="9">
        <f>$W$12+$W$4*M270+$W$5*N270+$W$6*O270+$W$7*P270+$W$8*Q270+$W$9*R270+$W$10*S270+$W$11*T270</f>
        <v/>
      </c>
      <c r="AA270" s="10">
        <f>INDEX(LINEST(L211:L270,M211:T270,TRUE,TRUE),1,9)*12</f>
        <v/>
      </c>
      <c r="AB270" s="9">
        <f>INDEX(LINEST(L211:L270,M211:T270,TRUE,TRUE),1,8)</f>
        <v/>
      </c>
      <c r="AC270" s="9">
        <f>INDEX(LINEST(L211:L270,M211:T270,TRUE,TRUE),1,7)</f>
        <v/>
      </c>
      <c r="AD270" s="9">
        <f>INDEX(LINEST(L211:L270,M211:T270,TRUE,TRUE),1,6)</f>
        <v/>
      </c>
      <c r="AE270" s="9">
        <f>INDEX(LINEST(L211:L270,M211:T270,TRUE,TRUE),1,5)</f>
        <v/>
      </c>
      <c r="AF270" s="9">
        <f>INDEX(LINEST(L211:L270,M211:T270,TRUE,TRUE),1,4)</f>
        <v/>
      </c>
      <c r="AG270" s="9">
        <f>INDEX(LINEST(L211:L270,M211:T270,TRUE,TRUE),1,3)</f>
        <v/>
      </c>
      <c r="AH270" s="9">
        <f>INDEX(LINEST(L211:L270,M211:T270,TRUE,TRUE),1,2)</f>
        <v/>
      </c>
      <c r="AI270" s="9">
        <f>INDEX(LINEST(L211:L270,M211:T270,TRUE,TRUE),1,1)</f>
        <v/>
      </c>
      <c r="AJ270" s="10">
        <f>INDEX(LINEST(L211:L270,M211:T270,TRUE,TRUE),3,1)</f>
        <v/>
      </c>
      <c r="AK270" s="9">
        <f>AA269/12+AB269*M270+AC269*N270+AD269*O270+AE269*P270+AF269*Q270+AG269*R270+AH269*S270+AI269*T270</f>
        <v/>
      </c>
      <c r="AL270" s="9">
        <f>AVERAGE(L210:L269)</f>
        <v/>
      </c>
    </row>
    <row r="271">
      <c r="L271" s="9">
        <f>LN(B271/B270)</f>
        <v/>
      </c>
      <c r="M271" s="9">
        <f>$M$1*(C271-C270)</f>
        <v/>
      </c>
      <c r="N271" s="9">
        <f>$N$1*(D271-D270)</f>
        <v/>
      </c>
      <c r="O271" s="9">
        <f>$O$1*LN(E271/E270)</f>
        <v/>
      </c>
      <c r="P271" s="9">
        <f>$P$1*LN(F271/F270)</f>
        <v/>
      </c>
      <c r="Q271" s="9">
        <f>$Q$1*(G271-G270)</f>
        <v/>
      </c>
      <c r="R271" s="9">
        <f>$R$1*(H271-H270)</f>
        <v/>
      </c>
      <c r="S271" s="9">
        <f>$S$1*LN(I271/I270)</f>
        <v/>
      </c>
      <c r="T271" s="9">
        <f>$T$1*LN(J271/J270)</f>
        <v/>
      </c>
      <c r="U271" s="9">
        <f>$W$12+$W$4*M271+$W$5*N271+$W$6*O271+$W$7*P271+$W$8*Q271+$W$9*R271+$W$10*S271+$W$11*T271</f>
        <v/>
      </c>
      <c r="AA271" s="10">
        <f>INDEX(LINEST(L212:L271,M212:T271,TRUE,TRUE),1,9)*12</f>
        <v/>
      </c>
      <c r="AB271" s="9">
        <f>INDEX(LINEST(L212:L271,M212:T271,TRUE,TRUE),1,8)</f>
        <v/>
      </c>
      <c r="AC271" s="9">
        <f>INDEX(LINEST(L212:L271,M212:T271,TRUE,TRUE),1,7)</f>
        <v/>
      </c>
      <c r="AD271" s="9">
        <f>INDEX(LINEST(L212:L271,M212:T271,TRUE,TRUE),1,6)</f>
        <v/>
      </c>
      <c r="AE271" s="9">
        <f>INDEX(LINEST(L212:L271,M212:T271,TRUE,TRUE),1,5)</f>
        <v/>
      </c>
      <c r="AF271" s="9">
        <f>INDEX(LINEST(L212:L271,M212:T271,TRUE,TRUE),1,4)</f>
        <v/>
      </c>
      <c r="AG271" s="9">
        <f>INDEX(LINEST(L212:L271,M212:T271,TRUE,TRUE),1,3)</f>
        <v/>
      </c>
      <c r="AH271" s="9">
        <f>INDEX(LINEST(L212:L271,M212:T271,TRUE,TRUE),1,2)</f>
        <v/>
      </c>
      <c r="AI271" s="9">
        <f>INDEX(LINEST(L212:L271,M212:T271,TRUE,TRUE),1,1)</f>
        <v/>
      </c>
      <c r="AJ271" s="10">
        <f>INDEX(LINEST(L212:L271,M212:T271,TRUE,TRUE),3,1)</f>
        <v/>
      </c>
      <c r="AK271" s="9">
        <f>AA270/12+AB270*M271+AC270*N271+AD270*O271+AE270*P271+AF270*Q271+AG270*R271+AH270*S271+AI270*T271</f>
        <v/>
      </c>
      <c r="AL271" s="9">
        <f>AVERAGE(L211:L270)</f>
        <v/>
      </c>
    </row>
    <row r="272">
      <c r="L272" s="9">
        <f>LN(B272/B271)</f>
        <v/>
      </c>
      <c r="M272" s="9">
        <f>$M$1*(C272-C271)</f>
        <v/>
      </c>
      <c r="N272" s="9">
        <f>$N$1*(D272-D271)</f>
        <v/>
      </c>
      <c r="O272" s="9">
        <f>$O$1*LN(E272/E271)</f>
        <v/>
      </c>
      <c r="P272" s="9">
        <f>$P$1*LN(F272/F271)</f>
        <v/>
      </c>
      <c r="Q272" s="9">
        <f>$Q$1*(G272-G271)</f>
        <v/>
      </c>
      <c r="R272" s="9">
        <f>$R$1*(H272-H271)</f>
        <v/>
      </c>
      <c r="S272" s="9">
        <f>$S$1*LN(I272/I271)</f>
        <v/>
      </c>
      <c r="T272" s="9">
        <f>$T$1*LN(J272/J271)</f>
        <v/>
      </c>
      <c r="U272" s="9">
        <f>$W$12+$W$4*M272+$W$5*N272+$W$6*O272+$W$7*P272+$W$8*Q272+$W$9*R272+$W$10*S272+$W$11*T272</f>
        <v/>
      </c>
      <c r="AA272" s="10">
        <f>INDEX(LINEST(L213:L272,M213:T272,TRUE,TRUE),1,9)*12</f>
        <v/>
      </c>
      <c r="AB272" s="9">
        <f>INDEX(LINEST(L213:L272,M213:T272,TRUE,TRUE),1,8)</f>
        <v/>
      </c>
      <c r="AC272" s="9">
        <f>INDEX(LINEST(L213:L272,M213:T272,TRUE,TRUE),1,7)</f>
        <v/>
      </c>
      <c r="AD272" s="9">
        <f>INDEX(LINEST(L213:L272,M213:T272,TRUE,TRUE),1,6)</f>
        <v/>
      </c>
      <c r="AE272" s="9">
        <f>INDEX(LINEST(L213:L272,M213:T272,TRUE,TRUE),1,5)</f>
        <v/>
      </c>
      <c r="AF272" s="9">
        <f>INDEX(LINEST(L213:L272,M213:T272,TRUE,TRUE),1,4)</f>
        <v/>
      </c>
      <c r="AG272" s="9">
        <f>INDEX(LINEST(L213:L272,M213:T272,TRUE,TRUE),1,3)</f>
        <v/>
      </c>
      <c r="AH272" s="9">
        <f>INDEX(LINEST(L213:L272,M213:T272,TRUE,TRUE),1,2)</f>
        <v/>
      </c>
      <c r="AI272" s="9">
        <f>INDEX(LINEST(L213:L272,M213:T272,TRUE,TRUE),1,1)</f>
        <v/>
      </c>
      <c r="AJ272" s="10">
        <f>INDEX(LINEST(L213:L272,M213:T272,TRUE,TRUE),3,1)</f>
        <v/>
      </c>
      <c r="AK272" s="9">
        <f>AA271/12+AB271*M272+AC271*N272+AD271*O272+AE271*P272+AF271*Q272+AG271*R272+AH271*S272+AI271*T272</f>
        <v/>
      </c>
      <c r="AL272" s="9">
        <f>AVERAGE(L212:L271)</f>
        <v/>
      </c>
    </row>
    <row r="273">
      <c r="L273" s="9">
        <f>LN(B273/B272)</f>
        <v/>
      </c>
      <c r="M273" s="9">
        <f>$M$1*(C273-C272)</f>
        <v/>
      </c>
      <c r="N273" s="9">
        <f>$N$1*(D273-D272)</f>
        <v/>
      </c>
      <c r="O273" s="9">
        <f>$O$1*LN(E273/E272)</f>
        <v/>
      </c>
      <c r="P273" s="9">
        <f>$P$1*LN(F273/F272)</f>
        <v/>
      </c>
      <c r="Q273" s="9">
        <f>$Q$1*(G273-G272)</f>
        <v/>
      </c>
      <c r="R273" s="9">
        <f>$R$1*(H273-H272)</f>
        <v/>
      </c>
      <c r="S273" s="9">
        <f>$S$1*LN(I273/I272)</f>
        <v/>
      </c>
      <c r="T273" s="9">
        <f>$T$1*LN(J273/J272)</f>
        <v/>
      </c>
      <c r="U273" s="9">
        <f>$W$12+$W$4*M273+$W$5*N273+$W$6*O273+$W$7*P273+$W$8*Q273+$W$9*R273+$W$10*S273+$W$11*T273</f>
        <v/>
      </c>
      <c r="AA273" s="10">
        <f>INDEX(LINEST(L214:L273,M214:T273,TRUE,TRUE),1,9)*12</f>
        <v/>
      </c>
      <c r="AB273" s="9">
        <f>INDEX(LINEST(L214:L273,M214:T273,TRUE,TRUE),1,8)</f>
        <v/>
      </c>
      <c r="AC273" s="9">
        <f>INDEX(LINEST(L214:L273,M214:T273,TRUE,TRUE),1,7)</f>
        <v/>
      </c>
      <c r="AD273" s="9">
        <f>INDEX(LINEST(L214:L273,M214:T273,TRUE,TRUE),1,6)</f>
        <v/>
      </c>
      <c r="AE273" s="9">
        <f>INDEX(LINEST(L214:L273,M214:T273,TRUE,TRUE),1,5)</f>
        <v/>
      </c>
      <c r="AF273" s="9">
        <f>INDEX(LINEST(L214:L273,M214:T273,TRUE,TRUE),1,4)</f>
        <v/>
      </c>
      <c r="AG273" s="9">
        <f>INDEX(LINEST(L214:L273,M214:T273,TRUE,TRUE),1,3)</f>
        <v/>
      </c>
      <c r="AH273" s="9">
        <f>INDEX(LINEST(L214:L273,M214:T273,TRUE,TRUE),1,2)</f>
        <v/>
      </c>
      <c r="AI273" s="9">
        <f>INDEX(LINEST(L214:L273,M214:T273,TRUE,TRUE),1,1)</f>
        <v/>
      </c>
      <c r="AJ273" s="10">
        <f>INDEX(LINEST(L214:L273,M214:T273,TRUE,TRUE),3,1)</f>
        <v/>
      </c>
      <c r="AK273" s="9">
        <f>AA272/12+AB272*M273+AC272*N273+AD272*O273+AE272*P273+AF272*Q273+AG272*R273+AH272*S273+AI272*T273</f>
        <v/>
      </c>
      <c r="AL273" s="9">
        <f>AVERAGE(L213:L272)</f>
        <v/>
      </c>
    </row>
    <row r="274">
      <c r="L274" s="9">
        <f>LN(B274/B273)</f>
        <v/>
      </c>
      <c r="M274" s="9">
        <f>$M$1*(C274-C273)</f>
        <v/>
      </c>
      <c r="N274" s="9">
        <f>$N$1*(D274-D273)</f>
        <v/>
      </c>
      <c r="O274" s="9">
        <f>$O$1*LN(E274/E273)</f>
        <v/>
      </c>
      <c r="P274" s="9">
        <f>$P$1*LN(F274/F273)</f>
        <v/>
      </c>
      <c r="Q274" s="9">
        <f>$Q$1*(G274-G273)</f>
        <v/>
      </c>
      <c r="R274" s="9">
        <f>$R$1*(H274-H273)</f>
        <v/>
      </c>
      <c r="S274" s="9">
        <f>$S$1*LN(I274/I273)</f>
        <v/>
      </c>
      <c r="T274" s="9">
        <f>$T$1*LN(J274/J273)</f>
        <v/>
      </c>
      <c r="U274" s="9">
        <f>$W$12+$W$4*M274+$W$5*N274+$W$6*O274+$W$7*P274+$W$8*Q274+$W$9*R274+$W$10*S274+$W$11*T274</f>
        <v/>
      </c>
      <c r="AA274" s="10">
        <f>INDEX(LINEST(L215:L274,M215:T274,TRUE,TRUE),1,9)*12</f>
        <v/>
      </c>
      <c r="AB274" s="9">
        <f>INDEX(LINEST(L215:L274,M215:T274,TRUE,TRUE),1,8)</f>
        <v/>
      </c>
      <c r="AC274" s="9">
        <f>INDEX(LINEST(L215:L274,M215:T274,TRUE,TRUE),1,7)</f>
        <v/>
      </c>
      <c r="AD274" s="9">
        <f>INDEX(LINEST(L215:L274,M215:T274,TRUE,TRUE),1,6)</f>
        <v/>
      </c>
      <c r="AE274" s="9">
        <f>INDEX(LINEST(L215:L274,M215:T274,TRUE,TRUE),1,5)</f>
        <v/>
      </c>
      <c r="AF274" s="9">
        <f>INDEX(LINEST(L215:L274,M215:T274,TRUE,TRUE),1,4)</f>
        <v/>
      </c>
      <c r="AG274" s="9">
        <f>INDEX(LINEST(L215:L274,M215:T274,TRUE,TRUE),1,3)</f>
        <v/>
      </c>
      <c r="AH274" s="9">
        <f>INDEX(LINEST(L215:L274,M215:T274,TRUE,TRUE),1,2)</f>
        <v/>
      </c>
      <c r="AI274" s="9">
        <f>INDEX(LINEST(L215:L274,M215:T274,TRUE,TRUE),1,1)</f>
        <v/>
      </c>
      <c r="AJ274" s="10">
        <f>INDEX(LINEST(L215:L274,M215:T274,TRUE,TRUE),3,1)</f>
        <v/>
      </c>
      <c r="AK274" s="9">
        <f>AA273/12+AB273*M274+AC273*N274+AD273*O274+AE273*P274+AF273*Q274+AG273*R274+AH273*S274+AI273*T274</f>
        <v/>
      </c>
      <c r="AL274" s="9">
        <f>AVERAGE(L214:L273)</f>
        <v/>
      </c>
    </row>
    <row r="275">
      <c r="L275" s="9">
        <f>LN(B275/B274)</f>
        <v/>
      </c>
      <c r="M275" s="9">
        <f>$M$1*(C275-C274)</f>
        <v/>
      </c>
      <c r="N275" s="9">
        <f>$N$1*(D275-D274)</f>
        <v/>
      </c>
      <c r="O275" s="9">
        <f>$O$1*LN(E275/E274)</f>
        <v/>
      </c>
      <c r="P275" s="9">
        <f>$P$1*LN(F275/F274)</f>
        <v/>
      </c>
      <c r="Q275" s="9">
        <f>$Q$1*(G275-G274)</f>
        <v/>
      </c>
      <c r="R275" s="9">
        <f>$R$1*(H275-H274)</f>
        <v/>
      </c>
      <c r="S275" s="9">
        <f>$S$1*LN(I275/I274)</f>
        <v/>
      </c>
      <c r="T275" s="9">
        <f>$T$1*LN(J275/J274)</f>
        <v/>
      </c>
      <c r="U275" s="9">
        <f>$W$12+$W$4*M275+$W$5*N275+$W$6*O275+$W$7*P275+$W$8*Q275+$W$9*R275+$W$10*S275+$W$11*T275</f>
        <v/>
      </c>
      <c r="AA275" s="10">
        <f>INDEX(LINEST(L216:L275,M216:T275,TRUE,TRUE),1,9)*12</f>
        <v/>
      </c>
      <c r="AB275" s="9">
        <f>INDEX(LINEST(L216:L275,M216:T275,TRUE,TRUE),1,8)</f>
        <v/>
      </c>
      <c r="AC275" s="9">
        <f>INDEX(LINEST(L216:L275,M216:T275,TRUE,TRUE),1,7)</f>
        <v/>
      </c>
      <c r="AD275" s="9">
        <f>INDEX(LINEST(L216:L275,M216:T275,TRUE,TRUE),1,6)</f>
        <v/>
      </c>
      <c r="AE275" s="9">
        <f>INDEX(LINEST(L216:L275,M216:T275,TRUE,TRUE),1,5)</f>
        <v/>
      </c>
      <c r="AF275" s="9">
        <f>INDEX(LINEST(L216:L275,M216:T275,TRUE,TRUE),1,4)</f>
        <v/>
      </c>
      <c r="AG275" s="9">
        <f>INDEX(LINEST(L216:L275,M216:T275,TRUE,TRUE),1,3)</f>
        <v/>
      </c>
      <c r="AH275" s="9">
        <f>INDEX(LINEST(L216:L275,M216:T275,TRUE,TRUE),1,2)</f>
        <v/>
      </c>
      <c r="AI275" s="9">
        <f>INDEX(LINEST(L216:L275,M216:T275,TRUE,TRUE),1,1)</f>
        <v/>
      </c>
      <c r="AJ275" s="10">
        <f>INDEX(LINEST(L216:L275,M216:T275,TRUE,TRUE),3,1)</f>
        <v/>
      </c>
      <c r="AK275" s="9">
        <f>AA274/12+AB274*M275+AC274*N275+AD274*O275+AE274*P275+AF274*Q275+AG274*R275+AH274*S275+AI274*T275</f>
        <v/>
      </c>
      <c r="AL275" s="9">
        <f>AVERAGE(L215:L274)</f>
        <v/>
      </c>
    </row>
    <row r="276">
      <c r="L276" s="9">
        <f>LN(B276/B275)</f>
        <v/>
      </c>
      <c r="M276" s="9">
        <f>$M$1*(C276-C275)</f>
        <v/>
      </c>
      <c r="N276" s="9">
        <f>$N$1*(D276-D275)</f>
        <v/>
      </c>
      <c r="O276" s="9">
        <f>$O$1*LN(E276/E275)</f>
        <v/>
      </c>
      <c r="P276" s="9">
        <f>$P$1*LN(F276/F275)</f>
        <v/>
      </c>
      <c r="Q276" s="9">
        <f>$Q$1*(G276-G275)</f>
        <v/>
      </c>
      <c r="R276" s="9">
        <f>$R$1*(H276-H275)</f>
        <v/>
      </c>
      <c r="S276" s="9">
        <f>$S$1*LN(I276/I275)</f>
        <v/>
      </c>
      <c r="T276" s="9">
        <f>$T$1*LN(J276/J275)</f>
        <v/>
      </c>
      <c r="U276" s="9">
        <f>$W$12+$W$4*M276+$W$5*N276+$W$6*O276+$W$7*P276+$W$8*Q276+$W$9*R276+$W$10*S276+$W$11*T276</f>
        <v/>
      </c>
      <c r="AA276" s="10">
        <f>INDEX(LINEST(L217:L276,M217:T276,TRUE,TRUE),1,9)*12</f>
        <v/>
      </c>
      <c r="AB276" s="9">
        <f>INDEX(LINEST(L217:L276,M217:T276,TRUE,TRUE),1,8)</f>
        <v/>
      </c>
      <c r="AC276" s="9">
        <f>INDEX(LINEST(L217:L276,M217:T276,TRUE,TRUE),1,7)</f>
        <v/>
      </c>
      <c r="AD276" s="9">
        <f>INDEX(LINEST(L217:L276,M217:T276,TRUE,TRUE),1,6)</f>
        <v/>
      </c>
      <c r="AE276" s="9">
        <f>INDEX(LINEST(L217:L276,M217:T276,TRUE,TRUE),1,5)</f>
        <v/>
      </c>
      <c r="AF276" s="9">
        <f>INDEX(LINEST(L217:L276,M217:T276,TRUE,TRUE),1,4)</f>
        <v/>
      </c>
      <c r="AG276" s="9">
        <f>INDEX(LINEST(L217:L276,M217:T276,TRUE,TRUE),1,3)</f>
        <v/>
      </c>
      <c r="AH276" s="9">
        <f>INDEX(LINEST(L217:L276,M217:T276,TRUE,TRUE),1,2)</f>
        <v/>
      </c>
      <c r="AI276" s="9">
        <f>INDEX(LINEST(L217:L276,M217:T276,TRUE,TRUE),1,1)</f>
        <v/>
      </c>
      <c r="AJ276" s="10">
        <f>INDEX(LINEST(L217:L276,M217:T276,TRUE,TRUE),3,1)</f>
        <v/>
      </c>
      <c r="AK276" s="9">
        <f>AA275/12+AB275*M276+AC275*N276+AD275*O276+AE275*P276+AF275*Q276+AG275*R276+AH275*S276+AI275*T276</f>
        <v/>
      </c>
      <c r="AL276" s="9">
        <f>AVERAGE(L216:L275)</f>
        <v/>
      </c>
    </row>
    <row r="277">
      <c r="L277" s="9">
        <f>LN(B277/B276)</f>
        <v/>
      </c>
      <c r="M277" s="9">
        <f>$M$1*(C277-C276)</f>
        <v/>
      </c>
      <c r="N277" s="9">
        <f>$N$1*(D277-D276)</f>
        <v/>
      </c>
      <c r="O277" s="9">
        <f>$O$1*LN(E277/E276)</f>
        <v/>
      </c>
      <c r="P277" s="9">
        <f>$P$1*LN(F277/F276)</f>
        <v/>
      </c>
      <c r="Q277" s="9">
        <f>$Q$1*(G277-G276)</f>
        <v/>
      </c>
      <c r="R277" s="9">
        <f>$R$1*(H277-H276)</f>
        <v/>
      </c>
      <c r="S277" s="9">
        <f>$S$1*LN(I277/I276)</f>
        <v/>
      </c>
      <c r="T277" s="9">
        <f>$T$1*LN(J277/J276)</f>
        <v/>
      </c>
      <c r="U277" s="9">
        <f>$W$12+$W$4*M277+$W$5*N277+$W$6*O277+$W$7*P277+$W$8*Q277+$W$9*R277+$W$10*S277+$W$11*T277</f>
        <v/>
      </c>
      <c r="AA277" s="10">
        <f>INDEX(LINEST(L218:L277,M218:T277,TRUE,TRUE),1,9)*12</f>
        <v/>
      </c>
      <c r="AB277" s="9">
        <f>INDEX(LINEST(L218:L277,M218:T277,TRUE,TRUE),1,8)</f>
        <v/>
      </c>
      <c r="AC277" s="9">
        <f>INDEX(LINEST(L218:L277,M218:T277,TRUE,TRUE),1,7)</f>
        <v/>
      </c>
      <c r="AD277" s="9">
        <f>INDEX(LINEST(L218:L277,M218:T277,TRUE,TRUE),1,6)</f>
        <v/>
      </c>
      <c r="AE277" s="9">
        <f>INDEX(LINEST(L218:L277,M218:T277,TRUE,TRUE),1,5)</f>
        <v/>
      </c>
      <c r="AF277" s="9">
        <f>INDEX(LINEST(L218:L277,M218:T277,TRUE,TRUE),1,4)</f>
        <v/>
      </c>
      <c r="AG277" s="9">
        <f>INDEX(LINEST(L218:L277,M218:T277,TRUE,TRUE),1,3)</f>
        <v/>
      </c>
      <c r="AH277" s="9">
        <f>INDEX(LINEST(L218:L277,M218:T277,TRUE,TRUE),1,2)</f>
        <v/>
      </c>
      <c r="AI277" s="9">
        <f>INDEX(LINEST(L218:L277,M218:T277,TRUE,TRUE),1,1)</f>
        <v/>
      </c>
      <c r="AJ277" s="10">
        <f>INDEX(LINEST(L218:L277,M218:T277,TRUE,TRUE),3,1)</f>
        <v/>
      </c>
      <c r="AK277" s="9">
        <f>AA276/12+AB276*M277+AC276*N277+AD276*O277+AE276*P277+AF276*Q277+AG276*R277+AH276*S277+AI276*T277</f>
        <v/>
      </c>
      <c r="AL277" s="9">
        <f>AVERAGE(L217:L276)</f>
        <v/>
      </c>
    </row>
    <row r="278">
      <c r="L278" s="9">
        <f>LN(B278/B277)</f>
        <v/>
      </c>
      <c r="M278" s="9">
        <f>$M$1*(C278-C277)</f>
        <v/>
      </c>
      <c r="N278" s="9">
        <f>$N$1*(D278-D277)</f>
        <v/>
      </c>
      <c r="O278" s="9">
        <f>$O$1*LN(E278/E277)</f>
        <v/>
      </c>
      <c r="P278" s="9">
        <f>$P$1*LN(F278/F277)</f>
        <v/>
      </c>
      <c r="Q278" s="9">
        <f>$Q$1*(G278-G277)</f>
        <v/>
      </c>
      <c r="R278" s="9">
        <f>$R$1*(H278-H277)</f>
        <v/>
      </c>
      <c r="S278" s="9">
        <f>$S$1*LN(I278/I277)</f>
        <v/>
      </c>
      <c r="T278" s="9">
        <f>$T$1*LN(J278/J277)</f>
        <v/>
      </c>
      <c r="U278" s="9">
        <f>$W$12+$W$4*M278+$W$5*N278+$W$6*O278+$W$7*P278+$W$8*Q278+$W$9*R278+$W$10*S278+$W$11*T278</f>
        <v/>
      </c>
      <c r="AA278" s="10">
        <f>INDEX(LINEST(L219:L278,M219:T278,TRUE,TRUE),1,9)*12</f>
        <v/>
      </c>
      <c r="AB278" s="9">
        <f>INDEX(LINEST(L219:L278,M219:T278,TRUE,TRUE),1,8)</f>
        <v/>
      </c>
      <c r="AC278" s="9">
        <f>INDEX(LINEST(L219:L278,M219:T278,TRUE,TRUE),1,7)</f>
        <v/>
      </c>
      <c r="AD278" s="9">
        <f>INDEX(LINEST(L219:L278,M219:T278,TRUE,TRUE),1,6)</f>
        <v/>
      </c>
      <c r="AE278" s="9">
        <f>INDEX(LINEST(L219:L278,M219:T278,TRUE,TRUE),1,5)</f>
        <v/>
      </c>
      <c r="AF278" s="9">
        <f>INDEX(LINEST(L219:L278,M219:T278,TRUE,TRUE),1,4)</f>
        <v/>
      </c>
      <c r="AG278" s="9">
        <f>INDEX(LINEST(L219:L278,M219:T278,TRUE,TRUE),1,3)</f>
        <v/>
      </c>
      <c r="AH278" s="9">
        <f>INDEX(LINEST(L219:L278,M219:T278,TRUE,TRUE),1,2)</f>
        <v/>
      </c>
      <c r="AI278" s="9">
        <f>INDEX(LINEST(L219:L278,M219:T278,TRUE,TRUE),1,1)</f>
        <v/>
      </c>
      <c r="AJ278" s="10">
        <f>INDEX(LINEST(L219:L278,M219:T278,TRUE,TRUE),3,1)</f>
        <v/>
      </c>
      <c r="AK278" s="9">
        <f>AA277/12+AB277*M278+AC277*N278+AD277*O278+AE277*P278+AF277*Q278+AG277*R278+AH277*S278+AI277*T278</f>
        <v/>
      </c>
      <c r="AL278" s="9">
        <f>AVERAGE(L218:L277)</f>
        <v/>
      </c>
    </row>
    <row r="279">
      <c r="L279" s="9">
        <f>LN(B279/B278)</f>
        <v/>
      </c>
      <c r="M279" s="9">
        <f>$M$1*(C279-C278)</f>
        <v/>
      </c>
      <c r="N279" s="9">
        <f>$N$1*(D279-D278)</f>
        <v/>
      </c>
      <c r="O279" s="9">
        <f>$O$1*LN(E279/E278)</f>
        <v/>
      </c>
      <c r="P279" s="9">
        <f>$P$1*LN(F279/F278)</f>
        <v/>
      </c>
      <c r="Q279" s="9">
        <f>$Q$1*(G279-G278)</f>
        <v/>
      </c>
      <c r="R279" s="9">
        <f>$R$1*(H279-H278)</f>
        <v/>
      </c>
      <c r="S279" s="9">
        <f>$S$1*LN(I279/I278)</f>
        <v/>
      </c>
      <c r="T279" s="9">
        <f>$T$1*LN(J279/J278)</f>
        <v/>
      </c>
      <c r="U279" s="9">
        <f>$W$12+$W$4*M279+$W$5*N279+$W$6*O279+$W$7*P279+$W$8*Q279+$W$9*R279+$W$10*S279+$W$11*T279</f>
        <v/>
      </c>
      <c r="AA279" s="10">
        <f>INDEX(LINEST(L220:L279,M220:T279,TRUE,TRUE),1,9)*12</f>
        <v/>
      </c>
      <c r="AB279" s="9">
        <f>INDEX(LINEST(L220:L279,M220:T279,TRUE,TRUE),1,8)</f>
        <v/>
      </c>
      <c r="AC279" s="9">
        <f>INDEX(LINEST(L220:L279,M220:T279,TRUE,TRUE),1,7)</f>
        <v/>
      </c>
      <c r="AD279" s="9">
        <f>INDEX(LINEST(L220:L279,M220:T279,TRUE,TRUE),1,6)</f>
        <v/>
      </c>
      <c r="AE279" s="9">
        <f>INDEX(LINEST(L220:L279,M220:T279,TRUE,TRUE),1,5)</f>
        <v/>
      </c>
      <c r="AF279" s="9">
        <f>INDEX(LINEST(L220:L279,M220:T279,TRUE,TRUE),1,4)</f>
        <v/>
      </c>
      <c r="AG279" s="9">
        <f>INDEX(LINEST(L220:L279,M220:T279,TRUE,TRUE),1,3)</f>
        <v/>
      </c>
      <c r="AH279" s="9">
        <f>INDEX(LINEST(L220:L279,M220:T279,TRUE,TRUE),1,2)</f>
        <v/>
      </c>
      <c r="AI279" s="9">
        <f>INDEX(LINEST(L220:L279,M220:T279,TRUE,TRUE),1,1)</f>
        <v/>
      </c>
      <c r="AJ279" s="10">
        <f>INDEX(LINEST(L220:L279,M220:T279,TRUE,TRUE),3,1)</f>
        <v/>
      </c>
      <c r="AK279" s="9">
        <f>AA278/12+AB278*M279+AC278*N279+AD278*O279+AE278*P279+AF278*Q279+AG278*R279+AH278*S279+AI278*T279</f>
        <v/>
      </c>
      <c r="AL279" s="9">
        <f>AVERAGE(L219:L278)</f>
        <v/>
      </c>
    </row>
    <row r="280">
      <c r="L280" s="9">
        <f>LN(B280/B279)</f>
        <v/>
      </c>
      <c r="M280" s="9">
        <f>$M$1*(C280-C279)</f>
        <v/>
      </c>
      <c r="N280" s="9">
        <f>$N$1*(D280-D279)</f>
        <v/>
      </c>
      <c r="O280" s="9">
        <f>$O$1*LN(E280/E279)</f>
        <v/>
      </c>
      <c r="P280" s="9">
        <f>$P$1*LN(F280/F279)</f>
        <v/>
      </c>
      <c r="Q280" s="9">
        <f>$Q$1*(G280-G279)</f>
        <v/>
      </c>
      <c r="R280" s="9">
        <f>$R$1*(H280-H279)</f>
        <v/>
      </c>
      <c r="S280" s="9">
        <f>$S$1*LN(I280/I279)</f>
        <v/>
      </c>
      <c r="T280" s="9">
        <f>$T$1*LN(J280/J279)</f>
        <v/>
      </c>
      <c r="U280" s="9">
        <f>$W$12+$W$4*M280+$W$5*N280+$W$6*O280+$W$7*P280+$W$8*Q280+$W$9*R280+$W$10*S280+$W$11*T280</f>
        <v/>
      </c>
      <c r="AA280" s="10">
        <f>INDEX(LINEST(L221:L280,M221:T280,TRUE,TRUE),1,9)*12</f>
        <v/>
      </c>
      <c r="AB280" s="9">
        <f>INDEX(LINEST(L221:L280,M221:T280,TRUE,TRUE),1,8)</f>
        <v/>
      </c>
      <c r="AC280" s="9">
        <f>INDEX(LINEST(L221:L280,M221:T280,TRUE,TRUE),1,7)</f>
        <v/>
      </c>
      <c r="AD280" s="9">
        <f>INDEX(LINEST(L221:L280,M221:T280,TRUE,TRUE),1,6)</f>
        <v/>
      </c>
      <c r="AE280" s="9">
        <f>INDEX(LINEST(L221:L280,M221:T280,TRUE,TRUE),1,5)</f>
        <v/>
      </c>
      <c r="AF280" s="9">
        <f>INDEX(LINEST(L221:L280,M221:T280,TRUE,TRUE),1,4)</f>
        <v/>
      </c>
      <c r="AG280" s="9">
        <f>INDEX(LINEST(L221:L280,M221:T280,TRUE,TRUE),1,3)</f>
        <v/>
      </c>
      <c r="AH280" s="9">
        <f>INDEX(LINEST(L221:L280,M221:T280,TRUE,TRUE),1,2)</f>
        <v/>
      </c>
      <c r="AI280" s="9">
        <f>INDEX(LINEST(L221:L280,M221:T280,TRUE,TRUE),1,1)</f>
        <v/>
      </c>
      <c r="AJ280" s="10">
        <f>INDEX(LINEST(L221:L280,M221:T280,TRUE,TRUE),3,1)</f>
        <v/>
      </c>
      <c r="AK280" s="9">
        <f>AA279/12+AB279*M280+AC279*N280+AD279*O280+AE279*P280+AF279*Q280+AG279*R280+AH279*S280+AI279*T280</f>
        <v/>
      </c>
      <c r="AL280" s="9">
        <f>AVERAGE(L220:L279)</f>
        <v/>
      </c>
    </row>
    <row r="281">
      <c r="L281" s="9">
        <f>LN(B281/B280)</f>
        <v/>
      </c>
      <c r="M281" s="9">
        <f>$M$1*(C281-C280)</f>
        <v/>
      </c>
      <c r="N281" s="9">
        <f>$N$1*(D281-D280)</f>
        <v/>
      </c>
      <c r="O281" s="9">
        <f>$O$1*LN(E281/E280)</f>
        <v/>
      </c>
      <c r="P281" s="9">
        <f>$P$1*LN(F281/F280)</f>
        <v/>
      </c>
      <c r="Q281" s="9">
        <f>$Q$1*(G281-G280)</f>
        <v/>
      </c>
      <c r="R281" s="9">
        <f>$R$1*(H281-H280)</f>
        <v/>
      </c>
      <c r="S281" s="9">
        <f>$S$1*LN(I281/I280)</f>
        <v/>
      </c>
      <c r="T281" s="9">
        <f>$T$1*LN(J281/J280)</f>
        <v/>
      </c>
      <c r="U281" s="9">
        <f>$W$12+$W$4*M281+$W$5*N281+$W$6*O281+$W$7*P281+$W$8*Q281+$W$9*R281+$W$10*S281+$W$11*T281</f>
        <v/>
      </c>
      <c r="AA281" s="10">
        <f>INDEX(LINEST(L222:L281,M222:T281,TRUE,TRUE),1,9)*12</f>
        <v/>
      </c>
      <c r="AB281" s="9">
        <f>INDEX(LINEST(L222:L281,M222:T281,TRUE,TRUE),1,8)</f>
        <v/>
      </c>
      <c r="AC281" s="9">
        <f>INDEX(LINEST(L222:L281,M222:T281,TRUE,TRUE),1,7)</f>
        <v/>
      </c>
      <c r="AD281" s="9">
        <f>INDEX(LINEST(L222:L281,M222:T281,TRUE,TRUE),1,6)</f>
        <v/>
      </c>
      <c r="AE281" s="9">
        <f>INDEX(LINEST(L222:L281,M222:T281,TRUE,TRUE),1,5)</f>
        <v/>
      </c>
      <c r="AF281" s="9">
        <f>INDEX(LINEST(L222:L281,M222:T281,TRUE,TRUE),1,4)</f>
        <v/>
      </c>
      <c r="AG281" s="9">
        <f>INDEX(LINEST(L222:L281,M222:T281,TRUE,TRUE),1,3)</f>
        <v/>
      </c>
      <c r="AH281" s="9">
        <f>INDEX(LINEST(L222:L281,M222:T281,TRUE,TRUE),1,2)</f>
        <v/>
      </c>
      <c r="AI281" s="9">
        <f>INDEX(LINEST(L222:L281,M222:T281,TRUE,TRUE),1,1)</f>
        <v/>
      </c>
      <c r="AJ281" s="10">
        <f>INDEX(LINEST(L222:L281,M222:T281,TRUE,TRUE),3,1)</f>
        <v/>
      </c>
      <c r="AK281" s="9">
        <f>AA280/12+AB280*M281+AC280*N281+AD280*O281+AE280*P281+AF280*Q281+AG280*R281+AH280*S281+AI280*T281</f>
        <v/>
      </c>
      <c r="AL281" s="9">
        <f>AVERAGE(L221:L280)</f>
        <v/>
      </c>
    </row>
    <row r="282">
      <c r="L282" s="9">
        <f>LN(B282/B281)</f>
        <v/>
      </c>
      <c r="M282" s="9">
        <f>$M$1*(C282-C281)</f>
        <v/>
      </c>
      <c r="N282" s="9">
        <f>$N$1*(D282-D281)</f>
        <v/>
      </c>
      <c r="O282" s="9">
        <f>$O$1*LN(E282/E281)</f>
        <v/>
      </c>
      <c r="P282" s="9">
        <f>$P$1*LN(F282/F281)</f>
        <v/>
      </c>
      <c r="Q282" s="9">
        <f>$Q$1*(G282-G281)</f>
        <v/>
      </c>
      <c r="R282" s="9">
        <f>$R$1*(H282-H281)</f>
        <v/>
      </c>
      <c r="S282" s="9">
        <f>$S$1*LN(I282/I281)</f>
        <v/>
      </c>
      <c r="T282" s="9">
        <f>$T$1*LN(J282/J281)</f>
        <v/>
      </c>
      <c r="U282" s="9">
        <f>$W$12+$W$4*M282+$W$5*N282+$W$6*O282+$W$7*P282+$W$8*Q282+$W$9*R282+$W$10*S282+$W$11*T282</f>
        <v/>
      </c>
      <c r="AA282" s="10">
        <f>INDEX(LINEST(L223:L282,M223:T282,TRUE,TRUE),1,9)*12</f>
        <v/>
      </c>
      <c r="AB282" s="9">
        <f>INDEX(LINEST(L223:L282,M223:T282,TRUE,TRUE),1,8)</f>
        <v/>
      </c>
      <c r="AC282" s="9">
        <f>INDEX(LINEST(L223:L282,M223:T282,TRUE,TRUE),1,7)</f>
        <v/>
      </c>
      <c r="AD282" s="9">
        <f>INDEX(LINEST(L223:L282,M223:T282,TRUE,TRUE),1,6)</f>
        <v/>
      </c>
      <c r="AE282" s="9">
        <f>INDEX(LINEST(L223:L282,M223:T282,TRUE,TRUE),1,5)</f>
        <v/>
      </c>
      <c r="AF282" s="9">
        <f>INDEX(LINEST(L223:L282,M223:T282,TRUE,TRUE),1,4)</f>
        <v/>
      </c>
      <c r="AG282" s="9">
        <f>INDEX(LINEST(L223:L282,M223:T282,TRUE,TRUE),1,3)</f>
        <v/>
      </c>
      <c r="AH282" s="9">
        <f>INDEX(LINEST(L223:L282,M223:T282,TRUE,TRUE),1,2)</f>
        <v/>
      </c>
      <c r="AI282" s="9">
        <f>INDEX(LINEST(L223:L282,M223:T282,TRUE,TRUE),1,1)</f>
        <v/>
      </c>
      <c r="AJ282" s="10">
        <f>INDEX(LINEST(L223:L282,M223:T282,TRUE,TRUE),3,1)</f>
        <v/>
      </c>
      <c r="AK282" s="9">
        <f>AA281/12+AB281*M282+AC281*N282+AD281*O282+AE281*P282+AF281*Q282+AG281*R282+AH281*S282+AI281*T282</f>
        <v/>
      </c>
      <c r="AL282" s="9">
        <f>AVERAGE(L222:L281)</f>
        <v/>
      </c>
    </row>
    <row r="283">
      <c r="L283" s="9">
        <f>LN(B283/B282)</f>
        <v/>
      </c>
      <c r="M283" s="9">
        <f>$M$1*(C283-C282)</f>
        <v/>
      </c>
      <c r="N283" s="9">
        <f>$N$1*(D283-D282)</f>
        <v/>
      </c>
      <c r="O283" s="9">
        <f>$O$1*LN(E283/E282)</f>
        <v/>
      </c>
      <c r="P283" s="9">
        <f>$P$1*LN(F283/F282)</f>
        <v/>
      </c>
      <c r="Q283" s="9">
        <f>$Q$1*(G283-G282)</f>
        <v/>
      </c>
      <c r="R283" s="9">
        <f>$R$1*(H283-H282)</f>
        <v/>
      </c>
      <c r="S283" s="9">
        <f>$S$1*LN(I283/I282)</f>
        <v/>
      </c>
      <c r="T283" s="9">
        <f>$T$1*LN(J283/J282)</f>
        <v/>
      </c>
      <c r="U283" s="9">
        <f>$W$12+$W$4*M283+$W$5*N283+$W$6*O283+$W$7*P283+$W$8*Q283+$W$9*R283+$W$10*S283+$W$11*T283</f>
        <v/>
      </c>
      <c r="AA283" s="10">
        <f>INDEX(LINEST(L224:L283,M224:T283,TRUE,TRUE),1,9)*12</f>
        <v/>
      </c>
      <c r="AB283" s="9">
        <f>INDEX(LINEST(L224:L283,M224:T283,TRUE,TRUE),1,8)</f>
        <v/>
      </c>
      <c r="AC283" s="9">
        <f>INDEX(LINEST(L224:L283,M224:T283,TRUE,TRUE),1,7)</f>
        <v/>
      </c>
      <c r="AD283" s="9">
        <f>INDEX(LINEST(L224:L283,M224:T283,TRUE,TRUE),1,6)</f>
        <v/>
      </c>
      <c r="AE283" s="9">
        <f>INDEX(LINEST(L224:L283,M224:T283,TRUE,TRUE),1,5)</f>
        <v/>
      </c>
      <c r="AF283" s="9">
        <f>INDEX(LINEST(L224:L283,M224:T283,TRUE,TRUE),1,4)</f>
        <v/>
      </c>
      <c r="AG283" s="9">
        <f>INDEX(LINEST(L224:L283,M224:T283,TRUE,TRUE),1,3)</f>
        <v/>
      </c>
      <c r="AH283" s="9">
        <f>INDEX(LINEST(L224:L283,M224:T283,TRUE,TRUE),1,2)</f>
        <v/>
      </c>
      <c r="AI283" s="9">
        <f>INDEX(LINEST(L224:L283,M224:T283,TRUE,TRUE),1,1)</f>
        <v/>
      </c>
      <c r="AJ283" s="10">
        <f>INDEX(LINEST(L224:L283,M224:T283,TRUE,TRUE),3,1)</f>
        <v/>
      </c>
      <c r="AK283" s="9">
        <f>AA282/12+AB282*M283+AC282*N283+AD282*O283+AE282*P283+AF282*Q283+AG282*R283+AH282*S283+AI282*T283</f>
        <v/>
      </c>
      <c r="AL283" s="9">
        <f>AVERAGE(L223:L282)</f>
        <v/>
      </c>
    </row>
    <row r="284">
      <c r="L284" s="9">
        <f>LN(B284/B283)</f>
        <v/>
      </c>
      <c r="M284" s="9">
        <f>$M$1*(C284-C283)</f>
        <v/>
      </c>
      <c r="N284" s="9">
        <f>$N$1*(D284-D283)</f>
        <v/>
      </c>
      <c r="O284" s="9">
        <f>$O$1*LN(E284/E283)</f>
        <v/>
      </c>
      <c r="P284" s="9">
        <f>$P$1*LN(F284/F283)</f>
        <v/>
      </c>
      <c r="Q284" s="9">
        <f>$Q$1*(G284-G283)</f>
        <v/>
      </c>
      <c r="R284" s="9">
        <f>$R$1*(H284-H283)</f>
        <v/>
      </c>
      <c r="S284" s="9">
        <f>$S$1*LN(I284/I283)</f>
        <v/>
      </c>
      <c r="T284" s="9">
        <f>$T$1*LN(J284/J283)</f>
        <v/>
      </c>
      <c r="U284" s="9">
        <f>$W$12+$W$4*M284+$W$5*N284+$W$6*O284+$W$7*P284+$W$8*Q284+$W$9*R284+$W$10*S284+$W$11*T284</f>
        <v/>
      </c>
      <c r="AA284" s="10">
        <f>INDEX(LINEST(L225:L284,M225:T284,TRUE,TRUE),1,9)*12</f>
        <v/>
      </c>
      <c r="AB284" s="9">
        <f>INDEX(LINEST(L225:L284,M225:T284,TRUE,TRUE),1,8)</f>
        <v/>
      </c>
      <c r="AC284" s="9">
        <f>INDEX(LINEST(L225:L284,M225:T284,TRUE,TRUE),1,7)</f>
        <v/>
      </c>
      <c r="AD284" s="9">
        <f>INDEX(LINEST(L225:L284,M225:T284,TRUE,TRUE),1,6)</f>
        <v/>
      </c>
      <c r="AE284" s="9">
        <f>INDEX(LINEST(L225:L284,M225:T284,TRUE,TRUE),1,5)</f>
        <v/>
      </c>
      <c r="AF284" s="9">
        <f>INDEX(LINEST(L225:L284,M225:T284,TRUE,TRUE),1,4)</f>
        <v/>
      </c>
      <c r="AG284" s="9">
        <f>INDEX(LINEST(L225:L284,M225:T284,TRUE,TRUE),1,3)</f>
        <v/>
      </c>
      <c r="AH284" s="9">
        <f>INDEX(LINEST(L225:L284,M225:T284,TRUE,TRUE),1,2)</f>
        <v/>
      </c>
      <c r="AI284" s="9">
        <f>INDEX(LINEST(L225:L284,M225:T284,TRUE,TRUE),1,1)</f>
        <v/>
      </c>
      <c r="AJ284" s="10">
        <f>INDEX(LINEST(L225:L284,M225:T284,TRUE,TRUE),3,1)</f>
        <v/>
      </c>
      <c r="AK284" s="9">
        <f>AA283/12+AB283*M284+AC283*N284+AD283*O284+AE283*P284+AF283*Q284+AG283*R284+AH283*S284+AI283*T284</f>
        <v/>
      </c>
      <c r="AL284" s="9">
        <f>AVERAGE(L224:L283)</f>
        <v/>
      </c>
    </row>
  </sheetData>
  <mergeCells count="1">
    <mergeCell ref="A1:J1"/>
  </mergeCells>
  <dataValidations count="1">
    <dataValidation sqref="M1 N1 O1 P1 Q1 R1 S1 T1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2" customWidth="1" min="3" max="3"/>
    <col width="24" customWidth="1" min="4" max="4"/>
  </cols>
  <sheetData>
    <row r="1">
      <c r="A1" s="1" t="inlineStr">
        <is>
          <t>Gold factor regression — Excel (charts • toggles • walk-forward OOS • W/M/Q)</t>
        </is>
      </c>
    </row>
    <row r="2">
      <c r="A2" t="inlineStr">
        <is>
          <t>Dependent: gold (LBMA PM) log return. Regressors: macro factor CHANGES.</t>
        </is>
      </c>
    </row>
    <row r="3">
      <c r="A3" t="inlineStr">
        <is>
          <t>Transform: price/index → LN(t/t-1); yield/vol → first difference (level units).</t>
        </is>
      </c>
    </row>
    <row r="4">
      <c r="A4" t="inlineStr">
        <is>
          <t>FREQUENCY TOGGLE = the Monthly / Weekly / Quarterly sheet tabs (5y window = 60/260/20 periods).</t>
        </is>
      </c>
    </row>
    <row r="5">
      <c r="A5" t="inlineStr">
        <is>
          <t>INCLUDE TOGGLES: row 1 cells M1:T1 (1=in, 0=drop). 0 zeros a factor's column → regression</t>
        </is>
      </c>
    </row>
    <row r="6">
      <c r="A6" t="inlineStr">
        <is>
          <t xml:space="preserve">   runs WITHOUT it (β=0; others, R², fitted &amp; rolling charts = the reduced model). Verified exact.</t>
        </is>
      </c>
    </row>
    <row r="7">
      <c r="A7" t="inlineStr">
        <is>
          <t>WALK-FORWARD OOS: cols AK/AL + the V17 block — fit β on the trailing 60m window, apply to the</t>
        </is>
      </c>
    </row>
    <row r="8">
      <c r="A8" t="inlineStr">
        <is>
          <t xml:space="preserve">   NEXT period's factors (genuine 1-step). OOS R² vs RW(0) &amp; vs RW+drift, RMSE ratio.</t>
        </is>
      </c>
    </row>
    <row r="9">
      <c r="A9" t="inlineStr">
        <is>
          <t>CALC IS MANUAL (press F9) — the weekly sheet holds ~10k rolling regressions; recompute on demand.</t>
        </is>
      </c>
    </row>
    <row r="10">
      <c r="A10" t="inlineStr">
        <is>
          <t>Bloomberg sheet: change Per=cm to cw/cq and extend the BDH row range to switch frequency.</t>
        </is>
      </c>
    </row>
    <row r="11">
      <c r="A11" t="inlineStr"/>
    </row>
    <row r="12">
      <c r="A12" t="inlineStr">
        <is>
          <t>Factor / Bloomberg ticker / Transform / Expected β (monthly cross-check):</t>
        </is>
      </c>
    </row>
    <row r="13">
      <c r="A13" s="5" t="inlineStr">
        <is>
          <t>Factor</t>
        </is>
      </c>
      <c r="B13" s="5" t="inlineStr">
        <is>
          <t>Bloomberg ticker</t>
        </is>
      </c>
      <c r="C13" s="5" t="inlineStr">
        <is>
          <t>Transform</t>
        </is>
      </c>
      <c r="D13" s="5" t="inlineStr">
        <is>
          <t>Expected β (monthly)</t>
        </is>
      </c>
    </row>
    <row r="14">
      <c r="A14" t="inlineStr">
        <is>
          <t>10Y breakeven</t>
        </is>
      </c>
      <c r="B14" t="inlineStr">
        <is>
          <t>USGGBE10 Index</t>
        </is>
      </c>
      <c r="C14" t="inlineStr">
        <is>
          <t>Δ</t>
        </is>
      </c>
      <c r="D14" t="n">
        <v>0.0268</v>
      </c>
    </row>
    <row r="15">
      <c r="A15" t="inlineStr">
        <is>
          <t>10Y TIPS real</t>
        </is>
      </c>
      <c r="B15" t="inlineStr">
        <is>
          <t>USGGT10Y Index</t>
        </is>
      </c>
      <c r="C15" t="inlineStr">
        <is>
          <t>Δ</t>
        </is>
      </c>
      <c r="D15" t="n">
        <v>-0.0837</v>
      </c>
    </row>
    <row r="16">
      <c r="A16" t="inlineStr">
        <is>
          <t>US Dollar Index DXY</t>
        </is>
      </c>
      <c r="B16" t="inlineStr">
        <is>
          <t>DXY Curncy</t>
        </is>
      </c>
      <c r="C16" t="inlineStr">
        <is>
          <t>log ret</t>
        </is>
      </c>
      <c r="D16" t="n">
        <v>-0.898</v>
      </c>
    </row>
    <row r="17">
      <c r="A17" t="inlineStr">
        <is>
          <t>WTI crude oil</t>
        </is>
      </c>
      <c r="B17" t="inlineStr">
        <is>
          <t>CL1 Comdty</t>
        </is>
      </c>
      <c r="C17" t="inlineStr">
        <is>
          <t>log ret</t>
        </is>
      </c>
      <c r="D17" t="n">
        <v>-0.0191</v>
      </c>
    </row>
    <row r="18">
      <c r="A18" t="inlineStr">
        <is>
          <t>Equity vol VIX</t>
        </is>
      </c>
      <c r="B18" t="inlineStr">
        <is>
          <t>VIX Index</t>
        </is>
      </c>
      <c r="C18" t="inlineStr">
        <is>
          <t>Δ</t>
        </is>
      </c>
      <c r="D18" t="n">
        <v>0.0001</v>
      </c>
    </row>
    <row r="19">
      <c r="A19" t="inlineStr">
        <is>
          <t>Rate vol MOVE</t>
        </is>
      </c>
      <c r="B19" t="inlineStr">
        <is>
          <t>MOVE Index</t>
        </is>
      </c>
      <c r="C19" t="inlineStr">
        <is>
          <t>Δ</t>
        </is>
      </c>
      <c r="D19" t="n">
        <v>0.0005999999999999999</v>
      </c>
    </row>
    <row r="20">
      <c r="A20" t="inlineStr">
        <is>
          <t>S&amp;P 500 (price)</t>
        </is>
      </c>
      <c r="B20" t="inlineStr">
        <is>
          <t>SPX Index</t>
        </is>
      </c>
      <c r="C20" t="inlineStr">
        <is>
          <t>log ret</t>
        </is>
      </c>
      <c r="D20" t="n">
        <v>-0.1455</v>
      </c>
    </row>
    <row r="21">
      <c r="A21" t="inlineStr">
        <is>
          <t>US Agg bonds TR</t>
        </is>
      </c>
      <c r="B21" t="inlineStr">
        <is>
          <t>LBUSTRUU Index</t>
        </is>
      </c>
      <c r="C21" t="inlineStr">
        <is>
          <t>log ret</t>
        </is>
      </c>
      <c r="D21" t="n">
        <v>-0.1548</v>
      </c>
    </row>
    <row r="22">
      <c r="A22" t="inlineStr">
        <is>
          <t>Intercept α (monthly)</t>
        </is>
      </c>
      <c r="D22" t="n">
        <v>0.01031</v>
      </c>
    </row>
    <row r="23">
      <c r="A23" t="inlineStr">
        <is>
          <t>R² (monthly)</t>
        </is>
      </c>
      <c r="D23" t="n">
        <v>0.3264</v>
      </c>
    </row>
    <row r="25">
      <c r="A25" t="inlineStr">
        <is>
          <t>Intercept is units-invariant: rescaling a factor leaves α unchanged (β rescales). α = gold drift net of factor moves (= mean only if changes average 0; vol fell 2003-26 so α&gt;mean). Demean returns to make α=mean.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2026-06-24T18:44:42Z</dcterms:created>
  <dcterms:modified xmlns:dcterms="http://purl.org/dc/terms/" xmlns:xsi="http://www.w3.org/2001/XMLSchema-instance" xsi:type="dcterms:W3CDTF">2026-06-24T18:44:42Z</dcterms:modified>
</cp:coreProperties>
</file>
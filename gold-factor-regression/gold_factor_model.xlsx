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 (data)" sheetId="1" state="visible" r:id="rId1"/>
    <sheet xmlns:r="http://schemas.openxmlformats.org/officeDocument/2006/relationships" name="Model (Bloomberg)" sheetId="2" state="visible" r:id="rId2"/>
    <sheet xmlns:r="http://schemas.openxmlformats.org/officeDocument/2006/relationships" name="Readm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####"/>
    <numFmt numFmtId="166" formatCode="0.0000"/>
    <numFmt numFmtId="167" formatCode="0.0%"/>
  </numFmts>
  <fonts count="6">
    <font>
      <name val="Calibri"/>
      <family val="2"/>
      <color theme="1"/>
      <sz val="11"/>
      <scheme val="minor"/>
    </font>
    <font>
      <b val="1"/>
      <color rgb="0000294B"/>
      <sz val="13"/>
    </font>
    <font>
      <b val="1"/>
      <color rgb="00FFFFFF"/>
    </font>
    <font>
      <color rgb="000000CC"/>
    </font>
    <font>
      <b val="1"/>
    </font>
    <font>
      <i val="1"/>
      <color rgb="00888888"/>
    </font>
  </fonts>
  <fills count="4">
    <fill>
      <patternFill/>
    </fill>
    <fill>
      <patternFill patternType="gray125"/>
    </fill>
    <fill>
      <patternFill patternType="solid">
        <fgColor rgb="0000294B"/>
      </patternFill>
    </fill>
    <fill>
      <patternFill patternType="solid">
        <fgColor rgb="00F2F5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4" fillId="0" borderId="0" pivotButton="0" quotePrefix="0" xfId="0"/>
    <xf numFmtId="164" fontId="0" fillId="0" borderId="0" pivotButton="0" quotePrefix="0" xfId="0"/>
    <xf numFmtId="165" fontId="3" fillId="0" borderId="0" pivotButton="0" quotePrefix="0" xfId="0"/>
    <xf numFmtId="0" fontId="2" fillId="2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3" fillId="3" borderId="0" pivotButton="0" quotePrefix="0" xfId="0"/>
    <xf numFmtId="10" fontId="0" fillId="0" borderId="0" pivotButton="0" quotePrefix="0" xfId="0"/>
    <xf numFmtId="10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2" customWidth="1" min="22" max="22"/>
    <col width="11" customWidth="1" min="23" max="23"/>
    <col width="11" customWidth="1" min="24" max="24"/>
    <col width="11" customWidth="1" min="25" max="25"/>
  </cols>
  <sheetData>
    <row r="1">
      <c r="A1" s="1" t="inlineStr">
        <is>
          <t>Gold factor regression — monthly, data embedded (blue = inputs)</t>
        </is>
      </c>
    </row>
    <row r="2">
      <c r="A2" s="2" t="inlineStr">
        <is>
          <t>Date</t>
        </is>
      </c>
      <c r="B2" s="2" t="inlineStr">
        <is>
          <t>Gold (LBMA PM)</t>
        </is>
      </c>
      <c r="C2" s="2" t="inlineStr">
        <is>
          <t>10Y breakeven</t>
        </is>
      </c>
      <c r="D2" s="2" t="inlineStr">
        <is>
          <t>10Y TIPS real</t>
        </is>
      </c>
      <c r="E2" s="2" t="inlineStr">
        <is>
          <t>US Dollar Index DXY</t>
        </is>
      </c>
      <c r="F2" s="2" t="inlineStr">
        <is>
          <t>WTI crude oil</t>
        </is>
      </c>
      <c r="G2" s="2" t="inlineStr">
        <is>
          <t>Equity vol VIX</t>
        </is>
      </c>
      <c r="H2" s="2" t="inlineStr">
        <is>
          <t>Rate vol MOVE</t>
        </is>
      </c>
      <c r="I2" s="2" t="inlineStr">
        <is>
          <t>S&amp;P 500 (price)</t>
        </is>
      </c>
      <c r="J2" s="2" t="inlineStr">
        <is>
          <t>US Agg bonds TR</t>
        </is>
      </c>
      <c r="K2" t="inlineStr"/>
      <c r="L2" s="2" t="inlineStr">
        <is>
          <t>Gold ret</t>
        </is>
      </c>
      <c r="M2" s="2" t="inlineStr">
        <is>
          <t>Δ 10Y BE</t>
        </is>
      </c>
      <c r="N2" s="2" t="inlineStr">
        <is>
          <t>Δ 10Y real</t>
        </is>
      </c>
      <c r="O2" s="2" t="inlineStr">
        <is>
          <t>DXY ret</t>
        </is>
      </c>
      <c r="P2" s="2" t="inlineStr">
        <is>
          <t>Oil ret</t>
        </is>
      </c>
      <c r="Q2" s="2" t="inlineStr">
        <is>
          <t>Δ VIX</t>
        </is>
      </c>
      <c r="R2" s="2" t="inlineStr">
        <is>
          <t>Δ MOVE</t>
        </is>
      </c>
      <c r="S2" s="2" t="inlineStr">
        <is>
          <t>S&amp;P ret</t>
        </is>
      </c>
      <c r="T2" s="2" t="inlineStr">
        <is>
          <t>Agg ret</t>
        </is>
      </c>
      <c r="V2" s="3" t="inlineStr">
        <is>
          <t>Regression (monthly, full sample)</t>
        </is>
      </c>
    </row>
    <row r="3">
      <c r="A3" s="4" t="inlineStr">
        <is>
          <t>2003-01-31</t>
        </is>
      </c>
      <c r="B3" s="5" t="n">
        <v>367.5</v>
      </c>
      <c r="C3" s="5" t="n">
        <v>1.81</v>
      </c>
      <c r="D3" s="5" t="n">
        <v>2.19</v>
      </c>
      <c r="E3" s="5" t="n">
        <v>99.910004</v>
      </c>
      <c r="F3" s="5" t="n">
        <v>33.51</v>
      </c>
      <c r="G3" s="5" t="n">
        <v>31.17</v>
      </c>
      <c r="H3" s="5" t="n">
        <v>110.889999</v>
      </c>
      <c r="I3" s="5" t="n">
        <v>855.700012</v>
      </c>
      <c r="J3" s="5" t="n">
        <v>48.026736</v>
      </c>
      <c r="V3" s="6" t="inlineStr">
        <is>
          <t>Factor</t>
        </is>
      </c>
      <c r="W3" s="6" t="inlineStr">
        <is>
          <t>β</t>
        </is>
      </c>
      <c r="X3" s="6" t="inlineStr">
        <is>
          <t>std err</t>
        </is>
      </c>
      <c r="Y3" s="6" t="inlineStr">
        <is>
          <t>t-stat</t>
        </is>
      </c>
    </row>
    <row r="4">
      <c r="A4" s="4" t="inlineStr">
        <is>
          <t>2003-02-28</t>
        </is>
      </c>
      <c r="B4" s="5" t="n">
        <v>347.45</v>
      </c>
      <c r="C4" s="5" t="n">
        <v>1.94</v>
      </c>
      <c r="D4" s="5" t="n">
        <v>1.77</v>
      </c>
      <c r="E4" s="5" t="n">
        <v>99.709999</v>
      </c>
      <c r="F4" s="5" t="n">
        <v>36.76</v>
      </c>
      <c r="G4" s="5" t="n">
        <v>29.63</v>
      </c>
      <c r="H4" s="5" t="n">
        <v>105.360001</v>
      </c>
      <c r="I4" s="5" t="n">
        <v>841.150024</v>
      </c>
      <c r="J4" s="5" t="n">
        <v>48.692169</v>
      </c>
      <c r="L4" s="7">
        <f>LN(B4/B3)</f>
        <v/>
      </c>
      <c r="M4" s="7">
        <f>C4-C3</f>
        <v/>
      </c>
      <c r="N4" s="7">
        <f>D4-D3</f>
        <v/>
      </c>
      <c r="O4" s="7">
        <f>LN(E4/E3)</f>
        <v/>
      </c>
      <c r="P4" s="7">
        <f>LN(F4/F3)</f>
        <v/>
      </c>
      <c r="Q4" s="7">
        <f>G4-G3</f>
        <v/>
      </c>
      <c r="R4" s="7">
        <f>H4-H3</f>
        <v/>
      </c>
      <c r="S4" s="7">
        <f>LN(I4/I3)</f>
        <v/>
      </c>
      <c r="T4" s="7">
        <f>LN(J4/J3)</f>
        <v/>
      </c>
      <c r="V4" t="inlineStr">
        <is>
          <t>10Y breakeven</t>
        </is>
      </c>
      <c r="W4" s="7">
        <f>INDEX(LINEST($L$4:$L$284,$M$4:$T$284,TRUE,TRUE),1,8)</f>
        <v/>
      </c>
      <c r="X4" s="7">
        <f>INDEX(LINEST($L$4:$L$284,$M$4:$T$284,TRUE,TRUE),2,8)</f>
        <v/>
      </c>
      <c r="Y4" s="7">
        <f>W4/X4</f>
        <v/>
      </c>
    </row>
    <row r="5">
      <c r="A5" s="4" t="inlineStr">
        <is>
          <t>2003-03-31</t>
        </is>
      </c>
      <c r="B5" s="5" t="n">
        <v>334.85</v>
      </c>
      <c r="C5" s="5" t="n">
        <v>1.8</v>
      </c>
      <c r="D5" s="5" t="n">
        <v>2.03</v>
      </c>
      <c r="E5" s="5" t="n">
        <v>99.05999799999999</v>
      </c>
      <c r="F5" s="5" t="n">
        <v>31.14</v>
      </c>
      <c r="G5" s="5" t="n">
        <v>29.15</v>
      </c>
      <c r="H5" s="5" t="n">
        <v>112.089996</v>
      </c>
      <c r="I5" s="5" t="n">
        <v>848.179993</v>
      </c>
      <c r="J5" s="5" t="n">
        <v>48.633196</v>
      </c>
      <c r="L5" s="7">
        <f>LN(B5/B4)</f>
        <v/>
      </c>
      <c r="M5" s="7">
        <f>C5-C4</f>
        <v/>
      </c>
      <c r="N5" s="7">
        <f>D5-D4</f>
        <v/>
      </c>
      <c r="O5" s="7">
        <f>LN(E5/E4)</f>
        <v/>
      </c>
      <c r="P5" s="7">
        <f>LN(F5/F4)</f>
        <v/>
      </c>
      <c r="Q5" s="7">
        <f>G5-G4</f>
        <v/>
      </c>
      <c r="R5" s="7">
        <f>H5-H4</f>
        <v/>
      </c>
      <c r="S5" s="7">
        <f>LN(I5/I4)</f>
        <v/>
      </c>
      <c r="T5" s="7">
        <f>LN(J5/J4)</f>
        <v/>
      </c>
      <c r="V5" t="inlineStr">
        <is>
          <t>10Y TIPS real</t>
        </is>
      </c>
      <c r="W5" s="7">
        <f>INDEX(LINEST($L$4:$L$284,$M$4:$T$284,TRUE,TRUE),1,7)</f>
        <v/>
      </c>
      <c r="X5" s="7">
        <f>INDEX(LINEST($L$4:$L$284,$M$4:$T$284,TRUE,TRUE),2,7)</f>
        <v/>
      </c>
      <c r="Y5" s="7">
        <f>W5/X5</f>
        <v/>
      </c>
    </row>
    <row r="6">
      <c r="A6" s="4" t="inlineStr">
        <is>
          <t>2003-04-30</t>
        </is>
      </c>
      <c r="B6" s="5" t="n">
        <v>336.75</v>
      </c>
      <c r="C6" s="5" t="n">
        <v>1.73</v>
      </c>
      <c r="D6" s="5" t="n">
        <v>2.16</v>
      </c>
      <c r="E6" s="5" t="n">
        <v>97.19000200000001</v>
      </c>
      <c r="F6" s="5" t="n">
        <v>26.09</v>
      </c>
      <c r="G6" s="5" t="n">
        <v>21.21</v>
      </c>
      <c r="H6" s="5" t="n">
        <v>89.269997</v>
      </c>
      <c r="I6" s="5" t="n">
        <v>916.919983</v>
      </c>
      <c r="J6" s="5" t="n">
        <v>49.056113</v>
      </c>
      <c r="L6" s="7">
        <f>LN(B6/B5)</f>
        <v/>
      </c>
      <c r="M6" s="7">
        <f>C6-C5</f>
        <v/>
      </c>
      <c r="N6" s="7">
        <f>D6-D5</f>
        <v/>
      </c>
      <c r="O6" s="7">
        <f>LN(E6/E5)</f>
        <v/>
      </c>
      <c r="P6" s="7">
        <f>LN(F6/F5)</f>
        <v/>
      </c>
      <c r="Q6" s="7">
        <f>G6-G5</f>
        <v/>
      </c>
      <c r="R6" s="7">
        <f>H6-H5</f>
        <v/>
      </c>
      <c r="S6" s="7">
        <f>LN(I6/I5)</f>
        <v/>
      </c>
      <c r="T6" s="7">
        <f>LN(J6/J5)</f>
        <v/>
      </c>
      <c r="V6" t="inlineStr">
        <is>
          <t>US Dollar Index DXY</t>
        </is>
      </c>
      <c r="W6" s="7">
        <f>INDEX(LINEST($L$4:$L$284,$M$4:$T$284,TRUE,TRUE),1,6)</f>
        <v/>
      </c>
      <c r="X6" s="7">
        <f>INDEX(LINEST($L$4:$L$284,$M$4:$T$284,TRUE,TRUE),2,6)</f>
        <v/>
      </c>
      <c r="Y6" s="7">
        <f>W6/X6</f>
        <v/>
      </c>
    </row>
    <row r="7">
      <c r="A7" s="4" t="inlineStr">
        <is>
          <t>2003-05-31</t>
        </is>
      </c>
      <c r="B7" s="5" t="n">
        <v>361.4</v>
      </c>
      <c r="C7" s="5" t="n">
        <v>1.6</v>
      </c>
      <c r="D7" s="5" t="n">
        <v>1.77</v>
      </c>
      <c r="E7" s="5" t="n">
        <v>93.269997</v>
      </c>
      <c r="F7" s="5" t="n">
        <v>29.56</v>
      </c>
      <c r="G7" s="5" t="n">
        <v>19.47</v>
      </c>
      <c r="H7" s="5" t="n">
        <v>99.80999799999999</v>
      </c>
      <c r="I7" s="5" t="n">
        <v>963.590027</v>
      </c>
      <c r="J7" s="5" t="n">
        <v>49.950304</v>
      </c>
      <c r="L7" s="7">
        <f>LN(B7/B6)</f>
        <v/>
      </c>
      <c r="M7" s="7">
        <f>C7-C6</f>
        <v/>
      </c>
      <c r="N7" s="7">
        <f>D7-D6</f>
        <v/>
      </c>
      <c r="O7" s="7">
        <f>LN(E7/E6)</f>
        <v/>
      </c>
      <c r="P7" s="7">
        <f>LN(F7/F6)</f>
        <v/>
      </c>
      <c r="Q7" s="7">
        <f>G7-G6</f>
        <v/>
      </c>
      <c r="R7" s="7">
        <f>H7-H6</f>
        <v/>
      </c>
      <c r="S7" s="7">
        <f>LN(I7/I6)</f>
        <v/>
      </c>
      <c r="T7" s="7">
        <f>LN(J7/J6)</f>
        <v/>
      </c>
      <c r="V7" t="inlineStr">
        <is>
          <t>WTI crude oil</t>
        </is>
      </c>
      <c r="W7" s="7">
        <f>INDEX(LINEST($L$4:$L$284,$M$4:$T$284,TRUE,TRUE),1,5)</f>
        <v/>
      </c>
      <c r="X7" s="7">
        <f>INDEX(LINEST($L$4:$L$284,$M$4:$T$284,TRUE,TRUE),2,5)</f>
        <v/>
      </c>
      <c r="Y7" s="7">
        <f>W7/X7</f>
        <v/>
      </c>
    </row>
    <row r="8">
      <c r="A8" s="4" t="inlineStr">
        <is>
          <t>2003-06-30</t>
        </is>
      </c>
      <c r="B8" s="5" t="n">
        <v>346</v>
      </c>
      <c r="C8" s="5" t="n">
        <v>1.64</v>
      </c>
      <c r="D8" s="5" t="n">
        <v>1.9</v>
      </c>
      <c r="E8" s="5" t="n">
        <v>94.730003</v>
      </c>
      <c r="F8" s="5" t="n">
        <v>30.15</v>
      </c>
      <c r="G8" s="5" t="n">
        <v>19.52</v>
      </c>
      <c r="H8" s="5" t="n">
        <v>103.599998</v>
      </c>
      <c r="I8" s="5" t="n">
        <v>974.5</v>
      </c>
      <c r="J8" s="5" t="n">
        <v>49.885572</v>
      </c>
      <c r="L8" s="7">
        <f>LN(B8/B7)</f>
        <v/>
      </c>
      <c r="M8" s="7">
        <f>C8-C7</f>
        <v/>
      </c>
      <c r="N8" s="7">
        <f>D8-D7</f>
        <v/>
      </c>
      <c r="O8" s="7">
        <f>LN(E8/E7)</f>
        <v/>
      </c>
      <c r="P8" s="7">
        <f>LN(F8/F7)</f>
        <v/>
      </c>
      <c r="Q8" s="7">
        <f>G8-G7</f>
        <v/>
      </c>
      <c r="R8" s="7">
        <f>H8-H7</f>
        <v/>
      </c>
      <c r="S8" s="7">
        <f>LN(I8/I7)</f>
        <v/>
      </c>
      <c r="T8" s="7">
        <f>LN(J8/J7)</f>
        <v/>
      </c>
      <c r="V8" t="inlineStr">
        <is>
          <t>Equity vol VIX</t>
        </is>
      </c>
      <c r="W8" s="7">
        <f>INDEX(LINEST($L$4:$L$284,$M$4:$T$284,TRUE,TRUE),1,4)</f>
        <v/>
      </c>
      <c r="X8" s="7">
        <f>INDEX(LINEST($L$4:$L$284,$M$4:$T$284,TRUE,TRUE),2,4)</f>
        <v/>
      </c>
      <c r="Y8" s="7">
        <f>W8/X8</f>
        <v/>
      </c>
    </row>
    <row r="9">
      <c r="A9" s="4" t="inlineStr">
        <is>
          <t>2003-07-31</t>
        </is>
      </c>
      <c r="B9" s="5" t="n">
        <v>354.75</v>
      </c>
      <c r="C9" s="5" t="n">
        <v>2.08</v>
      </c>
      <c r="D9" s="5" t="n">
        <v>2.41</v>
      </c>
      <c r="E9" s="5" t="n">
        <v>96.889999</v>
      </c>
      <c r="F9" s="5" t="n">
        <v>30.56</v>
      </c>
      <c r="G9" s="5" t="n">
        <v>19.49</v>
      </c>
      <c r="H9" s="5" t="n">
        <v>160.860001</v>
      </c>
      <c r="I9" s="5" t="n">
        <v>990.309998</v>
      </c>
      <c r="J9" s="5" t="n">
        <v>48.220414</v>
      </c>
      <c r="L9" s="7">
        <f>LN(B9/B8)</f>
        <v/>
      </c>
      <c r="M9" s="7">
        <f>C9-C8</f>
        <v/>
      </c>
      <c r="N9" s="7">
        <f>D9-D8</f>
        <v/>
      </c>
      <c r="O9" s="7">
        <f>LN(E9/E8)</f>
        <v/>
      </c>
      <c r="P9" s="7">
        <f>LN(F9/F8)</f>
        <v/>
      </c>
      <c r="Q9" s="7">
        <f>G9-G8</f>
        <v/>
      </c>
      <c r="R9" s="7">
        <f>H9-H8</f>
        <v/>
      </c>
      <c r="S9" s="7">
        <f>LN(I9/I8)</f>
        <v/>
      </c>
      <c r="T9" s="7">
        <f>LN(J9/J8)</f>
        <v/>
      </c>
      <c r="V9" t="inlineStr">
        <is>
          <t>Rate vol MOVE</t>
        </is>
      </c>
      <c r="W9" s="7">
        <f>INDEX(LINEST($L$4:$L$284,$M$4:$T$284,TRUE,TRUE),1,3)</f>
        <v/>
      </c>
      <c r="X9" s="7">
        <f>INDEX(LINEST($L$4:$L$284,$M$4:$T$284,TRUE,TRUE),2,3)</f>
        <v/>
      </c>
      <c r="Y9" s="7">
        <f>W9/X9</f>
        <v/>
      </c>
    </row>
    <row r="10">
      <c r="A10" s="4" t="inlineStr">
        <is>
          <t>2003-08-31</t>
        </is>
      </c>
      <c r="B10" s="5" t="n">
        <v>375.6</v>
      </c>
      <c r="C10" s="5" t="n">
        <v>2.16</v>
      </c>
      <c r="D10" s="5" t="n">
        <v>2.29</v>
      </c>
      <c r="E10" s="5" t="n">
        <v>98.099998</v>
      </c>
      <c r="F10" s="5" t="n">
        <v>31.76</v>
      </c>
      <c r="G10" s="5" t="n">
        <v>18.63</v>
      </c>
      <c r="H10" s="5" t="n">
        <v>126.550003</v>
      </c>
      <c r="I10" s="5" t="n">
        <v>1008.01001</v>
      </c>
      <c r="J10" s="5" t="n">
        <v>48.515624</v>
      </c>
      <c r="L10" s="7">
        <f>LN(B10/B9)</f>
        <v/>
      </c>
      <c r="M10" s="7">
        <f>C10-C9</f>
        <v/>
      </c>
      <c r="N10" s="7">
        <f>D10-D9</f>
        <v/>
      </c>
      <c r="O10" s="7">
        <f>LN(E10/E9)</f>
        <v/>
      </c>
      <c r="P10" s="7">
        <f>LN(F10/F9)</f>
        <v/>
      </c>
      <c r="Q10" s="7">
        <f>G10-G9</f>
        <v/>
      </c>
      <c r="R10" s="7">
        <f>H10-H9</f>
        <v/>
      </c>
      <c r="S10" s="7">
        <f>LN(I10/I9)</f>
        <v/>
      </c>
      <c r="T10" s="7">
        <f>LN(J10/J9)</f>
        <v/>
      </c>
      <c r="V10" t="inlineStr">
        <is>
          <t>S&amp;P 500 (price)</t>
        </is>
      </c>
      <c r="W10" s="7">
        <f>INDEX(LINEST($L$4:$L$284,$M$4:$T$284,TRUE,TRUE),1,2)</f>
        <v/>
      </c>
      <c r="X10" s="7">
        <f>INDEX(LINEST($L$4:$L$284,$M$4:$T$284,TRUE,TRUE),2,2)</f>
        <v/>
      </c>
      <c r="Y10" s="7">
        <f>W10/X10</f>
        <v/>
      </c>
    </row>
    <row r="11">
      <c r="A11" s="4" t="inlineStr">
        <is>
          <t>2003-09-30</t>
        </is>
      </c>
      <c r="B11" s="5" t="n">
        <v>388</v>
      </c>
      <c r="C11" s="5" t="n">
        <v>2.01</v>
      </c>
      <c r="D11" s="5" t="n">
        <v>1.95</v>
      </c>
      <c r="E11" s="5" t="n">
        <v>92.849998</v>
      </c>
      <c r="F11" s="5" t="n">
        <v>29.19</v>
      </c>
      <c r="G11" s="5" t="n">
        <v>22.72</v>
      </c>
      <c r="H11" s="5" t="n">
        <v>116.690002</v>
      </c>
      <c r="I11" s="5" t="n">
        <v>995.969971</v>
      </c>
      <c r="J11" s="5" t="n">
        <v>49.678352</v>
      </c>
      <c r="L11" s="7">
        <f>LN(B11/B10)</f>
        <v/>
      </c>
      <c r="M11" s="7">
        <f>C11-C10</f>
        <v/>
      </c>
      <c r="N11" s="7">
        <f>D11-D10</f>
        <v/>
      </c>
      <c r="O11" s="7">
        <f>LN(E11/E10)</f>
        <v/>
      </c>
      <c r="P11" s="7">
        <f>LN(F11/F10)</f>
        <v/>
      </c>
      <c r="Q11" s="7">
        <f>G11-G10</f>
        <v/>
      </c>
      <c r="R11" s="7">
        <f>H11-H10</f>
        <v/>
      </c>
      <c r="S11" s="7">
        <f>LN(I11/I10)</f>
        <v/>
      </c>
      <c r="T11" s="7">
        <f>LN(J11/J10)</f>
        <v/>
      </c>
      <c r="V11" t="inlineStr">
        <is>
          <t>US Agg bonds TR</t>
        </is>
      </c>
      <c r="W11" s="7">
        <f>INDEX(LINEST($L$4:$L$284,$M$4:$T$284,TRUE,TRUE),1,1)</f>
        <v/>
      </c>
      <c r="X11" s="7">
        <f>INDEX(LINEST($L$4:$L$284,$M$4:$T$284,TRUE,TRUE),2,1)</f>
        <v/>
      </c>
      <c r="Y11" s="7">
        <f>W11/X11</f>
        <v/>
      </c>
    </row>
    <row r="12">
      <c r="A12" s="4" t="inlineStr">
        <is>
          <t>2003-10-31</t>
        </is>
      </c>
      <c r="B12" s="5" t="n">
        <v>386.25</v>
      </c>
      <c r="C12" s="5" t="n">
        <v>2.4</v>
      </c>
      <c r="D12" s="5" t="n">
        <v>1.93</v>
      </c>
      <c r="E12" s="5" t="n">
        <v>92.730003</v>
      </c>
      <c r="F12" s="5" t="n">
        <v>29.24</v>
      </c>
      <c r="G12" s="5" t="n">
        <v>16.1</v>
      </c>
      <c r="H12" s="5" t="n">
        <v>118.760002</v>
      </c>
      <c r="I12" s="5" t="n">
        <v>1050.709961</v>
      </c>
      <c r="J12" s="5" t="n">
        <v>49.21402</v>
      </c>
      <c r="L12" s="7">
        <f>LN(B12/B11)</f>
        <v/>
      </c>
      <c r="M12" s="7">
        <f>C12-C11</f>
        <v/>
      </c>
      <c r="N12" s="7">
        <f>D12-D11</f>
        <v/>
      </c>
      <c r="O12" s="7">
        <f>LN(E12/E11)</f>
        <v/>
      </c>
      <c r="P12" s="7">
        <f>LN(F12/F11)</f>
        <v/>
      </c>
      <c r="Q12" s="7">
        <f>G12-G11</f>
        <v/>
      </c>
      <c r="R12" s="7">
        <f>H12-H11</f>
        <v/>
      </c>
      <c r="S12" s="7">
        <f>LN(I12/I11)</f>
        <v/>
      </c>
      <c r="T12" s="7">
        <f>LN(J12/J11)</f>
        <v/>
      </c>
      <c r="V12" t="inlineStr">
        <is>
          <t>Intercept α</t>
        </is>
      </c>
      <c r="W12" s="7">
        <f>INDEX(LINEST($L$4:$L$284,$M$4:$T$284,TRUE,TRUE),1,9)</f>
        <v/>
      </c>
      <c r="X12" s="7">
        <f>INDEX(LINEST($L$4:$L$284,$M$4:$T$284,TRUE,TRUE),2,9)</f>
        <v/>
      </c>
      <c r="Y12" s="7">
        <f>W12/X12</f>
        <v/>
      </c>
    </row>
    <row r="13">
      <c r="A13" s="4" t="inlineStr">
        <is>
          <t>2003-11-30</t>
        </is>
      </c>
      <c r="B13" s="5" t="n">
        <v>398.35</v>
      </c>
      <c r="C13" s="5" t="n">
        <v>2.31</v>
      </c>
      <c r="D13" s="5" t="n">
        <v>2.03</v>
      </c>
      <c r="E13" s="5" t="n">
        <v>90.209999</v>
      </c>
      <c r="F13" s="5" t="n">
        <v>30.33</v>
      </c>
      <c r="G13" s="5" t="n">
        <v>16.32</v>
      </c>
      <c r="H13" s="5" t="n">
        <v>104.910004</v>
      </c>
      <c r="I13" s="5" t="n">
        <v>1058.199951</v>
      </c>
      <c r="J13" s="5" t="n">
        <v>49.378567</v>
      </c>
      <c r="L13" s="7">
        <f>LN(B13/B12)</f>
        <v/>
      </c>
      <c r="M13" s="7">
        <f>C13-C12</f>
        <v/>
      </c>
      <c r="N13" s="7">
        <f>D13-D12</f>
        <v/>
      </c>
      <c r="O13" s="7">
        <f>LN(E13/E12)</f>
        <v/>
      </c>
      <c r="P13" s="7">
        <f>LN(F13/F12)</f>
        <v/>
      </c>
      <c r="Q13" s="7">
        <f>G13-G12</f>
        <v/>
      </c>
      <c r="R13" s="7">
        <f>H13-H12</f>
        <v/>
      </c>
      <c r="S13" s="7">
        <f>LN(I13/I12)</f>
        <v/>
      </c>
      <c r="T13" s="7">
        <f>LN(J13/J12)</f>
        <v/>
      </c>
    </row>
    <row r="14">
      <c r="A14" s="4" t="inlineStr">
        <is>
          <t>2003-12-31</t>
        </is>
      </c>
      <c r="B14" s="5" t="n">
        <v>416.25</v>
      </c>
      <c r="C14" s="5" t="n">
        <v>2.27</v>
      </c>
      <c r="D14" s="5" t="n">
        <v>2</v>
      </c>
      <c r="E14" s="5" t="n">
        <v>86.91999800000001</v>
      </c>
      <c r="F14" s="5" t="n">
        <v>32.51</v>
      </c>
      <c r="G14" s="5" t="n">
        <v>18.31</v>
      </c>
      <c r="H14" s="5" t="n">
        <v>117.910004</v>
      </c>
      <c r="I14" s="5" t="n">
        <v>1111.920044</v>
      </c>
      <c r="J14" s="5" t="n">
        <v>49.86211</v>
      </c>
      <c r="L14" s="7">
        <f>LN(B14/B13)</f>
        <v/>
      </c>
      <c r="M14" s="7">
        <f>C14-C13</f>
        <v/>
      </c>
      <c r="N14" s="7">
        <f>D14-D13</f>
        <v/>
      </c>
      <c r="O14" s="7">
        <f>LN(E14/E13)</f>
        <v/>
      </c>
      <c r="P14" s="7">
        <f>LN(F14/F13)</f>
        <v/>
      </c>
      <c r="Q14" s="7">
        <f>G14-G13</f>
        <v/>
      </c>
      <c r="R14" s="7">
        <f>H14-H13</f>
        <v/>
      </c>
      <c r="S14" s="7">
        <f>LN(I14/I13)</f>
        <v/>
      </c>
      <c r="T14" s="7">
        <f>LN(J14/J13)</f>
        <v/>
      </c>
      <c r="V14" t="inlineStr">
        <is>
          <t>R²</t>
        </is>
      </c>
      <c r="W14" s="8">
        <f>INDEX(LINEST($L$4:$L$284,$M$4:$T$284,TRUE,TRUE),3,1)</f>
        <v/>
      </c>
    </row>
    <row r="15">
      <c r="A15" s="4" t="inlineStr">
        <is>
          <t>2004-01-31</t>
        </is>
      </c>
      <c r="B15" s="5" t="n">
        <v>399.75</v>
      </c>
      <c r="C15" s="5" t="n">
        <v>2.31</v>
      </c>
      <c r="D15" s="5" t="n">
        <v>1.85</v>
      </c>
      <c r="E15" s="5" t="n">
        <v>87.199997</v>
      </c>
      <c r="F15" s="5" t="n">
        <v>33.16</v>
      </c>
      <c r="G15" s="5" t="n">
        <v>16.63</v>
      </c>
      <c r="H15" s="5" t="n">
        <v>116.75</v>
      </c>
      <c r="I15" s="5" t="n">
        <v>1131.130005</v>
      </c>
      <c r="J15" s="5" t="n">
        <v>50.081753</v>
      </c>
      <c r="L15" s="7">
        <f>LN(B15/B14)</f>
        <v/>
      </c>
      <c r="M15" s="7">
        <f>C15-C14</f>
        <v/>
      </c>
      <c r="N15" s="7">
        <f>D15-D14</f>
        <v/>
      </c>
      <c r="O15" s="7">
        <f>LN(E15/E14)</f>
        <v/>
      </c>
      <c r="P15" s="7">
        <f>LN(F15/F14)</f>
        <v/>
      </c>
      <c r="Q15" s="7">
        <f>G15-G14</f>
        <v/>
      </c>
      <c r="R15" s="7">
        <f>H15-H14</f>
        <v/>
      </c>
      <c r="S15" s="7">
        <f>LN(I15/I14)</f>
        <v/>
      </c>
      <c r="T15" s="7">
        <f>LN(J15/J14)</f>
        <v/>
      </c>
      <c r="V15" t="inlineStr">
        <is>
          <t>α annualized</t>
        </is>
      </c>
      <c r="W15" s="8">
        <f>W12*12</f>
        <v/>
      </c>
    </row>
    <row r="16">
      <c r="A16" s="4" t="inlineStr">
        <is>
          <t>2004-02-29</t>
        </is>
      </c>
      <c r="B16" s="5" t="n">
        <v>395.85</v>
      </c>
      <c r="C16" s="5" t="n">
        <v>2.38</v>
      </c>
      <c r="D16" s="5" t="n">
        <v>1.61</v>
      </c>
      <c r="E16" s="5" t="n">
        <v>87.30999799999999</v>
      </c>
      <c r="F16" s="5" t="n">
        <v>36.08</v>
      </c>
      <c r="G16" s="5" t="n">
        <v>14.55</v>
      </c>
      <c r="H16" s="5" t="n">
        <v>90.139999</v>
      </c>
      <c r="I16" s="5" t="n">
        <v>1144.939941</v>
      </c>
      <c r="J16" s="5" t="n">
        <v>50.653458</v>
      </c>
      <c r="L16" s="7">
        <f>LN(B16/B15)</f>
        <v/>
      </c>
      <c r="M16" s="7">
        <f>C16-C15</f>
        <v/>
      </c>
      <c r="N16" s="7">
        <f>D16-D15</f>
        <v/>
      </c>
      <c r="O16" s="7">
        <f>LN(E16/E15)</f>
        <v/>
      </c>
      <c r="P16" s="7">
        <f>LN(F16/F15)</f>
        <v/>
      </c>
      <c r="Q16" s="7">
        <f>G16-G15</f>
        <v/>
      </c>
      <c r="R16" s="7">
        <f>H16-H15</f>
        <v/>
      </c>
      <c r="S16" s="7">
        <f>LN(I16/I15)</f>
        <v/>
      </c>
      <c r="T16" s="7">
        <f>LN(J16/J15)</f>
        <v/>
      </c>
    </row>
    <row r="17">
      <c r="A17" s="4" t="inlineStr">
        <is>
          <t>2004-03-31</t>
        </is>
      </c>
      <c r="B17" s="5" t="n">
        <v>423.7</v>
      </c>
      <c r="C17" s="5" t="n">
        <v>2.38</v>
      </c>
      <c r="D17" s="5" t="n">
        <v>1.48</v>
      </c>
      <c r="E17" s="5" t="n">
        <v>87.610001</v>
      </c>
      <c r="F17" s="5" t="n">
        <v>35.75</v>
      </c>
      <c r="G17" s="5" t="n">
        <v>16.74</v>
      </c>
      <c r="H17" s="5" t="n">
        <v>105.919998</v>
      </c>
      <c r="I17" s="5" t="n">
        <v>1126.209961</v>
      </c>
      <c r="J17" s="5" t="n">
        <v>50.999817</v>
      </c>
      <c r="L17" s="7">
        <f>LN(B17/B16)</f>
        <v/>
      </c>
      <c r="M17" s="7">
        <f>C17-C16</f>
        <v/>
      </c>
      <c r="N17" s="7">
        <f>D17-D16</f>
        <v/>
      </c>
      <c r="O17" s="7">
        <f>LN(E17/E16)</f>
        <v/>
      </c>
      <c r="P17" s="7">
        <f>LN(F17/F16)</f>
        <v/>
      </c>
      <c r="Q17" s="7">
        <f>G17-G16</f>
        <v/>
      </c>
      <c r="R17" s="7">
        <f>H17-H16</f>
        <v/>
      </c>
      <c r="S17" s="7">
        <f>LN(I17/I16)</f>
        <v/>
      </c>
      <c r="T17" s="7">
        <f>LN(J17/J16)</f>
        <v/>
      </c>
      <c r="V17" s="3" t="inlineStr">
        <is>
          <t>Forecast: enter your next-period factor change →</t>
        </is>
      </c>
    </row>
    <row r="18">
      <c r="A18" s="4" t="inlineStr">
        <is>
          <t>2004-04-30</t>
        </is>
      </c>
      <c r="B18" s="5" t="n">
        <v>388.5</v>
      </c>
      <c r="C18" s="5" t="n">
        <v>2.42</v>
      </c>
      <c r="D18" s="5" t="n">
        <v>2.11</v>
      </c>
      <c r="E18" s="5" t="n">
        <v>90.480003</v>
      </c>
      <c r="F18" s="5" t="n">
        <v>37.31</v>
      </c>
      <c r="G18" s="5" t="n">
        <v>17.19</v>
      </c>
      <c r="H18" s="5" t="n">
        <v>122.93</v>
      </c>
      <c r="I18" s="5" t="n">
        <v>1107.300049</v>
      </c>
      <c r="J18" s="5" t="n">
        <v>49.568539</v>
      </c>
      <c r="L18" s="7">
        <f>LN(B18/B17)</f>
        <v/>
      </c>
      <c r="M18" s="7">
        <f>C18-C17</f>
        <v/>
      </c>
      <c r="N18" s="7">
        <f>D18-D17</f>
        <v/>
      </c>
      <c r="O18" s="7">
        <f>LN(E18/E17)</f>
        <v/>
      </c>
      <c r="P18" s="7">
        <f>LN(F18/F17)</f>
        <v/>
      </c>
      <c r="Q18" s="7">
        <f>G18-G17</f>
        <v/>
      </c>
      <c r="R18" s="7">
        <f>H18-H17</f>
        <v/>
      </c>
      <c r="S18" s="7">
        <f>LN(I18/I17)</f>
        <v/>
      </c>
      <c r="T18" s="7">
        <f>LN(J18/J17)</f>
        <v/>
      </c>
      <c r="V18" s="6" t="inlineStr">
        <is>
          <t>Factor</t>
        </is>
      </c>
      <c r="W18" s="6" t="inlineStr">
        <is>
          <t>Your Δ (input)</t>
        </is>
      </c>
      <c r="X18" s="6" t="inlineStr">
        <is>
          <t>Contribution</t>
        </is>
      </c>
    </row>
    <row r="19">
      <c r="A19" s="4" t="inlineStr">
        <is>
          <t>2004-05-31</t>
        </is>
      </c>
      <c r="B19" s="5" t="n">
        <v>393.25</v>
      </c>
      <c r="C19" s="5" t="n">
        <v>2.66</v>
      </c>
      <c r="D19" s="5" t="n">
        <v>2</v>
      </c>
      <c r="E19" s="5" t="n">
        <v>88.949997</v>
      </c>
      <c r="F19" s="5" t="n">
        <v>39.9</v>
      </c>
      <c r="G19" s="5" t="n">
        <v>15.5</v>
      </c>
      <c r="H19" s="5" t="n">
        <v>106.120003</v>
      </c>
      <c r="I19" s="5" t="n">
        <v>1120.680054</v>
      </c>
      <c r="J19" s="5" t="n">
        <v>49.381126</v>
      </c>
      <c r="L19" s="7">
        <f>LN(B19/B18)</f>
        <v/>
      </c>
      <c r="M19" s="7">
        <f>C19-C18</f>
        <v/>
      </c>
      <c r="N19" s="7">
        <f>D19-D18</f>
        <v/>
      </c>
      <c r="O19" s="7">
        <f>LN(E19/E18)</f>
        <v/>
      </c>
      <c r="P19" s="7">
        <f>LN(F19/F18)</f>
        <v/>
      </c>
      <c r="Q19" s="7">
        <f>G19-G18</f>
        <v/>
      </c>
      <c r="R19" s="7">
        <f>H19-H18</f>
        <v/>
      </c>
      <c r="S19" s="7">
        <f>LN(I19/I18)</f>
        <v/>
      </c>
      <c r="T19" s="7">
        <f>LN(J19/J18)</f>
        <v/>
      </c>
      <c r="V19" t="inlineStr">
        <is>
          <t>10Y breakeven (pp)</t>
        </is>
      </c>
      <c r="W19" s="9" t="n">
        <v>0</v>
      </c>
      <c r="X19" s="10">
        <f>W4*W19</f>
        <v/>
      </c>
    </row>
    <row r="20">
      <c r="A20" s="4" t="inlineStr">
        <is>
          <t>2004-06-30</t>
        </is>
      </c>
      <c r="B20" s="5" t="n">
        <v>395.8</v>
      </c>
      <c r="C20" s="5" t="n">
        <v>2.52</v>
      </c>
      <c r="D20" s="5" t="n">
        <v>2.1</v>
      </c>
      <c r="E20" s="5" t="n">
        <v>88.800003</v>
      </c>
      <c r="F20" s="5" t="n">
        <v>36.92</v>
      </c>
      <c r="G20" s="5" t="n">
        <v>14.34</v>
      </c>
      <c r="H20" s="5" t="n">
        <v>93.910004</v>
      </c>
      <c r="I20" s="5" t="n">
        <v>1140.839966</v>
      </c>
      <c r="J20" s="5" t="n">
        <v>49.74081</v>
      </c>
      <c r="L20" s="7">
        <f>LN(B20/B19)</f>
        <v/>
      </c>
      <c r="M20" s="7">
        <f>C20-C19</f>
        <v/>
      </c>
      <c r="N20" s="7">
        <f>D20-D19</f>
        <v/>
      </c>
      <c r="O20" s="7">
        <f>LN(E20/E19)</f>
        <v/>
      </c>
      <c r="P20" s="7">
        <f>LN(F20/F19)</f>
        <v/>
      </c>
      <c r="Q20" s="7">
        <f>G20-G19</f>
        <v/>
      </c>
      <c r="R20" s="7">
        <f>H20-H19</f>
        <v/>
      </c>
      <c r="S20" s="7">
        <f>LN(I20/I19)</f>
        <v/>
      </c>
      <c r="T20" s="7">
        <f>LN(J20/J19)</f>
        <v/>
      </c>
      <c r="V20" t="inlineStr">
        <is>
          <t>10Y TIPS real (pp)</t>
        </is>
      </c>
      <c r="W20" s="9" t="n">
        <v>0</v>
      </c>
      <c r="X20" s="10">
        <f>W5*W20</f>
        <v/>
      </c>
    </row>
    <row r="21">
      <c r="A21" s="4" t="inlineStr">
        <is>
          <t>2004-07-31</t>
        </is>
      </c>
      <c r="B21" s="5" t="n">
        <v>391.4</v>
      </c>
      <c r="C21" s="5" t="n">
        <v>2.49</v>
      </c>
      <c r="D21" s="5" t="n">
        <v>2.01</v>
      </c>
      <c r="E21" s="5" t="n">
        <v>89.959999</v>
      </c>
      <c r="F21" s="5" t="n">
        <v>43.72</v>
      </c>
      <c r="G21" s="5" t="n">
        <v>15.32</v>
      </c>
      <c r="H21" s="5" t="n">
        <v>97.209999</v>
      </c>
      <c r="I21" s="5" t="n">
        <v>1101.719971</v>
      </c>
      <c r="J21" s="5" t="n">
        <v>50.200871</v>
      </c>
      <c r="L21" s="7">
        <f>LN(B21/B20)</f>
        <v/>
      </c>
      <c r="M21" s="7">
        <f>C21-C20</f>
        <v/>
      </c>
      <c r="N21" s="7">
        <f>D21-D20</f>
        <v/>
      </c>
      <c r="O21" s="7">
        <f>LN(E21/E20)</f>
        <v/>
      </c>
      <c r="P21" s="7">
        <f>LN(F21/F20)</f>
        <v/>
      </c>
      <c r="Q21" s="7">
        <f>G21-G20</f>
        <v/>
      </c>
      <c r="R21" s="7">
        <f>H21-H20</f>
        <v/>
      </c>
      <c r="S21" s="7">
        <f>LN(I21/I20)</f>
        <v/>
      </c>
      <c r="T21" s="7">
        <f>LN(J21/J20)</f>
        <v/>
      </c>
      <c r="V21" t="inlineStr">
        <is>
          <t>US Dollar Index DXY (idx)</t>
        </is>
      </c>
      <c r="W21" s="9" t="n">
        <v>0</v>
      </c>
      <c r="X21" s="10">
        <f>W6*W21</f>
        <v/>
      </c>
    </row>
    <row r="22">
      <c r="A22" s="4" t="inlineStr">
        <is>
          <t>2004-08-31</t>
        </is>
      </c>
      <c r="B22" s="5" t="n">
        <v>407.25</v>
      </c>
      <c r="C22" s="5" t="n">
        <v>2.35</v>
      </c>
      <c r="D22" s="5" t="n">
        <v>1.78</v>
      </c>
      <c r="E22" s="5" t="n">
        <v>88.94000200000001</v>
      </c>
      <c r="F22" s="5" t="n">
        <v>42.23</v>
      </c>
      <c r="G22" s="5" t="n">
        <v>15.29</v>
      </c>
      <c r="H22" s="5" t="n">
        <v>102.660004</v>
      </c>
      <c r="I22" s="5" t="n">
        <v>1104.23999</v>
      </c>
      <c r="J22" s="5" t="n">
        <v>51.013432</v>
      </c>
      <c r="L22" s="7">
        <f>LN(B22/B21)</f>
        <v/>
      </c>
      <c r="M22" s="7">
        <f>C22-C21</f>
        <v/>
      </c>
      <c r="N22" s="7">
        <f>D22-D21</f>
        <v/>
      </c>
      <c r="O22" s="7">
        <f>LN(E22/E21)</f>
        <v/>
      </c>
      <c r="P22" s="7">
        <f>LN(F22/F21)</f>
        <v/>
      </c>
      <c r="Q22" s="7">
        <f>G22-G21</f>
        <v/>
      </c>
      <c r="R22" s="7">
        <f>H22-H21</f>
        <v/>
      </c>
      <c r="S22" s="7">
        <f>LN(I22/I21)</f>
        <v/>
      </c>
      <c r="T22" s="7">
        <f>LN(J22/J21)</f>
        <v/>
      </c>
      <c r="V22" t="inlineStr">
        <is>
          <t>WTI crude oil ($/bbl)</t>
        </is>
      </c>
      <c r="W22" s="9" t="n">
        <v>0</v>
      </c>
      <c r="X22" s="10">
        <f>W7*W22</f>
        <v/>
      </c>
    </row>
    <row r="23">
      <c r="A23" s="4" t="inlineStr">
        <is>
          <t>2004-09-30</t>
        </is>
      </c>
      <c r="B23" s="5" t="n">
        <v>415.65</v>
      </c>
      <c r="C23" s="5" t="n">
        <v>2.37</v>
      </c>
      <c r="D23" s="5" t="n">
        <v>1.77</v>
      </c>
      <c r="E23" s="5" t="n">
        <v>87.360001</v>
      </c>
      <c r="F23" s="5" t="n">
        <v>49.56</v>
      </c>
      <c r="G23" s="5" t="n">
        <v>13.34</v>
      </c>
      <c r="H23" s="5" t="n">
        <v>92.889999</v>
      </c>
      <c r="I23" s="5" t="n">
        <v>1114.579956</v>
      </c>
      <c r="J23" s="5" t="n">
        <v>51.277126</v>
      </c>
      <c r="L23" s="7">
        <f>LN(B23/B22)</f>
        <v/>
      </c>
      <c r="M23" s="7">
        <f>C23-C22</f>
        <v/>
      </c>
      <c r="N23" s="7">
        <f>D23-D22</f>
        <v/>
      </c>
      <c r="O23" s="7">
        <f>LN(E23/E22)</f>
        <v/>
      </c>
      <c r="P23" s="7">
        <f>LN(F23/F22)</f>
        <v/>
      </c>
      <c r="Q23" s="7">
        <f>G23-G22</f>
        <v/>
      </c>
      <c r="R23" s="7">
        <f>H23-H22</f>
        <v/>
      </c>
      <c r="S23" s="7">
        <f>LN(I23/I22)</f>
        <v/>
      </c>
      <c r="T23" s="7">
        <f>LN(J23/J22)</f>
        <v/>
      </c>
      <c r="V23" t="inlineStr">
        <is>
          <t>Equity vol VIX (pts)</t>
        </is>
      </c>
      <c r="W23" s="9" t="n">
        <v>0</v>
      </c>
      <c r="X23" s="10">
        <f>W8*W23</f>
        <v/>
      </c>
    </row>
    <row r="24">
      <c r="A24" s="4" t="inlineStr">
        <is>
          <t>2004-10-31</t>
        </is>
      </c>
      <c r="B24" s="5" t="n">
        <v>425.55</v>
      </c>
      <c r="C24" s="5" t="n">
        <v>2.42</v>
      </c>
      <c r="D24" s="5" t="n">
        <v>1.63</v>
      </c>
      <c r="E24" s="5" t="n">
        <v>84.910004</v>
      </c>
      <c r="F24" s="5" t="n">
        <v>51.78</v>
      </c>
      <c r="G24" s="5" t="n">
        <v>16.27</v>
      </c>
      <c r="H24" s="5" t="n">
        <v>96.449997</v>
      </c>
      <c r="I24" s="5" t="n">
        <v>1130.199951</v>
      </c>
      <c r="J24" s="5" t="n">
        <v>51.721451</v>
      </c>
      <c r="L24" s="7">
        <f>LN(B24/B23)</f>
        <v/>
      </c>
      <c r="M24" s="7">
        <f>C24-C23</f>
        <v/>
      </c>
      <c r="N24" s="7">
        <f>D24-D23</f>
        <v/>
      </c>
      <c r="O24" s="7">
        <f>LN(E24/E23)</f>
        <v/>
      </c>
      <c r="P24" s="7">
        <f>LN(F24/F23)</f>
        <v/>
      </c>
      <c r="Q24" s="7">
        <f>G24-G23</f>
        <v/>
      </c>
      <c r="R24" s="7">
        <f>H24-H23</f>
        <v/>
      </c>
      <c r="S24" s="7">
        <f>LN(I24/I23)</f>
        <v/>
      </c>
      <c r="T24" s="7">
        <f>LN(J24/J23)</f>
        <v/>
      </c>
      <c r="V24" t="inlineStr">
        <is>
          <t>Rate vol MOVE (bps)</t>
        </is>
      </c>
      <c r="W24" s="9" t="n">
        <v>0</v>
      </c>
      <c r="X24" s="10">
        <f>W9*W24</f>
        <v/>
      </c>
    </row>
    <row r="25">
      <c r="A25" s="4" t="inlineStr">
        <is>
          <t>2004-11-30</t>
        </is>
      </c>
      <c r="B25" s="5" t="n">
        <v>453.4</v>
      </c>
      <c r="C25" s="5" t="n">
        <v>2.61</v>
      </c>
      <c r="D25" s="5" t="n">
        <v>1.75</v>
      </c>
      <c r="E25" s="5" t="n">
        <v>81.81999999999999</v>
      </c>
      <c r="F25" s="5" t="n">
        <v>49.16</v>
      </c>
      <c r="G25" s="5" t="n">
        <v>13.24</v>
      </c>
      <c r="H25" s="5" t="n">
        <v>89.55999799999999</v>
      </c>
      <c r="I25" s="5" t="n">
        <v>1173.819946</v>
      </c>
      <c r="J25" s="5" t="n">
        <v>51.339222</v>
      </c>
      <c r="L25" s="7">
        <f>LN(B25/B24)</f>
        <v/>
      </c>
      <c r="M25" s="7">
        <f>C25-C24</f>
        <v/>
      </c>
      <c r="N25" s="7">
        <f>D25-D24</f>
        <v/>
      </c>
      <c r="O25" s="7">
        <f>LN(E25/E24)</f>
        <v/>
      </c>
      <c r="P25" s="7">
        <f>LN(F25/F24)</f>
        <v/>
      </c>
      <c r="Q25" s="7">
        <f>G25-G24</f>
        <v/>
      </c>
      <c r="R25" s="7">
        <f>H25-H24</f>
        <v/>
      </c>
      <c r="S25" s="7">
        <f>LN(I25/I24)</f>
        <v/>
      </c>
      <c r="T25" s="7">
        <f>LN(J25/J24)</f>
        <v/>
      </c>
      <c r="V25" t="inlineStr">
        <is>
          <t>S&amp;P 500 (price) (idx)</t>
        </is>
      </c>
      <c r="W25" s="9" t="n">
        <v>0</v>
      </c>
      <c r="X25" s="10">
        <f>W10*W25</f>
        <v/>
      </c>
    </row>
    <row r="26">
      <c r="A26" s="4" t="inlineStr">
        <is>
          <t>2004-12-31</t>
        </is>
      </c>
      <c r="B26" s="5" t="n">
        <v>435.6</v>
      </c>
      <c r="C26" s="5" t="n">
        <v>2.56</v>
      </c>
      <c r="D26" s="5" t="n">
        <v>1.68</v>
      </c>
      <c r="E26" s="5" t="n">
        <v>80.849998</v>
      </c>
      <c r="F26" s="5" t="n">
        <v>43.36</v>
      </c>
      <c r="G26" s="5" t="n">
        <v>13.29</v>
      </c>
      <c r="H26" s="5" t="n">
        <v>86.599998</v>
      </c>
      <c r="I26" s="5" t="n">
        <v>1211.920044</v>
      </c>
      <c r="J26" s="5" t="n">
        <v>51.748566</v>
      </c>
      <c r="L26" s="7">
        <f>LN(B26/B25)</f>
        <v/>
      </c>
      <c r="M26" s="7">
        <f>C26-C25</f>
        <v/>
      </c>
      <c r="N26" s="7">
        <f>D26-D25</f>
        <v/>
      </c>
      <c r="O26" s="7">
        <f>LN(E26/E25)</f>
        <v/>
      </c>
      <c r="P26" s="7">
        <f>LN(F26/F25)</f>
        <v/>
      </c>
      <c r="Q26" s="7">
        <f>G26-G25</f>
        <v/>
      </c>
      <c r="R26" s="7">
        <f>H26-H25</f>
        <v/>
      </c>
      <c r="S26" s="7">
        <f>LN(I26/I25)</f>
        <v/>
      </c>
      <c r="T26" s="7">
        <f>LN(J26/J25)</f>
        <v/>
      </c>
      <c r="V26" t="inlineStr">
        <is>
          <t>US Agg bonds TR (idx)</t>
        </is>
      </c>
      <c r="W26" s="9" t="n">
        <v>0</v>
      </c>
      <c r="X26" s="10">
        <f>W11*W26</f>
        <v/>
      </c>
    </row>
    <row r="27">
      <c r="A27" s="4" t="inlineStr">
        <is>
          <t>2005-01-31</t>
        </is>
      </c>
      <c r="B27" s="5" t="n">
        <v>422.15</v>
      </c>
      <c r="C27" s="5" t="n">
        <v>2.49</v>
      </c>
      <c r="D27" s="5" t="n">
        <v>1.65</v>
      </c>
      <c r="E27" s="5" t="n">
        <v>83.599998</v>
      </c>
      <c r="F27" s="5" t="n">
        <v>48.25</v>
      </c>
      <c r="G27" s="5" t="n">
        <v>12.82</v>
      </c>
      <c r="H27" s="5" t="n">
        <v>79.290001</v>
      </c>
      <c r="I27" s="5" t="n">
        <v>1181.27002</v>
      </c>
      <c r="J27" s="5" t="n">
        <v>52.001225</v>
      </c>
      <c r="L27" s="7">
        <f>LN(B27/B26)</f>
        <v/>
      </c>
      <c r="M27" s="7">
        <f>C27-C26</f>
        <v/>
      </c>
      <c r="N27" s="7">
        <f>D27-D26</f>
        <v/>
      </c>
      <c r="O27" s="7">
        <f>LN(E27/E26)</f>
        <v/>
      </c>
      <c r="P27" s="7">
        <f>LN(F27/F26)</f>
        <v/>
      </c>
      <c r="Q27" s="7">
        <f>G27-G26</f>
        <v/>
      </c>
      <c r="R27" s="7">
        <f>H27-H26</f>
        <v/>
      </c>
      <c r="S27" s="7">
        <f>LN(I27/I26)</f>
        <v/>
      </c>
      <c r="T27" s="7">
        <f>LN(J27/J26)</f>
        <v/>
      </c>
      <c r="V27" s="3" t="inlineStr">
        <is>
          <t>Implied gold log-return</t>
        </is>
      </c>
      <c r="X27" s="11">
        <f>W12+SUM(X19:X26)</f>
        <v/>
      </c>
    </row>
    <row r="28">
      <c r="A28" s="4" t="inlineStr">
        <is>
          <t>2005-02-28</t>
        </is>
      </c>
      <c r="B28" s="5" t="n">
        <v>435.45</v>
      </c>
      <c r="C28" s="5" t="n">
        <v>2.66</v>
      </c>
      <c r="D28" s="5" t="n">
        <v>1.7</v>
      </c>
      <c r="E28" s="5" t="n">
        <v>82.510002</v>
      </c>
      <c r="F28" s="5" t="n">
        <v>51.75</v>
      </c>
      <c r="G28" s="5" t="n">
        <v>12.08</v>
      </c>
      <c r="H28" s="5" t="n">
        <v>90.050003</v>
      </c>
      <c r="I28" s="5" t="n">
        <v>1203.599976</v>
      </c>
      <c r="J28" s="5" t="n">
        <v>51.808109</v>
      </c>
      <c r="L28" s="7">
        <f>LN(B28/B27)</f>
        <v/>
      </c>
      <c r="M28" s="7">
        <f>C28-C27</f>
        <v/>
      </c>
      <c r="N28" s="7">
        <f>D28-D27</f>
        <v/>
      </c>
      <c r="O28" s="7">
        <f>LN(E28/E27)</f>
        <v/>
      </c>
      <c r="P28" s="7">
        <f>LN(F28/F27)</f>
        <v/>
      </c>
      <c r="Q28" s="7">
        <f>G28-G27</f>
        <v/>
      </c>
      <c r="R28" s="7">
        <f>H28-H27</f>
        <v/>
      </c>
      <c r="S28" s="7">
        <f>LN(I28/I27)</f>
        <v/>
      </c>
      <c r="T28" s="7">
        <f>LN(J28/J27)</f>
        <v/>
      </c>
      <c r="V28" t="inlineStr">
        <is>
          <t>≈ simple return</t>
        </is>
      </c>
      <c r="X28" s="10">
        <f>EXP(X27)-1</f>
        <v/>
      </c>
    </row>
    <row r="29">
      <c r="A29" s="4" t="inlineStr">
        <is>
          <t>2005-03-31</t>
        </is>
      </c>
      <c r="B29" s="5" t="n">
        <v>427.5</v>
      </c>
      <c r="C29" s="5" t="n">
        <v>2.71</v>
      </c>
      <c r="D29" s="5" t="n">
        <v>1.79</v>
      </c>
      <c r="E29" s="5" t="n">
        <v>84.05999799999999</v>
      </c>
      <c r="F29" s="5" t="n">
        <v>55.31</v>
      </c>
      <c r="G29" s="5" t="n">
        <v>14.02</v>
      </c>
      <c r="H29" s="5" t="n">
        <v>87.699997</v>
      </c>
      <c r="I29" s="5" t="n">
        <v>1180.589966</v>
      </c>
      <c r="J29" s="5" t="n">
        <v>51.303345</v>
      </c>
      <c r="L29" s="7">
        <f>LN(B29/B28)</f>
        <v/>
      </c>
      <c r="M29" s="7">
        <f>C29-C28</f>
        <v/>
      </c>
      <c r="N29" s="7">
        <f>D29-D28</f>
        <v/>
      </c>
      <c r="O29" s="7">
        <f>LN(E29/E28)</f>
        <v/>
      </c>
      <c r="P29" s="7">
        <f>LN(F29/F28)</f>
        <v/>
      </c>
      <c r="Q29" s="7">
        <f>G29-G28</f>
        <v/>
      </c>
      <c r="R29" s="7">
        <f>H29-H28</f>
        <v/>
      </c>
      <c r="S29" s="7">
        <f>LN(I29/I28)</f>
        <v/>
      </c>
      <c r="T29" s="7">
        <f>LN(J29/J28)</f>
        <v/>
      </c>
    </row>
    <row r="30">
      <c r="A30" s="4" t="inlineStr">
        <is>
          <t>2005-04-30</t>
        </is>
      </c>
      <c r="B30" s="5" t="n">
        <v>435.7</v>
      </c>
      <c r="C30" s="5" t="n">
        <v>2.6</v>
      </c>
      <c r="D30" s="5" t="n">
        <v>1.61</v>
      </c>
      <c r="E30" s="5" t="n">
        <v>84.43000000000001</v>
      </c>
      <c r="F30" s="5" t="n">
        <v>49.2</v>
      </c>
      <c r="G30" s="5" t="n">
        <v>15.31</v>
      </c>
      <c r="H30" s="5" t="n">
        <v>82.529999</v>
      </c>
      <c r="I30" s="5" t="n">
        <v>1156.849976</v>
      </c>
      <c r="J30" s="5" t="n">
        <v>52.187256</v>
      </c>
      <c r="L30" s="7">
        <f>LN(B30/B29)</f>
        <v/>
      </c>
      <c r="M30" s="7">
        <f>C30-C29</f>
        <v/>
      </c>
      <c r="N30" s="7">
        <f>D30-D29</f>
        <v/>
      </c>
      <c r="O30" s="7">
        <f>LN(E30/E29)</f>
        <v/>
      </c>
      <c r="P30" s="7">
        <f>LN(F30/F29)</f>
        <v/>
      </c>
      <c r="Q30" s="7">
        <f>G30-G29</f>
        <v/>
      </c>
      <c r="R30" s="7">
        <f>H30-H29</f>
        <v/>
      </c>
      <c r="S30" s="7">
        <f>LN(I30/I29)</f>
        <v/>
      </c>
      <c r="T30" s="7">
        <f>LN(J30/J29)</f>
        <v/>
      </c>
    </row>
    <row r="31">
      <c r="A31" s="4" t="inlineStr">
        <is>
          <t>2005-05-31</t>
        </is>
      </c>
      <c r="B31" s="5" t="n">
        <v>414.45</v>
      </c>
      <c r="C31" s="5" t="n">
        <v>2.37</v>
      </c>
      <c r="D31" s="5" t="n">
        <v>1.63</v>
      </c>
      <c r="E31" s="5" t="n">
        <v>87.760002</v>
      </c>
      <c r="F31" s="5" t="n">
        <v>52.08</v>
      </c>
      <c r="G31" s="5" t="n">
        <v>13.29</v>
      </c>
      <c r="H31" s="5" t="n">
        <v>75</v>
      </c>
      <c r="I31" s="5" t="n">
        <v>1191.5</v>
      </c>
      <c r="J31" s="5" t="n">
        <v>52.619133</v>
      </c>
      <c r="L31" s="7">
        <f>LN(B31/B30)</f>
        <v/>
      </c>
      <c r="M31" s="7">
        <f>C31-C30</f>
        <v/>
      </c>
      <c r="N31" s="7">
        <f>D31-D30</f>
        <v/>
      </c>
      <c r="O31" s="7">
        <f>LN(E31/E30)</f>
        <v/>
      </c>
      <c r="P31" s="7">
        <f>LN(F31/F30)</f>
        <v/>
      </c>
      <c r="Q31" s="7">
        <f>G31-G30</f>
        <v/>
      </c>
      <c r="R31" s="7">
        <f>H31-H30</f>
        <v/>
      </c>
      <c r="S31" s="7">
        <f>LN(I31/I30)</f>
        <v/>
      </c>
      <c r="T31" s="7">
        <f>LN(J31/J30)</f>
        <v/>
      </c>
    </row>
    <row r="32">
      <c r="A32" s="4" t="inlineStr">
        <is>
          <t>2005-06-30</t>
        </is>
      </c>
      <c r="B32" s="5" t="n">
        <v>437.1</v>
      </c>
      <c r="C32" s="5" t="n">
        <v>2.27</v>
      </c>
      <c r="D32" s="5" t="n">
        <v>1.67</v>
      </c>
      <c r="E32" s="5" t="n">
        <v>89.110001</v>
      </c>
      <c r="F32" s="5" t="n">
        <v>56.63</v>
      </c>
      <c r="G32" s="5" t="n">
        <v>12.04</v>
      </c>
      <c r="H32" s="5" t="n">
        <v>75.599998</v>
      </c>
      <c r="I32" s="5" t="n">
        <v>1191.329956</v>
      </c>
      <c r="J32" s="5" t="n">
        <v>53.080238</v>
      </c>
      <c r="L32" s="7">
        <f>LN(B32/B31)</f>
        <v/>
      </c>
      <c r="M32" s="7">
        <f>C32-C31</f>
        <v/>
      </c>
      <c r="N32" s="7">
        <f>D32-D31</f>
        <v/>
      </c>
      <c r="O32" s="7">
        <f>LN(E32/E31)</f>
        <v/>
      </c>
      <c r="P32" s="7">
        <f>LN(F32/F31)</f>
        <v/>
      </c>
      <c r="Q32" s="7">
        <f>G32-G31</f>
        <v/>
      </c>
      <c r="R32" s="7">
        <f>H32-H31</f>
        <v/>
      </c>
      <c r="S32" s="7">
        <f>LN(I32/I31)</f>
        <v/>
      </c>
      <c r="T32" s="7">
        <f>LN(J32/J31)</f>
        <v/>
      </c>
    </row>
    <row r="33">
      <c r="A33" s="4" t="inlineStr">
        <is>
          <t>2005-07-31</t>
        </is>
      </c>
      <c r="B33" s="5" t="n">
        <v>429</v>
      </c>
      <c r="C33" s="5" t="n">
        <v>2.36</v>
      </c>
      <c r="D33" s="5" t="n">
        <v>1.92</v>
      </c>
      <c r="E33" s="5" t="n">
        <v>89.349998</v>
      </c>
      <c r="F33" s="5" t="n">
        <v>60.71</v>
      </c>
      <c r="G33" s="5" t="n">
        <v>11.57</v>
      </c>
      <c r="H33" s="5" t="n">
        <v>74.800003</v>
      </c>
      <c r="I33" s="5" t="n">
        <v>1234.180054</v>
      </c>
      <c r="J33" s="5" t="n">
        <v>52.530582</v>
      </c>
      <c r="L33" s="7">
        <f>LN(B33/B32)</f>
        <v/>
      </c>
      <c r="M33" s="7">
        <f>C33-C32</f>
        <v/>
      </c>
      <c r="N33" s="7">
        <f>D33-D32</f>
        <v/>
      </c>
      <c r="O33" s="7">
        <f>LN(E33/E32)</f>
        <v/>
      </c>
      <c r="P33" s="7">
        <f>LN(F33/F32)</f>
        <v/>
      </c>
      <c r="Q33" s="7">
        <f>G33-G32</f>
        <v/>
      </c>
      <c r="R33" s="7">
        <f>H33-H32</f>
        <v/>
      </c>
      <c r="S33" s="7">
        <f>LN(I33/I32)</f>
        <v/>
      </c>
      <c r="T33" s="7">
        <f>LN(J33/J32)</f>
        <v/>
      </c>
    </row>
    <row r="34">
      <c r="A34" s="4" t="inlineStr">
        <is>
          <t>2005-08-31</t>
        </is>
      </c>
      <c r="B34" s="5" t="n">
        <v>433.25</v>
      </c>
      <c r="C34" s="5" t="n">
        <v>2.37</v>
      </c>
      <c r="D34" s="5" t="n">
        <v>1.65</v>
      </c>
      <c r="E34" s="5" t="n">
        <v>87.58000199999999</v>
      </c>
      <c r="F34" s="5" t="n">
        <v>68.63</v>
      </c>
      <c r="G34" s="5" t="n">
        <v>12.6</v>
      </c>
      <c r="H34" s="5" t="n">
        <v>78.199997</v>
      </c>
      <c r="I34" s="5" t="n">
        <v>1220.329956</v>
      </c>
      <c r="J34" s="5" t="n">
        <v>53.151249</v>
      </c>
      <c r="L34" s="7">
        <f>LN(B34/B33)</f>
        <v/>
      </c>
      <c r="M34" s="7">
        <f>C34-C33</f>
        <v/>
      </c>
      <c r="N34" s="7">
        <f>D34-D33</f>
        <v/>
      </c>
      <c r="O34" s="7">
        <f>LN(E34/E33)</f>
        <v/>
      </c>
      <c r="P34" s="7">
        <f>LN(F34/F33)</f>
        <v/>
      </c>
      <c r="Q34" s="7">
        <f>G34-G33</f>
        <v/>
      </c>
      <c r="R34" s="7">
        <f>H34-H33</f>
        <v/>
      </c>
      <c r="S34" s="7">
        <f>LN(I34/I33)</f>
        <v/>
      </c>
      <c r="T34" s="7">
        <f>LN(J34/J33)</f>
        <v/>
      </c>
    </row>
    <row r="35">
      <c r="A35" s="4" t="inlineStr">
        <is>
          <t>2005-09-30</t>
        </is>
      </c>
      <c r="B35" s="5" t="n">
        <v>473.25</v>
      </c>
      <c r="C35" s="5" t="n">
        <v>2.56</v>
      </c>
      <c r="D35" s="5" t="n">
        <v>1.78</v>
      </c>
      <c r="E35" s="5" t="n">
        <v>89.519997</v>
      </c>
      <c r="F35" s="5" t="n">
        <v>66.20999999999999</v>
      </c>
      <c r="G35" s="5" t="n">
        <v>11.92</v>
      </c>
      <c r="H35" s="5" t="n">
        <v>76.709999</v>
      </c>
      <c r="I35" s="5" t="n">
        <v>1228.810059</v>
      </c>
      <c r="J35" s="5" t="n">
        <v>52.653507</v>
      </c>
      <c r="L35" s="7">
        <f>LN(B35/B34)</f>
        <v/>
      </c>
      <c r="M35" s="7">
        <f>C35-C34</f>
        <v/>
      </c>
      <c r="N35" s="7">
        <f>D35-D34</f>
        <v/>
      </c>
      <c r="O35" s="7">
        <f>LN(E35/E34)</f>
        <v/>
      </c>
      <c r="P35" s="7">
        <f>LN(F35/F34)</f>
        <v/>
      </c>
      <c r="Q35" s="7">
        <f>G35-G34</f>
        <v/>
      </c>
      <c r="R35" s="7">
        <f>H35-H34</f>
        <v/>
      </c>
      <c r="S35" s="7">
        <f>LN(I35/I34)</f>
        <v/>
      </c>
      <c r="T35" s="7">
        <f>LN(J35/J34)</f>
        <v/>
      </c>
    </row>
    <row r="36">
      <c r="A36" s="4" t="inlineStr">
        <is>
          <t>2005-10-31</t>
        </is>
      </c>
      <c r="B36" s="5" t="n">
        <v>470.75</v>
      </c>
      <c r="C36" s="5" t="n">
        <v>2.57</v>
      </c>
      <c r="D36" s="5" t="n">
        <v>2</v>
      </c>
      <c r="E36" s="5" t="n">
        <v>90.06999999999999</v>
      </c>
      <c r="F36" s="5" t="n">
        <v>59.8</v>
      </c>
      <c r="G36" s="5" t="n">
        <v>15.32</v>
      </c>
      <c r="H36" s="5" t="n">
        <v>80.08000199999999</v>
      </c>
      <c r="I36" s="5" t="n">
        <v>1207.01001</v>
      </c>
      <c r="J36" s="5" t="n">
        <v>52.131744</v>
      </c>
      <c r="L36" s="7">
        <f>LN(B36/B35)</f>
        <v/>
      </c>
      <c r="M36" s="7">
        <f>C36-C35</f>
        <v/>
      </c>
      <c r="N36" s="7">
        <f>D36-D35</f>
        <v/>
      </c>
      <c r="O36" s="7">
        <f>LN(E36/E35)</f>
        <v/>
      </c>
      <c r="P36" s="7">
        <f>LN(F36/F35)</f>
        <v/>
      </c>
      <c r="Q36" s="7">
        <f>G36-G35</f>
        <v/>
      </c>
      <c r="R36" s="7">
        <f>H36-H35</f>
        <v/>
      </c>
      <c r="S36" s="7">
        <f>LN(I36/I35)</f>
        <v/>
      </c>
      <c r="T36" s="7">
        <f>LN(J36/J35)</f>
        <v/>
      </c>
    </row>
    <row r="37">
      <c r="A37" s="4" t="inlineStr">
        <is>
          <t>2005-11-30</t>
        </is>
      </c>
      <c r="B37" s="5" t="n">
        <v>495.65</v>
      </c>
      <c r="C37" s="5" t="n">
        <v>2.37</v>
      </c>
      <c r="D37" s="5" t="n">
        <v>2.12</v>
      </c>
      <c r="E37" s="5" t="n">
        <v>91.56999999999999</v>
      </c>
      <c r="F37" s="5" t="n">
        <v>57.33</v>
      </c>
      <c r="G37" s="5" t="n">
        <v>12.06</v>
      </c>
      <c r="H37" s="5" t="n">
        <v>73.5</v>
      </c>
      <c r="I37" s="5" t="n">
        <v>1249.47998</v>
      </c>
      <c r="J37" s="5" t="n">
        <v>52.327057</v>
      </c>
      <c r="L37" s="7">
        <f>LN(B37/B36)</f>
        <v/>
      </c>
      <c r="M37" s="7">
        <f>C37-C36</f>
        <v/>
      </c>
      <c r="N37" s="7">
        <f>D37-D36</f>
        <v/>
      </c>
      <c r="O37" s="7">
        <f>LN(E37/E36)</f>
        <v/>
      </c>
      <c r="P37" s="7">
        <f>LN(F37/F36)</f>
        <v/>
      </c>
      <c r="Q37" s="7">
        <f>G37-G36</f>
        <v/>
      </c>
      <c r="R37" s="7">
        <f>H37-H36</f>
        <v/>
      </c>
      <c r="S37" s="7">
        <f>LN(I37/I36)</f>
        <v/>
      </c>
      <c r="T37" s="7">
        <f>LN(J37/J36)</f>
        <v/>
      </c>
    </row>
    <row r="38">
      <c r="A38" s="4" t="inlineStr">
        <is>
          <t>2005-12-31</t>
        </is>
      </c>
      <c r="B38" s="5" t="n">
        <v>513</v>
      </c>
      <c r="C38" s="5" t="n">
        <v>2.33</v>
      </c>
      <c r="D38" s="5" t="n">
        <v>2.06</v>
      </c>
      <c r="E38" s="5" t="n">
        <v>91.16999800000001</v>
      </c>
      <c r="F38" s="5" t="n">
        <v>61.06</v>
      </c>
      <c r="G38" s="5" t="n">
        <v>12.07</v>
      </c>
      <c r="H38" s="5" t="n">
        <v>72.089996</v>
      </c>
      <c r="I38" s="5" t="n">
        <v>1248.290039</v>
      </c>
      <c r="J38" s="5" t="n">
        <v>52.92046</v>
      </c>
      <c r="L38" s="7">
        <f>LN(B38/B37)</f>
        <v/>
      </c>
      <c r="M38" s="7">
        <f>C38-C37</f>
        <v/>
      </c>
      <c r="N38" s="7">
        <f>D38-D37</f>
        <v/>
      </c>
      <c r="O38" s="7">
        <f>LN(E38/E37)</f>
        <v/>
      </c>
      <c r="P38" s="7">
        <f>LN(F38/F37)</f>
        <v/>
      </c>
      <c r="Q38" s="7">
        <f>G38-G37</f>
        <v/>
      </c>
      <c r="R38" s="7">
        <f>H38-H37</f>
        <v/>
      </c>
      <c r="S38" s="7">
        <f>LN(I38/I37)</f>
        <v/>
      </c>
      <c r="T38" s="7">
        <f>LN(J38/J37)</f>
        <v/>
      </c>
    </row>
    <row r="39">
      <c r="A39" s="4" t="inlineStr">
        <is>
          <t>2006-01-31</t>
        </is>
      </c>
      <c r="B39" s="5" t="n">
        <v>568.75</v>
      </c>
      <c r="C39" s="5" t="n">
        <v>2.53</v>
      </c>
      <c r="D39" s="5" t="n">
        <v>2</v>
      </c>
      <c r="E39" s="5" t="n">
        <v>88.959999</v>
      </c>
      <c r="F39" s="5" t="n">
        <v>67.86</v>
      </c>
      <c r="G39" s="5" t="n">
        <v>12.95</v>
      </c>
      <c r="H39" s="5" t="n">
        <v>73.699997</v>
      </c>
      <c r="I39" s="5" t="n">
        <v>1280.079956</v>
      </c>
      <c r="J39" s="5" t="n">
        <v>52.888916</v>
      </c>
      <c r="L39" s="7">
        <f>LN(B39/B38)</f>
        <v/>
      </c>
      <c r="M39" s="7">
        <f>C39-C38</f>
        <v/>
      </c>
      <c r="N39" s="7">
        <f>D39-D38</f>
        <v/>
      </c>
      <c r="O39" s="7">
        <f>LN(E39/E38)</f>
        <v/>
      </c>
      <c r="P39" s="7">
        <f>LN(F39/F38)</f>
        <v/>
      </c>
      <c r="Q39" s="7">
        <f>G39-G38</f>
        <v/>
      </c>
      <c r="R39" s="7">
        <f>H39-H38</f>
        <v/>
      </c>
      <c r="S39" s="7">
        <f>LN(I39/I38)</f>
        <v/>
      </c>
      <c r="T39" s="7">
        <f>LN(J39/J38)</f>
        <v/>
      </c>
    </row>
    <row r="40">
      <c r="A40" s="4" t="inlineStr">
        <is>
          <t>2006-02-28</t>
        </is>
      </c>
      <c r="B40" s="5" t="n">
        <v>556</v>
      </c>
      <c r="C40" s="5" t="n">
        <v>2.53</v>
      </c>
      <c r="D40" s="5" t="n">
        <v>2.02</v>
      </c>
      <c r="E40" s="5" t="n">
        <v>90.110001</v>
      </c>
      <c r="F40" s="5" t="n">
        <v>61.37</v>
      </c>
      <c r="G40" s="5" t="n">
        <v>12.34</v>
      </c>
      <c r="H40" s="5" t="n">
        <v>56.860001</v>
      </c>
      <c r="I40" s="5" t="n">
        <v>1280.660034</v>
      </c>
      <c r="J40" s="5" t="n">
        <v>52.973904</v>
      </c>
      <c r="L40" s="7">
        <f>LN(B40/B39)</f>
        <v/>
      </c>
      <c r="M40" s="7">
        <f>C40-C39</f>
        <v/>
      </c>
      <c r="N40" s="7">
        <f>D40-D39</f>
        <v/>
      </c>
      <c r="O40" s="7">
        <f>LN(E40/E39)</f>
        <v/>
      </c>
      <c r="P40" s="7">
        <f>LN(F40/F39)</f>
        <v/>
      </c>
      <c r="Q40" s="7">
        <f>G40-G39</f>
        <v/>
      </c>
      <c r="R40" s="7">
        <f>H40-H39</f>
        <v/>
      </c>
      <c r="S40" s="7">
        <f>LN(I40/I39)</f>
        <v/>
      </c>
      <c r="T40" s="7">
        <f>LN(J40/J39)</f>
        <v/>
      </c>
    </row>
    <row r="41">
      <c r="A41" s="4" t="inlineStr">
        <is>
          <t>2006-03-31</t>
        </is>
      </c>
      <c r="B41" s="5" t="n">
        <v>582</v>
      </c>
      <c r="C41" s="5" t="n">
        <v>2.51</v>
      </c>
      <c r="D41" s="5" t="n">
        <v>2.35</v>
      </c>
      <c r="E41" s="5" t="n">
        <v>89.730003</v>
      </c>
      <c r="F41" s="5" t="n">
        <v>66.25</v>
      </c>
      <c r="G41" s="5" t="n">
        <v>11.39</v>
      </c>
      <c r="H41" s="5" t="n">
        <v>68.599998</v>
      </c>
      <c r="I41" s="5" t="n">
        <v>1294.869995</v>
      </c>
      <c r="J41" s="5" t="n">
        <v>52.514412</v>
      </c>
      <c r="L41" s="7">
        <f>LN(B41/B40)</f>
        <v/>
      </c>
      <c r="M41" s="7">
        <f>C41-C40</f>
        <v/>
      </c>
      <c r="N41" s="7">
        <f>D41-D40</f>
        <v/>
      </c>
      <c r="O41" s="7">
        <f>LN(E41/E40)</f>
        <v/>
      </c>
      <c r="P41" s="7">
        <f>LN(F41/F40)</f>
        <v/>
      </c>
      <c r="Q41" s="7">
        <f>G41-G40</f>
        <v/>
      </c>
      <c r="R41" s="7">
        <f>H41-H40</f>
        <v/>
      </c>
      <c r="S41" s="7">
        <f>LN(I41/I40)</f>
        <v/>
      </c>
      <c r="T41" s="7">
        <f>LN(J41/J40)</f>
        <v/>
      </c>
    </row>
    <row r="42">
      <c r="A42" s="4" t="inlineStr">
        <is>
          <t>2006-04-30</t>
        </is>
      </c>
      <c r="B42" s="5" t="n">
        <v>644</v>
      </c>
      <c r="C42" s="5" t="n">
        <v>2.68</v>
      </c>
      <c r="D42" s="5" t="n">
        <v>2.39</v>
      </c>
      <c r="E42" s="5" t="n">
        <v>86.110001</v>
      </c>
      <c r="F42" s="5" t="n">
        <v>71.8</v>
      </c>
      <c r="G42" s="5" t="n">
        <v>11.59</v>
      </c>
      <c r="H42" s="5" t="n">
        <v>63</v>
      </c>
      <c r="I42" s="5" t="n">
        <v>1310.609985</v>
      </c>
      <c r="J42" s="5" t="n">
        <v>52.436146</v>
      </c>
      <c r="L42" s="7">
        <f>LN(B42/B41)</f>
        <v/>
      </c>
      <c r="M42" s="7">
        <f>C42-C41</f>
        <v/>
      </c>
      <c r="N42" s="7">
        <f>D42-D41</f>
        <v/>
      </c>
      <c r="O42" s="7">
        <f>LN(E42/E41)</f>
        <v/>
      </c>
      <c r="P42" s="7">
        <f>LN(F42/F41)</f>
        <v/>
      </c>
      <c r="Q42" s="7">
        <f>G42-G41</f>
        <v/>
      </c>
      <c r="R42" s="7">
        <f>H42-H41</f>
        <v/>
      </c>
      <c r="S42" s="7">
        <f>LN(I42/I41)</f>
        <v/>
      </c>
      <c r="T42" s="7">
        <f>LN(J42/J41)</f>
        <v/>
      </c>
    </row>
    <row r="43">
      <c r="A43" s="4" t="inlineStr">
        <is>
          <t>2006-05-31</t>
        </is>
      </c>
      <c r="B43" s="5" t="n">
        <v>653</v>
      </c>
      <c r="C43" s="5" t="n">
        <v>2.64</v>
      </c>
      <c r="D43" s="5" t="n">
        <v>2.48</v>
      </c>
      <c r="E43" s="5" t="n">
        <v>84.720001</v>
      </c>
      <c r="F43" s="5" t="n">
        <v>71.42</v>
      </c>
      <c r="G43" s="5" t="n">
        <v>16.44</v>
      </c>
      <c r="H43" s="5" t="n">
        <v>67.099998</v>
      </c>
      <c r="I43" s="5" t="n">
        <v>1270.089966</v>
      </c>
      <c r="J43" s="5" t="n">
        <v>52.33202</v>
      </c>
      <c r="L43" s="7">
        <f>LN(B43/B42)</f>
        <v/>
      </c>
      <c r="M43" s="7">
        <f>C43-C42</f>
        <v/>
      </c>
      <c r="N43" s="7">
        <f>D43-D42</f>
        <v/>
      </c>
      <c r="O43" s="7">
        <f>LN(E43/E42)</f>
        <v/>
      </c>
      <c r="P43" s="7">
        <f>LN(F43/F42)</f>
        <v/>
      </c>
      <c r="Q43" s="7">
        <f>G43-G42</f>
        <v/>
      </c>
      <c r="R43" s="7">
        <f>H43-H42</f>
        <v/>
      </c>
      <c r="S43" s="7">
        <f>LN(I43/I42)</f>
        <v/>
      </c>
      <c r="T43" s="7">
        <f>LN(J43/J42)</f>
        <v/>
      </c>
    </row>
    <row r="44">
      <c r="A44" s="4" t="inlineStr">
        <is>
          <t>2006-06-30</t>
        </is>
      </c>
      <c r="B44" s="5" t="n">
        <v>613.5</v>
      </c>
      <c r="C44" s="5" t="n">
        <v>2.61</v>
      </c>
      <c r="D44" s="5" t="n">
        <v>2.54</v>
      </c>
      <c r="E44" s="5" t="n">
        <v>85.220001</v>
      </c>
      <c r="F44" s="5" t="n">
        <v>73.94</v>
      </c>
      <c r="G44" s="5" t="n">
        <v>13.08</v>
      </c>
      <c r="H44" s="5" t="n">
        <v>65.5</v>
      </c>
      <c r="I44" s="5" t="n">
        <v>1270.199951</v>
      </c>
      <c r="J44" s="5" t="n">
        <v>52.247799</v>
      </c>
      <c r="L44" s="7">
        <f>LN(B44/B43)</f>
        <v/>
      </c>
      <c r="M44" s="7">
        <f>C44-C43</f>
        <v/>
      </c>
      <c r="N44" s="7">
        <f>D44-D43</f>
        <v/>
      </c>
      <c r="O44" s="7">
        <f>LN(E44/E43)</f>
        <v/>
      </c>
      <c r="P44" s="7">
        <f>LN(F44/F43)</f>
        <v/>
      </c>
      <c r="Q44" s="7">
        <f>G44-G43</f>
        <v/>
      </c>
      <c r="R44" s="7">
        <f>H44-H43</f>
        <v/>
      </c>
      <c r="S44" s="7">
        <f>LN(I44/I43)</f>
        <v/>
      </c>
      <c r="T44" s="7">
        <f>LN(J44/J43)</f>
        <v/>
      </c>
    </row>
    <row r="45">
      <c r="A45" s="4" t="inlineStr">
        <is>
          <t>2006-07-31</t>
        </is>
      </c>
      <c r="B45" s="5" t="n">
        <v>632.5</v>
      </c>
      <c r="C45" s="5" t="n">
        <v>2.58</v>
      </c>
      <c r="D45" s="5" t="n">
        <v>2.41</v>
      </c>
      <c r="E45" s="5" t="n">
        <v>85.300003</v>
      </c>
      <c r="F45" s="5" t="n">
        <v>74.56</v>
      </c>
      <c r="G45" s="5" t="n">
        <v>14.95</v>
      </c>
      <c r="H45" s="5" t="n">
        <v>63.400002</v>
      </c>
      <c r="I45" s="5" t="n">
        <v>1276.660034</v>
      </c>
      <c r="J45" s="5" t="n">
        <v>52.973507</v>
      </c>
      <c r="L45" s="7">
        <f>LN(B45/B44)</f>
        <v/>
      </c>
      <c r="M45" s="7">
        <f>C45-C44</f>
        <v/>
      </c>
      <c r="N45" s="7">
        <f>D45-D44</f>
        <v/>
      </c>
      <c r="O45" s="7">
        <f>LN(E45/E44)</f>
        <v/>
      </c>
      <c r="P45" s="7">
        <f>LN(F45/F44)</f>
        <v/>
      </c>
      <c r="Q45" s="7">
        <f>G45-G44</f>
        <v/>
      </c>
      <c r="R45" s="7">
        <f>H45-H44</f>
        <v/>
      </c>
      <c r="S45" s="7">
        <f>LN(I45/I44)</f>
        <v/>
      </c>
      <c r="T45" s="7">
        <f>LN(J45/J44)</f>
        <v/>
      </c>
    </row>
    <row r="46">
      <c r="A46" s="4" t="inlineStr">
        <is>
          <t>2006-08-31</t>
        </is>
      </c>
      <c r="B46" s="5" t="n">
        <v>623.5</v>
      </c>
      <c r="C46" s="5" t="n">
        <v>2.5</v>
      </c>
      <c r="D46" s="5" t="n">
        <v>2.24</v>
      </c>
      <c r="E46" s="5" t="n">
        <v>85.050003</v>
      </c>
      <c r="F46" s="5" t="n">
        <v>70.38</v>
      </c>
      <c r="G46" s="5" t="n">
        <v>12.31</v>
      </c>
      <c r="H46" s="5" t="n">
        <v>59.799999</v>
      </c>
      <c r="I46" s="5" t="n">
        <v>1303.819946</v>
      </c>
      <c r="J46" s="5" t="n">
        <v>53.816322</v>
      </c>
      <c r="L46" s="7">
        <f>LN(B46/B45)</f>
        <v/>
      </c>
      <c r="M46" s="7">
        <f>C46-C45</f>
        <v/>
      </c>
      <c r="N46" s="7">
        <f>D46-D45</f>
        <v/>
      </c>
      <c r="O46" s="7">
        <f>LN(E46/E45)</f>
        <v/>
      </c>
      <c r="P46" s="7">
        <f>LN(F46/F45)</f>
        <v/>
      </c>
      <c r="Q46" s="7">
        <f>G46-G45</f>
        <v/>
      </c>
      <c r="R46" s="7">
        <f>H46-H45</f>
        <v/>
      </c>
      <c r="S46" s="7">
        <f>LN(I46/I45)</f>
        <v/>
      </c>
      <c r="T46" s="7">
        <f>LN(J46/J45)</f>
        <v/>
      </c>
    </row>
    <row r="47">
      <c r="A47" s="4" t="inlineStr">
        <is>
          <t>2006-09-30</t>
        </is>
      </c>
      <c r="B47" s="5" t="n">
        <v>599.25</v>
      </c>
      <c r="C47" s="5" t="n">
        <v>2.37</v>
      </c>
      <c r="D47" s="5" t="n">
        <v>2.27</v>
      </c>
      <c r="E47" s="5" t="n">
        <v>85.970001</v>
      </c>
      <c r="F47" s="5" t="n">
        <v>62.9</v>
      </c>
      <c r="G47" s="5" t="n">
        <v>11.98</v>
      </c>
      <c r="H47" s="5" t="n">
        <v>63.099998</v>
      </c>
      <c r="I47" s="5" t="n">
        <v>1335.849976</v>
      </c>
      <c r="J47" s="5" t="n">
        <v>54.360672</v>
      </c>
      <c r="L47" s="7">
        <f>LN(B47/B46)</f>
        <v/>
      </c>
      <c r="M47" s="7">
        <f>C47-C46</f>
        <v/>
      </c>
      <c r="N47" s="7">
        <f>D47-D46</f>
        <v/>
      </c>
      <c r="O47" s="7">
        <f>LN(E47/E46)</f>
        <v/>
      </c>
      <c r="P47" s="7">
        <f>LN(F47/F46)</f>
        <v/>
      </c>
      <c r="Q47" s="7">
        <f>G47-G46</f>
        <v/>
      </c>
      <c r="R47" s="7">
        <f>H47-H46</f>
        <v/>
      </c>
      <c r="S47" s="7">
        <f>LN(I47/I46)</f>
        <v/>
      </c>
      <c r="T47" s="7">
        <f>LN(J47/J46)</f>
        <v/>
      </c>
    </row>
    <row r="48">
      <c r="A48" s="4" t="inlineStr">
        <is>
          <t>2006-10-31</t>
        </is>
      </c>
      <c r="B48" s="5" t="n">
        <v>603.75</v>
      </c>
      <c r="C48" s="5" t="n">
        <v>2.27</v>
      </c>
      <c r="D48" s="5" t="n">
        <v>2.34</v>
      </c>
      <c r="E48" s="5" t="n">
        <v>85.31999999999999</v>
      </c>
      <c r="F48" s="5" t="n">
        <v>58.72</v>
      </c>
      <c r="G48" s="5" t="n">
        <v>11.1</v>
      </c>
      <c r="H48" s="5" t="n">
        <v>60.900002</v>
      </c>
      <c r="I48" s="5" t="n">
        <v>1377.939941</v>
      </c>
      <c r="J48" s="5" t="n">
        <v>54.733494</v>
      </c>
      <c r="L48" s="7">
        <f>LN(B48/B47)</f>
        <v/>
      </c>
      <c r="M48" s="7">
        <f>C48-C47</f>
        <v/>
      </c>
      <c r="N48" s="7">
        <f>D48-D47</f>
        <v/>
      </c>
      <c r="O48" s="7">
        <f>LN(E48/E47)</f>
        <v/>
      </c>
      <c r="P48" s="7">
        <f>LN(F48/F47)</f>
        <v/>
      </c>
      <c r="Q48" s="7">
        <f>G48-G47</f>
        <v/>
      </c>
      <c r="R48" s="7">
        <f>H48-H47</f>
        <v/>
      </c>
      <c r="S48" s="7">
        <f>LN(I48/I47)</f>
        <v/>
      </c>
      <c r="T48" s="7">
        <f>LN(J48/J47)</f>
        <v/>
      </c>
    </row>
    <row r="49">
      <c r="A49" s="4" t="inlineStr">
        <is>
          <t>2006-11-30</t>
        </is>
      </c>
      <c r="B49" s="5" t="n">
        <v>646.7</v>
      </c>
      <c r="C49" s="5" t="n">
        <v>2.3</v>
      </c>
      <c r="D49" s="5" t="n">
        <v>2.16</v>
      </c>
      <c r="E49" s="5" t="n">
        <v>82.91999800000001</v>
      </c>
      <c r="F49" s="5" t="n">
        <v>62.97</v>
      </c>
      <c r="G49" s="5" t="n">
        <v>10.91</v>
      </c>
      <c r="H49" s="5" t="n">
        <v>68.5</v>
      </c>
      <c r="I49" s="5" t="n">
        <v>1400.630005</v>
      </c>
      <c r="J49" s="5" t="n">
        <v>55.314651</v>
      </c>
      <c r="L49" s="7">
        <f>LN(B49/B48)</f>
        <v/>
      </c>
      <c r="M49" s="7">
        <f>C49-C48</f>
        <v/>
      </c>
      <c r="N49" s="7">
        <f>D49-D48</f>
        <v/>
      </c>
      <c r="O49" s="7">
        <f>LN(E49/E48)</f>
        <v/>
      </c>
      <c r="P49" s="7">
        <f>LN(F49/F48)</f>
        <v/>
      </c>
      <c r="Q49" s="7">
        <f>G49-G48</f>
        <v/>
      </c>
      <c r="R49" s="7">
        <f>H49-H48</f>
        <v/>
      </c>
      <c r="S49" s="7">
        <f>LN(I49/I48)</f>
        <v/>
      </c>
      <c r="T49" s="7">
        <f>LN(J49/J48)</f>
        <v/>
      </c>
    </row>
    <row r="50">
      <c r="A50" s="4" t="inlineStr">
        <is>
          <t>2006-12-31</t>
        </is>
      </c>
      <c r="B50" s="5" t="n">
        <v>632</v>
      </c>
      <c r="C50" s="5" t="n">
        <v>2.3</v>
      </c>
      <c r="D50" s="5" t="n">
        <v>2.41</v>
      </c>
      <c r="E50" s="5" t="n">
        <v>83.720001</v>
      </c>
      <c r="F50" s="5" t="n">
        <v>60.85</v>
      </c>
      <c r="G50" s="5" t="n">
        <v>11.56</v>
      </c>
      <c r="H50" s="5" t="n">
        <v>66.800003</v>
      </c>
      <c r="I50" s="5" t="n">
        <v>1418.300049</v>
      </c>
      <c r="J50" s="5" t="n">
        <v>54.982533</v>
      </c>
      <c r="L50" s="7">
        <f>LN(B50/B49)</f>
        <v/>
      </c>
      <c r="M50" s="7">
        <f>C50-C49</f>
        <v/>
      </c>
      <c r="N50" s="7">
        <f>D50-D49</f>
        <v/>
      </c>
      <c r="O50" s="7">
        <f>LN(E50/E49)</f>
        <v/>
      </c>
      <c r="P50" s="7">
        <f>LN(F50/F49)</f>
        <v/>
      </c>
      <c r="Q50" s="7">
        <f>G50-G49</f>
        <v/>
      </c>
      <c r="R50" s="7">
        <f>H50-H49</f>
        <v/>
      </c>
      <c r="S50" s="7">
        <f>LN(I50/I49)</f>
        <v/>
      </c>
      <c r="T50" s="7">
        <f>LN(J50/J49)</f>
        <v/>
      </c>
    </row>
    <row r="51">
      <c r="A51" s="4" t="inlineStr">
        <is>
          <t>2007-01-31</t>
        </is>
      </c>
      <c r="B51" s="5" t="n">
        <v>650.5</v>
      </c>
      <c r="C51" s="5" t="n">
        <v>2.43</v>
      </c>
      <c r="D51" s="5" t="n">
        <v>2.4</v>
      </c>
      <c r="E51" s="5" t="n">
        <v>84.610001</v>
      </c>
      <c r="F51" s="5" t="n">
        <v>58.17</v>
      </c>
      <c r="G51" s="5" t="n">
        <v>10.42</v>
      </c>
      <c r="H51" s="5" t="n">
        <v>61.599998</v>
      </c>
      <c r="I51" s="5" t="n">
        <v>1438.23999</v>
      </c>
      <c r="J51" s="5" t="n">
        <v>54.943932</v>
      </c>
      <c r="L51" s="7">
        <f>LN(B51/B50)</f>
        <v/>
      </c>
      <c r="M51" s="7">
        <f>C51-C50</f>
        <v/>
      </c>
      <c r="N51" s="7">
        <f>D51-D50</f>
        <v/>
      </c>
      <c r="O51" s="7">
        <f>LN(E51/E50)</f>
        <v/>
      </c>
      <c r="P51" s="7">
        <f>LN(F51/F50)</f>
        <v/>
      </c>
      <c r="Q51" s="7">
        <f>G51-G50</f>
        <v/>
      </c>
      <c r="R51" s="7">
        <f>H51-H50</f>
        <v/>
      </c>
      <c r="S51" s="7">
        <f>LN(I51/I50)</f>
        <v/>
      </c>
      <c r="T51" s="7">
        <f>LN(J51/J50)</f>
        <v/>
      </c>
    </row>
    <row r="52">
      <c r="A52" s="4" t="inlineStr">
        <is>
          <t>2007-02-28</t>
        </is>
      </c>
      <c r="B52" s="5" t="n">
        <v>664.2</v>
      </c>
      <c r="C52" s="5" t="n">
        <v>2.36</v>
      </c>
      <c r="D52" s="5" t="n">
        <v>2.2</v>
      </c>
      <c r="E52" s="5" t="n">
        <v>83.56999999999999</v>
      </c>
      <c r="F52" s="5" t="n">
        <v>61.78</v>
      </c>
      <c r="G52" s="5" t="n">
        <v>15.42</v>
      </c>
      <c r="H52" s="5" t="n">
        <v>69.800003</v>
      </c>
      <c r="I52" s="5" t="n">
        <v>1406.819946</v>
      </c>
      <c r="J52" s="5" t="n">
        <v>55.837017</v>
      </c>
      <c r="L52" s="7">
        <f>LN(B52/B51)</f>
        <v/>
      </c>
      <c r="M52" s="7">
        <f>C52-C51</f>
        <v/>
      </c>
      <c r="N52" s="7">
        <f>D52-D51</f>
        <v/>
      </c>
      <c r="O52" s="7">
        <f>LN(E52/E51)</f>
        <v/>
      </c>
      <c r="P52" s="7">
        <f>LN(F52/F51)</f>
        <v/>
      </c>
      <c r="Q52" s="7">
        <f>G52-G51</f>
        <v/>
      </c>
      <c r="R52" s="7">
        <f>H52-H51</f>
        <v/>
      </c>
      <c r="S52" s="7">
        <f>LN(I52/I51)</f>
        <v/>
      </c>
      <c r="T52" s="7">
        <f>LN(J52/J51)</f>
        <v/>
      </c>
    </row>
    <row r="53">
      <c r="A53" s="4" t="inlineStr">
        <is>
          <t>2007-03-31</t>
        </is>
      </c>
      <c r="B53" s="5" t="n">
        <v>661.75</v>
      </c>
      <c r="C53" s="5" t="n">
        <v>2.44</v>
      </c>
      <c r="D53" s="5" t="n">
        <v>2.21</v>
      </c>
      <c r="E53" s="5" t="n">
        <v>82.93000000000001</v>
      </c>
      <c r="F53" s="5" t="n">
        <v>65.94</v>
      </c>
      <c r="G53" s="5" t="n">
        <v>14.64</v>
      </c>
      <c r="H53" s="5" t="n">
        <v>67.900002</v>
      </c>
      <c r="I53" s="5" t="n">
        <v>1420.859985</v>
      </c>
      <c r="J53" s="5" t="n">
        <v>55.728016</v>
      </c>
      <c r="L53" s="7">
        <f>LN(B53/B52)</f>
        <v/>
      </c>
      <c r="M53" s="7">
        <f>C53-C52</f>
        <v/>
      </c>
      <c r="N53" s="7">
        <f>D53-D52</f>
        <v/>
      </c>
      <c r="O53" s="7">
        <f>LN(E53/E52)</f>
        <v/>
      </c>
      <c r="P53" s="7">
        <f>LN(F53/F52)</f>
        <v/>
      </c>
      <c r="Q53" s="7">
        <f>G53-G52</f>
        <v/>
      </c>
      <c r="R53" s="7">
        <f>H53-H52</f>
        <v/>
      </c>
      <c r="S53" s="7">
        <f>LN(I53/I52)</f>
        <v/>
      </c>
      <c r="T53" s="7">
        <f>LN(J53/J52)</f>
        <v/>
      </c>
    </row>
    <row r="54">
      <c r="A54" s="4" t="inlineStr">
        <is>
          <t>2007-04-30</t>
        </is>
      </c>
      <c r="B54" s="5" t="n">
        <v>677</v>
      </c>
      <c r="C54" s="5" t="n">
        <v>2.43</v>
      </c>
      <c r="D54" s="5" t="n">
        <v>2.2</v>
      </c>
      <c r="E54" s="5" t="n">
        <v>81.449997</v>
      </c>
      <c r="F54" s="5" t="n">
        <v>65.78</v>
      </c>
      <c r="G54" s="5" t="n">
        <v>14.22</v>
      </c>
      <c r="H54" s="5" t="n">
        <v>59.799999</v>
      </c>
      <c r="I54" s="5" t="n">
        <v>1482.369995</v>
      </c>
      <c r="J54" s="5" t="n">
        <v>56.056717</v>
      </c>
      <c r="L54" s="7">
        <f>LN(B54/B53)</f>
        <v/>
      </c>
      <c r="M54" s="7">
        <f>C54-C53</f>
        <v/>
      </c>
      <c r="N54" s="7">
        <f>D54-D53</f>
        <v/>
      </c>
      <c r="O54" s="7">
        <f>LN(E54/E53)</f>
        <v/>
      </c>
      <c r="P54" s="7">
        <f>LN(F54/F53)</f>
        <v/>
      </c>
      <c r="Q54" s="7">
        <f>G54-G53</f>
        <v/>
      </c>
      <c r="R54" s="7">
        <f>H54-H53</f>
        <v/>
      </c>
      <c r="S54" s="7">
        <f>LN(I54/I53)</f>
        <v/>
      </c>
      <c r="T54" s="7">
        <f>LN(J54/J53)</f>
        <v/>
      </c>
    </row>
    <row r="55">
      <c r="A55" s="4" t="inlineStr">
        <is>
          <t>2007-05-31</t>
        </is>
      </c>
      <c r="B55" s="5" t="n">
        <v>659.1</v>
      </c>
      <c r="C55" s="5" t="n">
        <v>2.36</v>
      </c>
      <c r="D55" s="5" t="n">
        <v>2.54</v>
      </c>
      <c r="E55" s="5" t="n">
        <v>82.300003</v>
      </c>
      <c r="F55" s="5" t="n">
        <v>64.02</v>
      </c>
      <c r="G55" s="5" t="n">
        <v>13.05</v>
      </c>
      <c r="H55" s="5" t="n">
        <v>58.900002</v>
      </c>
      <c r="I55" s="5" t="n">
        <v>1530.619995</v>
      </c>
      <c r="J55" s="5" t="n">
        <v>55.542511</v>
      </c>
      <c r="L55" s="7">
        <f>LN(B55/B54)</f>
        <v/>
      </c>
      <c r="M55" s="7">
        <f>C55-C54</f>
        <v/>
      </c>
      <c r="N55" s="7">
        <f>D55-D54</f>
        <v/>
      </c>
      <c r="O55" s="7">
        <f>LN(E55/E54)</f>
        <v/>
      </c>
      <c r="P55" s="7">
        <f>LN(F55/F54)</f>
        <v/>
      </c>
      <c r="Q55" s="7">
        <f>G55-G54</f>
        <v/>
      </c>
      <c r="R55" s="7">
        <f>H55-H54</f>
        <v/>
      </c>
      <c r="S55" s="7">
        <f>LN(I55/I54)</f>
        <v/>
      </c>
      <c r="T55" s="7">
        <f>LN(J55/J54)</f>
        <v/>
      </c>
    </row>
    <row r="56">
      <c r="A56" s="4" t="inlineStr">
        <is>
          <t>2007-06-30</t>
        </is>
      </c>
      <c r="B56" s="5" t="n">
        <v>650.5</v>
      </c>
      <c r="C56" s="5" t="n">
        <v>2.38</v>
      </c>
      <c r="D56" s="5" t="n">
        <v>2.65</v>
      </c>
      <c r="E56" s="5" t="n">
        <v>81.91999800000001</v>
      </c>
      <c r="F56" s="5" t="n">
        <v>70.47</v>
      </c>
      <c r="G56" s="5" t="n">
        <v>16.23</v>
      </c>
      <c r="H56" s="5" t="n">
        <v>77.5</v>
      </c>
      <c r="I56" s="5" t="n">
        <v>1503.349976</v>
      </c>
      <c r="J56" s="5" t="n">
        <v>55.333248</v>
      </c>
      <c r="L56" s="7">
        <f>LN(B56/B55)</f>
        <v/>
      </c>
      <c r="M56" s="7">
        <f>C56-C55</f>
        <v/>
      </c>
      <c r="N56" s="7">
        <f>D56-D55</f>
        <v/>
      </c>
      <c r="O56" s="7">
        <f>LN(E56/E55)</f>
        <v/>
      </c>
      <c r="P56" s="7">
        <f>LN(F56/F55)</f>
        <v/>
      </c>
      <c r="Q56" s="7">
        <f>G56-G55</f>
        <v/>
      </c>
      <c r="R56" s="7">
        <f>H56-H55</f>
        <v/>
      </c>
      <c r="S56" s="7">
        <f>LN(I56/I55)</f>
        <v/>
      </c>
      <c r="T56" s="7">
        <f>LN(J56/J55)</f>
        <v/>
      </c>
    </row>
    <row r="57">
      <c r="A57" s="4" t="inlineStr">
        <is>
          <t>2007-07-31</t>
        </is>
      </c>
      <c r="B57" s="5" t="n">
        <v>665.5</v>
      </c>
      <c r="C57" s="5" t="n">
        <v>2.34</v>
      </c>
      <c r="D57" s="5" t="n">
        <v>2.44</v>
      </c>
      <c r="E57" s="5" t="n">
        <v>80.769997</v>
      </c>
      <c r="F57" s="5" t="n">
        <v>78.2</v>
      </c>
      <c r="G57" s="5" t="n">
        <v>23.52</v>
      </c>
      <c r="H57" s="5" t="n">
        <v>96.400002</v>
      </c>
      <c r="I57" s="5" t="n">
        <v>1455.27002</v>
      </c>
      <c r="J57" s="5" t="n">
        <v>55.926975</v>
      </c>
      <c r="L57" s="7">
        <f>LN(B57/B56)</f>
        <v/>
      </c>
      <c r="M57" s="7">
        <f>C57-C56</f>
        <v/>
      </c>
      <c r="N57" s="7">
        <f>D57-D56</f>
        <v/>
      </c>
      <c r="O57" s="7">
        <f>LN(E57/E56)</f>
        <v/>
      </c>
      <c r="P57" s="7">
        <f>LN(F57/F56)</f>
        <v/>
      </c>
      <c r="Q57" s="7">
        <f>G57-G56</f>
        <v/>
      </c>
      <c r="R57" s="7">
        <f>H57-H56</f>
        <v/>
      </c>
      <c r="S57" s="7">
        <f>LN(I57/I56)</f>
        <v/>
      </c>
      <c r="T57" s="7">
        <f>LN(J57/J56)</f>
        <v/>
      </c>
    </row>
    <row r="58">
      <c r="A58" s="4" t="inlineStr">
        <is>
          <t>2007-08-31</t>
        </is>
      </c>
      <c r="B58" s="5" t="n">
        <v>672</v>
      </c>
      <c r="C58" s="5" t="n">
        <v>2.2</v>
      </c>
      <c r="D58" s="5" t="n">
        <v>2.34</v>
      </c>
      <c r="E58" s="5" t="n">
        <v>80.790001</v>
      </c>
      <c r="F58" s="5" t="n">
        <v>73.98</v>
      </c>
      <c r="G58" s="5" t="n">
        <v>23.38</v>
      </c>
      <c r="H58" s="5" t="n">
        <v>111</v>
      </c>
      <c r="I58" s="5" t="n">
        <v>1473.98999</v>
      </c>
      <c r="J58" s="5" t="n">
        <v>56.642548</v>
      </c>
      <c r="L58" s="7">
        <f>LN(B58/B57)</f>
        <v/>
      </c>
      <c r="M58" s="7">
        <f>C58-C57</f>
        <v/>
      </c>
      <c r="N58" s="7">
        <f>D58-D57</f>
        <v/>
      </c>
      <c r="O58" s="7">
        <f>LN(E58/E57)</f>
        <v/>
      </c>
      <c r="P58" s="7">
        <f>LN(F58/F57)</f>
        <v/>
      </c>
      <c r="Q58" s="7">
        <f>G58-G57</f>
        <v/>
      </c>
      <c r="R58" s="7">
        <f>H58-H57</f>
        <v/>
      </c>
      <c r="S58" s="7">
        <f>LN(I58/I57)</f>
        <v/>
      </c>
      <c r="T58" s="7">
        <f>LN(J58/J57)</f>
        <v/>
      </c>
    </row>
    <row r="59">
      <c r="A59" s="4" t="inlineStr">
        <is>
          <t>2007-09-30</t>
        </is>
      </c>
      <c r="B59" s="5" t="n">
        <v>743</v>
      </c>
      <c r="C59" s="5" t="n">
        <v>2.32</v>
      </c>
      <c r="D59" s="5" t="n">
        <v>2.27</v>
      </c>
      <c r="E59" s="5" t="n">
        <v>77.720001</v>
      </c>
      <c r="F59" s="5" t="n">
        <v>81.64</v>
      </c>
      <c r="G59" s="5" t="n">
        <v>18</v>
      </c>
      <c r="H59" s="5" t="n">
        <v>103.699997</v>
      </c>
      <c r="I59" s="5" t="n">
        <v>1526.75</v>
      </c>
      <c r="J59" s="5" t="n">
        <v>57.001057</v>
      </c>
      <c r="L59" s="7">
        <f>LN(B59/B58)</f>
        <v/>
      </c>
      <c r="M59" s="7">
        <f>C59-C58</f>
        <v/>
      </c>
      <c r="N59" s="7">
        <f>D59-D58</f>
        <v/>
      </c>
      <c r="O59" s="7">
        <f>LN(E59/E58)</f>
        <v/>
      </c>
      <c r="P59" s="7">
        <f>LN(F59/F58)</f>
        <v/>
      </c>
      <c r="Q59" s="7">
        <f>G59-G58</f>
        <v/>
      </c>
      <c r="R59" s="7">
        <f>H59-H58</f>
        <v/>
      </c>
      <c r="S59" s="7">
        <f>LN(I59/I58)</f>
        <v/>
      </c>
      <c r="T59" s="7">
        <f>LN(J59/J58)</f>
        <v/>
      </c>
    </row>
    <row r="60">
      <c r="A60" s="4" t="inlineStr">
        <is>
          <t>2007-10-31</t>
        </is>
      </c>
      <c r="B60" s="5" t="n">
        <v>789.5</v>
      </c>
      <c r="C60" s="5" t="n">
        <v>2.34</v>
      </c>
      <c r="D60" s="5" t="n">
        <v>2.14</v>
      </c>
      <c r="E60" s="5" t="n">
        <v>76.480003</v>
      </c>
      <c r="F60" s="5" t="n">
        <v>94.16</v>
      </c>
      <c r="G60" s="5" t="n">
        <v>18.53</v>
      </c>
      <c r="H60" s="5" t="n">
        <v>90.18000000000001</v>
      </c>
      <c r="I60" s="5" t="n">
        <v>1549.380005</v>
      </c>
      <c r="J60" s="5" t="n">
        <v>57.575638</v>
      </c>
      <c r="L60" s="7">
        <f>LN(B60/B59)</f>
        <v/>
      </c>
      <c r="M60" s="7">
        <f>C60-C59</f>
        <v/>
      </c>
      <c r="N60" s="7">
        <f>D60-D59</f>
        <v/>
      </c>
      <c r="O60" s="7">
        <f>LN(E60/E59)</f>
        <v/>
      </c>
      <c r="P60" s="7">
        <f>LN(F60/F59)</f>
        <v/>
      </c>
      <c r="Q60" s="7">
        <f>G60-G59</f>
        <v/>
      </c>
      <c r="R60" s="7">
        <f>H60-H59</f>
        <v/>
      </c>
      <c r="S60" s="7">
        <f>LN(I60/I59)</f>
        <v/>
      </c>
      <c r="T60" s="7">
        <f>LN(J60/J59)</f>
        <v/>
      </c>
    </row>
    <row r="61">
      <c r="A61" s="4" t="inlineStr">
        <is>
          <t>2007-11-30</t>
        </is>
      </c>
      <c r="B61" s="5" t="n">
        <v>783.5</v>
      </c>
      <c r="C61" s="5" t="n">
        <v>2.34</v>
      </c>
      <c r="D61" s="5" t="n">
        <v>1.63</v>
      </c>
      <c r="E61" s="5" t="n">
        <v>76.150002</v>
      </c>
      <c r="F61" s="5" t="n">
        <v>88.59999999999999</v>
      </c>
      <c r="G61" s="5" t="n">
        <v>22.87</v>
      </c>
      <c r="H61" s="5" t="n">
        <v>131.5</v>
      </c>
      <c r="I61" s="5" t="n">
        <v>1481.140015</v>
      </c>
      <c r="J61" s="5" t="n">
        <v>58.613979</v>
      </c>
      <c r="L61" s="7">
        <f>LN(B61/B60)</f>
        <v/>
      </c>
      <c r="M61" s="7">
        <f>C61-C60</f>
        <v/>
      </c>
      <c r="N61" s="7">
        <f>D61-D60</f>
        <v/>
      </c>
      <c r="O61" s="7">
        <f>LN(E61/E60)</f>
        <v/>
      </c>
      <c r="P61" s="7">
        <f>LN(F61/F60)</f>
        <v/>
      </c>
      <c r="Q61" s="7">
        <f>G61-G60</f>
        <v/>
      </c>
      <c r="R61" s="7">
        <f>H61-H60</f>
        <v/>
      </c>
      <c r="S61" s="7">
        <f>LN(I61/I60)</f>
        <v/>
      </c>
      <c r="T61" s="7">
        <f>LN(J61/J60)</f>
        <v/>
      </c>
    </row>
    <row r="62">
      <c r="A62" s="4" t="inlineStr">
        <is>
          <t>2007-12-31</t>
        </is>
      </c>
      <c r="B62" s="5" t="n">
        <v>833.75</v>
      </c>
      <c r="C62" s="5" t="n">
        <v>2.31</v>
      </c>
      <c r="D62" s="5" t="n">
        <v>1.73</v>
      </c>
      <c r="E62" s="5" t="n">
        <v>76.699997</v>
      </c>
      <c r="F62" s="5" t="n">
        <v>95.95</v>
      </c>
      <c r="G62" s="5" t="n">
        <v>22.5</v>
      </c>
      <c r="H62" s="5" t="n">
        <v>145.399994</v>
      </c>
      <c r="I62" s="5" t="n">
        <v>1468.359985</v>
      </c>
      <c r="J62" s="5" t="n">
        <v>58.608532</v>
      </c>
      <c r="L62" s="7">
        <f>LN(B62/B61)</f>
        <v/>
      </c>
      <c r="M62" s="7">
        <f>C62-C61</f>
        <v/>
      </c>
      <c r="N62" s="7">
        <f>D62-D61</f>
        <v/>
      </c>
      <c r="O62" s="7">
        <f>LN(E62/E61)</f>
        <v/>
      </c>
      <c r="P62" s="7">
        <f>LN(F62/F61)</f>
        <v/>
      </c>
      <c r="Q62" s="7">
        <f>G62-G61</f>
        <v/>
      </c>
      <c r="R62" s="7">
        <f>H62-H61</f>
        <v/>
      </c>
      <c r="S62" s="7">
        <f>LN(I62/I61)</f>
        <v/>
      </c>
      <c r="T62" s="7">
        <f>LN(J62/J61)</f>
        <v/>
      </c>
    </row>
    <row r="63">
      <c r="A63" s="4" t="inlineStr">
        <is>
          <t>2008-01-31</t>
        </is>
      </c>
      <c r="B63" s="5" t="n">
        <v>923.25</v>
      </c>
      <c r="C63" s="5" t="n">
        <v>2.34</v>
      </c>
      <c r="D63" s="5" t="n">
        <v>1.33</v>
      </c>
      <c r="E63" s="5" t="n">
        <v>75.18000000000001</v>
      </c>
      <c r="F63" s="5" t="n">
        <v>91.67</v>
      </c>
      <c r="G63" s="5" t="n">
        <v>26.2</v>
      </c>
      <c r="H63" s="5" t="n">
        <v>153.699997</v>
      </c>
      <c r="I63" s="5" t="n">
        <v>1378.550049</v>
      </c>
      <c r="J63" s="5" t="n">
        <v>59.964138</v>
      </c>
      <c r="L63" s="7">
        <f>LN(B63/B62)</f>
        <v/>
      </c>
      <c r="M63" s="7">
        <f>C63-C62</f>
        <v/>
      </c>
      <c r="N63" s="7">
        <f>D63-D62</f>
        <v/>
      </c>
      <c r="O63" s="7">
        <f>LN(E63/E62)</f>
        <v/>
      </c>
      <c r="P63" s="7">
        <f>LN(F63/F62)</f>
        <v/>
      </c>
      <c r="Q63" s="7">
        <f>G63-G62</f>
        <v/>
      </c>
      <c r="R63" s="7">
        <f>H63-H62</f>
        <v/>
      </c>
      <c r="S63" s="7">
        <f>LN(I63/I62)</f>
        <v/>
      </c>
      <c r="T63" s="7">
        <f>LN(J63/J62)</f>
        <v/>
      </c>
    </row>
    <row r="64">
      <c r="A64" s="4" t="inlineStr">
        <is>
          <t>2008-02-29</t>
        </is>
      </c>
      <c r="B64" s="5" t="n">
        <v>971.5</v>
      </c>
      <c r="C64" s="5" t="n">
        <v>2.43</v>
      </c>
      <c r="D64" s="5" t="n">
        <v>1.1</v>
      </c>
      <c r="E64" s="5" t="n">
        <v>73.709999</v>
      </c>
      <c r="F64" s="5" t="n">
        <v>101.78</v>
      </c>
      <c r="G64" s="5" t="n">
        <v>26.54</v>
      </c>
      <c r="H64" s="5" t="n">
        <v>155.199997</v>
      </c>
      <c r="I64" s="5" t="n">
        <v>1330.630005</v>
      </c>
      <c r="J64" s="5" t="n">
        <v>59.868195</v>
      </c>
      <c r="L64" s="7">
        <f>LN(B64/B63)</f>
        <v/>
      </c>
      <c r="M64" s="7">
        <f>C64-C63</f>
        <v/>
      </c>
      <c r="N64" s="7">
        <f>D64-D63</f>
        <v/>
      </c>
      <c r="O64" s="7">
        <f>LN(E64/E63)</f>
        <v/>
      </c>
      <c r="P64" s="7">
        <f>LN(F64/F63)</f>
        <v/>
      </c>
      <c r="Q64" s="7">
        <f>G64-G63</f>
        <v/>
      </c>
      <c r="R64" s="7">
        <f>H64-H63</f>
        <v/>
      </c>
      <c r="S64" s="7">
        <f>LN(I64/I63)</f>
        <v/>
      </c>
      <c r="T64" s="7">
        <f>LN(J64/J63)</f>
        <v/>
      </c>
    </row>
    <row r="65">
      <c r="A65" s="4" t="inlineStr">
        <is>
          <t>2008-03-31</t>
        </is>
      </c>
      <c r="B65" s="5" t="n">
        <v>933.5</v>
      </c>
      <c r="C65" s="5" t="n">
        <v>2.34</v>
      </c>
      <c r="D65" s="5" t="n">
        <v>1.11</v>
      </c>
      <c r="E65" s="5" t="n">
        <v>71.800003</v>
      </c>
      <c r="F65" s="5" t="n">
        <v>101.54</v>
      </c>
      <c r="G65" s="5" t="n">
        <v>25.61</v>
      </c>
      <c r="H65" s="5" t="n">
        <v>145.5</v>
      </c>
      <c r="I65" s="5" t="n">
        <v>1322.699951</v>
      </c>
      <c r="J65" s="5" t="n">
        <v>59.945812</v>
      </c>
      <c r="L65" s="7">
        <f>LN(B65/B64)</f>
        <v/>
      </c>
      <c r="M65" s="7">
        <f>C65-C64</f>
        <v/>
      </c>
      <c r="N65" s="7">
        <f>D65-D64</f>
        <v/>
      </c>
      <c r="O65" s="7">
        <f>LN(E65/E64)</f>
        <v/>
      </c>
      <c r="P65" s="7">
        <f>LN(F65/F64)</f>
        <v/>
      </c>
      <c r="Q65" s="7">
        <f>G65-G64</f>
        <v/>
      </c>
      <c r="R65" s="7">
        <f>H65-H64</f>
        <v/>
      </c>
      <c r="S65" s="7">
        <f>LN(I65/I64)</f>
        <v/>
      </c>
      <c r="T65" s="7">
        <f>LN(J65/J64)</f>
        <v/>
      </c>
    </row>
    <row r="66">
      <c r="A66" s="4" t="inlineStr">
        <is>
          <t>2008-04-30</t>
        </is>
      </c>
      <c r="B66" s="5" t="n">
        <v>871</v>
      </c>
      <c r="C66" s="5" t="n">
        <v>2.27</v>
      </c>
      <c r="D66" s="5" t="n">
        <v>1.5</v>
      </c>
      <c r="E66" s="5" t="n">
        <v>72.510002</v>
      </c>
      <c r="F66" s="5" t="n">
        <v>113.7</v>
      </c>
      <c r="G66" s="5" t="n">
        <v>20.79</v>
      </c>
      <c r="H66" s="5" t="n">
        <v>119.099998</v>
      </c>
      <c r="I66" s="5" t="n">
        <v>1385.589966</v>
      </c>
      <c r="J66" s="5" t="n">
        <v>60.142166</v>
      </c>
      <c r="L66" s="7">
        <f>LN(B66/B65)</f>
        <v/>
      </c>
      <c r="M66" s="7">
        <f>C66-C65</f>
        <v/>
      </c>
      <c r="N66" s="7">
        <f>D66-D65</f>
        <v/>
      </c>
      <c r="O66" s="7">
        <f>LN(E66/E65)</f>
        <v/>
      </c>
      <c r="P66" s="7">
        <f>LN(F66/F65)</f>
        <v/>
      </c>
      <c r="Q66" s="7">
        <f>G66-G65</f>
        <v/>
      </c>
      <c r="R66" s="7">
        <f>H66-H65</f>
        <v/>
      </c>
      <c r="S66" s="7">
        <f>LN(I66/I65)</f>
        <v/>
      </c>
      <c r="T66" s="7">
        <f>LN(J66/J65)</f>
        <v/>
      </c>
    </row>
    <row r="67">
      <c r="A67" s="4" t="inlineStr">
        <is>
          <t>2008-05-31</t>
        </is>
      </c>
      <c r="B67" s="5" t="n">
        <v>885.75</v>
      </c>
      <c r="C67" s="5" t="n">
        <v>2.48</v>
      </c>
      <c r="D67" s="5" t="n">
        <v>1.58</v>
      </c>
      <c r="E67" s="5" t="n">
        <v>72.879997</v>
      </c>
      <c r="F67" s="5" t="n">
        <v>127.35</v>
      </c>
      <c r="G67" s="5" t="n">
        <v>17.83</v>
      </c>
      <c r="H67" s="5" t="n">
        <v>130.199997</v>
      </c>
      <c r="I67" s="5" t="n">
        <v>1400.380005</v>
      </c>
      <c r="J67" s="5" t="n">
        <v>59.381161</v>
      </c>
      <c r="L67" s="7">
        <f>LN(B67/B66)</f>
        <v/>
      </c>
      <c r="M67" s="7">
        <f>C67-C66</f>
        <v/>
      </c>
      <c r="N67" s="7">
        <f>D67-D66</f>
        <v/>
      </c>
      <c r="O67" s="7">
        <f>LN(E67/E66)</f>
        <v/>
      </c>
      <c r="P67" s="7">
        <f>LN(F67/F66)</f>
        <v/>
      </c>
      <c r="Q67" s="7">
        <f>G67-G66</f>
        <v/>
      </c>
      <c r="R67" s="7">
        <f>H67-H66</f>
        <v/>
      </c>
      <c r="S67" s="7">
        <f>LN(I67/I66)</f>
        <v/>
      </c>
      <c r="T67" s="7">
        <f>LN(J67/J66)</f>
        <v/>
      </c>
    </row>
    <row r="68">
      <c r="A68" s="4" t="inlineStr">
        <is>
          <t>2008-06-30</t>
        </is>
      </c>
      <c r="B68" s="5" t="n">
        <v>930.25</v>
      </c>
      <c r="C68" s="5" t="n">
        <v>2.51</v>
      </c>
      <c r="D68" s="5" t="n">
        <v>1.48</v>
      </c>
      <c r="E68" s="5" t="n">
        <v>72.459999</v>
      </c>
      <c r="F68" s="5" t="n">
        <v>139.96</v>
      </c>
      <c r="G68" s="5" t="n">
        <v>23.95</v>
      </c>
      <c r="H68" s="5" t="n">
        <v>126</v>
      </c>
      <c r="I68" s="5" t="n">
        <v>1280</v>
      </c>
      <c r="J68" s="5" t="n">
        <v>59.271442</v>
      </c>
      <c r="L68" s="7">
        <f>LN(B68/B67)</f>
        <v/>
      </c>
      <c r="M68" s="7">
        <f>C68-C67</f>
        <v/>
      </c>
      <c r="N68" s="7">
        <f>D68-D67</f>
        <v/>
      </c>
      <c r="O68" s="7">
        <f>LN(E68/E67)</f>
        <v/>
      </c>
      <c r="P68" s="7">
        <f>LN(F68/F67)</f>
        <v/>
      </c>
      <c r="Q68" s="7">
        <f>G68-G67</f>
        <v/>
      </c>
      <c r="R68" s="7">
        <f>H68-H67</f>
        <v/>
      </c>
      <c r="S68" s="7">
        <f>LN(I68/I67)</f>
        <v/>
      </c>
      <c r="T68" s="7">
        <f>LN(J68/J67)</f>
        <v/>
      </c>
    </row>
    <row r="69">
      <c r="A69" s="4" t="inlineStr">
        <is>
          <t>2008-07-31</t>
        </is>
      </c>
      <c r="B69" s="5" t="n">
        <v>918</v>
      </c>
      <c r="C69" s="5" t="n">
        <v>2.34</v>
      </c>
      <c r="D69" s="5" t="n">
        <v>1.65</v>
      </c>
      <c r="E69" s="5" t="n">
        <v>73.230003</v>
      </c>
      <c r="F69" s="5" t="n">
        <v>124.17</v>
      </c>
      <c r="G69" s="5" t="n">
        <v>22.94</v>
      </c>
      <c r="H69" s="5" t="n">
        <v>131.699997</v>
      </c>
      <c r="I69" s="5" t="n">
        <v>1267.380005</v>
      </c>
      <c r="J69" s="5" t="n">
        <v>59.504925</v>
      </c>
      <c r="L69" s="7">
        <f>LN(B69/B68)</f>
        <v/>
      </c>
      <c r="M69" s="7">
        <f>C69-C68</f>
        <v/>
      </c>
      <c r="N69" s="7">
        <f>D69-D68</f>
        <v/>
      </c>
      <c r="O69" s="7">
        <f>LN(E69/E68)</f>
        <v/>
      </c>
      <c r="P69" s="7">
        <f>LN(F69/F68)</f>
        <v/>
      </c>
      <c r="Q69" s="7">
        <f>G69-G68</f>
        <v/>
      </c>
      <c r="R69" s="7">
        <f>H69-H68</f>
        <v/>
      </c>
      <c r="S69" s="7">
        <f>LN(I69/I68)</f>
        <v/>
      </c>
      <c r="T69" s="7">
        <f>LN(J69/J68)</f>
        <v/>
      </c>
    </row>
    <row r="70">
      <c r="A70" s="4" t="inlineStr">
        <is>
          <t>2008-08-31</t>
        </is>
      </c>
      <c r="B70" s="5" t="n">
        <v>833</v>
      </c>
      <c r="C70" s="5" t="n">
        <v>2.15</v>
      </c>
      <c r="D70" s="5" t="n">
        <v>1.68</v>
      </c>
      <c r="E70" s="5" t="n">
        <v>77.379997</v>
      </c>
      <c r="F70" s="5" t="n">
        <v>115.55</v>
      </c>
      <c r="G70" s="5" t="n">
        <v>20.65</v>
      </c>
      <c r="H70" s="5" t="n">
        <v>103</v>
      </c>
      <c r="I70" s="5" t="n">
        <v>1282.829956</v>
      </c>
      <c r="J70" s="5" t="n">
        <v>59.946411</v>
      </c>
      <c r="L70" s="7">
        <f>LN(B70/B69)</f>
        <v/>
      </c>
      <c r="M70" s="7">
        <f>C70-C69</f>
        <v/>
      </c>
      <c r="N70" s="7">
        <f>D70-D69</f>
        <v/>
      </c>
      <c r="O70" s="7">
        <f>LN(E70/E69)</f>
        <v/>
      </c>
      <c r="P70" s="7">
        <f>LN(F70/F69)</f>
        <v/>
      </c>
      <c r="Q70" s="7">
        <f>G70-G69</f>
        <v/>
      </c>
      <c r="R70" s="7">
        <f>H70-H69</f>
        <v/>
      </c>
      <c r="S70" s="7">
        <f>LN(I70/I69)</f>
        <v/>
      </c>
      <c r="T70" s="7">
        <f>LN(J70/J69)</f>
        <v/>
      </c>
    </row>
    <row r="71">
      <c r="A71" s="4" t="inlineStr">
        <is>
          <t>2008-09-30</t>
        </is>
      </c>
      <c r="B71" s="5" t="n">
        <v>884.5</v>
      </c>
      <c r="C71" s="5" t="n">
        <v>1.6</v>
      </c>
      <c r="D71" s="5" t="n">
        <v>2.25</v>
      </c>
      <c r="E71" s="5" t="n">
        <v>79.449997</v>
      </c>
      <c r="F71" s="5" t="n">
        <v>100.7</v>
      </c>
      <c r="G71" s="5" t="n">
        <v>39.39</v>
      </c>
      <c r="H71" s="5" t="n">
        <v>208.5</v>
      </c>
      <c r="I71" s="5" t="n">
        <v>1166.359985</v>
      </c>
      <c r="J71" s="5" t="n">
        <v>58.891525</v>
      </c>
      <c r="L71" s="7">
        <f>LN(B71/B70)</f>
        <v/>
      </c>
      <c r="M71" s="7">
        <f>C71-C70</f>
        <v/>
      </c>
      <c r="N71" s="7">
        <f>D71-D70</f>
        <v/>
      </c>
      <c r="O71" s="7">
        <f>LN(E71/E70)</f>
        <v/>
      </c>
      <c r="P71" s="7">
        <f>LN(F71/F70)</f>
        <v/>
      </c>
      <c r="Q71" s="7">
        <f>G71-G70</f>
        <v/>
      </c>
      <c r="R71" s="7">
        <f>H71-H70</f>
        <v/>
      </c>
      <c r="S71" s="7">
        <f>LN(I71/I70)</f>
        <v/>
      </c>
      <c r="T71" s="7">
        <f>LN(J71/J70)</f>
        <v/>
      </c>
    </row>
    <row r="72">
      <c r="A72" s="4" t="inlineStr">
        <is>
          <t>2008-10-31</t>
        </is>
      </c>
      <c r="B72" s="5" t="n">
        <v>730.75</v>
      </c>
      <c r="C72" s="5" t="n">
        <v>0.87</v>
      </c>
      <c r="D72" s="5" t="n">
        <v>3.14</v>
      </c>
      <c r="E72" s="5" t="n">
        <v>85.629997</v>
      </c>
      <c r="F72" s="5" t="n">
        <v>68.09999999999999</v>
      </c>
      <c r="G72" s="5" t="n">
        <v>59.89</v>
      </c>
      <c r="H72" s="5" t="n">
        <v>207.199997</v>
      </c>
      <c r="I72" s="5" t="n">
        <v>968.75</v>
      </c>
      <c r="J72" s="5" t="n">
        <v>57.54818</v>
      </c>
      <c r="L72" s="7">
        <f>LN(B72/B71)</f>
        <v/>
      </c>
      <c r="M72" s="7">
        <f>C72-C71</f>
        <v/>
      </c>
      <c r="N72" s="7">
        <f>D72-D71</f>
        <v/>
      </c>
      <c r="O72" s="7">
        <f>LN(E72/E71)</f>
        <v/>
      </c>
      <c r="P72" s="7">
        <f>LN(F72/F71)</f>
        <v/>
      </c>
      <c r="Q72" s="7">
        <f>G72-G71</f>
        <v/>
      </c>
      <c r="R72" s="7">
        <f>H72-H71</f>
        <v/>
      </c>
      <c r="S72" s="7">
        <f>LN(I72/I71)</f>
        <v/>
      </c>
      <c r="T72" s="7">
        <f>LN(J72/J71)</f>
        <v/>
      </c>
    </row>
    <row r="73">
      <c r="A73" s="4" t="inlineStr">
        <is>
          <t>2008-11-30</t>
        </is>
      </c>
      <c r="B73" s="5" t="n">
        <v>814.5</v>
      </c>
      <c r="C73" s="5" t="n">
        <v>0.33</v>
      </c>
      <c r="D73" s="5" t="n">
        <v>2.6</v>
      </c>
      <c r="E73" s="5" t="n">
        <v>86.519997</v>
      </c>
      <c r="F73" s="5" t="n">
        <v>55.21</v>
      </c>
      <c r="G73" s="5" t="n">
        <v>55.84</v>
      </c>
      <c r="H73" s="5" t="n">
        <v>214</v>
      </c>
      <c r="I73" s="5" t="n">
        <v>896.23999</v>
      </c>
      <c r="J73" s="5" t="n">
        <v>59.288601</v>
      </c>
      <c r="L73" s="7">
        <f>LN(B73/B72)</f>
        <v/>
      </c>
      <c r="M73" s="7">
        <f>C73-C72</f>
        <v/>
      </c>
      <c r="N73" s="7">
        <f>D73-D72</f>
        <v/>
      </c>
      <c r="O73" s="7">
        <f>LN(E73/E72)</f>
        <v/>
      </c>
      <c r="P73" s="7">
        <f>LN(F73/F72)</f>
        <v/>
      </c>
      <c r="Q73" s="7">
        <f>G73-G72</f>
        <v/>
      </c>
      <c r="R73" s="7">
        <f>H73-H72</f>
        <v/>
      </c>
      <c r="S73" s="7">
        <f>LN(I73/I72)</f>
        <v/>
      </c>
      <c r="T73" s="7">
        <f>LN(J73/J72)</f>
        <v/>
      </c>
    </row>
    <row r="74">
      <c r="A74" s="4" t="inlineStr">
        <is>
          <t>2008-12-31</t>
        </is>
      </c>
      <c r="B74" s="5" t="n">
        <v>869.75</v>
      </c>
      <c r="C74" s="5" t="n">
        <v>0.11</v>
      </c>
      <c r="D74" s="5" t="n">
        <v>2.14</v>
      </c>
      <c r="E74" s="5" t="n">
        <v>81.30999799999999</v>
      </c>
      <c r="F74" s="5" t="n">
        <v>44.6</v>
      </c>
      <c r="G74" s="5" t="n">
        <v>40</v>
      </c>
      <c r="H74" s="5" t="n">
        <v>190</v>
      </c>
      <c r="I74" s="5" t="n">
        <v>903.25</v>
      </c>
      <c r="J74" s="5" t="n">
        <v>63.23864</v>
      </c>
      <c r="L74" s="7">
        <f>LN(B74/B73)</f>
        <v/>
      </c>
      <c r="M74" s="7">
        <f>C74-C73</f>
        <v/>
      </c>
      <c r="N74" s="7">
        <f>D74-D73</f>
        <v/>
      </c>
      <c r="O74" s="7">
        <f>LN(E74/E73)</f>
        <v/>
      </c>
      <c r="P74" s="7">
        <f>LN(F74/F73)</f>
        <v/>
      </c>
      <c r="Q74" s="7">
        <f>G74-G73</f>
        <v/>
      </c>
      <c r="R74" s="7">
        <f>H74-H73</f>
        <v/>
      </c>
      <c r="S74" s="7">
        <f>LN(I74/I73)</f>
        <v/>
      </c>
      <c r="T74" s="7">
        <f>LN(J74/J73)</f>
        <v/>
      </c>
    </row>
    <row r="75">
      <c r="A75" s="4" t="inlineStr">
        <is>
          <t>2009-01-31</t>
        </is>
      </c>
      <c r="B75" s="5" t="n">
        <v>919.5</v>
      </c>
      <c r="C75" s="5" t="n">
        <v>1.14</v>
      </c>
      <c r="D75" s="5" t="n">
        <v>1.73</v>
      </c>
      <c r="E75" s="5" t="n">
        <v>86</v>
      </c>
      <c r="F75" s="5" t="n">
        <v>41.73</v>
      </c>
      <c r="G75" s="5" t="n">
        <v>44.84</v>
      </c>
      <c r="H75" s="5" t="n">
        <v>162.899994</v>
      </c>
      <c r="I75" s="5" t="n">
        <v>825.880005</v>
      </c>
      <c r="J75" s="5" t="n">
        <v>61.982361</v>
      </c>
      <c r="L75" s="7">
        <f>LN(B75/B74)</f>
        <v/>
      </c>
      <c r="M75" s="7">
        <f>C75-C74</f>
        <v/>
      </c>
      <c r="N75" s="7">
        <f>D75-D74</f>
        <v/>
      </c>
      <c r="O75" s="7">
        <f>LN(E75/E74)</f>
        <v/>
      </c>
      <c r="P75" s="7">
        <f>LN(F75/F74)</f>
        <v/>
      </c>
      <c r="Q75" s="7">
        <f>G75-G74</f>
        <v/>
      </c>
      <c r="R75" s="7">
        <f>H75-H74</f>
        <v/>
      </c>
      <c r="S75" s="7">
        <f>LN(I75/I74)</f>
        <v/>
      </c>
      <c r="T75" s="7">
        <f>LN(J75/J74)</f>
        <v/>
      </c>
    </row>
    <row r="76">
      <c r="A76" s="4" t="inlineStr">
        <is>
          <t>2009-02-28</t>
        </is>
      </c>
      <c r="B76" s="5" t="n">
        <v>952</v>
      </c>
      <c r="C76" s="5" t="n">
        <v>0.96</v>
      </c>
      <c r="D76" s="5" t="n">
        <v>2.06</v>
      </c>
      <c r="E76" s="5" t="n">
        <v>88.010002</v>
      </c>
      <c r="F76" s="5" t="n">
        <v>44.15</v>
      </c>
      <c r="G76" s="5" t="n">
        <v>46.35</v>
      </c>
      <c r="H76" s="5" t="n">
        <v>166.600006</v>
      </c>
      <c r="I76" s="5" t="n">
        <v>735.090027</v>
      </c>
      <c r="J76" s="5" t="n">
        <v>61.328178</v>
      </c>
      <c r="L76" s="7">
        <f>LN(B76/B75)</f>
        <v/>
      </c>
      <c r="M76" s="7">
        <f>C76-C75</f>
        <v/>
      </c>
      <c r="N76" s="7">
        <f>D76-D75</f>
        <v/>
      </c>
      <c r="O76" s="7">
        <f>LN(E76/E75)</f>
        <v/>
      </c>
      <c r="P76" s="7">
        <f>LN(F76/F75)</f>
        <v/>
      </c>
      <c r="Q76" s="7">
        <f>G76-G75</f>
        <v/>
      </c>
      <c r="R76" s="7">
        <f>H76-H75</f>
        <v/>
      </c>
      <c r="S76" s="7">
        <f>LN(I76/I75)</f>
        <v/>
      </c>
      <c r="T76" s="7">
        <f>LN(J76/J75)</f>
        <v/>
      </c>
    </row>
    <row r="77">
      <c r="A77" s="4" t="inlineStr">
        <is>
          <t>2009-03-31</t>
        </is>
      </c>
      <c r="B77" s="5" t="n">
        <v>916.5</v>
      </c>
      <c r="C77" s="5" t="n">
        <v>1.28</v>
      </c>
      <c r="D77" s="5" t="n">
        <v>1.43</v>
      </c>
      <c r="E77" s="5" t="n">
        <v>85.43000000000001</v>
      </c>
      <c r="F77" s="5" t="n">
        <v>49.64</v>
      </c>
      <c r="G77" s="5" t="n">
        <v>44.14</v>
      </c>
      <c r="H77" s="5" t="n">
        <v>117.300003</v>
      </c>
      <c r="I77" s="5" t="n">
        <v>797.869995</v>
      </c>
      <c r="J77" s="5" t="n">
        <v>62.004642</v>
      </c>
      <c r="L77" s="7">
        <f>LN(B77/B76)</f>
        <v/>
      </c>
      <c r="M77" s="7">
        <f>C77-C76</f>
        <v/>
      </c>
      <c r="N77" s="7">
        <f>D77-D76</f>
        <v/>
      </c>
      <c r="O77" s="7">
        <f>LN(E77/E76)</f>
        <v/>
      </c>
      <c r="P77" s="7">
        <f>LN(F77/F76)</f>
        <v/>
      </c>
      <c r="Q77" s="7">
        <f>G77-G76</f>
        <v/>
      </c>
      <c r="R77" s="7">
        <f>H77-H76</f>
        <v/>
      </c>
      <c r="S77" s="7">
        <f>LN(I77/I76)</f>
        <v/>
      </c>
      <c r="T77" s="7">
        <f>LN(J77/J76)</f>
        <v/>
      </c>
    </row>
    <row r="78">
      <c r="A78" s="4" t="inlineStr">
        <is>
          <t>2009-04-30</t>
        </is>
      </c>
      <c r="B78" s="5" t="n">
        <v>883.25</v>
      </c>
      <c r="C78" s="5" t="n">
        <v>1.47</v>
      </c>
      <c r="D78" s="5" t="n">
        <v>1.69</v>
      </c>
      <c r="E78" s="5" t="n">
        <v>84.610001</v>
      </c>
      <c r="F78" s="5" t="n">
        <v>50.35</v>
      </c>
      <c r="G78" s="5" t="n">
        <v>36.5</v>
      </c>
      <c r="H78" s="5" t="n">
        <v>124.199997</v>
      </c>
      <c r="I78" s="5" t="n">
        <v>872.809998</v>
      </c>
      <c r="J78" s="5" t="n">
        <v>62.324139</v>
      </c>
      <c r="L78" s="7">
        <f>LN(B78/B77)</f>
        <v/>
      </c>
      <c r="M78" s="7">
        <f>C78-C77</f>
        <v/>
      </c>
      <c r="N78" s="7">
        <f>D78-D77</f>
        <v/>
      </c>
      <c r="O78" s="7">
        <f>LN(E78/E77)</f>
        <v/>
      </c>
      <c r="P78" s="7">
        <f>LN(F78/F77)</f>
        <v/>
      </c>
      <c r="Q78" s="7">
        <f>G78-G77</f>
        <v/>
      </c>
      <c r="R78" s="7">
        <f>H78-H77</f>
        <v/>
      </c>
      <c r="S78" s="7">
        <f>LN(I78/I77)</f>
        <v/>
      </c>
      <c r="T78" s="7">
        <f>LN(J78/J77)</f>
        <v/>
      </c>
    </row>
    <row r="79">
      <c r="A79" s="4" t="inlineStr">
        <is>
          <t>2009-05-31</t>
        </is>
      </c>
      <c r="B79" s="5" t="n">
        <v>975.5</v>
      </c>
      <c r="C79" s="5" t="n">
        <v>1.8</v>
      </c>
      <c r="D79" s="5" t="n">
        <v>1.67</v>
      </c>
      <c r="E79" s="5" t="n">
        <v>80.43000000000001</v>
      </c>
      <c r="F79" s="5" t="n">
        <v>66.31</v>
      </c>
      <c r="G79" s="5" t="n">
        <v>28.92</v>
      </c>
      <c r="H79" s="5" t="n">
        <v>165.399994</v>
      </c>
      <c r="I79" s="5" t="n">
        <v>919.1400149999999</v>
      </c>
      <c r="J79" s="5" t="n">
        <v>62.766438</v>
      </c>
      <c r="L79" s="7">
        <f>LN(B79/B78)</f>
        <v/>
      </c>
      <c r="M79" s="7">
        <f>C79-C78</f>
        <v/>
      </c>
      <c r="N79" s="7">
        <f>D79-D78</f>
        <v/>
      </c>
      <c r="O79" s="7">
        <f>LN(E79/E78)</f>
        <v/>
      </c>
      <c r="P79" s="7">
        <f>LN(F79/F78)</f>
        <v/>
      </c>
      <c r="Q79" s="7">
        <f>G79-G78</f>
        <v/>
      </c>
      <c r="R79" s="7">
        <f>H79-H78</f>
        <v/>
      </c>
      <c r="S79" s="7">
        <f>LN(I79/I78)</f>
        <v/>
      </c>
      <c r="T79" s="7">
        <f>LN(J79/J78)</f>
        <v/>
      </c>
    </row>
    <row r="80">
      <c r="A80" s="4" t="inlineStr">
        <is>
          <t>2009-06-30</t>
        </is>
      </c>
      <c r="B80" s="5" t="n">
        <v>934.5</v>
      </c>
      <c r="C80" s="5" t="n">
        <v>1.75</v>
      </c>
      <c r="D80" s="5" t="n">
        <v>1.78</v>
      </c>
      <c r="E80" s="5" t="n">
        <v>80.129997</v>
      </c>
      <c r="F80" s="5" t="n">
        <v>69.81999999999999</v>
      </c>
      <c r="G80" s="5" t="n">
        <v>26.35</v>
      </c>
      <c r="H80" s="5" t="n">
        <v>162.5</v>
      </c>
      <c r="I80" s="5" t="n">
        <v>919.320007</v>
      </c>
      <c r="J80" s="5" t="n">
        <v>63.030571</v>
      </c>
      <c r="L80" s="7">
        <f>LN(B80/B79)</f>
        <v/>
      </c>
      <c r="M80" s="7">
        <f>C80-C79</f>
        <v/>
      </c>
      <c r="N80" s="7">
        <f>D80-D79</f>
        <v/>
      </c>
      <c r="O80" s="7">
        <f>LN(E80/E79)</f>
        <v/>
      </c>
      <c r="P80" s="7">
        <f>LN(F80/F79)</f>
        <v/>
      </c>
      <c r="Q80" s="7">
        <f>G80-G79</f>
        <v/>
      </c>
      <c r="R80" s="7">
        <f>H80-H79</f>
        <v/>
      </c>
      <c r="S80" s="7">
        <f>LN(I80/I79)</f>
        <v/>
      </c>
      <c r="T80" s="7">
        <f>LN(J80/J79)</f>
        <v/>
      </c>
    </row>
    <row r="81">
      <c r="A81" s="4" t="inlineStr">
        <is>
          <t>2009-07-31</t>
        </is>
      </c>
      <c r="B81" s="5" t="n">
        <v>939</v>
      </c>
      <c r="C81" s="5" t="n">
        <v>1.81</v>
      </c>
      <c r="D81" s="5" t="n">
        <v>1.71</v>
      </c>
      <c r="E81" s="5" t="n">
        <v>78.349998</v>
      </c>
      <c r="F81" s="5" t="n">
        <v>69.26000000000001</v>
      </c>
      <c r="G81" s="5" t="n">
        <v>25.92</v>
      </c>
      <c r="H81" s="5" t="n">
        <v>138.5</v>
      </c>
      <c r="I81" s="5" t="n">
        <v>987.47998</v>
      </c>
      <c r="J81" s="5" t="n">
        <v>63.830391</v>
      </c>
      <c r="L81" s="7">
        <f>LN(B81/B80)</f>
        <v/>
      </c>
      <c r="M81" s="7">
        <f>C81-C80</f>
        <v/>
      </c>
      <c r="N81" s="7">
        <f>D81-D80</f>
        <v/>
      </c>
      <c r="O81" s="7">
        <f>LN(E81/E80)</f>
        <v/>
      </c>
      <c r="P81" s="7">
        <f>LN(F81/F80)</f>
        <v/>
      </c>
      <c r="Q81" s="7">
        <f>G81-G80</f>
        <v/>
      </c>
      <c r="R81" s="7">
        <f>H81-H80</f>
        <v/>
      </c>
      <c r="S81" s="7">
        <f>LN(I81/I80)</f>
        <v/>
      </c>
      <c r="T81" s="7">
        <f>LN(J81/J80)</f>
        <v/>
      </c>
    </row>
    <row r="82">
      <c r="A82" s="4" t="inlineStr">
        <is>
          <t>2009-08-31</t>
        </is>
      </c>
      <c r="B82" s="5" t="n">
        <v>955.5</v>
      </c>
      <c r="C82" s="5" t="n">
        <v>1.64</v>
      </c>
      <c r="D82" s="5" t="n">
        <v>1.76</v>
      </c>
      <c r="E82" s="5" t="n">
        <v>78.16999800000001</v>
      </c>
      <c r="F82" s="5" t="n">
        <v>69.97</v>
      </c>
      <c r="G82" s="5" t="n">
        <v>26.01</v>
      </c>
      <c r="H82" s="5" t="n">
        <v>130.699997</v>
      </c>
      <c r="I82" s="5" t="n">
        <v>1020.619995</v>
      </c>
      <c r="J82" s="5" t="n">
        <v>64.609329</v>
      </c>
      <c r="L82" s="7">
        <f>LN(B82/B81)</f>
        <v/>
      </c>
      <c r="M82" s="7">
        <f>C82-C81</f>
        <v/>
      </c>
      <c r="N82" s="7">
        <f>D82-D81</f>
        <v/>
      </c>
      <c r="O82" s="7">
        <f>LN(E82/E81)</f>
        <v/>
      </c>
      <c r="P82" s="7">
        <f>LN(F82/F81)</f>
        <v/>
      </c>
      <c r="Q82" s="7">
        <f>G82-G81</f>
        <v/>
      </c>
      <c r="R82" s="7">
        <f>H82-H81</f>
        <v/>
      </c>
      <c r="S82" s="7">
        <f>LN(I82/I81)</f>
        <v/>
      </c>
      <c r="T82" s="7">
        <f>LN(J82/J81)</f>
        <v/>
      </c>
    </row>
    <row r="83">
      <c r="A83" s="4" t="inlineStr">
        <is>
          <t>2009-09-30</t>
        </is>
      </c>
      <c r="B83" s="5" t="n">
        <v>995.75</v>
      </c>
      <c r="C83" s="5" t="n">
        <v>1.75</v>
      </c>
      <c r="D83" s="5" t="n">
        <v>1.56</v>
      </c>
      <c r="E83" s="5" t="n">
        <v>76.650002</v>
      </c>
      <c r="F83" s="5" t="n">
        <v>70.45999999999999</v>
      </c>
      <c r="G83" s="5" t="n">
        <v>25.61</v>
      </c>
      <c r="H83" s="5" t="n">
        <v>113.800003</v>
      </c>
      <c r="I83" s="5" t="n">
        <v>1057.079956</v>
      </c>
      <c r="J83" s="5" t="n">
        <v>65.376999</v>
      </c>
      <c r="L83" s="7">
        <f>LN(B83/B82)</f>
        <v/>
      </c>
      <c r="M83" s="7">
        <f>C83-C82</f>
        <v/>
      </c>
      <c r="N83" s="7">
        <f>D83-D82</f>
        <v/>
      </c>
      <c r="O83" s="7">
        <f>LN(E83/E82)</f>
        <v/>
      </c>
      <c r="P83" s="7">
        <f>LN(F83/F82)</f>
        <v/>
      </c>
      <c r="Q83" s="7">
        <f>G83-G82</f>
        <v/>
      </c>
      <c r="R83" s="7">
        <f>H83-H82</f>
        <v/>
      </c>
      <c r="S83" s="7">
        <f>LN(I83/I82)</f>
        <v/>
      </c>
      <c r="T83" s="7">
        <f>LN(J83/J82)</f>
        <v/>
      </c>
    </row>
    <row r="84">
      <c r="A84" s="4" t="inlineStr">
        <is>
          <t>2009-10-31</t>
        </is>
      </c>
      <c r="B84" s="5" t="n">
        <v>1040</v>
      </c>
      <c r="C84" s="5" t="n">
        <v>2</v>
      </c>
      <c r="D84" s="5" t="n">
        <v>1.41</v>
      </c>
      <c r="E84" s="5" t="n">
        <v>76.300003</v>
      </c>
      <c r="F84" s="5" t="n">
        <v>77.04000000000001</v>
      </c>
      <c r="G84" s="5" t="n">
        <v>30.69</v>
      </c>
      <c r="H84" s="5" t="n">
        <v>113.5</v>
      </c>
      <c r="I84" s="5" t="n">
        <v>1036.189941</v>
      </c>
      <c r="J84" s="5" t="n">
        <v>65.522018</v>
      </c>
      <c r="L84" s="7">
        <f>LN(B84/B83)</f>
        <v/>
      </c>
      <c r="M84" s="7">
        <f>C84-C83</f>
        <v/>
      </c>
      <c r="N84" s="7">
        <f>D84-D83</f>
        <v/>
      </c>
      <c r="O84" s="7">
        <f>LN(E84/E83)</f>
        <v/>
      </c>
      <c r="P84" s="7">
        <f>LN(F84/F83)</f>
        <v/>
      </c>
      <c r="Q84" s="7">
        <f>G84-G83</f>
        <v/>
      </c>
      <c r="R84" s="7">
        <f>H84-H83</f>
        <v/>
      </c>
      <c r="S84" s="7">
        <f>LN(I84/I83)</f>
        <v/>
      </c>
      <c r="T84" s="7">
        <f>LN(J84/J83)</f>
        <v/>
      </c>
    </row>
    <row r="85">
      <c r="A85" s="4" t="inlineStr">
        <is>
          <t>2009-11-30</t>
        </is>
      </c>
      <c r="B85" s="5" t="n">
        <v>1175.75</v>
      </c>
      <c r="C85" s="5" t="n">
        <v>2.08</v>
      </c>
      <c r="D85" s="5" t="n">
        <v>1.13</v>
      </c>
      <c r="E85" s="5" t="n">
        <v>74.879997</v>
      </c>
      <c r="F85" s="5" t="n">
        <v>77.19</v>
      </c>
      <c r="G85" s="5" t="n">
        <v>24.51</v>
      </c>
      <c r="H85" s="5" t="n">
        <v>86.099998</v>
      </c>
      <c r="I85" s="5" t="n">
        <v>1095.630005</v>
      </c>
      <c r="J85" s="5" t="n">
        <v>66.36481499999999</v>
      </c>
      <c r="L85" s="7">
        <f>LN(B85/B84)</f>
        <v/>
      </c>
      <c r="M85" s="7">
        <f>C85-C84</f>
        <v/>
      </c>
      <c r="N85" s="7">
        <f>D85-D84</f>
        <v/>
      </c>
      <c r="O85" s="7">
        <f>LN(E85/E84)</f>
        <v/>
      </c>
      <c r="P85" s="7">
        <f>LN(F85/F84)</f>
        <v/>
      </c>
      <c r="Q85" s="7">
        <f>G85-G84</f>
        <v/>
      </c>
      <c r="R85" s="7">
        <f>H85-H84</f>
        <v/>
      </c>
      <c r="S85" s="7">
        <f>LN(I85/I84)</f>
        <v/>
      </c>
      <c r="T85" s="7">
        <f>LN(J85/J84)</f>
        <v/>
      </c>
    </row>
    <row r="86">
      <c r="A86" s="4" t="inlineStr">
        <is>
          <t>2009-12-31</t>
        </is>
      </c>
      <c r="B86" s="5" t="n">
        <v>1087.5</v>
      </c>
      <c r="C86" s="5" t="n">
        <v>2.37</v>
      </c>
      <c r="D86" s="5" t="n">
        <v>1.48</v>
      </c>
      <c r="E86" s="5" t="n">
        <v>77.860001</v>
      </c>
      <c r="F86" s="5" t="n">
        <v>79.39</v>
      </c>
      <c r="G86" s="5" t="n">
        <v>21.68</v>
      </c>
      <c r="H86" s="5" t="n">
        <v>107.5</v>
      </c>
      <c r="I86" s="5" t="n">
        <v>1115.099976</v>
      </c>
      <c r="J86" s="5" t="n">
        <v>65.116364</v>
      </c>
      <c r="L86" s="7">
        <f>LN(B86/B85)</f>
        <v/>
      </c>
      <c r="M86" s="7">
        <f>C86-C85</f>
        <v/>
      </c>
      <c r="N86" s="7">
        <f>D86-D85</f>
        <v/>
      </c>
      <c r="O86" s="7">
        <f>LN(E86/E85)</f>
        <v/>
      </c>
      <c r="P86" s="7">
        <f>LN(F86/F85)</f>
        <v/>
      </c>
      <c r="Q86" s="7">
        <f>G86-G85</f>
        <v/>
      </c>
      <c r="R86" s="7">
        <f>H86-H85</f>
        <v/>
      </c>
      <c r="S86" s="7">
        <f>LN(I86/I85)</f>
        <v/>
      </c>
      <c r="T86" s="7">
        <f>LN(J86/J85)</f>
        <v/>
      </c>
    </row>
    <row r="87">
      <c r="A87" s="4" t="inlineStr">
        <is>
          <t>2010-01-31</t>
        </is>
      </c>
      <c r="B87" s="5" t="n">
        <v>1078.5</v>
      </c>
      <c r="C87" s="5" t="n">
        <v>2.33</v>
      </c>
      <c r="D87" s="5" t="n">
        <v>1.3</v>
      </c>
      <c r="E87" s="5" t="n">
        <v>79.459999</v>
      </c>
      <c r="F87" s="5" t="n">
        <v>72.84999999999999</v>
      </c>
      <c r="G87" s="5" t="n">
        <v>24.62</v>
      </c>
      <c r="H87" s="5" t="n">
        <v>86.300003</v>
      </c>
      <c r="I87" s="5" t="n">
        <v>1073.869995</v>
      </c>
      <c r="J87" s="5" t="n">
        <v>66.037689</v>
      </c>
      <c r="L87" s="7">
        <f>LN(B87/B86)</f>
        <v/>
      </c>
      <c r="M87" s="7">
        <f>C87-C86</f>
        <v/>
      </c>
      <c r="N87" s="7">
        <f>D87-D86</f>
        <v/>
      </c>
      <c r="O87" s="7">
        <f>LN(E87/E86)</f>
        <v/>
      </c>
      <c r="P87" s="7">
        <f>LN(F87/F86)</f>
        <v/>
      </c>
      <c r="Q87" s="7">
        <f>G87-G86</f>
        <v/>
      </c>
      <c r="R87" s="7">
        <f>H87-H86</f>
        <v/>
      </c>
      <c r="S87" s="7">
        <f>LN(I87/I86)</f>
        <v/>
      </c>
      <c r="T87" s="7">
        <f>LN(J87/J86)</f>
        <v/>
      </c>
    </row>
    <row r="88">
      <c r="A88" s="4" t="inlineStr">
        <is>
          <t>2010-02-28</t>
        </is>
      </c>
      <c r="B88" s="5" t="n">
        <v>1108.25</v>
      </c>
      <c r="C88" s="5" t="n">
        <v>2.13</v>
      </c>
      <c r="D88" s="5" t="n">
        <v>1.48</v>
      </c>
      <c r="E88" s="5" t="n">
        <v>80.360001</v>
      </c>
      <c r="F88" s="5" t="n">
        <v>79.72</v>
      </c>
      <c r="G88" s="5" t="n">
        <v>19.5</v>
      </c>
      <c r="H88" s="5" t="n">
        <v>81.199997</v>
      </c>
      <c r="I88" s="5" t="n">
        <v>1104.48999</v>
      </c>
      <c r="J88" s="5" t="n">
        <v>66.16873200000001</v>
      </c>
      <c r="L88" s="7">
        <f>LN(B88/B87)</f>
        <v/>
      </c>
      <c r="M88" s="7">
        <f>C88-C87</f>
        <v/>
      </c>
      <c r="N88" s="7">
        <f>D88-D87</f>
        <v/>
      </c>
      <c r="O88" s="7">
        <f>LN(E88/E87)</f>
        <v/>
      </c>
      <c r="P88" s="7">
        <f>LN(F88/F87)</f>
        <v/>
      </c>
      <c r="Q88" s="7">
        <f>G88-G87</f>
        <v/>
      </c>
      <c r="R88" s="7">
        <f>H88-H87</f>
        <v/>
      </c>
      <c r="S88" s="7">
        <f>LN(I88/I87)</f>
        <v/>
      </c>
      <c r="T88" s="7">
        <f>LN(J88/J87)</f>
        <v/>
      </c>
    </row>
    <row r="89">
      <c r="A89" s="4" t="inlineStr">
        <is>
          <t>2010-03-31</t>
        </is>
      </c>
      <c r="B89" s="5" t="n">
        <v>1115.5</v>
      </c>
      <c r="C89" s="5" t="n">
        <v>2.24</v>
      </c>
      <c r="D89" s="5" t="n">
        <v>1.6</v>
      </c>
      <c r="E89" s="5" t="n">
        <v>81.06999999999999</v>
      </c>
      <c r="F89" s="5" t="n">
        <v>83.45</v>
      </c>
      <c r="G89" s="5" t="n">
        <v>17.59</v>
      </c>
      <c r="H89" s="5" t="n">
        <v>85.300003</v>
      </c>
      <c r="I89" s="5" t="n">
        <v>1169.430054</v>
      </c>
      <c r="J89" s="5" t="n">
        <v>66.16429100000001</v>
      </c>
      <c r="L89" s="7">
        <f>LN(B89/B88)</f>
        <v/>
      </c>
      <c r="M89" s="7">
        <f>C89-C88</f>
        <v/>
      </c>
      <c r="N89" s="7">
        <f>D89-D88</f>
        <v/>
      </c>
      <c r="O89" s="7">
        <f>LN(E89/E88)</f>
        <v/>
      </c>
      <c r="P89" s="7">
        <f>LN(F89/F88)</f>
        <v/>
      </c>
      <c r="Q89" s="7">
        <f>G89-G88</f>
        <v/>
      </c>
      <c r="R89" s="7">
        <f>H89-H88</f>
        <v/>
      </c>
      <c r="S89" s="7">
        <f>LN(I89/I88)</f>
        <v/>
      </c>
      <c r="T89" s="7">
        <f>LN(J89/J88)</f>
        <v/>
      </c>
    </row>
    <row r="90">
      <c r="A90" s="4" t="inlineStr">
        <is>
          <t>2010-04-30</t>
        </is>
      </c>
      <c r="B90" s="5" t="n">
        <v>1179.25</v>
      </c>
      <c r="C90" s="5" t="n">
        <v>2.4</v>
      </c>
      <c r="D90" s="5" t="n">
        <v>1.29</v>
      </c>
      <c r="E90" s="5" t="n">
        <v>81.870003</v>
      </c>
      <c r="F90" s="5" t="n">
        <v>86.06999999999999</v>
      </c>
      <c r="G90" s="5" t="n">
        <v>22.05</v>
      </c>
      <c r="H90" s="5" t="n">
        <v>85.5</v>
      </c>
      <c r="I90" s="5" t="n">
        <v>1186.689941</v>
      </c>
      <c r="J90" s="5" t="n">
        <v>66.808228</v>
      </c>
      <c r="L90" s="7">
        <f>LN(B90/B89)</f>
        <v/>
      </c>
      <c r="M90" s="7">
        <f>C90-C89</f>
        <v/>
      </c>
      <c r="N90" s="7">
        <f>D90-D89</f>
        <v/>
      </c>
      <c r="O90" s="7">
        <f>LN(E90/E89)</f>
        <v/>
      </c>
      <c r="P90" s="7">
        <f>LN(F90/F89)</f>
        <v/>
      </c>
      <c r="Q90" s="7">
        <f>G90-G89</f>
        <v/>
      </c>
      <c r="R90" s="7">
        <f>H90-H89</f>
        <v/>
      </c>
      <c r="S90" s="7">
        <f>LN(I90/I89)</f>
        <v/>
      </c>
      <c r="T90" s="7">
        <f>LN(J90/J89)</f>
        <v/>
      </c>
    </row>
    <row r="91">
      <c r="A91" s="4" t="inlineStr">
        <is>
          <t>2010-05-31</t>
        </is>
      </c>
      <c r="B91" s="5" t="n">
        <v>1207.5</v>
      </c>
      <c r="C91" s="5" t="n">
        <v>1.99</v>
      </c>
      <c r="D91" s="5" t="n">
        <v>1.32</v>
      </c>
      <c r="E91" s="5" t="n">
        <v>86.480003</v>
      </c>
      <c r="F91" s="5" t="n">
        <v>74</v>
      </c>
      <c r="G91" s="5" t="n">
        <v>32.07</v>
      </c>
      <c r="H91" s="5" t="n">
        <v>112.099998</v>
      </c>
      <c r="I91" s="5" t="n">
        <v>1089.410034</v>
      </c>
      <c r="J91" s="5" t="n">
        <v>67.531387</v>
      </c>
      <c r="L91" s="7">
        <f>LN(B91/B90)</f>
        <v/>
      </c>
      <c r="M91" s="7">
        <f>C91-C90</f>
        <v/>
      </c>
      <c r="N91" s="7">
        <f>D91-D90</f>
        <v/>
      </c>
      <c r="O91" s="7">
        <f>LN(E91/E90)</f>
        <v/>
      </c>
      <c r="P91" s="7">
        <f>LN(F91/F90)</f>
        <v/>
      </c>
      <c r="Q91" s="7">
        <f>G91-G90</f>
        <v/>
      </c>
      <c r="R91" s="7">
        <f>H91-H90</f>
        <v/>
      </c>
      <c r="S91" s="7">
        <f>LN(I91/I90)</f>
        <v/>
      </c>
      <c r="T91" s="7">
        <f>LN(J91/J90)</f>
        <v/>
      </c>
    </row>
    <row r="92">
      <c r="A92" s="4" t="inlineStr">
        <is>
          <t>2010-06-30</t>
        </is>
      </c>
      <c r="B92" s="5" t="n">
        <v>1244</v>
      </c>
      <c r="C92" s="5" t="n">
        <v>1.82</v>
      </c>
      <c r="D92" s="5" t="n">
        <v>1.15</v>
      </c>
      <c r="E92" s="5" t="n">
        <v>86.019997</v>
      </c>
      <c r="F92" s="5" t="n">
        <v>75.59</v>
      </c>
      <c r="G92" s="5" t="n">
        <v>34.54</v>
      </c>
      <c r="H92" s="5" t="n">
        <v>89.699997</v>
      </c>
      <c r="I92" s="5" t="n">
        <v>1030.709961</v>
      </c>
      <c r="J92" s="5" t="n">
        <v>68.72580000000001</v>
      </c>
      <c r="L92" s="7">
        <f>LN(B92/B91)</f>
        <v/>
      </c>
      <c r="M92" s="7">
        <f>C92-C91</f>
        <v/>
      </c>
      <c r="N92" s="7">
        <f>D92-D91</f>
        <v/>
      </c>
      <c r="O92" s="7">
        <f>LN(E92/E91)</f>
        <v/>
      </c>
      <c r="P92" s="7">
        <f>LN(F92/F91)</f>
        <v/>
      </c>
      <c r="Q92" s="7">
        <f>G92-G91</f>
        <v/>
      </c>
      <c r="R92" s="7">
        <f>H92-H91</f>
        <v/>
      </c>
      <c r="S92" s="7">
        <f>LN(I92/I91)</f>
        <v/>
      </c>
      <c r="T92" s="7">
        <f>LN(J92/J91)</f>
        <v/>
      </c>
    </row>
    <row r="93">
      <c r="A93" s="4" t="inlineStr">
        <is>
          <t>2010-07-31</t>
        </is>
      </c>
      <c r="B93" s="5" t="n">
        <v>1169</v>
      </c>
      <c r="C93" s="5" t="n">
        <v>1.8</v>
      </c>
      <c r="D93" s="5" t="n">
        <v>1.14</v>
      </c>
      <c r="E93" s="5" t="n">
        <v>81.540001</v>
      </c>
      <c r="F93" s="5" t="n">
        <v>78.84999999999999</v>
      </c>
      <c r="G93" s="5" t="n">
        <v>23.5</v>
      </c>
      <c r="H93" s="5" t="n">
        <v>78.199997</v>
      </c>
      <c r="I93" s="5" t="n">
        <v>1101.599976</v>
      </c>
      <c r="J93" s="5" t="n">
        <v>69.313248</v>
      </c>
      <c r="L93" s="7">
        <f>LN(B93/B92)</f>
        <v/>
      </c>
      <c r="M93" s="7">
        <f>C93-C92</f>
        <v/>
      </c>
      <c r="N93" s="7">
        <f>D93-D92</f>
        <v/>
      </c>
      <c r="O93" s="7">
        <f>LN(E93/E92)</f>
        <v/>
      </c>
      <c r="P93" s="7">
        <f>LN(F93/F92)</f>
        <v/>
      </c>
      <c r="Q93" s="7">
        <f>G93-G92</f>
        <v/>
      </c>
      <c r="R93" s="7">
        <f>H93-H92</f>
        <v/>
      </c>
      <c r="S93" s="7">
        <f>LN(I93/I92)</f>
        <v/>
      </c>
      <c r="T93" s="7">
        <f>LN(J93/J92)</f>
        <v/>
      </c>
    </row>
    <row r="94">
      <c r="A94" s="4" t="inlineStr">
        <is>
          <t>2010-08-31</t>
        </is>
      </c>
      <c r="B94" s="5" t="n">
        <v>1246</v>
      </c>
      <c r="C94" s="5" t="n">
        <v>1.52</v>
      </c>
      <c r="D94" s="5" t="n">
        <v>0.95</v>
      </c>
      <c r="E94" s="5" t="n">
        <v>83.199997</v>
      </c>
      <c r="F94" s="5" t="n">
        <v>71.93000000000001</v>
      </c>
      <c r="G94" s="5" t="n">
        <v>26.05</v>
      </c>
      <c r="H94" s="5" t="n">
        <v>103.699997</v>
      </c>
      <c r="I94" s="5" t="n">
        <v>1049.329956</v>
      </c>
      <c r="J94" s="5" t="n">
        <v>70.205139</v>
      </c>
      <c r="L94" s="7">
        <f>LN(B94/B93)</f>
        <v/>
      </c>
      <c r="M94" s="7">
        <f>C94-C93</f>
        <v/>
      </c>
      <c r="N94" s="7">
        <f>D94-D93</f>
        <v/>
      </c>
      <c r="O94" s="7">
        <f>LN(E94/E93)</f>
        <v/>
      </c>
      <c r="P94" s="7">
        <f>LN(F94/F93)</f>
        <v/>
      </c>
      <c r="Q94" s="7">
        <f>G94-G93</f>
        <v/>
      </c>
      <c r="R94" s="7">
        <f>H94-H93</f>
        <v/>
      </c>
      <c r="S94" s="7">
        <f>LN(I94/I93)</f>
        <v/>
      </c>
      <c r="T94" s="7">
        <f>LN(J94/J93)</f>
        <v/>
      </c>
    </row>
    <row r="95">
      <c r="A95" s="4" t="inlineStr">
        <is>
          <t>2010-09-30</t>
        </is>
      </c>
      <c r="B95" s="5" t="n">
        <v>1307</v>
      </c>
      <c r="C95" s="5" t="n">
        <v>1.78</v>
      </c>
      <c r="D95" s="5" t="n">
        <v>0.75</v>
      </c>
      <c r="E95" s="5" t="n">
        <v>78.720001</v>
      </c>
      <c r="F95" s="5" t="n">
        <v>79.95</v>
      </c>
      <c r="G95" s="5" t="n">
        <v>23.7</v>
      </c>
      <c r="H95" s="5" t="n">
        <v>85.099998</v>
      </c>
      <c r="I95" s="5" t="n">
        <v>1141.199951</v>
      </c>
      <c r="J95" s="5" t="n">
        <v>70.21032</v>
      </c>
      <c r="L95" s="7">
        <f>LN(B95/B94)</f>
        <v/>
      </c>
      <c r="M95" s="7">
        <f>C95-C94</f>
        <v/>
      </c>
      <c r="N95" s="7">
        <f>D95-D94</f>
        <v/>
      </c>
      <c r="O95" s="7">
        <f>LN(E95/E94)</f>
        <v/>
      </c>
      <c r="P95" s="7">
        <f>LN(F95/F94)</f>
        <v/>
      </c>
      <c r="Q95" s="7">
        <f>G95-G94</f>
        <v/>
      </c>
      <c r="R95" s="7">
        <f>H95-H94</f>
        <v/>
      </c>
      <c r="S95" s="7">
        <f>LN(I95/I94)</f>
        <v/>
      </c>
      <c r="T95" s="7">
        <f>LN(J95/J94)</f>
        <v/>
      </c>
    </row>
    <row r="96">
      <c r="A96" s="4" t="inlineStr">
        <is>
          <t>2010-10-31</t>
        </is>
      </c>
      <c r="B96" s="5" t="n">
        <v>1346.75</v>
      </c>
      <c r="C96" s="5" t="n">
        <v>2.13</v>
      </c>
      <c r="D96" s="5" t="n">
        <v>0.5</v>
      </c>
      <c r="E96" s="5" t="n">
        <v>77.269997</v>
      </c>
      <c r="F96" s="5" t="n">
        <v>81.45</v>
      </c>
      <c r="G96" s="5" t="n">
        <v>21.2</v>
      </c>
      <c r="H96" s="5" t="n">
        <v>99.800003</v>
      </c>
      <c r="I96" s="5" t="n">
        <v>1183.26001</v>
      </c>
      <c r="J96" s="5" t="n">
        <v>70.31719200000001</v>
      </c>
      <c r="L96" s="7">
        <f>LN(B96/B95)</f>
        <v/>
      </c>
      <c r="M96" s="7">
        <f>C96-C95</f>
        <v/>
      </c>
      <c r="N96" s="7">
        <f>D96-D95</f>
        <v/>
      </c>
      <c r="O96" s="7">
        <f>LN(E96/E95)</f>
        <v/>
      </c>
      <c r="P96" s="7">
        <f>LN(F96/F95)</f>
        <v/>
      </c>
      <c r="Q96" s="7">
        <f>G96-G95</f>
        <v/>
      </c>
      <c r="R96" s="7">
        <f>H96-H95</f>
        <v/>
      </c>
      <c r="S96" s="7">
        <f>LN(I96/I95)</f>
        <v/>
      </c>
      <c r="T96" s="7">
        <f>LN(J96/J95)</f>
        <v/>
      </c>
    </row>
    <row r="97">
      <c r="A97" s="4" t="inlineStr">
        <is>
          <t>2010-11-30</t>
        </is>
      </c>
      <c r="B97" s="5" t="n">
        <v>1383.5</v>
      </c>
      <c r="C97" s="5" t="n">
        <v>2.07</v>
      </c>
      <c r="D97" s="5" t="n">
        <v>0.74</v>
      </c>
      <c r="E97" s="5" t="n">
        <v>81.199997</v>
      </c>
      <c r="F97" s="5" t="n">
        <v>84.12</v>
      </c>
      <c r="G97" s="5" t="n">
        <v>23.54</v>
      </c>
      <c r="H97" s="5" t="n">
        <v>101.900002</v>
      </c>
      <c r="I97" s="5" t="n">
        <v>1180.550049</v>
      </c>
      <c r="J97" s="5" t="n">
        <v>69.730064</v>
      </c>
      <c r="L97" s="7">
        <f>LN(B97/B96)</f>
        <v/>
      </c>
      <c r="M97" s="7">
        <f>C97-C96</f>
        <v/>
      </c>
      <c r="N97" s="7">
        <f>D97-D96</f>
        <v/>
      </c>
      <c r="O97" s="7">
        <f>LN(E97/E96)</f>
        <v/>
      </c>
      <c r="P97" s="7">
        <f>LN(F97/F96)</f>
        <v/>
      </c>
      <c r="Q97" s="7">
        <f>G97-G96</f>
        <v/>
      </c>
      <c r="R97" s="7">
        <f>H97-H96</f>
        <v/>
      </c>
      <c r="S97" s="7">
        <f>LN(I97/I96)</f>
        <v/>
      </c>
      <c r="T97" s="7">
        <f>LN(J97/J96)</f>
        <v/>
      </c>
    </row>
    <row r="98">
      <c r="A98" s="4" t="inlineStr">
        <is>
          <t>2010-12-31</t>
        </is>
      </c>
      <c r="B98" s="5" t="n">
        <v>1405.5</v>
      </c>
      <c r="C98" s="5" t="n">
        <v>2.3</v>
      </c>
      <c r="D98" s="5" t="n">
        <v>1</v>
      </c>
      <c r="E98" s="5" t="n">
        <v>79.029999</v>
      </c>
      <c r="F98" s="5" t="n">
        <v>91.38</v>
      </c>
      <c r="G98" s="5" t="n">
        <v>17.75</v>
      </c>
      <c r="H98" s="5" t="n">
        <v>110.400002</v>
      </c>
      <c r="I98" s="5" t="n">
        <v>1257.640015</v>
      </c>
      <c r="J98" s="5" t="n">
        <v>69.259125</v>
      </c>
      <c r="L98" s="7">
        <f>LN(B98/B97)</f>
        <v/>
      </c>
      <c r="M98" s="7">
        <f>C98-C97</f>
        <v/>
      </c>
      <c r="N98" s="7">
        <f>D98-D97</f>
        <v/>
      </c>
      <c r="O98" s="7">
        <f>LN(E98/E97)</f>
        <v/>
      </c>
      <c r="P98" s="7">
        <f>LN(F98/F97)</f>
        <v/>
      </c>
      <c r="Q98" s="7">
        <f>G98-G97</f>
        <v/>
      </c>
      <c r="R98" s="7">
        <f>H98-H97</f>
        <v/>
      </c>
      <c r="S98" s="7">
        <f>LN(I98/I97)</f>
        <v/>
      </c>
      <c r="T98" s="7">
        <f>LN(J98/J97)</f>
        <v/>
      </c>
    </row>
    <row r="99">
      <c r="A99" s="4" t="inlineStr">
        <is>
          <t>2011-01-31</t>
        </is>
      </c>
      <c r="B99" s="5" t="n">
        <v>1327</v>
      </c>
      <c r="C99" s="5" t="n">
        <v>2.34</v>
      </c>
      <c r="D99" s="5" t="n">
        <v>1.08</v>
      </c>
      <c r="E99" s="5" t="n">
        <v>77.739998</v>
      </c>
      <c r="F99" s="5" t="n">
        <v>90.98999999999999</v>
      </c>
      <c r="G99" s="5" t="n">
        <v>19.53</v>
      </c>
      <c r="H99" s="5" t="n">
        <v>96.199997</v>
      </c>
      <c r="I99" s="5" t="n">
        <v>1286.119995</v>
      </c>
      <c r="J99" s="5" t="n">
        <v>69.200142</v>
      </c>
      <c r="L99" s="7">
        <f>LN(B99/B98)</f>
        <v/>
      </c>
      <c r="M99" s="7">
        <f>C99-C98</f>
        <v/>
      </c>
      <c r="N99" s="7">
        <f>D99-D98</f>
        <v/>
      </c>
      <c r="O99" s="7">
        <f>LN(E99/E98)</f>
        <v/>
      </c>
      <c r="P99" s="7">
        <f>LN(F99/F98)</f>
        <v/>
      </c>
      <c r="Q99" s="7">
        <f>G99-G98</f>
        <v/>
      </c>
      <c r="R99" s="7">
        <f>H99-H98</f>
        <v/>
      </c>
      <c r="S99" s="7">
        <f>LN(I99/I98)</f>
        <v/>
      </c>
      <c r="T99" s="7">
        <f>LN(J99/J98)</f>
        <v/>
      </c>
    </row>
    <row r="100">
      <c r="A100" s="4" t="inlineStr">
        <is>
          <t>2011-02-28</t>
        </is>
      </c>
      <c r="B100" s="5" t="n">
        <v>1411</v>
      </c>
      <c r="C100" s="5" t="n">
        <v>2.39</v>
      </c>
      <c r="D100" s="5" t="n">
        <v>1.03</v>
      </c>
      <c r="E100" s="5" t="n">
        <v>76.889999</v>
      </c>
      <c r="F100" s="5" t="n">
        <v>97.09999999999999</v>
      </c>
      <c r="G100" s="5" t="n">
        <v>18.35</v>
      </c>
      <c r="H100" s="5" t="n">
        <v>90.5</v>
      </c>
      <c r="I100" s="5" t="n">
        <v>1327.219971</v>
      </c>
      <c r="J100" s="5" t="n">
        <v>69.401161</v>
      </c>
      <c r="L100" s="7">
        <f>LN(B100/B99)</f>
        <v/>
      </c>
      <c r="M100" s="7">
        <f>C100-C99</f>
        <v/>
      </c>
      <c r="N100" s="7">
        <f>D100-D99</f>
        <v/>
      </c>
      <c r="O100" s="7">
        <f>LN(E100/E99)</f>
        <v/>
      </c>
      <c r="P100" s="7">
        <f>LN(F100/F99)</f>
        <v/>
      </c>
      <c r="Q100" s="7">
        <f>G100-G99</f>
        <v/>
      </c>
      <c r="R100" s="7">
        <f>H100-H99</f>
        <v/>
      </c>
      <c r="S100" s="7">
        <f>LN(I100/I99)</f>
        <v/>
      </c>
      <c r="T100" s="7">
        <f>LN(J100/J99)</f>
        <v/>
      </c>
    </row>
    <row r="101">
      <c r="A101" s="4" t="inlineStr">
        <is>
          <t>2011-03-31</t>
        </is>
      </c>
      <c r="B101" s="5" t="n">
        <v>1439</v>
      </c>
      <c r="C101" s="5" t="n">
        <v>2.48</v>
      </c>
      <c r="D101" s="5" t="n">
        <v>0.99</v>
      </c>
      <c r="E101" s="5" t="n">
        <v>75.860001</v>
      </c>
      <c r="F101" s="5" t="n">
        <v>106.19</v>
      </c>
      <c r="G101" s="5" t="n">
        <v>17.74</v>
      </c>
      <c r="H101" s="5" t="n">
        <v>90.900002</v>
      </c>
      <c r="I101" s="5" t="n">
        <v>1325.829956</v>
      </c>
      <c r="J101" s="5" t="n">
        <v>69.246391</v>
      </c>
      <c r="L101" s="7">
        <f>LN(B101/B100)</f>
        <v/>
      </c>
      <c r="M101" s="7">
        <f>C101-C100</f>
        <v/>
      </c>
      <c r="N101" s="7">
        <f>D101-D100</f>
        <v/>
      </c>
      <c r="O101" s="7">
        <f>LN(E101/E100)</f>
        <v/>
      </c>
      <c r="P101" s="7">
        <f>LN(F101/F100)</f>
        <v/>
      </c>
      <c r="Q101" s="7">
        <f>G101-G100</f>
        <v/>
      </c>
      <c r="R101" s="7">
        <f>H101-H100</f>
        <v/>
      </c>
      <c r="S101" s="7">
        <f>LN(I101/I100)</f>
        <v/>
      </c>
      <c r="T101" s="7">
        <f>LN(J101/J100)</f>
        <v/>
      </c>
    </row>
    <row r="102">
      <c r="A102" s="4" t="inlineStr">
        <is>
          <t>2011-04-30</t>
        </is>
      </c>
      <c r="B102" s="5" t="n">
        <v>1535.5</v>
      </c>
      <c r="C102" s="5" t="n">
        <v>2.57</v>
      </c>
      <c r="D102" s="5" t="n">
        <v>0.75</v>
      </c>
      <c r="E102" s="5" t="n">
        <v>72.93000000000001</v>
      </c>
      <c r="F102" s="5" t="n">
        <v>113.39</v>
      </c>
      <c r="G102" s="5" t="n">
        <v>14.75</v>
      </c>
      <c r="H102" s="5" t="n">
        <v>76.800003</v>
      </c>
      <c r="I102" s="5" t="n">
        <v>1363.609985</v>
      </c>
      <c r="J102" s="5" t="n">
        <v>70.33182499999999</v>
      </c>
      <c r="L102" s="7">
        <f>LN(B102/B101)</f>
        <v/>
      </c>
      <c r="M102" s="7">
        <f>C102-C101</f>
        <v/>
      </c>
      <c r="N102" s="7">
        <f>D102-D101</f>
        <v/>
      </c>
      <c r="O102" s="7">
        <f>LN(E102/E101)</f>
        <v/>
      </c>
      <c r="P102" s="7">
        <f>LN(F102/F101)</f>
        <v/>
      </c>
      <c r="Q102" s="7">
        <f>G102-G101</f>
        <v/>
      </c>
      <c r="R102" s="7">
        <f>H102-H101</f>
        <v/>
      </c>
      <c r="S102" s="7">
        <f>LN(I102/I101)</f>
        <v/>
      </c>
      <c r="T102" s="7">
        <f>LN(J102/J101)</f>
        <v/>
      </c>
    </row>
    <row r="103">
      <c r="A103" s="4" t="inlineStr">
        <is>
          <t>2011-05-31</t>
        </is>
      </c>
      <c r="B103" s="5" t="n">
        <v>1536.5</v>
      </c>
      <c r="C103" s="5" t="n">
        <v>2.25</v>
      </c>
      <c r="D103" s="5" t="n">
        <v>0.8</v>
      </c>
      <c r="E103" s="5" t="n">
        <v>74.639999</v>
      </c>
      <c r="F103" s="5" t="n">
        <v>102.7</v>
      </c>
      <c r="G103" s="5" t="n">
        <v>15.45</v>
      </c>
      <c r="H103" s="5" t="n">
        <v>71.5</v>
      </c>
      <c r="I103" s="5" t="n">
        <v>1345.199951</v>
      </c>
      <c r="J103" s="5" t="n">
        <v>71.20380400000001</v>
      </c>
      <c r="L103" s="7">
        <f>LN(B103/B102)</f>
        <v/>
      </c>
      <c r="M103" s="7">
        <f>C103-C102</f>
        <v/>
      </c>
      <c r="N103" s="7">
        <f>D103-D102</f>
        <v/>
      </c>
      <c r="O103" s="7">
        <f>LN(E103/E102)</f>
        <v/>
      </c>
      <c r="P103" s="7">
        <f>LN(F103/F102)</f>
        <v/>
      </c>
      <c r="Q103" s="7">
        <f>G103-G102</f>
        <v/>
      </c>
      <c r="R103" s="7">
        <f>H103-H102</f>
        <v/>
      </c>
      <c r="S103" s="7">
        <f>LN(I103/I102)</f>
        <v/>
      </c>
      <c r="T103" s="7">
        <f>LN(J103/J102)</f>
        <v/>
      </c>
    </row>
    <row r="104">
      <c r="A104" s="4" t="inlineStr">
        <is>
          <t>2011-06-30</t>
        </is>
      </c>
      <c r="B104" s="5" t="n">
        <v>1505.5</v>
      </c>
      <c r="C104" s="5" t="n">
        <v>2.43</v>
      </c>
      <c r="D104" s="5" t="n">
        <v>0.75</v>
      </c>
      <c r="E104" s="5" t="n">
        <v>74.300003</v>
      </c>
      <c r="F104" s="5" t="n">
        <v>95.3</v>
      </c>
      <c r="G104" s="5" t="n">
        <v>16.52</v>
      </c>
      <c r="H104" s="5" t="n">
        <v>88.900002</v>
      </c>
      <c r="I104" s="5" t="n">
        <v>1320.640015</v>
      </c>
      <c r="J104" s="5" t="n">
        <v>70.88679500000001</v>
      </c>
      <c r="L104" s="7">
        <f>LN(B104/B103)</f>
        <v/>
      </c>
      <c r="M104" s="7">
        <f>C104-C103</f>
        <v/>
      </c>
      <c r="N104" s="7">
        <f>D104-D103</f>
        <v/>
      </c>
      <c r="O104" s="7">
        <f>LN(E104/E103)</f>
        <v/>
      </c>
      <c r="P104" s="7">
        <f>LN(F104/F103)</f>
        <v/>
      </c>
      <c r="Q104" s="7">
        <f>G104-G103</f>
        <v/>
      </c>
      <c r="R104" s="7">
        <f>H104-H103</f>
        <v/>
      </c>
      <c r="S104" s="7">
        <f>LN(I104/I103)</f>
        <v/>
      </c>
      <c r="T104" s="7">
        <f>LN(J104/J103)</f>
        <v/>
      </c>
    </row>
    <row r="105">
      <c r="A105" s="4" t="inlineStr">
        <is>
          <t>2011-07-31</t>
        </is>
      </c>
      <c r="B105" s="5" t="n">
        <v>1628.5</v>
      </c>
      <c r="C105" s="5" t="n">
        <v>2.44</v>
      </c>
      <c r="D105" s="5" t="n">
        <v>0.38</v>
      </c>
      <c r="E105" s="5" t="n">
        <v>73.900002</v>
      </c>
      <c r="F105" s="5" t="n">
        <v>95.68000000000001</v>
      </c>
      <c r="G105" s="5" t="n">
        <v>25.25</v>
      </c>
      <c r="H105" s="5" t="n">
        <v>88</v>
      </c>
      <c r="I105" s="5" t="n">
        <v>1292.280029</v>
      </c>
      <c r="J105" s="5" t="n">
        <v>72.08245100000001</v>
      </c>
      <c r="L105" s="7">
        <f>LN(B105/B104)</f>
        <v/>
      </c>
      <c r="M105" s="7">
        <f>C105-C104</f>
        <v/>
      </c>
      <c r="N105" s="7">
        <f>D105-D104</f>
        <v/>
      </c>
      <c r="O105" s="7">
        <f>LN(E105/E104)</f>
        <v/>
      </c>
      <c r="P105" s="7">
        <f>LN(F105/F104)</f>
        <v/>
      </c>
      <c r="Q105" s="7">
        <f>G105-G104</f>
        <v/>
      </c>
      <c r="R105" s="7">
        <f>H105-H104</f>
        <v/>
      </c>
      <c r="S105" s="7">
        <f>LN(I105/I104)</f>
        <v/>
      </c>
      <c r="T105" s="7">
        <f>LN(J105/J104)</f>
        <v/>
      </c>
    </row>
    <row r="106">
      <c r="A106" s="4" t="inlineStr">
        <is>
          <t>2011-08-31</t>
        </is>
      </c>
      <c r="B106" s="5" t="n">
        <v>1813.5</v>
      </c>
      <c r="C106" s="5" t="n">
        <v>2.05</v>
      </c>
      <c r="D106" s="5" t="n">
        <v>0.18</v>
      </c>
      <c r="E106" s="5" t="n">
        <v>74.129997</v>
      </c>
      <c r="F106" s="5" t="n">
        <v>88.81</v>
      </c>
      <c r="G106" s="5" t="n">
        <v>31.62</v>
      </c>
      <c r="H106" s="5" t="n">
        <v>97.900002</v>
      </c>
      <c r="I106" s="5" t="n">
        <v>1218.890015</v>
      </c>
      <c r="J106" s="5" t="n">
        <v>73.17845199999999</v>
      </c>
      <c r="L106" s="7">
        <f>LN(B106/B105)</f>
        <v/>
      </c>
      <c r="M106" s="7">
        <f>C106-C105</f>
        <v/>
      </c>
      <c r="N106" s="7">
        <f>D106-D105</f>
        <v/>
      </c>
      <c r="O106" s="7">
        <f>LN(E106/E105)</f>
        <v/>
      </c>
      <c r="P106" s="7">
        <f>LN(F106/F105)</f>
        <v/>
      </c>
      <c r="Q106" s="7">
        <f>G106-G105</f>
        <v/>
      </c>
      <c r="R106" s="7">
        <f>H106-H105</f>
        <v/>
      </c>
      <c r="S106" s="7">
        <f>LN(I106/I105)</f>
        <v/>
      </c>
      <c r="T106" s="7">
        <f>LN(J106/J105)</f>
        <v/>
      </c>
    </row>
    <row r="107">
      <c r="A107" s="4" t="inlineStr">
        <is>
          <t>2011-09-30</t>
        </is>
      </c>
      <c r="B107" s="5" t="n">
        <v>1620</v>
      </c>
      <c r="C107" s="5" t="n">
        <v>1.75</v>
      </c>
      <c r="D107" s="5" t="n">
        <v>0.17</v>
      </c>
      <c r="E107" s="5" t="n">
        <v>78.550003</v>
      </c>
      <c r="F107" s="5" t="n">
        <v>78.93000000000001</v>
      </c>
      <c r="G107" s="5" t="n">
        <v>42.96</v>
      </c>
      <c r="H107" s="5" t="n">
        <v>100.599998</v>
      </c>
      <c r="I107" s="5" t="n">
        <v>1131.420044</v>
      </c>
      <c r="J107" s="5" t="n">
        <v>73.742401</v>
      </c>
      <c r="L107" s="7">
        <f>LN(B107/B106)</f>
        <v/>
      </c>
      <c r="M107" s="7">
        <f>C107-C106</f>
        <v/>
      </c>
      <c r="N107" s="7">
        <f>D107-D106</f>
        <v/>
      </c>
      <c r="O107" s="7">
        <f>LN(E107/E106)</f>
        <v/>
      </c>
      <c r="P107" s="7">
        <f>LN(F107/F106)</f>
        <v/>
      </c>
      <c r="Q107" s="7">
        <f>G107-G106</f>
        <v/>
      </c>
      <c r="R107" s="7">
        <f>H107-H106</f>
        <v/>
      </c>
      <c r="S107" s="7">
        <f>LN(I107/I106)</f>
        <v/>
      </c>
      <c r="T107" s="7">
        <f>LN(J107/J106)</f>
        <v/>
      </c>
    </row>
    <row r="108">
      <c r="A108" s="4" t="inlineStr">
        <is>
          <t>2011-10-31</t>
        </is>
      </c>
      <c r="B108" s="5" t="n">
        <v>1722</v>
      </c>
      <c r="C108" s="5" t="n">
        <v>2.09</v>
      </c>
      <c r="D108" s="5" t="n">
        <v>0.08</v>
      </c>
      <c r="E108" s="5" t="n">
        <v>76.16999800000001</v>
      </c>
      <c r="F108" s="5" t="n">
        <v>93.19</v>
      </c>
      <c r="G108" s="5" t="n">
        <v>29.96</v>
      </c>
      <c r="H108" s="5" t="n">
        <v>107.199997</v>
      </c>
      <c r="I108" s="5" t="n">
        <v>1253.300049</v>
      </c>
      <c r="J108" s="5" t="n">
        <v>73.835617</v>
      </c>
      <c r="L108" s="7">
        <f>LN(B108/B107)</f>
        <v/>
      </c>
      <c r="M108" s="7">
        <f>C108-C107</f>
        <v/>
      </c>
      <c r="N108" s="7">
        <f>D108-D107</f>
        <v/>
      </c>
      <c r="O108" s="7">
        <f>LN(E108/E107)</f>
        <v/>
      </c>
      <c r="P108" s="7">
        <f>LN(F108/F107)</f>
        <v/>
      </c>
      <c r="Q108" s="7">
        <f>G108-G107</f>
        <v/>
      </c>
      <c r="R108" s="7">
        <f>H108-H107</f>
        <v/>
      </c>
      <c r="S108" s="7">
        <f>LN(I108/I107)</f>
        <v/>
      </c>
      <c r="T108" s="7">
        <f>LN(J108/J107)</f>
        <v/>
      </c>
    </row>
    <row r="109">
      <c r="A109" s="4" t="inlineStr">
        <is>
          <t>2011-11-30</t>
        </is>
      </c>
      <c r="B109" s="5" t="n">
        <v>1746</v>
      </c>
      <c r="C109" s="5" t="n">
        <v>2.05</v>
      </c>
      <c r="D109" s="5" t="n">
        <v>0.03</v>
      </c>
      <c r="E109" s="5" t="n">
        <v>78.389999</v>
      </c>
      <c r="F109" s="5" t="n">
        <v>100.36</v>
      </c>
      <c r="G109" s="5" t="n">
        <v>27.8</v>
      </c>
      <c r="H109" s="5" t="n">
        <v>99.699997</v>
      </c>
      <c r="I109" s="5" t="n">
        <v>1246.959961</v>
      </c>
      <c r="J109" s="5" t="n">
        <v>73.59139999999999</v>
      </c>
      <c r="L109" s="7">
        <f>LN(B109/B108)</f>
        <v/>
      </c>
      <c r="M109" s="7">
        <f>C109-C108</f>
        <v/>
      </c>
      <c r="N109" s="7">
        <f>D109-D108</f>
        <v/>
      </c>
      <c r="O109" s="7">
        <f>LN(E109/E108)</f>
        <v/>
      </c>
      <c r="P109" s="7">
        <f>LN(F109/F108)</f>
        <v/>
      </c>
      <c r="Q109" s="7">
        <f>G109-G108</f>
        <v/>
      </c>
      <c r="R109" s="7">
        <f>H109-H108</f>
        <v/>
      </c>
      <c r="S109" s="7">
        <f>LN(I109/I108)</f>
        <v/>
      </c>
      <c r="T109" s="7">
        <f>LN(J109/J108)</f>
        <v/>
      </c>
    </row>
    <row r="110">
      <c r="A110" s="4" t="inlineStr">
        <is>
          <t>2011-12-31</t>
        </is>
      </c>
      <c r="B110" s="5" t="n">
        <v>1531</v>
      </c>
      <c r="C110" s="5" t="n">
        <v>1.96</v>
      </c>
      <c r="D110" s="5" t="n">
        <v>-0.07000000000000001</v>
      </c>
      <c r="E110" s="5" t="n">
        <v>80.16999800000001</v>
      </c>
      <c r="F110" s="5" t="n">
        <v>98.83</v>
      </c>
      <c r="G110" s="5" t="n">
        <v>23.4</v>
      </c>
      <c r="H110" s="5" t="n">
        <v>91.099998</v>
      </c>
      <c r="I110" s="5" t="n">
        <v>1257.599976</v>
      </c>
      <c r="J110" s="5" t="n">
        <v>74.58981300000001</v>
      </c>
      <c r="L110" s="7">
        <f>LN(B110/B109)</f>
        <v/>
      </c>
      <c r="M110" s="7">
        <f>C110-C109</f>
        <v/>
      </c>
      <c r="N110" s="7">
        <f>D110-D109</f>
        <v/>
      </c>
      <c r="O110" s="7">
        <f>LN(E110/E109)</f>
        <v/>
      </c>
      <c r="P110" s="7">
        <f>LN(F110/F109)</f>
        <v/>
      </c>
      <c r="Q110" s="7">
        <f>G110-G109</f>
        <v/>
      </c>
      <c r="R110" s="7">
        <f>H110-H109</f>
        <v/>
      </c>
      <c r="S110" s="7">
        <f>LN(I110/I109)</f>
        <v/>
      </c>
      <c r="T110" s="7">
        <f>LN(J110/J109)</f>
        <v/>
      </c>
    </row>
    <row r="111">
      <c r="A111" s="4" t="inlineStr">
        <is>
          <t>2012-01-31</t>
        </is>
      </c>
      <c r="B111" s="5" t="n">
        <v>1744</v>
      </c>
      <c r="C111" s="5" t="n">
        <v>2.11</v>
      </c>
      <c r="D111" s="5" t="n">
        <v>-0.28</v>
      </c>
      <c r="E111" s="5" t="n">
        <v>79.279999</v>
      </c>
      <c r="F111" s="5" t="n">
        <v>98.45999999999999</v>
      </c>
      <c r="G111" s="5" t="n">
        <v>19.44</v>
      </c>
      <c r="H111" s="5" t="n">
        <v>72.099998</v>
      </c>
      <c r="I111" s="5" t="n">
        <v>1312.410034</v>
      </c>
      <c r="J111" s="5" t="n">
        <v>75.131073</v>
      </c>
      <c r="L111" s="7">
        <f>LN(B111/B110)</f>
        <v/>
      </c>
      <c r="M111" s="7">
        <f>C111-C110</f>
        <v/>
      </c>
      <c r="N111" s="7">
        <f>D111-D110</f>
        <v/>
      </c>
      <c r="O111" s="7">
        <f>LN(E111/E110)</f>
        <v/>
      </c>
      <c r="P111" s="7">
        <f>LN(F111/F110)</f>
        <v/>
      </c>
      <c r="Q111" s="7">
        <f>G111-G110</f>
        <v/>
      </c>
      <c r="R111" s="7">
        <f>H111-H110</f>
        <v/>
      </c>
      <c r="S111" s="7">
        <f>LN(I111/I110)</f>
        <v/>
      </c>
      <c r="T111" s="7">
        <f>LN(J111/J110)</f>
        <v/>
      </c>
    </row>
    <row r="112">
      <c r="A112" s="4" t="inlineStr">
        <is>
          <t>2012-02-29</t>
        </is>
      </c>
      <c r="B112" s="5" t="n">
        <v>1770</v>
      </c>
      <c r="C112" s="5" t="n">
        <v>2.26</v>
      </c>
      <c r="D112" s="5" t="n">
        <v>-0.28</v>
      </c>
      <c r="E112" s="5" t="n">
        <v>78.730003</v>
      </c>
      <c r="F112" s="5" t="n">
        <v>107.08</v>
      </c>
      <c r="G112" s="5" t="n">
        <v>18.43</v>
      </c>
      <c r="H112" s="5" t="n">
        <v>75.900002</v>
      </c>
      <c r="I112" s="5" t="n">
        <v>1365.680054</v>
      </c>
      <c r="J112" s="5" t="n">
        <v>75.12088</v>
      </c>
      <c r="L112" s="7">
        <f>LN(B112/B111)</f>
        <v/>
      </c>
      <c r="M112" s="7">
        <f>C112-C111</f>
        <v/>
      </c>
      <c r="N112" s="7">
        <f>D112-D111</f>
        <v/>
      </c>
      <c r="O112" s="7">
        <f>LN(E112/E111)</f>
        <v/>
      </c>
      <c r="P112" s="7">
        <f>LN(F112/F111)</f>
        <v/>
      </c>
      <c r="Q112" s="7">
        <f>G112-G111</f>
        <v/>
      </c>
      <c r="R112" s="7">
        <f>H112-H111</f>
        <v/>
      </c>
      <c r="S112" s="7">
        <f>LN(I112/I111)</f>
        <v/>
      </c>
      <c r="T112" s="7">
        <f>LN(J112/J111)</f>
        <v/>
      </c>
    </row>
    <row r="113">
      <c r="A113" s="4" t="inlineStr">
        <is>
          <t>2012-03-31</t>
        </is>
      </c>
      <c r="B113" s="5" t="n">
        <v>1662.5</v>
      </c>
      <c r="C113" s="5" t="n">
        <v>2.32</v>
      </c>
      <c r="D113" s="5" t="n">
        <v>-0.09</v>
      </c>
      <c r="E113" s="5" t="n">
        <v>78.93000000000001</v>
      </c>
      <c r="F113" s="5" t="n">
        <v>103.03</v>
      </c>
      <c r="G113" s="5" t="n">
        <v>15.5</v>
      </c>
      <c r="H113" s="5" t="n">
        <v>78.599998</v>
      </c>
      <c r="I113" s="5" t="n">
        <v>1408.469971</v>
      </c>
      <c r="J113" s="5" t="n">
        <v>74.69049099999999</v>
      </c>
      <c r="L113" s="7">
        <f>LN(B113/B112)</f>
        <v/>
      </c>
      <c r="M113" s="7">
        <f>C113-C112</f>
        <v/>
      </c>
      <c r="N113" s="7">
        <f>D113-D112</f>
        <v/>
      </c>
      <c r="O113" s="7">
        <f>LN(E113/E112)</f>
        <v/>
      </c>
      <c r="P113" s="7">
        <f>LN(F113/F112)</f>
        <v/>
      </c>
      <c r="Q113" s="7">
        <f>G113-G112</f>
        <v/>
      </c>
      <c r="R113" s="7">
        <f>H113-H112</f>
        <v/>
      </c>
      <c r="S113" s="7">
        <f>LN(I113/I112)</f>
        <v/>
      </c>
      <c r="T113" s="7">
        <f>LN(J113/J112)</f>
        <v/>
      </c>
    </row>
    <row r="114">
      <c r="A114" s="4" t="inlineStr">
        <is>
          <t>2012-04-30</t>
        </is>
      </c>
      <c r="B114" s="5" t="n">
        <v>1651.25</v>
      </c>
      <c r="C114" s="5" t="n">
        <v>2.25</v>
      </c>
      <c r="D114" s="5" t="n">
        <v>-0.3</v>
      </c>
      <c r="E114" s="5" t="n">
        <v>78.790001</v>
      </c>
      <c r="F114" s="5" t="n">
        <v>104.89</v>
      </c>
      <c r="G114" s="5" t="n">
        <v>17.15</v>
      </c>
      <c r="H114" s="5" t="n">
        <v>62.900002</v>
      </c>
      <c r="I114" s="5" t="n">
        <v>1397.910034</v>
      </c>
      <c r="J114" s="5" t="n">
        <v>75.36713399999999</v>
      </c>
      <c r="L114" s="7">
        <f>LN(B114/B113)</f>
        <v/>
      </c>
      <c r="M114" s="7">
        <f>C114-C113</f>
        <v/>
      </c>
      <c r="N114" s="7">
        <f>D114-D113</f>
        <v/>
      </c>
      <c r="O114" s="7">
        <f>LN(E114/E113)</f>
        <v/>
      </c>
      <c r="P114" s="7">
        <f>LN(F114/F113)</f>
        <v/>
      </c>
      <c r="Q114" s="7">
        <f>G114-G113</f>
        <v/>
      </c>
      <c r="R114" s="7">
        <f>H114-H113</f>
        <v/>
      </c>
      <c r="S114" s="7">
        <f>LN(I114/I113)</f>
        <v/>
      </c>
      <c r="T114" s="7">
        <f>LN(J114/J113)</f>
        <v/>
      </c>
    </row>
    <row r="115">
      <c r="A115" s="4" t="inlineStr">
        <is>
          <t>2012-05-31</t>
        </is>
      </c>
      <c r="B115" s="5" t="n">
        <v>1558</v>
      </c>
      <c r="C115" s="5" t="n">
        <v>2.09</v>
      </c>
      <c r="D115" s="5" t="n">
        <v>-0.5</v>
      </c>
      <c r="E115" s="5" t="n">
        <v>83.040001</v>
      </c>
      <c r="F115" s="5" t="n">
        <v>86.52</v>
      </c>
      <c r="G115" s="5" t="n">
        <v>24.06</v>
      </c>
      <c r="H115" s="5" t="n">
        <v>74.400002</v>
      </c>
      <c r="I115" s="5" t="n">
        <v>1310.329956</v>
      </c>
      <c r="J115" s="5" t="n">
        <v>76.179749</v>
      </c>
      <c r="L115" s="7">
        <f>LN(B115/B114)</f>
        <v/>
      </c>
      <c r="M115" s="7">
        <f>C115-C114</f>
        <v/>
      </c>
      <c r="N115" s="7">
        <f>D115-D114</f>
        <v/>
      </c>
      <c r="O115" s="7">
        <f>LN(E115/E114)</f>
        <v/>
      </c>
      <c r="P115" s="7">
        <f>LN(F115/F114)</f>
        <v/>
      </c>
      <c r="Q115" s="7">
        <f>G115-G114</f>
        <v/>
      </c>
      <c r="R115" s="7">
        <f>H115-H114</f>
        <v/>
      </c>
      <c r="S115" s="7">
        <f>LN(I115/I114)</f>
        <v/>
      </c>
      <c r="T115" s="7">
        <f>LN(J115/J114)</f>
        <v/>
      </c>
    </row>
    <row r="116">
      <c r="A116" s="4" t="inlineStr">
        <is>
          <t>2012-06-30</t>
        </is>
      </c>
      <c r="B116" s="5" t="n">
        <v>1598.5</v>
      </c>
      <c r="C116" s="5" t="n">
        <v>2.13</v>
      </c>
      <c r="D116" s="5" t="n">
        <v>-0.46</v>
      </c>
      <c r="E116" s="5" t="n">
        <v>81.650002</v>
      </c>
      <c r="F116" s="5" t="n">
        <v>85.04000000000001</v>
      </c>
      <c r="G116" s="5" t="n">
        <v>17.08</v>
      </c>
      <c r="H116" s="5" t="n">
        <v>73.199997</v>
      </c>
      <c r="I116" s="5" t="n">
        <v>1362.160034</v>
      </c>
      <c r="J116" s="5" t="n">
        <v>76.16471900000001</v>
      </c>
      <c r="L116" s="7">
        <f>LN(B116/B115)</f>
        <v/>
      </c>
      <c r="M116" s="7">
        <f>C116-C115</f>
        <v/>
      </c>
      <c r="N116" s="7">
        <f>D116-D115</f>
        <v/>
      </c>
      <c r="O116" s="7">
        <f>LN(E116/E115)</f>
        <v/>
      </c>
      <c r="P116" s="7">
        <f>LN(F116/F115)</f>
        <v/>
      </c>
      <c r="Q116" s="7">
        <f>G116-G115</f>
        <v/>
      </c>
      <c r="R116" s="7">
        <f>H116-H115</f>
        <v/>
      </c>
      <c r="S116" s="7">
        <f>LN(I116/I115)</f>
        <v/>
      </c>
      <c r="T116" s="7">
        <f>LN(J116/J115)</f>
        <v/>
      </c>
    </row>
    <row r="117">
      <c r="A117" s="4" t="inlineStr">
        <is>
          <t>2012-07-31</t>
        </is>
      </c>
      <c r="B117" s="5" t="n">
        <v>1622</v>
      </c>
      <c r="C117" s="5" t="n">
        <v>2.2</v>
      </c>
      <c r="D117" s="5" t="n">
        <v>-0.6899999999999999</v>
      </c>
      <c r="E117" s="5" t="n">
        <v>82.639999</v>
      </c>
      <c r="F117" s="5" t="n">
        <v>88.08</v>
      </c>
      <c r="G117" s="5" t="n">
        <v>18.93</v>
      </c>
      <c r="H117" s="5" t="n">
        <v>69.800003</v>
      </c>
      <c r="I117" s="5" t="n">
        <v>1379.319946</v>
      </c>
      <c r="J117" s="5" t="n">
        <v>77.20214799999999</v>
      </c>
      <c r="L117" s="7">
        <f>LN(B117/B116)</f>
        <v/>
      </c>
      <c r="M117" s="7">
        <f>C117-C116</f>
        <v/>
      </c>
      <c r="N117" s="7">
        <f>D117-D116</f>
        <v/>
      </c>
      <c r="O117" s="7">
        <f>LN(E117/E116)</f>
        <v/>
      </c>
      <c r="P117" s="7">
        <f>LN(F117/F116)</f>
        <v/>
      </c>
      <c r="Q117" s="7">
        <f>G117-G116</f>
        <v/>
      </c>
      <c r="R117" s="7">
        <f>H117-H116</f>
        <v/>
      </c>
      <c r="S117" s="7">
        <f>LN(I117/I116)</f>
        <v/>
      </c>
      <c r="T117" s="7">
        <f>LN(J117/J116)</f>
        <v/>
      </c>
    </row>
    <row r="118">
      <c r="A118" s="4" t="inlineStr">
        <is>
          <t>2012-08-31</t>
        </is>
      </c>
      <c r="B118" s="5" t="n">
        <v>1648.5</v>
      </c>
      <c r="C118" s="5" t="n">
        <v>2.25</v>
      </c>
      <c r="D118" s="5" t="n">
        <v>-0.68</v>
      </c>
      <c r="E118" s="5" t="n">
        <v>81.25</v>
      </c>
      <c r="F118" s="5" t="n">
        <v>96.47</v>
      </c>
      <c r="G118" s="5" t="n">
        <v>17.47</v>
      </c>
      <c r="H118" s="5" t="n">
        <v>68.699997</v>
      </c>
      <c r="I118" s="5" t="n">
        <v>1406.579956</v>
      </c>
      <c r="J118" s="5" t="n">
        <v>77.202217</v>
      </c>
      <c r="L118" s="7">
        <f>LN(B118/B117)</f>
        <v/>
      </c>
      <c r="M118" s="7">
        <f>C118-C117</f>
        <v/>
      </c>
      <c r="N118" s="7">
        <f>D118-D117</f>
        <v/>
      </c>
      <c r="O118" s="7">
        <f>LN(E118/E117)</f>
        <v/>
      </c>
      <c r="P118" s="7">
        <f>LN(F118/F117)</f>
        <v/>
      </c>
      <c r="Q118" s="7">
        <f>G118-G117</f>
        <v/>
      </c>
      <c r="R118" s="7">
        <f>H118-H117</f>
        <v/>
      </c>
      <c r="S118" s="7">
        <f>LN(I118/I117)</f>
        <v/>
      </c>
      <c r="T118" s="7">
        <f>LN(J118/J117)</f>
        <v/>
      </c>
    </row>
    <row r="119">
      <c r="A119" s="4" t="inlineStr">
        <is>
          <t>2012-09-30</t>
        </is>
      </c>
      <c r="B119" s="5" t="n">
        <v>1776</v>
      </c>
      <c r="C119" s="5" t="n">
        <v>2.42</v>
      </c>
      <c r="D119" s="5" t="n">
        <v>-0.77</v>
      </c>
      <c r="E119" s="5" t="n">
        <v>79.94000200000001</v>
      </c>
      <c r="F119" s="5" t="n">
        <v>92.18000000000001</v>
      </c>
      <c r="G119" s="5" t="n">
        <v>15.73</v>
      </c>
      <c r="H119" s="5" t="n">
        <v>60.470001</v>
      </c>
      <c r="I119" s="5" t="n">
        <v>1440.670044</v>
      </c>
      <c r="J119" s="5" t="n">
        <v>77.40801999999999</v>
      </c>
      <c r="L119" s="7">
        <f>LN(B119/B118)</f>
        <v/>
      </c>
      <c r="M119" s="7">
        <f>C119-C118</f>
        <v/>
      </c>
      <c r="N119" s="7">
        <f>D119-D118</f>
        <v/>
      </c>
      <c r="O119" s="7">
        <f>LN(E119/E118)</f>
        <v/>
      </c>
      <c r="P119" s="7">
        <f>LN(F119/F118)</f>
        <v/>
      </c>
      <c r="Q119" s="7">
        <f>G119-G118</f>
        <v/>
      </c>
      <c r="R119" s="7">
        <f>H119-H118</f>
        <v/>
      </c>
      <c r="S119" s="7">
        <f>LN(I119/I118)</f>
        <v/>
      </c>
      <c r="T119" s="7">
        <f>LN(J119/J118)</f>
        <v/>
      </c>
    </row>
    <row r="120">
      <c r="A120" s="4" t="inlineStr">
        <is>
          <t>2012-10-31</t>
        </is>
      </c>
      <c r="B120" s="5" t="n">
        <v>1719</v>
      </c>
      <c r="C120" s="5" t="n">
        <v>2.5</v>
      </c>
      <c r="D120" s="5" t="n">
        <v>-0.78</v>
      </c>
      <c r="E120" s="5" t="n">
        <v>79.91999800000001</v>
      </c>
      <c r="F120" s="5" t="n">
        <v>86.23</v>
      </c>
      <c r="G120" s="5" t="n">
        <v>18.6</v>
      </c>
      <c r="H120" s="5" t="n">
        <v>71.43000000000001</v>
      </c>
      <c r="I120" s="5" t="n">
        <v>1412.160034</v>
      </c>
      <c r="J120" s="5" t="n">
        <v>77.371475</v>
      </c>
      <c r="L120" s="7">
        <f>LN(B120/B119)</f>
        <v/>
      </c>
      <c r="M120" s="7">
        <f>C120-C119</f>
        <v/>
      </c>
      <c r="N120" s="7">
        <f>D120-D119</f>
        <v/>
      </c>
      <c r="O120" s="7">
        <f>LN(E120/E119)</f>
        <v/>
      </c>
      <c r="P120" s="7">
        <f>LN(F120/F119)</f>
        <v/>
      </c>
      <c r="Q120" s="7">
        <f>G120-G119</f>
        <v/>
      </c>
      <c r="R120" s="7">
        <f>H120-H119</f>
        <v/>
      </c>
      <c r="S120" s="7">
        <f>LN(I120/I119)</f>
        <v/>
      </c>
      <c r="T120" s="7">
        <f>LN(J120/J119)</f>
        <v/>
      </c>
    </row>
    <row r="121">
      <c r="A121" s="4" t="inlineStr">
        <is>
          <t>2012-11-30</t>
        </is>
      </c>
      <c r="B121" s="5" t="n">
        <v>1726</v>
      </c>
      <c r="C121" s="5" t="n">
        <v>2.41</v>
      </c>
      <c r="D121" s="5" t="n">
        <v>-0.79</v>
      </c>
      <c r="E121" s="5" t="n">
        <v>80.150002</v>
      </c>
      <c r="F121" s="5" t="n">
        <v>88.54000000000001</v>
      </c>
      <c r="G121" s="5" t="n">
        <v>15.87</v>
      </c>
      <c r="H121" s="5" t="n">
        <v>51.799999</v>
      </c>
      <c r="I121" s="5" t="n">
        <v>1416.180054</v>
      </c>
      <c r="J121" s="5" t="n">
        <v>77.580833</v>
      </c>
      <c r="L121" s="7">
        <f>LN(B121/B120)</f>
        <v/>
      </c>
      <c r="M121" s="7">
        <f>C121-C120</f>
        <v/>
      </c>
      <c r="N121" s="7">
        <f>D121-D120</f>
        <v/>
      </c>
      <c r="O121" s="7">
        <f>LN(E121/E120)</f>
        <v/>
      </c>
      <c r="P121" s="7">
        <f>LN(F121/F120)</f>
        <v/>
      </c>
      <c r="Q121" s="7">
        <f>G121-G120</f>
        <v/>
      </c>
      <c r="R121" s="7">
        <f>H121-H120</f>
        <v/>
      </c>
      <c r="S121" s="7">
        <f>LN(I121/I120)</f>
        <v/>
      </c>
      <c r="T121" s="7">
        <f>LN(J121/J120)</f>
        <v/>
      </c>
    </row>
    <row r="122">
      <c r="A122" s="4" t="inlineStr">
        <is>
          <t>2012-12-31</t>
        </is>
      </c>
      <c r="B122" s="5" t="n">
        <v>1657.5</v>
      </c>
      <c r="C122" s="5" t="n">
        <v>2.45</v>
      </c>
      <c r="D122" s="5" t="n">
        <v>-0.67</v>
      </c>
      <c r="E122" s="5" t="n">
        <v>79.769997</v>
      </c>
      <c r="F122" s="5" t="n">
        <v>91.83</v>
      </c>
      <c r="G122" s="5" t="n">
        <v>18.02</v>
      </c>
      <c r="H122" s="5" t="n">
        <v>59.400002</v>
      </c>
      <c r="I122" s="5" t="n">
        <v>1426.189941</v>
      </c>
      <c r="J122" s="5" t="n">
        <v>77.390625</v>
      </c>
      <c r="L122" s="7">
        <f>LN(B122/B121)</f>
        <v/>
      </c>
      <c r="M122" s="7">
        <f>C122-C121</f>
        <v/>
      </c>
      <c r="N122" s="7">
        <f>D122-D121</f>
        <v/>
      </c>
      <c r="O122" s="7">
        <f>LN(E122/E121)</f>
        <v/>
      </c>
      <c r="P122" s="7">
        <f>LN(F122/F121)</f>
        <v/>
      </c>
      <c r="Q122" s="7">
        <f>G122-G121</f>
        <v/>
      </c>
      <c r="R122" s="7">
        <f>H122-H121</f>
        <v/>
      </c>
      <c r="S122" s="7">
        <f>LN(I122/I121)</f>
        <v/>
      </c>
      <c r="T122" s="7">
        <f>LN(J122/J121)</f>
        <v/>
      </c>
    </row>
    <row r="123">
      <c r="A123" s="4" t="inlineStr">
        <is>
          <t>2013-01-31</t>
        </is>
      </c>
      <c r="B123" s="5" t="n">
        <v>1664.75</v>
      </c>
      <c r="C123" s="5" t="n">
        <v>2.59</v>
      </c>
      <c r="D123" s="5" t="n">
        <v>-0.57</v>
      </c>
      <c r="E123" s="5" t="n">
        <v>79.209999</v>
      </c>
      <c r="F123" s="5" t="n">
        <v>97.65000000000001</v>
      </c>
      <c r="G123" s="5" t="n">
        <v>14.28</v>
      </c>
      <c r="H123" s="5" t="n">
        <v>65.599998</v>
      </c>
      <c r="I123" s="5" t="n">
        <v>1498.109985</v>
      </c>
      <c r="J123" s="5" t="n">
        <v>76.90992</v>
      </c>
      <c r="L123" s="7">
        <f>LN(B123/B122)</f>
        <v/>
      </c>
      <c r="M123" s="7">
        <f>C123-C122</f>
        <v/>
      </c>
      <c r="N123" s="7">
        <f>D123-D122</f>
        <v/>
      </c>
      <c r="O123" s="7">
        <f>LN(E123/E122)</f>
        <v/>
      </c>
      <c r="P123" s="7">
        <f>LN(F123/F122)</f>
        <v/>
      </c>
      <c r="Q123" s="7">
        <f>G123-G122</f>
        <v/>
      </c>
      <c r="R123" s="7">
        <f>H123-H122</f>
        <v/>
      </c>
      <c r="S123" s="7">
        <f>LN(I123/I122)</f>
        <v/>
      </c>
      <c r="T123" s="7">
        <f>LN(J123/J122)</f>
        <v/>
      </c>
    </row>
    <row r="124">
      <c r="A124" s="4" t="inlineStr">
        <is>
          <t>2013-02-28</t>
        </is>
      </c>
      <c r="B124" s="5" t="n">
        <v>1588.5</v>
      </c>
      <c r="C124" s="5" t="n">
        <v>2.53</v>
      </c>
      <c r="D124" s="5" t="n">
        <v>-0.64</v>
      </c>
      <c r="E124" s="5" t="n">
        <v>81.980003</v>
      </c>
      <c r="F124" s="5" t="n">
        <v>92.03</v>
      </c>
      <c r="G124" s="5" t="n">
        <v>15.51</v>
      </c>
      <c r="H124" s="5" t="n">
        <v>55.880001</v>
      </c>
      <c r="I124" s="5" t="n">
        <v>1514.680054</v>
      </c>
      <c r="J124" s="5" t="n">
        <v>77.36425</v>
      </c>
      <c r="L124" s="7">
        <f>LN(B124/B123)</f>
        <v/>
      </c>
      <c r="M124" s="7">
        <f>C124-C123</f>
        <v/>
      </c>
      <c r="N124" s="7">
        <f>D124-D123</f>
        <v/>
      </c>
      <c r="O124" s="7">
        <f>LN(E124/E123)</f>
        <v/>
      </c>
      <c r="P124" s="7">
        <f>LN(F124/F123)</f>
        <v/>
      </c>
      <c r="Q124" s="7">
        <f>G124-G123</f>
        <v/>
      </c>
      <c r="R124" s="7">
        <f>H124-H123</f>
        <v/>
      </c>
      <c r="S124" s="7">
        <f>LN(I124/I123)</f>
        <v/>
      </c>
      <c r="T124" s="7">
        <f>LN(J124/J123)</f>
        <v/>
      </c>
    </row>
    <row r="125">
      <c r="A125" s="4" t="inlineStr">
        <is>
          <t>2013-03-31</t>
        </is>
      </c>
      <c r="B125" s="5" t="n">
        <v>1598.25</v>
      </c>
      <c r="C125" s="5" t="n">
        <v>2.51</v>
      </c>
      <c r="D125" s="5" t="n">
        <v>-0.64</v>
      </c>
      <c r="E125" s="5" t="n">
        <v>82.989998</v>
      </c>
      <c r="F125" s="5" t="n">
        <v>97.23999999999999</v>
      </c>
      <c r="G125" s="5" t="n">
        <v>12.7</v>
      </c>
      <c r="H125" s="5" t="n">
        <v>57.299999</v>
      </c>
      <c r="I125" s="5" t="n">
        <v>1569.189941</v>
      </c>
      <c r="J125" s="5" t="n">
        <v>77.44053599999999</v>
      </c>
      <c r="L125" s="7">
        <f>LN(B125/B124)</f>
        <v/>
      </c>
      <c r="M125" s="7">
        <f>C125-C124</f>
        <v/>
      </c>
      <c r="N125" s="7">
        <f>D125-D124</f>
        <v/>
      </c>
      <c r="O125" s="7">
        <f>LN(E125/E124)</f>
        <v/>
      </c>
      <c r="P125" s="7">
        <f>LN(F125/F124)</f>
        <v/>
      </c>
      <c r="Q125" s="7">
        <f>G125-G124</f>
        <v/>
      </c>
      <c r="R125" s="7">
        <f>H125-H124</f>
        <v/>
      </c>
      <c r="S125" s="7">
        <f>LN(I125/I124)</f>
        <v/>
      </c>
      <c r="T125" s="7">
        <f>LN(J125/J124)</f>
        <v/>
      </c>
    </row>
    <row r="126">
      <c r="A126" s="4" t="inlineStr">
        <is>
          <t>2013-04-30</t>
        </is>
      </c>
      <c r="B126" s="5" t="n">
        <v>1469</v>
      </c>
      <c r="C126" s="5" t="n">
        <v>2.34</v>
      </c>
      <c r="D126" s="5" t="n">
        <v>-0.64</v>
      </c>
      <c r="E126" s="5" t="n">
        <v>81.730003</v>
      </c>
      <c r="F126" s="5" t="n">
        <v>93.22</v>
      </c>
      <c r="G126" s="5" t="n">
        <v>13.52</v>
      </c>
      <c r="H126" s="5" t="n">
        <v>49.200001</v>
      </c>
      <c r="I126" s="5" t="n">
        <v>1597.569946</v>
      </c>
      <c r="J126" s="5" t="n">
        <v>78.190567</v>
      </c>
      <c r="L126" s="7">
        <f>LN(B126/B125)</f>
        <v/>
      </c>
      <c r="M126" s="7">
        <f>C126-C125</f>
        <v/>
      </c>
      <c r="N126" s="7">
        <f>D126-D125</f>
        <v/>
      </c>
      <c r="O126" s="7">
        <f>LN(E126/E125)</f>
        <v/>
      </c>
      <c r="P126" s="7">
        <f>LN(F126/F125)</f>
        <v/>
      </c>
      <c r="Q126" s="7">
        <f>G126-G125</f>
        <v/>
      </c>
      <c r="R126" s="7">
        <f>H126-H125</f>
        <v/>
      </c>
      <c r="S126" s="7">
        <f>LN(I126/I125)</f>
        <v/>
      </c>
      <c r="T126" s="7">
        <f>LN(J126/J125)</f>
        <v/>
      </c>
    </row>
    <row r="127">
      <c r="A127" s="4" t="inlineStr">
        <is>
          <t>2013-05-31</t>
        </is>
      </c>
      <c r="B127" s="5" t="n">
        <v>1394.5</v>
      </c>
      <c r="C127" s="5" t="n">
        <v>2.21</v>
      </c>
      <c r="D127" s="5" t="n">
        <v>-0.05</v>
      </c>
      <c r="E127" s="5" t="n">
        <v>83.379997</v>
      </c>
      <c r="F127" s="5" t="n">
        <v>91.93000000000001</v>
      </c>
      <c r="G127" s="5" t="n">
        <v>16.3</v>
      </c>
      <c r="H127" s="5" t="n">
        <v>80</v>
      </c>
      <c r="I127" s="5" t="n">
        <v>1630.73999</v>
      </c>
      <c r="J127" s="5" t="n">
        <v>76.625885</v>
      </c>
      <c r="L127" s="7">
        <f>LN(B127/B126)</f>
        <v/>
      </c>
      <c r="M127" s="7">
        <f>C127-C126</f>
        <v/>
      </c>
      <c r="N127" s="7">
        <f>D127-D126</f>
        <v/>
      </c>
      <c r="O127" s="7">
        <f>LN(E127/E126)</f>
        <v/>
      </c>
      <c r="P127" s="7">
        <f>LN(F127/F126)</f>
        <v/>
      </c>
      <c r="Q127" s="7">
        <f>G127-G126</f>
        <v/>
      </c>
      <c r="R127" s="7">
        <f>H127-H126</f>
        <v/>
      </c>
      <c r="S127" s="7">
        <f>LN(I127/I126)</f>
        <v/>
      </c>
      <c r="T127" s="7">
        <f>LN(J127/J126)</f>
        <v/>
      </c>
    </row>
    <row r="128">
      <c r="A128" s="4" t="inlineStr">
        <is>
          <t>2013-06-30</t>
        </is>
      </c>
      <c r="B128" s="5" t="n">
        <v>1192</v>
      </c>
      <c r="C128" s="5" t="n">
        <v>1.99</v>
      </c>
      <c r="D128" s="5" t="n">
        <v>0.53</v>
      </c>
      <c r="E128" s="5" t="n">
        <v>83.16999800000001</v>
      </c>
      <c r="F128" s="5" t="n">
        <v>96.36</v>
      </c>
      <c r="G128" s="5" t="n">
        <v>16.86</v>
      </c>
      <c r="H128" s="5" t="n">
        <v>99.800003</v>
      </c>
      <c r="I128" s="5" t="n">
        <v>1606.280029</v>
      </c>
      <c r="J128" s="5" t="n">
        <v>75.426376</v>
      </c>
      <c r="L128" s="7">
        <f>LN(B128/B127)</f>
        <v/>
      </c>
      <c r="M128" s="7">
        <f>C128-C127</f>
        <v/>
      </c>
      <c r="N128" s="7">
        <f>D128-D127</f>
        <v/>
      </c>
      <c r="O128" s="7">
        <f>LN(E128/E127)</f>
        <v/>
      </c>
      <c r="P128" s="7">
        <f>LN(F128/F127)</f>
        <v/>
      </c>
      <c r="Q128" s="7">
        <f>G128-G127</f>
        <v/>
      </c>
      <c r="R128" s="7">
        <f>H128-H127</f>
        <v/>
      </c>
      <c r="S128" s="7">
        <f>LN(I128/I127)</f>
        <v/>
      </c>
      <c r="T128" s="7">
        <f>LN(J128/J127)</f>
        <v/>
      </c>
    </row>
    <row r="129">
      <c r="A129" s="4" t="inlineStr">
        <is>
          <t>2013-07-31</t>
        </is>
      </c>
      <c r="B129" s="5" t="n">
        <v>1314.5</v>
      </c>
      <c r="C129" s="5" t="n">
        <v>2.22</v>
      </c>
      <c r="D129" s="5" t="n">
        <v>0.38</v>
      </c>
      <c r="E129" s="5" t="n">
        <v>81.449997</v>
      </c>
      <c r="F129" s="5" t="n">
        <v>105.1</v>
      </c>
      <c r="G129" s="5" t="n">
        <v>13.45</v>
      </c>
      <c r="H129" s="5" t="n">
        <v>82.599998</v>
      </c>
      <c r="I129" s="5" t="n">
        <v>1685.72998</v>
      </c>
      <c r="J129" s="5" t="n">
        <v>75.629372</v>
      </c>
      <c r="L129" s="7">
        <f>LN(B129/B128)</f>
        <v/>
      </c>
      <c r="M129" s="7">
        <f>C129-C128</f>
        <v/>
      </c>
      <c r="N129" s="7">
        <f>D129-D128</f>
        <v/>
      </c>
      <c r="O129" s="7">
        <f>LN(E129/E128)</f>
        <v/>
      </c>
      <c r="P129" s="7">
        <f>LN(F129/F128)</f>
        <v/>
      </c>
      <c r="Q129" s="7">
        <f>G129-G128</f>
        <v/>
      </c>
      <c r="R129" s="7">
        <f>H129-H128</f>
        <v/>
      </c>
      <c r="S129" s="7">
        <f>LN(I129/I128)</f>
        <v/>
      </c>
      <c r="T129" s="7">
        <f>LN(J129/J128)</f>
        <v/>
      </c>
    </row>
    <row r="130">
      <c r="A130" s="4" t="inlineStr">
        <is>
          <t>2013-08-31</t>
        </is>
      </c>
      <c r="B130" s="5" t="n">
        <v>1394.75</v>
      </c>
      <c r="C130" s="5" t="n">
        <v>2.1</v>
      </c>
      <c r="D130" s="5" t="n">
        <v>0.68</v>
      </c>
      <c r="E130" s="5" t="n">
        <v>82.089996</v>
      </c>
      <c r="F130" s="5" t="n">
        <v>107.98</v>
      </c>
      <c r="G130" s="5" t="n">
        <v>17.01</v>
      </c>
      <c r="H130" s="5" t="n">
        <v>103.5</v>
      </c>
      <c r="I130" s="5" t="n">
        <v>1632.969971</v>
      </c>
      <c r="J130" s="5" t="n">
        <v>75.00438699999999</v>
      </c>
      <c r="L130" s="7">
        <f>LN(B130/B129)</f>
        <v/>
      </c>
      <c r="M130" s="7">
        <f>C130-C129</f>
        <v/>
      </c>
      <c r="N130" s="7">
        <f>D130-D129</f>
        <v/>
      </c>
      <c r="O130" s="7">
        <f>LN(E130/E129)</f>
        <v/>
      </c>
      <c r="P130" s="7">
        <f>LN(F130/F129)</f>
        <v/>
      </c>
      <c r="Q130" s="7">
        <f>G130-G129</f>
        <v/>
      </c>
      <c r="R130" s="7">
        <f>H130-H129</f>
        <v/>
      </c>
      <c r="S130" s="7">
        <f>LN(I130/I129)</f>
        <v/>
      </c>
      <c r="T130" s="7">
        <f>LN(J130/J129)</f>
        <v/>
      </c>
    </row>
    <row r="131">
      <c r="A131" s="4" t="inlineStr">
        <is>
          <t>2013-09-30</t>
        </is>
      </c>
      <c r="B131" s="5" t="n">
        <v>1326.5</v>
      </c>
      <c r="C131" s="5" t="n">
        <v>2.19</v>
      </c>
      <c r="D131" s="5" t="n">
        <v>0.45</v>
      </c>
      <c r="E131" s="5" t="n">
        <v>80.220001</v>
      </c>
      <c r="F131" s="5" t="n">
        <v>102.36</v>
      </c>
      <c r="G131" s="5" t="n">
        <v>16.6</v>
      </c>
      <c r="H131" s="5" t="n">
        <v>80.199997</v>
      </c>
      <c r="I131" s="5" t="n">
        <v>1681.550049</v>
      </c>
      <c r="J131" s="5" t="n">
        <v>75.844917</v>
      </c>
      <c r="L131" s="7">
        <f>LN(B131/B130)</f>
        <v/>
      </c>
      <c r="M131" s="7">
        <f>C131-C130</f>
        <v/>
      </c>
      <c r="N131" s="7">
        <f>D131-D130</f>
        <v/>
      </c>
      <c r="O131" s="7">
        <f>LN(E131/E130)</f>
        <v/>
      </c>
      <c r="P131" s="7">
        <f>LN(F131/F130)</f>
        <v/>
      </c>
      <c r="Q131" s="7">
        <f>G131-G130</f>
        <v/>
      </c>
      <c r="R131" s="7">
        <f>H131-H130</f>
        <v/>
      </c>
      <c r="S131" s="7">
        <f>LN(I131/I130)</f>
        <v/>
      </c>
      <c r="T131" s="7">
        <f>LN(J131/J130)</f>
        <v/>
      </c>
    </row>
    <row r="132">
      <c r="A132" s="4" t="inlineStr">
        <is>
          <t>2013-10-31</t>
        </is>
      </c>
      <c r="B132" s="5" t="n">
        <v>1324</v>
      </c>
      <c r="C132" s="5" t="n">
        <v>2.17</v>
      </c>
      <c r="D132" s="5" t="n">
        <v>0.4</v>
      </c>
      <c r="E132" s="5" t="n">
        <v>80.199997</v>
      </c>
      <c r="F132" s="5" t="n">
        <v>96.29000000000001</v>
      </c>
      <c r="G132" s="5" t="n">
        <v>13.75</v>
      </c>
      <c r="H132" s="5" t="n">
        <v>61.700001</v>
      </c>
      <c r="I132" s="5" t="n">
        <v>1756.540039</v>
      </c>
      <c r="J132" s="5" t="n">
        <v>76.476479</v>
      </c>
      <c r="L132" s="7">
        <f>LN(B132/B131)</f>
        <v/>
      </c>
      <c r="M132" s="7">
        <f>C132-C131</f>
        <v/>
      </c>
      <c r="N132" s="7">
        <f>D132-D131</f>
        <v/>
      </c>
      <c r="O132" s="7">
        <f>LN(E132/E131)</f>
        <v/>
      </c>
      <c r="P132" s="7">
        <f>LN(F132/F131)</f>
        <v/>
      </c>
      <c r="Q132" s="7">
        <f>G132-G131</f>
        <v/>
      </c>
      <c r="R132" s="7">
        <f>H132-H131</f>
        <v/>
      </c>
      <c r="S132" s="7">
        <f>LN(I132/I131)</f>
        <v/>
      </c>
      <c r="T132" s="7">
        <f>LN(J132/J131)</f>
        <v/>
      </c>
    </row>
    <row r="133">
      <c r="A133" s="4" t="inlineStr">
        <is>
          <t>2013-11-30</t>
        </is>
      </c>
      <c r="B133" s="5" t="n">
        <v>1253</v>
      </c>
      <c r="C133" s="5" t="n">
        <v>2.15</v>
      </c>
      <c r="D133" s="5" t="n">
        <v>0.6</v>
      </c>
      <c r="E133" s="5" t="n">
        <v>80.68000000000001</v>
      </c>
      <c r="F133" s="5" t="n">
        <v>92.55</v>
      </c>
      <c r="G133" s="5" t="n">
        <v>13.7</v>
      </c>
      <c r="H133" s="5" t="n">
        <v>68</v>
      </c>
      <c r="I133" s="5" t="n">
        <v>1805.810059</v>
      </c>
      <c r="J133" s="5" t="n">
        <v>76.284752</v>
      </c>
      <c r="L133" s="7">
        <f>LN(B133/B132)</f>
        <v/>
      </c>
      <c r="M133" s="7">
        <f>C133-C132</f>
        <v/>
      </c>
      <c r="N133" s="7">
        <f>D133-D132</f>
        <v/>
      </c>
      <c r="O133" s="7">
        <f>LN(E133/E132)</f>
        <v/>
      </c>
      <c r="P133" s="7">
        <f>LN(F133/F132)</f>
        <v/>
      </c>
      <c r="Q133" s="7">
        <f>G133-G132</f>
        <v/>
      </c>
      <c r="R133" s="7">
        <f>H133-H132</f>
        <v/>
      </c>
      <c r="S133" s="7">
        <f>LN(I133/I132)</f>
        <v/>
      </c>
      <c r="T133" s="7">
        <f>LN(J133/J132)</f>
        <v/>
      </c>
    </row>
    <row r="134">
      <c r="A134" s="4" t="inlineStr">
        <is>
          <t>2013-12-31</t>
        </is>
      </c>
      <c r="B134" s="5" t="n">
        <v>1204.5</v>
      </c>
      <c r="C134" s="5" t="n">
        <v>2.24</v>
      </c>
      <c r="D134" s="5" t="n">
        <v>0.8</v>
      </c>
      <c r="E134" s="5" t="n">
        <v>80.040001</v>
      </c>
      <c r="F134" s="5" t="n">
        <v>98.17</v>
      </c>
      <c r="G134" s="5" t="n">
        <v>13.72</v>
      </c>
      <c r="H134" s="5" t="n">
        <v>73.5</v>
      </c>
      <c r="I134" s="5" t="n">
        <v>1848.359985</v>
      </c>
      <c r="J134" s="5" t="n">
        <v>75.860016</v>
      </c>
      <c r="L134" s="7">
        <f>LN(B134/B133)</f>
        <v/>
      </c>
      <c r="M134" s="7">
        <f>C134-C133</f>
        <v/>
      </c>
      <c r="N134" s="7">
        <f>D134-D133</f>
        <v/>
      </c>
      <c r="O134" s="7">
        <f>LN(E134/E133)</f>
        <v/>
      </c>
      <c r="P134" s="7">
        <f>LN(F134/F133)</f>
        <v/>
      </c>
      <c r="Q134" s="7">
        <f>G134-G133</f>
        <v/>
      </c>
      <c r="R134" s="7">
        <f>H134-H133</f>
        <v/>
      </c>
      <c r="S134" s="7">
        <f>LN(I134/I133)</f>
        <v/>
      </c>
      <c r="T134" s="7">
        <f>LN(J134/J133)</f>
        <v/>
      </c>
    </row>
    <row r="135">
      <c r="A135" s="4" t="inlineStr">
        <is>
          <t>2014-01-31</t>
        </is>
      </c>
      <c r="B135" s="5" t="n">
        <v>1251</v>
      </c>
      <c r="C135" s="5" t="n">
        <v>2.14</v>
      </c>
      <c r="D135" s="5" t="n">
        <v>0.53</v>
      </c>
      <c r="E135" s="5" t="n">
        <v>81.269997</v>
      </c>
      <c r="F135" s="5" t="n">
        <v>97.55</v>
      </c>
      <c r="G135" s="5" t="n">
        <v>18.41</v>
      </c>
      <c r="H135" s="5" t="n">
        <v>64.699997</v>
      </c>
      <c r="I135" s="5" t="n">
        <v>1782.589966</v>
      </c>
      <c r="J135" s="5" t="n">
        <v>77.02898399999999</v>
      </c>
      <c r="L135" s="7">
        <f>LN(B135/B134)</f>
        <v/>
      </c>
      <c r="M135" s="7">
        <f>C135-C134</f>
        <v/>
      </c>
      <c r="N135" s="7">
        <f>D135-D134</f>
        <v/>
      </c>
      <c r="O135" s="7">
        <f>LN(E135/E134)</f>
        <v/>
      </c>
      <c r="P135" s="7">
        <f>LN(F135/F134)</f>
        <v/>
      </c>
      <c r="Q135" s="7">
        <f>G135-G134</f>
        <v/>
      </c>
      <c r="R135" s="7">
        <f>H135-H134</f>
        <v/>
      </c>
      <c r="S135" s="7">
        <f>LN(I135/I134)</f>
        <v/>
      </c>
      <c r="T135" s="7">
        <f>LN(J135/J134)</f>
        <v/>
      </c>
    </row>
    <row r="136">
      <c r="A136" s="4" t="inlineStr">
        <is>
          <t>2014-02-28</t>
        </is>
      </c>
      <c r="B136" s="5" t="n">
        <v>1326.5</v>
      </c>
      <c r="C136" s="5" t="n">
        <v>2.17</v>
      </c>
      <c r="D136" s="5" t="n">
        <v>0.49</v>
      </c>
      <c r="E136" s="5" t="n">
        <v>79.779999</v>
      </c>
      <c r="F136" s="5" t="n">
        <v>102.88</v>
      </c>
      <c r="G136" s="5" t="n">
        <v>14</v>
      </c>
      <c r="H136" s="5" t="n">
        <v>57.700001</v>
      </c>
      <c r="I136" s="5" t="n">
        <v>1859.449951</v>
      </c>
      <c r="J136" s="5" t="n">
        <v>77.318909</v>
      </c>
      <c r="L136" s="7">
        <f>LN(B136/B135)</f>
        <v/>
      </c>
      <c r="M136" s="7">
        <f>C136-C135</f>
        <v/>
      </c>
      <c r="N136" s="7">
        <f>D136-D135</f>
        <v/>
      </c>
      <c r="O136" s="7">
        <f>LN(E136/E135)</f>
        <v/>
      </c>
      <c r="P136" s="7">
        <f>LN(F136/F135)</f>
        <v/>
      </c>
      <c r="Q136" s="7">
        <f>G136-G135</f>
        <v/>
      </c>
      <c r="R136" s="7">
        <f>H136-H135</f>
        <v/>
      </c>
      <c r="S136" s="7">
        <f>LN(I136/I135)</f>
        <v/>
      </c>
      <c r="T136" s="7">
        <f>LN(J136/J135)</f>
        <v/>
      </c>
    </row>
    <row r="137">
      <c r="A137" s="4" t="inlineStr">
        <is>
          <t>2014-03-31</t>
        </is>
      </c>
      <c r="B137" s="5" t="n">
        <v>1291.75</v>
      </c>
      <c r="C137" s="5" t="n">
        <v>2.13</v>
      </c>
      <c r="D137" s="5" t="n">
        <v>0.6</v>
      </c>
      <c r="E137" s="5" t="n">
        <v>80.099998</v>
      </c>
      <c r="F137" s="5" t="n">
        <v>101.57</v>
      </c>
      <c r="G137" s="5" t="n">
        <v>13.88</v>
      </c>
      <c r="H137" s="5" t="n">
        <v>61.799999</v>
      </c>
      <c r="I137" s="5" t="n">
        <v>1872.339966</v>
      </c>
      <c r="J137" s="5" t="n">
        <v>77.20442199999999</v>
      </c>
      <c r="L137" s="7">
        <f>LN(B137/B136)</f>
        <v/>
      </c>
      <c r="M137" s="7">
        <f>C137-C136</f>
        <v/>
      </c>
      <c r="N137" s="7">
        <f>D137-D136</f>
        <v/>
      </c>
      <c r="O137" s="7">
        <f>LN(E137/E136)</f>
        <v/>
      </c>
      <c r="P137" s="7">
        <f>LN(F137/F136)</f>
        <v/>
      </c>
      <c r="Q137" s="7">
        <f>G137-G136</f>
        <v/>
      </c>
      <c r="R137" s="7">
        <f>H137-H136</f>
        <v/>
      </c>
      <c r="S137" s="7">
        <f>LN(I137/I136)</f>
        <v/>
      </c>
      <c r="T137" s="7">
        <f>LN(J137/J136)</f>
        <v/>
      </c>
    </row>
    <row r="138">
      <c r="A138" s="4" t="inlineStr">
        <is>
          <t>2014-04-30</t>
        </is>
      </c>
      <c r="B138" s="5" t="n">
        <v>1288.5</v>
      </c>
      <c r="C138" s="5" t="n">
        <v>2.18</v>
      </c>
      <c r="D138" s="5" t="n">
        <v>0.49</v>
      </c>
      <c r="E138" s="5" t="n">
        <v>79.489998</v>
      </c>
      <c r="F138" s="5" t="n">
        <v>100.07</v>
      </c>
      <c r="G138" s="5" t="n">
        <v>13.41</v>
      </c>
      <c r="H138" s="5" t="n">
        <v>58.900002</v>
      </c>
      <c r="I138" s="5" t="n">
        <v>1883.949951</v>
      </c>
      <c r="J138" s="5" t="n">
        <v>77.838814</v>
      </c>
      <c r="L138" s="7">
        <f>LN(B138/B137)</f>
        <v/>
      </c>
      <c r="M138" s="7">
        <f>C138-C137</f>
        <v/>
      </c>
      <c r="N138" s="7">
        <f>D138-D137</f>
        <v/>
      </c>
      <c r="O138" s="7">
        <f>LN(E138/E137)</f>
        <v/>
      </c>
      <c r="P138" s="7">
        <f>LN(F138/F137)</f>
        <v/>
      </c>
      <c r="Q138" s="7">
        <f>G138-G137</f>
        <v/>
      </c>
      <c r="R138" s="7">
        <f>H138-H137</f>
        <v/>
      </c>
      <c r="S138" s="7">
        <f>LN(I138/I137)</f>
        <v/>
      </c>
      <c r="T138" s="7">
        <f>LN(J138/J137)</f>
        <v/>
      </c>
    </row>
    <row r="139">
      <c r="A139" s="4" t="inlineStr">
        <is>
          <t>2014-05-31</t>
        </is>
      </c>
      <c r="B139" s="5" t="n">
        <v>1250.5</v>
      </c>
      <c r="C139" s="5" t="n">
        <v>2.22</v>
      </c>
      <c r="D139" s="5" t="n">
        <v>0.26</v>
      </c>
      <c r="E139" s="5" t="n">
        <v>80.370003</v>
      </c>
      <c r="F139" s="5" t="n">
        <v>103.4</v>
      </c>
      <c r="G139" s="5" t="n">
        <v>11.4</v>
      </c>
      <c r="H139" s="5" t="n">
        <v>58.299999</v>
      </c>
      <c r="I139" s="5" t="n">
        <v>1923.569946</v>
      </c>
      <c r="J139" s="5" t="n">
        <v>78.756569</v>
      </c>
      <c r="L139" s="7">
        <f>LN(B139/B138)</f>
        <v/>
      </c>
      <c r="M139" s="7">
        <f>C139-C138</f>
        <v/>
      </c>
      <c r="N139" s="7">
        <f>D139-D138</f>
        <v/>
      </c>
      <c r="O139" s="7">
        <f>LN(E139/E138)</f>
        <v/>
      </c>
      <c r="P139" s="7">
        <f>LN(F139/F138)</f>
        <v/>
      </c>
      <c r="Q139" s="7">
        <f>G139-G138</f>
        <v/>
      </c>
      <c r="R139" s="7">
        <f>H139-H138</f>
        <v/>
      </c>
      <c r="S139" s="7">
        <f>LN(I139/I138)</f>
        <v/>
      </c>
      <c r="T139" s="7">
        <f>LN(J139/J138)</f>
        <v/>
      </c>
    </row>
    <row r="140">
      <c r="A140" s="4" t="inlineStr">
        <is>
          <t>2014-06-30</t>
        </is>
      </c>
      <c r="B140" s="5" t="n">
        <v>1315</v>
      </c>
      <c r="C140" s="5" t="n">
        <v>2.26</v>
      </c>
      <c r="D140" s="5" t="n">
        <v>0.27</v>
      </c>
      <c r="E140" s="5" t="n">
        <v>79.779999</v>
      </c>
      <c r="F140" s="5" t="n">
        <v>106.07</v>
      </c>
      <c r="G140" s="5" t="n">
        <v>11.57</v>
      </c>
      <c r="H140" s="5" t="n">
        <v>52.700001</v>
      </c>
      <c r="I140" s="5" t="n">
        <v>1960.22998</v>
      </c>
      <c r="J140" s="5" t="n">
        <v>78.71122699999999</v>
      </c>
      <c r="L140" s="7">
        <f>LN(B140/B139)</f>
        <v/>
      </c>
      <c r="M140" s="7">
        <f>C140-C139</f>
        <v/>
      </c>
      <c r="N140" s="7">
        <f>D140-D139</f>
        <v/>
      </c>
      <c r="O140" s="7">
        <f>LN(E140/E139)</f>
        <v/>
      </c>
      <c r="P140" s="7">
        <f>LN(F140/F139)</f>
        <v/>
      </c>
      <c r="Q140" s="7">
        <f>G140-G139</f>
        <v/>
      </c>
      <c r="R140" s="7">
        <f>H140-H139</f>
        <v/>
      </c>
      <c r="S140" s="7">
        <f>LN(I140/I139)</f>
        <v/>
      </c>
      <c r="T140" s="7">
        <f>LN(J140/J139)</f>
        <v/>
      </c>
    </row>
    <row r="141">
      <c r="A141" s="4" t="inlineStr">
        <is>
          <t>2014-07-31</t>
        </is>
      </c>
      <c r="B141" s="5" t="n">
        <v>1285.25</v>
      </c>
      <c r="C141" s="5" t="n">
        <v>2.29</v>
      </c>
      <c r="D141" s="5" t="n">
        <v>0.29</v>
      </c>
      <c r="E141" s="5" t="n">
        <v>81.459999</v>
      </c>
      <c r="F141" s="5" t="n">
        <v>98.23</v>
      </c>
      <c r="G141" s="5" t="n">
        <v>16.95</v>
      </c>
      <c r="H141" s="5" t="n">
        <v>56.459999</v>
      </c>
      <c r="I141" s="5" t="n">
        <v>1930.670044</v>
      </c>
      <c r="J141" s="5" t="n">
        <v>78.513786</v>
      </c>
      <c r="L141" s="7">
        <f>LN(B141/B140)</f>
        <v/>
      </c>
      <c r="M141" s="7">
        <f>C141-C140</f>
        <v/>
      </c>
      <c r="N141" s="7">
        <f>D141-D140</f>
        <v/>
      </c>
      <c r="O141" s="7">
        <f>LN(E141/E140)</f>
        <v/>
      </c>
      <c r="P141" s="7">
        <f>LN(F141/F140)</f>
        <v/>
      </c>
      <c r="Q141" s="7">
        <f>G141-G140</f>
        <v/>
      </c>
      <c r="R141" s="7">
        <f>H141-H140</f>
        <v/>
      </c>
      <c r="S141" s="7">
        <f>LN(I141/I140)</f>
        <v/>
      </c>
      <c r="T141" s="7">
        <f>LN(J141/J140)</f>
        <v/>
      </c>
    </row>
    <row r="142">
      <c r="A142" s="4" t="inlineStr">
        <is>
          <t>2014-08-31</t>
        </is>
      </c>
      <c r="B142" s="5" t="n">
        <v>1285.75</v>
      </c>
      <c r="C142" s="5" t="n">
        <v>2.12</v>
      </c>
      <c r="D142" s="5" t="n">
        <v>0.23</v>
      </c>
      <c r="E142" s="5" t="n">
        <v>82.75</v>
      </c>
      <c r="F142" s="5" t="n">
        <v>97.86</v>
      </c>
      <c r="G142" s="5" t="n">
        <v>11.98</v>
      </c>
      <c r="H142" s="5" t="n">
        <v>60.490002</v>
      </c>
      <c r="I142" s="5" t="n">
        <v>2003.369995</v>
      </c>
      <c r="J142" s="5" t="n">
        <v>79.416359</v>
      </c>
      <c r="L142" s="7">
        <f>LN(B142/B141)</f>
        <v/>
      </c>
      <c r="M142" s="7">
        <f>C142-C141</f>
        <v/>
      </c>
      <c r="N142" s="7">
        <f>D142-D141</f>
        <v/>
      </c>
      <c r="O142" s="7">
        <f>LN(E142/E141)</f>
        <v/>
      </c>
      <c r="P142" s="7">
        <f>LN(F142/F141)</f>
        <v/>
      </c>
      <c r="Q142" s="7">
        <f>G142-G141</f>
        <v/>
      </c>
      <c r="R142" s="7">
        <f>H142-H141</f>
        <v/>
      </c>
      <c r="S142" s="7">
        <f>LN(I142/I141)</f>
        <v/>
      </c>
      <c r="T142" s="7">
        <f>LN(J142/J141)</f>
        <v/>
      </c>
    </row>
    <row r="143">
      <c r="A143" s="4" t="inlineStr">
        <is>
          <t>2014-09-30</t>
        </is>
      </c>
      <c r="B143" s="5" t="n">
        <v>1216.5</v>
      </c>
      <c r="C143" s="5" t="n">
        <v>1.97</v>
      </c>
      <c r="D143" s="5" t="n">
        <v>0.55</v>
      </c>
      <c r="E143" s="5" t="n">
        <v>85.94000200000001</v>
      </c>
      <c r="F143" s="5" t="n">
        <v>91.17</v>
      </c>
      <c r="G143" s="5" t="n">
        <v>16.31</v>
      </c>
      <c r="H143" s="5" t="n">
        <v>64.199997</v>
      </c>
      <c r="I143" s="5" t="n">
        <v>1972.290039</v>
      </c>
      <c r="J143" s="5" t="n">
        <v>78.928123</v>
      </c>
      <c r="L143" s="7">
        <f>LN(B143/B142)</f>
        <v/>
      </c>
      <c r="M143" s="7">
        <f>C143-C142</f>
        <v/>
      </c>
      <c r="N143" s="7">
        <f>D143-D142</f>
        <v/>
      </c>
      <c r="O143" s="7">
        <f>LN(E143/E142)</f>
        <v/>
      </c>
      <c r="P143" s="7">
        <f>LN(F143/F142)</f>
        <v/>
      </c>
      <c r="Q143" s="7">
        <f>G143-G142</f>
        <v/>
      </c>
      <c r="R143" s="7">
        <f>H143-H142</f>
        <v/>
      </c>
      <c r="S143" s="7">
        <f>LN(I143/I142)</f>
        <v/>
      </c>
      <c r="T143" s="7">
        <f>LN(J143/J142)</f>
        <v/>
      </c>
    </row>
    <row r="144">
      <c r="A144" s="4" t="inlineStr">
        <is>
          <t>2014-10-31</t>
        </is>
      </c>
      <c r="B144" s="5" t="n">
        <v>1164.25</v>
      </c>
      <c r="C144" s="5" t="n">
        <v>1.92</v>
      </c>
      <c r="D144" s="5" t="n">
        <v>0.43</v>
      </c>
      <c r="E144" s="5" t="n">
        <v>86.879997</v>
      </c>
      <c r="F144" s="5" t="n">
        <v>80.53</v>
      </c>
      <c r="G144" s="5" t="n">
        <v>14.03</v>
      </c>
      <c r="H144" s="5" t="n">
        <v>68.699997</v>
      </c>
      <c r="I144" s="5" t="n">
        <v>2018.050049</v>
      </c>
      <c r="J144" s="5" t="n">
        <v>79.76796</v>
      </c>
      <c r="L144" s="7">
        <f>LN(B144/B143)</f>
        <v/>
      </c>
      <c r="M144" s="7">
        <f>C144-C143</f>
        <v/>
      </c>
      <c r="N144" s="7">
        <f>D144-D143</f>
        <v/>
      </c>
      <c r="O144" s="7">
        <f>LN(E144/E143)</f>
        <v/>
      </c>
      <c r="P144" s="7">
        <f>LN(F144/F143)</f>
        <v/>
      </c>
      <c r="Q144" s="7">
        <f>G144-G143</f>
        <v/>
      </c>
      <c r="R144" s="7">
        <f>H144-H143</f>
        <v/>
      </c>
      <c r="S144" s="7">
        <f>LN(I144/I143)</f>
        <v/>
      </c>
      <c r="T144" s="7">
        <f>LN(J144/J143)</f>
        <v/>
      </c>
    </row>
    <row r="145">
      <c r="A145" s="4" t="inlineStr">
        <is>
          <t>2014-11-30</t>
        </is>
      </c>
      <c r="B145" s="5" t="n">
        <v>1182.75</v>
      </c>
      <c r="C145" s="5" t="n">
        <v>1.79</v>
      </c>
      <c r="D145" s="5" t="n">
        <v>0.39</v>
      </c>
      <c r="E145" s="5" t="n">
        <v>88.360001</v>
      </c>
      <c r="F145" s="5" t="n">
        <v>65.94</v>
      </c>
      <c r="G145" s="5" t="n">
        <v>13.33</v>
      </c>
      <c r="H145" s="5" t="n">
        <v>66.599998</v>
      </c>
      <c r="I145" s="5" t="n">
        <v>2067.560059</v>
      </c>
      <c r="J145" s="5" t="n">
        <v>80.292023</v>
      </c>
      <c r="L145" s="7">
        <f>LN(B145/B144)</f>
        <v/>
      </c>
      <c r="M145" s="7">
        <f>C145-C144</f>
        <v/>
      </c>
      <c r="N145" s="7">
        <f>D145-D144</f>
        <v/>
      </c>
      <c r="O145" s="7">
        <f>LN(E145/E144)</f>
        <v/>
      </c>
      <c r="P145" s="7">
        <f>LN(F145/F144)</f>
        <v/>
      </c>
      <c r="Q145" s="7">
        <f>G145-G144</f>
        <v/>
      </c>
      <c r="R145" s="7">
        <f>H145-H144</f>
        <v/>
      </c>
      <c r="S145" s="7">
        <f>LN(I145/I144)</f>
        <v/>
      </c>
      <c r="T145" s="7">
        <f>LN(J145/J144)</f>
        <v/>
      </c>
    </row>
    <row r="146">
      <c r="A146" s="4" t="inlineStr">
        <is>
          <t>2014-12-31</t>
        </is>
      </c>
      <c r="B146" s="5" t="n">
        <v>1206</v>
      </c>
      <c r="C146" s="5" t="n">
        <v>1.68</v>
      </c>
      <c r="D146" s="5" t="n">
        <v>0.49</v>
      </c>
      <c r="E146" s="5" t="n">
        <v>90.269997</v>
      </c>
      <c r="F146" s="5" t="n">
        <v>53.45</v>
      </c>
      <c r="G146" s="5" t="n">
        <v>19.2</v>
      </c>
      <c r="H146" s="5" t="n">
        <v>68.900002</v>
      </c>
      <c r="I146" s="5" t="n">
        <v>2058.899902</v>
      </c>
      <c r="J146" s="5" t="n">
        <v>80.41057600000001</v>
      </c>
      <c r="L146" s="7">
        <f>LN(B146/B145)</f>
        <v/>
      </c>
      <c r="M146" s="7">
        <f>C146-C145</f>
        <v/>
      </c>
      <c r="N146" s="7">
        <f>D146-D145</f>
        <v/>
      </c>
      <c r="O146" s="7">
        <f>LN(E146/E145)</f>
        <v/>
      </c>
      <c r="P146" s="7">
        <f>LN(F146/F145)</f>
        <v/>
      </c>
      <c r="Q146" s="7">
        <f>G146-G145</f>
        <v/>
      </c>
      <c r="R146" s="7">
        <f>H146-H145</f>
        <v/>
      </c>
      <c r="S146" s="7">
        <f>LN(I146/I145)</f>
        <v/>
      </c>
      <c r="T146" s="7">
        <f>LN(J146/J145)</f>
        <v/>
      </c>
    </row>
    <row r="147">
      <c r="A147" s="4" t="inlineStr">
        <is>
          <t>2015-01-31</t>
        </is>
      </c>
      <c r="B147" s="5" t="n">
        <v>1260.25</v>
      </c>
      <c r="C147" s="5" t="n">
        <v>1.65</v>
      </c>
      <c r="D147" s="5" t="n">
        <v>0.03</v>
      </c>
      <c r="E147" s="5" t="n">
        <v>94.800003</v>
      </c>
      <c r="F147" s="5" t="n">
        <v>47.79</v>
      </c>
      <c r="G147" s="5" t="n">
        <v>20.97</v>
      </c>
      <c r="H147" s="5" t="n">
        <v>86.599998</v>
      </c>
      <c r="I147" s="5" t="n">
        <v>1994.98999</v>
      </c>
      <c r="J147" s="5" t="n">
        <v>82.06083700000001</v>
      </c>
      <c r="L147" s="7">
        <f>LN(B147/B146)</f>
        <v/>
      </c>
      <c r="M147" s="7">
        <f>C147-C146</f>
        <v/>
      </c>
      <c r="N147" s="7">
        <f>D147-D146</f>
        <v/>
      </c>
      <c r="O147" s="7">
        <f>LN(E147/E146)</f>
        <v/>
      </c>
      <c r="P147" s="7">
        <f>LN(F147/F146)</f>
        <v/>
      </c>
      <c r="Q147" s="7">
        <f>G147-G146</f>
        <v/>
      </c>
      <c r="R147" s="7">
        <f>H147-H146</f>
        <v/>
      </c>
      <c r="S147" s="7">
        <f>LN(I147/I146)</f>
        <v/>
      </c>
      <c r="T147" s="7">
        <f>LN(J147/J146)</f>
        <v/>
      </c>
    </row>
    <row r="148">
      <c r="A148" s="4" t="inlineStr">
        <is>
          <t>2015-02-28</t>
        </is>
      </c>
      <c r="B148" s="5" t="n">
        <v>1214</v>
      </c>
      <c r="C148" s="5" t="n">
        <v>1.83</v>
      </c>
      <c r="D148" s="5" t="n">
        <v>0.17</v>
      </c>
      <c r="E148" s="5" t="n">
        <v>95.25</v>
      </c>
      <c r="F148" s="5" t="n">
        <v>49.84</v>
      </c>
      <c r="G148" s="5" t="n">
        <v>13.34</v>
      </c>
      <c r="H148" s="5" t="n">
        <v>91.400002</v>
      </c>
      <c r="I148" s="5" t="n">
        <v>2104.5</v>
      </c>
      <c r="J148" s="5" t="n">
        <v>81.326561</v>
      </c>
      <c r="L148" s="7">
        <f>LN(B148/B147)</f>
        <v/>
      </c>
      <c r="M148" s="7">
        <f>C148-C147</f>
        <v/>
      </c>
      <c r="N148" s="7">
        <f>D148-D147</f>
        <v/>
      </c>
      <c r="O148" s="7">
        <f>LN(E148/E147)</f>
        <v/>
      </c>
      <c r="P148" s="7">
        <f>LN(F148/F147)</f>
        <v/>
      </c>
      <c r="Q148" s="7">
        <f>G148-G147</f>
        <v/>
      </c>
      <c r="R148" s="7">
        <f>H148-H147</f>
        <v/>
      </c>
      <c r="S148" s="7">
        <f>LN(I148/I147)</f>
        <v/>
      </c>
      <c r="T148" s="7">
        <f>LN(J148/J147)</f>
        <v/>
      </c>
    </row>
    <row r="149">
      <c r="A149" s="4" t="inlineStr">
        <is>
          <t>2015-03-31</t>
        </is>
      </c>
      <c r="B149" s="5" t="n">
        <v>1187</v>
      </c>
      <c r="C149" s="5" t="n">
        <v>1.76</v>
      </c>
      <c r="D149" s="5" t="n">
        <v>0.18</v>
      </c>
      <c r="E149" s="5" t="n">
        <v>98.360001</v>
      </c>
      <c r="F149" s="5" t="n">
        <v>47.72</v>
      </c>
      <c r="G149" s="5" t="n">
        <v>15.29</v>
      </c>
      <c r="H149" s="5" t="n">
        <v>86.099998</v>
      </c>
      <c r="I149" s="5" t="n">
        <v>2067.889893</v>
      </c>
      <c r="J149" s="5" t="n">
        <v>81.63131</v>
      </c>
      <c r="L149" s="7">
        <f>LN(B149/B148)</f>
        <v/>
      </c>
      <c r="M149" s="7">
        <f>C149-C148</f>
        <v/>
      </c>
      <c r="N149" s="7">
        <f>D149-D148</f>
        <v/>
      </c>
      <c r="O149" s="7">
        <f>LN(E149/E148)</f>
        <v/>
      </c>
      <c r="P149" s="7">
        <f>LN(F149/F148)</f>
        <v/>
      </c>
      <c r="Q149" s="7">
        <f>G149-G148</f>
        <v/>
      </c>
      <c r="R149" s="7">
        <f>H149-H148</f>
        <v/>
      </c>
      <c r="S149" s="7">
        <f>LN(I149/I148)</f>
        <v/>
      </c>
      <c r="T149" s="7">
        <f>LN(J149/J148)</f>
        <v/>
      </c>
    </row>
    <row r="150">
      <c r="A150" s="4" t="inlineStr">
        <is>
          <t>2015-04-30</t>
        </is>
      </c>
      <c r="B150" s="5" t="n">
        <v>1180.25</v>
      </c>
      <c r="C150" s="5" t="n">
        <v>1.94</v>
      </c>
      <c r="D150" s="5" t="n">
        <v>0.11</v>
      </c>
      <c r="E150" s="5" t="n">
        <v>94.599998</v>
      </c>
      <c r="F150" s="5" t="n">
        <v>59.62</v>
      </c>
      <c r="G150" s="5" t="n">
        <v>14.55</v>
      </c>
      <c r="H150" s="5" t="n">
        <v>75.300003</v>
      </c>
      <c r="I150" s="5" t="n">
        <v>2085.51001</v>
      </c>
      <c r="J150" s="5" t="n">
        <v>81.367805</v>
      </c>
      <c r="L150" s="7">
        <f>LN(B150/B149)</f>
        <v/>
      </c>
      <c r="M150" s="7">
        <f>C150-C149</f>
        <v/>
      </c>
      <c r="N150" s="7">
        <f>D150-D149</f>
        <v/>
      </c>
      <c r="O150" s="7">
        <f>LN(E150/E149)</f>
        <v/>
      </c>
      <c r="P150" s="7">
        <f>LN(F150/F149)</f>
        <v/>
      </c>
      <c r="Q150" s="7">
        <f>G150-G149</f>
        <v/>
      </c>
      <c r="R150" s="7">
        <f>H150-H149</f>
        <v/>
      </c>
      <c r="S150" s="7">
        <f>LN(I150/I149)</f>
        <v/>
      </c>
      <c r="T150" s="7">
        <f>LN(J150/J149)</f>
        <v/>
      </c>
    </row>
    <row r="151">
      <c r="A151" s="4" t="inlineStr">
        <is>
          <t>2015-05-31</t>
        </is>
      </c>
      <c r="B151" s="5" t="n">
        <v>1191.4</v>
      </c>
      <c r="C151" s="5" t="n">
        <v>1.8</v>
      </c>
      <c r="D151" s="5" t="n">
        <v>0.32</v>
      </c>
      <c r="E151" s="5" t="n">
        <v>96.910004</v>
      </c>
      <c r="F151" s="5" t="n">
        <v>60.25</v>
      </c>
      <c r="G151" s="5" t="n">
        <v>13.84</v>
      </c>
      <c r="H151" s="5" t="n">
        <v>82.699997</v>
      </c>
      <c r="I151" s="5" t="n">
        <v>2107.389893</v>
      </c>
      <c r="J151" s="5" t="n">
        <v>81.01190200000001</v>
      </c>
      <c r="L151" s="7">
        <f>LN(B151/B150)</f>
        <v/>
      </c>
      <c r="M151" s="7">
        <f>C151-C150</f>
        <v/>
      </c>
      <c r="N151" s="7">
        <f>D151-D150</f>
        <v/>
      </c>
      <c r="O151" s="7">
        <f>LN(E151/E150)</f>
        <v/>
      </c>
      <c r="P151" s="7">
        <f>LN(F151/F150)</f>
        <v/>
      </c>
      <c r="Q151" s="7">
        <f>G151-G150</f>
        <v/>
      </c>
      <c r="R151" s="7">
        <f>H151-H150</f>
        <v/>
      </c>
      <c r="S151" s="7">
        <f>LN(I151/I150)</f>
        <v/>
      </c>
      <c r="T151" s="7">
        <f>LN(J151/J150)</f>
        <v/>
      </c>
    </row>
    <row r="152">
      <c r="A152" s="4" t="inlineStr">
        <is>
          <t>2015-06-30</t>
        </is>
      </c>
      <c r="B152" s="5" t="n">
        <v>1171</v>
      </c>
      <c r="C152" s="5" t="n">
        <v>1.87</v>
      </c>
      <c r="D152" s="5" t="n">
        <v>0.48</v>
      </c>
      <c r="E152" s="5" t="n">
        <v>95.489998</v>
      </c>
      <c r="F152" s="5" t="n">
        <v>59.48</v>
      </c>
      <c r="G152" s="5" t="n">
        <v>18.23</v>
      </c>
      <c r="H152" s="5" t="n">
        <v>92.300003</v>
      </c>
      <c r="I152" s="5" t="n">
        <v>2063.110107</v>
      </c>
      <c r="J152" s="5" t="n">
        <v>80.13967100000001</v>
      </c>
      <c r="L152" s="7">
        <f>LN(B152/B151)</f>
        <v/>
      </c>
      <c r="M152" s="7">
        <f>C152-C151</f>
        <v/>
      </c>
      <c r="N152" s="7">
        <f>D152-D151</f>
        <v/>
      </c>
      <c r="O152" s="7">
        <f>LN(E152/E151)</f>
        <v/>
      </c>
      <c r="P152" s="7">
        <f>LN(F152/F151)</f>
        <v/>
      </c>
      <c r="Q152" s="7">
        <f>G152-G151</f>
        <v/>
      </c>
      <c r="R152" s="7">
        <f>H152-H151</f>
        <v/>
      </c>
      <c r="S152" s="7">
        <f>LN(I152/I151)</f>
        <v/>
      </c>
      <c r="T152" s="7">
        <f>LN(J152/J151)</f>
        <v/>
      </c>
    </row>
    <row r="153">
      <c r="A153" s="4" t="inlineStr">
        <is>
          <t>2015-07-31</t>
        </is>
      </c>
      <c r="B153" s="5" t="n">
        <v>1098.4</v>
      </c>
      <c r="C153" s="5" t="n">
        <v>1.74</v>
      </c>
      <c r="D153" s="5" t="n">
        <v>0.46</v>
      </c>
      <c r="E153" s="5" t="n">
        <v>97.370003</v>
      </c>
      <c r="F153" s="5" t="n">
        <v>47.11</v>
      </c>
      <c r="G153" s="5" t="n">
        <v>12.12</v>
      </c>
      <c r="H153" s="5" t="n">
        <v>75.800003</v>
      </c>
      <c r="I153" s="5" t="n">
        <v>2103.840088</v>
      </c>
      <c r="J153" s="5" t="n">
        <v>80.830544</v>
      </c>
      <c r="L153" s="7">
        <f>LN(B153/B152)</f>
        <v/>
      </c>
      <c r="M153" s="7">
        <f>C153-C152</f>
        <v/>
      </c>
      <c r="N153" s="7">
        <f>D153-D152</f>
        <v/>
      </c>
      <c r="O153" s="7">
        <f>LN(E153/E152)</f>
        <v/>
      </c>
      <c r="P153" s="7">
        <f>LN(F153/F152)</f>
        <v/>
      </c>
      <c r="Q153" s="7">
        <f>G153-G152</f>
        <v/>
      </c>
      <c r="R153" s="7">
        <f>H153-H152</f>
        <v/>
      </c>
      <c r="S153" s="7">
        <f>LN(I153/I152)</f>
        <v/>
      </c>
      <c r="T153" s="7">
        <f>LN(J153/J152)</f>
        <v/>
      </c>
    </row>
    <row r="154">
      <c r="A154" s="4" t="inlineStr">
        <is>
          <t>2015-08-31</t>
        </is>
      </c>
      <c r="B154" s="5" t="n">
        <v>1135</v>
      </c>
      <c r="C154" s="5" t="n">
        <v>1.63</v>
      </c>
      <c r="D154" s="5" t="n">
        <v>0.58</v>
      </c>
      <c r="E154" s="5" t="n">
        <v>95.949997</v>
      </c>
      <c r="F154" s="5" t="n">
        <v>49.2</v>
      </c>
      <c r="G154" s="5" t="n">
        <v>28.43</v>
      </c>
      <c r="H154" s="5" t="n">
        <v>87.699997</v>
      </c>
      <c r="I154" s="5" t="n">
        <v>1972.180054</v>
      </c>
      <c r="J154" s="5" t="n">
        <v>80.559128</v>
      </c>
      <c r="L154" s="7">
        <f>LN(B154/B153)</f>
        <v/>
      </c>
      <c r="M154" s="7">
        <f>C154-C153</f>
        <v/>
      </c>
      <c r="N154" s="7">
        <f>D154-D153</f>
        <v/>
      </c>
      <c r="O154" s="7">
        <f>LN(E154/E153)</f>
        <v/>
      </c>
      <c r="P154" s="7">
        <f>LN(F154/F153)</f>
        <v/>
      </c>
      <c r="Q154" s="7">
        <f>G154-G153</f>
        <v/>
      </c>
      <c r="R154" s="7">
        <f>H154-H153</f>
        <v/>
      </c>
      <c r="S154" s="7">
        <f>LN(I154/I153)</f>
        <v/>
      </c>
      <c r="T154" s="7">
        <f>LN(J154/J153)</f>
        <v/>
      </c>
    </row>
    <row r="155">
      <c r="A155" s="4" t="inlineStr">
        <is>
          <t>2015-09-30</t>
        </is>
      </c>
      <c r="B155" s="5" t="n">
        <v>1114</v>
      </c>
      <c r="C155" s="5" t="n">
        <v>1.41</v>
      </c>
      <c r="D155" s="5" t="n">
        <v>0.65</v>
      </c>
      <c r="E155" s="5" t="n">
        <v>96.349998</v>
      </c>
      <c r="F155" s="5" t="n">
        <v>45.06</v>
      </c>
      <c r="G155" s="5" t="n">
        <v>24.5</v>
      </c>
      <c r="H155" s="5" t="n">
        <v>81.599998</v>
      </c>
      <c r="I155" s="5" t="n">
        <v>1920.030029</v>
      </c>
      <c r="J155" s="5" t="n">
        <v>81.212799</v>
      </c>
      <c r="L155" s="7">
        <f>LN(B155/B154)</f>
        <v/>
      </c>
      <c r="M155" s="7">
        <f>C155-C154</f>
        <v/>
      </c>
      <c r="N155" s="7">
        <f>D155-D154</f>
        <v/>
      </c>
      <c r="O155" s="7">
        <f>LN(E155/E154)</f>
        <v/>
      </c>
      <c r="P155" s="7">
        <f>LN(F155/F154)</f>
        <v/>
      </c>
      <c r="Q155" s="7">
        <f>G155-G154</f>
        <v/>
      </c>
      <c r="R155" s="7">
        <f>H155-H154</f>
        <v/>
      </c>
      <c r="S155" s="7">
        <f>LN(I155/I154)</f>
        <v/>
      </c>
      <c r="T155" s="7">
        <f>LN(J155/J154)</f>
        <v/>
      </c>
    </row>
    <row r="156">
      <c r="A156" s="4" t="inlineStr">
        <is>
          <t>2015-10-31</t>
        </is>
      </c>
      <c r="B156" s="5" t="n">
        <v>1142.35</v>
      </c>
      <c r="C156" s="5" t="n">
        <v>1.53</v>
      </c>
      <c r="D156" s="5" t="n">
        <v>0.63</v>
      </c>
      <c r="E156" s="5" t="n">
        <v>96.949997</v>
      </c>
      <c r="F156" s="5" t="n">
        <v>46.6</v>
      </c>
      <c r="G156" s="5" t="n">
        <v>15.07</v>
      </c>
      <c r="H156" s="5" t="n">
        <v>73.099998</v>
      </c>
      <c r="I156" s="5" t="n">
        <v>2079.360107</v>
      </c>
      <c r="J156" s="5" t="n">
        <v>81.268478</v>
      </c>
      <c r="L156" s="7">
        <f>LN(B156/B155)</f>
        <v/>
      </c>
      <c r="M156" s="7">
        <f>C156-C155</f>
        <v/>
      </c>
      <c r="N156" s="7">
        <f>D156-D155</f>
        <v/>
      </c>
      <c r="O156" s="7">
        <f>LN(E156/E155)</f>
        <v/>
      </c>
      <c r="P156" s="7">
        <f>LN(F156/F155)</f>
        <v/>
      </c>
      <c r="Q156" s="7">
        <f>G156-G155</f>
        <v/>
      </c>
      <c r="R156" s="7">
        <f>H156-H155</f>
        <v/>
      </c>
      <c r="S156" s="7">
        <f>LN(I156/I155)</f>
        <v/>
      </c>
      <c r="T156" s="7">
        <f>LN(J156/J155)</f>
        <v/>
      </c>
    </row>
    <row r="157">
      <c r="A157" s="4" t="inlineStr">
        <is>
          <t>2015-11-30</t>
        </is>
      </c>
      <c r="B157" s="5" t="n">
        <v>1061.9</v>
      </c>
      <c r="C157" s="5" t="n">
        <v>1.59</v>
      </c>
      <c r="D157" s="5" t="n">
        <v>0.62</v>
      </c>
      <c r="E157" s="5" t="n">
        <v>100.169998</v>
      </c>
      <c r="F157" s="5" t="n">
        <v>40.43</v>
      </c>
      <c r="G157" s="5" t="n">
        <v>16.13</v>
      </c>
      <c r="H157" s="5" t="n">
        <v>69.900002</v>
      </c>
      <c r="I157" s="5" t="n">
        <v>2080.409912</v>
      </c>
      <c r="J157" s="5" t="n">
        <v>80.952271</v>
      </c>
      <c r="L157" s="7">
        <f>LN(B157/B156)</f>
        <v/>
      </c>
      <c r="M157" s="7">
        <f>C157-C156</f>
        <v/>
      </c>
      <c r="N157" s="7">
        <f>D157-D156</f>
        <v/>
      </c>
      <c r="O157" s="7">
        <f>LN(E157/E156)</f>
        <v/>
      </c>
      <c r="P157" s="7">
        <f>LN(F157/F156)</f>
        <v/>
      </c>
      <c r="Q157" s="7">
        <f>G157-G156</f>
        <v/>
      </c>
      <c r="R157" s="7">
        <f>H157-H156</f>
        <v/>
      </c>
      <c r="S157" s="7">
        <f>LN(I157/I156)</f>
        <v/>
      </c>
      <c r="T157" s="7">
        <f>LN(J157/J156)</f>
        <v/>
      </c>
    </row>
    <row r="158">
      <c r="A158" s="4" t="inlineStr">
        <is>
          <t>2015-12-31</t>
        </is>
      </c>
      <c r="B158" s="5" t="n">
        <v>1060</v>
      </c>
      <c r="C158" s="5" t="n">
        <v>1.54</v>
      </c>
      <c r="D158" s="5" t="n">
        <v>0.73</v>
      </c>
      <c r="E158" s="5" t="n">
        <v>98.629997</v>
      </c>
      <c r="F158" s="5" t="n">
        <v>37.13</v>
      </c>
      <c r="G158" s="5" t="n">
        <v>18.21</v>
      </c>
      <c r="H158" s="5" t="n">
        <v>67.800003</v>
      </c>
      <c r="I158" s="5" t="n">
        <v>2043.939941</v>
      </c>
      <c r="J158" s="5" t="n">
        <v>80.797134</v>
      </c>
      <c r="L158" s="7">
        <f>LN(B158/B157)</f>
        <v/>
      </c>
      <c r="M158" s="7">
        <f>C158-C157</f>
        <v/>
      </c>
      <c r="N158" s="7">
        <f>D158-D157</f>
        <v/>
      </c>
      <c r="O158" s="7">
        <f>LN(E158/E157)</f>
        <v/>
      </c>
      <c r="P158" s="7">
        <f>LN(F158/F157)</f>
        <v/>
      </c>
      <c r="Q158" s="7">
        <f>G158-G157</f>
        <v/>
      </c>
      <c r="R158" s="7">
        <f>H158-H157</f>
        <v/>
      </c>
      <c r="S158" s="7">
        <f>LN(I158/I157)</f>
        <v/>
      </c>
      <c r="T158" s="7">
        <f>LN(J158/J157)</f>
        <v/>
      </c>
    </row>
    <row r="159">
      <c r="A159" s="4" t="inlineStr">
        <is>
          <t>2016-01-31</t>
        </is>
      </c>
      <c r="B159" s="5" t="n">
        <v>1111.8</v>
      </c>
      <c r="C159" s="5" t="n">
        <v>1.41</v>
      </c>
      <c r="D159" s="5" t="n">
        <v>0.53</v>
      </c>
      <c r="E159" s="5" t="n">
        <v>99.610001</v>
      </c>
      <c r="F159" s="5" t="n">
        <v>33.66</v>
      </c>
      <c r="G159" s="5" t="n">
        <v>20.2</v>
      </c>
      <c r="H159" s="5" t="n">
        <v>74</v>
      </c>
      <c r="I159" s="5" t="n">
        <v>1940.23999</v>
      </c>
      <c r="J159" s="5" t="n">
        <v>81.799515</v>
      </c>
      <c r="L159" s="7">
        <f>LN(B159/B158)</f>
        <v/>
      </c>
      <c r="M159" s="7">
        <f>C159-C158</f>
        <v/>
      </c>
      <c r="N159" s="7">
        <f>D159-D158</f>
        <v/>
      </c>
      <c r="O159" s="7">
        <f>LN(E159/E158)</f>
        <v/>
      </c>
      <c r="P159" s="7">
        <f>LN(F159/F158)</f>
        <v/>
      </c>
      <c r="Q159" s="7">
        <f>G159-G158</f>
        <v/>
      </c>
      <c r="R159" s="7">
        <f>H159-H158</f>
        <v/>
      </c>
      <c r="S159" s="7">
        <f>LN(I159/I158)</f>
        <v/>
      </c>
      <c r="T159" s="7">
        <f>LN(J159/J158)</f>
        <v/>
      </c>
    </row>
    <row r="160">
      <c r="A160" s="4" t="inlineStr">
        <is>
          <t>2016-02-29</t>
        </is>
      </c>
      <c r="B160" s="5" t="n">
        <v>1234.9</v>
      </c>
      <c r="C160" s="5" t="n">
        <v>1.42</v>
      </c>
      <c r="D160" s="5" t="n">
        <v>0.32</v>
      </c>
      <c r="E160" s="5" t="n">
        <v>98.209999</v>
      </c>
      <c r="F160" s="5" t="n">
        <v>32.74</v>
      </c>
      <c r="G160" s="5" t="n">
        <v>20.55</v>
      </c>
      <c r="H160" s="5" t="n">
        <v>83.389999</v>
      </c>
      <c r="I160" s="5" t="n">
        <v>1932.22998</v>
      </c>
      <c r="J160" s="5" t="n">
        <v>82.525154</v>
      </c>
      <c r="L160" s="7">
        <f>LN(B160/B159)</f>
        <v/>
      </c>
      <c r="M160" s="7">
        <f>C160-C159</f>
        <v/>
      </c>
      <c r="N160" s="7">
        <f>D160-D159</f>
        <v/>
      </c>
      <c r="O160" s="7">
        <f>LN(E160/E159)</f>
        <v/>
      </c>
      <c r="P160" s="7">
        <f>LN(F160/F159)</f>
        <v/>
      </c>
      <c r="Q160" s="7">
        <f>G160-G159</f>
        <v/>
      </c>
      <c r="R160" s="7">
        <f>H160-H159</f>
        <v/>
      </c>
      <c r="S160" s="7">
        <f>LN(I160/I159)</f>
        <v/>
      </c>
      <c r="T160" s="7">
        <f>LN(J160/J159)</f>
        <v/>
      </c>
    </row>
    <row r="161">
      <c r="A161" s="4" t="inlineStr">
        <is>
          <t>2016-03-31</t>
        </is>
      </c>
      <c r="B161" s="5" t="n">
        <v>1237</v>
      </c>
      <c r="C161" s="5" t="n">
        <v>1.62</v>
      </c>
      <c r="D161" s="5" t="n">
        <v>0.16</v>
      </c>
      <c r="E161" s="5" t="n">
        <v>94.589996</v>
      </c>
      <c r="F161" s="5" t="n">
        <v>36.94</v>
      </c>
      <c r="G161" s="5" t="n">
        <v>13.95</v>
      </c>
      <c r="H161" s="5" t="n">
        <v>68.800003</v>
      </c>
      <c r="I161" s="5" t="n">
        <v>2059.73999</v>
      </c>
      <c r="J161" s="5" t="n">
        <v>83.246979</v>
      </c>
      <c r="L161" s="7">
        <f>LN(B161/B160)</f>
        <v/>
      </c>
      <c r="M161" s="7">
        <f>C161-C160</f>
        <v/>
      </c>
      <c r="N161" s="7">
        <f>D161-D160</f>
        <v/>
      </c>
      <c r="O161" s="7">
        <f>LN(E161/E160)</f>
        <v/>
      </c>
      <c r="P161" s="7">
        <f>LN(F161/F160)</f>
        <v/>
      </c>
      <c r="Q161" s="7">
        <f>G161-G160</f>
        <v/>
      </c>
      <c r="R161" s="7">
        <f>H161-H160</f>
        <v/>
      </c>
      <c r="S161" s="7">
        <f>LN(I161/I160)</f>
        <v/>
      </c>
      <c r="T161" s="7">
        <f>LN(J161/J160)</f>
        <v/>
      </c>
    </row>
    <row r="162">
      <c r="A162" s="4" t="inlineStr">
        <is>
          <t>2016-04-30</t>
        </is>
      </c>
      <c r="B162" s="5" t="n">
        <v>1285.65</v>
      </c>
      <c r="C162" s="5" t="n">
        <v>1.71</v>
      </c>
      <c r="D162" s="5" t="n">
        <v>0.12</v>
      </c>
      <c r="E162" s="5" t="n">
        <v>93.08000199999999</v>
      </c>
      <c r="F162" s="5" t="n">
        <v>45.98</v>
      </c>
      <c r="G162" s="5" t="n">
        <v>15.7</v>
      </c>
      <c r="H162" s="5" t="n">
        <v>64.91999800000001</v>
      </c>
      <c r="I162" s="5" t="n">
        <v>2065.300049</v>
      </c>
      <c r="J162" s="5" t="n">
        <v>83.45920599999999</v>
      </c>
      <c r="L162" s="7">
        <f>LN(B162/B161)</f>
        <v/>
      </c>
      <c r="M162" s="7">
        <f>C162-C161</f>
        <v/>
      </c>
      <c r="N162" s="7">
        <f>D162-D161</f>
        <v/>
      </c>
      <c r="O162" s="7">
        <f>LN(E162/E161)</f>
        <v/>
      </c>
      <c r="P162" s="7">
        <f>LN(F162/F161)</f>
        <v/>
      </c>
      <c r="Q162" s="7">
        <f>G162-G161</f>
        <v/>
      </c>
      <c r="R162" s="7">
        <f>H162-H161</f>
        <v/>
      </c>
      <c r="S162" s="7">
        <f>LN(I162/I161)</f>
        <v/>
      </c>
      <c r="T162" s="7">
        <f>LN(J162/J161)</f>
        <v/>
      </c>
    </row>
    <row r="163">
      <c r="A163" s="4" t="inlineStr">
        <is>
          <t>2016-05-31</t>
        </is>
      </c>
      <c r="B163" s="5" t="n">
        <v>1212.1</v>
      </c>
      <c r="C163" s="5" t="n">
        <v>1.54</v>
      </c>
      <c r="D163" s="5" t="n">
        <v>0.3</v>
      </c>
      <c r="E163" s="5" t="n">
        <v>95.889999</v>
      </c>
      <c r="F163" s="5" t="n">
        <v>49.1</v>
      </c>
      <c r="G163" s="5" t="n">
        <v>14.19</v>
      </c>
      <c r="H163" s="5" t="n">
        <v>67.910004</v>
      </c>
      <c r="I163" s="5" t="n">
        <v>2096.949951</v>
      </c>
      <c r="J163" s="5" t="n">
        <v>83.47049699999999</v>
      </c>
      <c r="L163" s="7">
        <f>LN(B163/B162)</f>
        <v/>
      </c>
      <c r="M163" s="7">
        <f>C163-C162</f>
        <v/>
      </c>
      <c r="N163" s="7">
        <f>D163-D162</f>
        <v/>
      </c>
      <c r="O163" s="7">
        <f>LN(E163/E162)</f>
        <v/>
      </c>
      <c r="P163" s="7">
        <f>LN(F163/F162)</f>
        <v/>
      </c>
      <c r="Q163" s="7">
        <f>G163-G162</f>
        <v/>
      </c>
      <c r="R163" s="7">
        <f>H163-H162</f>
        <v/>
      </c>
      <c r="S163" s="7">
        <f>LN(I163/I162)</f>
        <v/>
      </c>
      <c r="T163" s="7">
        <f>LN(J163/J162)</f>
        <v/>
      </c>
    </row>
    <row r="164">
      <c r="A164" s="4" t="inlineStr">
        <is>
          <t>2016-06-30</t>
        </is>
      </c>
      <c r="B164" s="5" t="n">
        <v>1320.75</v>
      </c>
      <c r="C164" s="5" t="n">
        <v>1.4</v>
      </c>
      <c r="D164" s="5" t="n">
        <v>0.09</v>
      </c>
      <c r="E164" s="5" t="n">
        <v>96.139999</v>
      </c>
      <c r="F164" s="5" t="n">
        <v>48.27</v>
      </c>
      <c r="G164" s="5" t="n">
        <v>15.63</v>
      </c>
      <c r="H164" s="5" t="n">
        <v>72.639999</v>
      </c>
      <c r="I164" s="5" t="n">
        <v>2098.860107</v>
      </c>
      <c r="J164" s="5" t="n">
        <v>85.085838</v>
      </c>
      <c r="L164" s="7">
        <f>LN(B164/B163)</f>
        <v/>
      </c>
      <c r="M164" s="7">
        <f>C164-C163</f>
        <v/>
      </c>
      <c r="N164" s="7">
        <f>D164-D163</f>
        <v/>
      </c>
      <c r="O164" s="7">
        <f>LN(E164/E163)</f>
        <v/>
      </c>
      <c r="P164" s="7">
        <f>LN(F164/F163)</f>
        <v/>
      </c>
      <c r="Q164" s="7">
        <f>G164-G163</f>
        <v/>
      </c>
      <c r="R164" s="7">
        <f>H164-H163</f>
        <v/>
      </c>
      <c r="S164" s="7">
        <f>LN(I164/I163)</f>
        <v/>
      </c>
      <c r="T164" s="7">
        <f>LN(J164/J163)</f>
        <v/>
      </c>
    </row>
    <row r="165">
      <c r="A165" s="4" t="inlineStr">
        <is>
          <t>2016-07-31</t>
        </is>
      </c>
      <c r="B165" s="5" t="n">
        <v>1342</v>
      </c>
      <c r="C165" s="5" t="n">
        <v>1.49</v>
      </c>
      <c r="D165" s="5" t="n">
        <v>-0.03</v>
      </c>
      <c r="E165" s="5" t="n">
        <v>95.529999</v>
      </c>
      <c r="F165" s="5" t="n">
        <v>41.54</v>
      </c>
      <c r="G165" s="5" t="n">
        <v>11.87</v>
      </c>
      <c r="H165" s="5" t="n">
        <v>64.150002</v>
      </c>
      <c r="I165" s="5" t="n">
        <v>2173.600098</v>
      </c>
      <c r="J165" s="5" t="n">
        <v>85.549065</v>
      </c>
      <c r="L165" s="7">
        <f>LN(B165/B164)</f>
        <v/>
      </c>
      <c r="M165" s="7">
        <f>C165-C164</f>
        <v/>
      </c>
      <c r="N165" s="7">
        <f>D165-D164</f>
        <v/>
      </c>
      <c r="O165" s="7">
        <f>LN(E165/E164)</f>
        <v/>
      </c>
      <c r="P165" s="7">
        <f>LN(F165/F164)</f>
        <v/>
      </c>
      <c r="Q165" s="7">
        <f>G165-G164</f>
        <v/>
      </c>
      <c r="R165" s="7">
        <f>H165-H164</f>
        <v/>
      </c>
      <c r="S165" s="7">
        <f>LN(I165/I164)</f>
        <v/>
      </c>
      <c r="T165" s="7">
        <f>LN(J165/J164)</f>
        <v/>
      </c>
    </row>
    <row r="166">
      <c r="A166" s="4" t="inlineStr">
        <is>
          <t>2016-08-31</t>
        </is>
      </c>
      <c r="B166" s="5" t="n">
        <v>1309.25</v>
      </c>
      <c r="C166" s="5" t="n">
        <v>1.47</v>
      </c>
      <c r="D166" s="5" t="n">
        <v>0.11</v>
      </c>
      <c r="E166" s="5" t="n">
        <v>96.019997</v>
      </c>
      <c r="F166" s="5" t="n">
        <v>44.68</v>
      </c>
      <c r="G166" s="5" t="n">
        <v>13.42</v>
      </c>
      <c r="H166" s="5" t="n">
        <v>69.08000199999999</v>
      </c>
      <c r="I166" s="5" t="n">
        <v>2170.949951</v>
      </c>
      <c r="J166" s="5" t="n">
        <v>85.364799</v>
      </c>
      <c r="L166" s="7">
        <f>LN(B166/B165)</f>
        <v/>
      </c>
      <c r="M166" s="7">
        <f>C166-C165</f>
        <v/>
      </c>
      <c r="N166" s="7">
        <f>D166-D165</f>
        <v/>
      </c>
      <c r="O166" s="7">
        <f>LN(E166/E165)</f>
        <v/>
      </c>
      <c r="P166" s="7">
        <f>LN(F166/F165)</f>
        <v/>
      </c>
      <c r="Q166" s="7">
        <f>G166-G165</f>
        <v/>
      </c>
      <c r="R166" s="7">
        <f>H166-H165</f>
        <v/>
      </c>
      <c r="S166" s="7">
        <f>LN(I166/I165)</f>
        <v/>
      </c>
      <c r="T166" s="7">
        <f>LN(J166/J165)</f>
        <v/>
      </c>
    </row>
    <row r="167">
      <c r="A167" s="4" t="inlineStr">
        <is>
          <t>2016-09-30</t>
        </is>
      </c>
      <c r="B167" s="5" t="n">
        <v>1322.5</v>
      </c>
      <c r="C167" s="5" t="n">
        <v>1.6</v>
      </c>
      <c r="D167" s="5" t="n">
        <v>0</v>
      </c>
      <c r="E167" s="5" t="n">
        <v>95.459999</v>
      </c>
      <c r="F167" s="5" t="n">
        <v>47.72</v>
      </c>
      <c r="G167" s="5" t="n">
        <v>13.29</v>
      </c>
      <c r="H167" s="5" t="n">
        <v>60.560001</v>
      </c>
      <c r="I167" s="5" t="n">
        <v>2168.27002</v>
      </c>
      <c r="J167" s="5" t="n">
        <v>85.408829</v>
      </c>
      <c r="L167" s="7">
        <f>LN(B167/B166)</f>
        <v/>
      </c>
      <c r="M167" s="7">
        <f>C167-C166</f>
        <v/>
      </c>
      <c r="N167" s="7">
        <f>D167-D166</f>
        <v/>
      </c>
      <c r="O167" s="7">
        <f>LN(E167/E166)</f>
        <v/>
      </c>
      <c r="P167" s="7">
        <f>LN(F167/F166)</f>
        <v/>
      </c>
      <c r="Q167" s="7">
        <f>G167-G166</f>
        <v/>
      </c>
      <c r="R167" s="7">
        <f>H167-H166</f>
        <v/>
      </c>
      <c r="S167" s="7">
        <f>LN(I167/I166)</f>
        <v/>
      </c>
      <c r="T167" s="7">
        <f>LN(J167/J166)</f>
        <v/>
      </c>
    </row>
    <row r="168">
      <c r="A168" s="4" t="inlineStr">
        <is>
          <t>2016-10-31</t>
        </is>
      </c>
      <c r="B168" s="5" t="n">
        <v>1272</v>
      </c>
      <c r="C168" s="5" t="n">
        <v>1.73</v>
      </c>
      <c r="D168" s="5" t="n">
        <v>0.11</v>
      </c>
      <c r="E168" s="5" t="n">
        <v>98.449997</v>
      </c>
      <c r="F168" s="5" t="n">
        <v>46.83</v>
      </c>
      <c r="G168" s="5" t="n">
        <v>17.06</v>
      </c>
      <c r="H168" s="5" t="n">
        <v>65.470001</v>
      </c>
      <c r="I168" s="5" t="n">
        <v>2126.149902</v>
      </c>
      <c r="J168" s="5" t="n">
        <v>84.710892</v>
      </c>
      <c r="L168" s="7">
        <f>LN(B168/B167)</f>
        <v/>
      </c>
      <c r="M168" s="7">
        <f>C168-C167</f>
        <v/>
      </c>
      <c r="N168" s="7">
        <f>D168-D167</f>
        <v/>
      </c>
      <c r="O168" s="7">
        <f>LN(E168/E167)</f>
        <v/>
      </c>
      <c r="P168" s="7">
        <f>LN(F168/F167)</f>
        <v/>
      </c>
      <c r="Q168" s="7">
        <f>G168-G167</f>
        <v/>
      </c>
      <c r="R168" s="7">
        <f>H168-H167</f>
        <v/>
      </c>
      <c r="S168" s="7">
        <f>LN(I168/I167)</f>
        <v/>
      </c>
      <c r="T168" s="7">
        <f>LN(J168/J167)</f>
        <v/>
      </c>
    </row>
    <row r="169">
      <c r="A169" s="4" t="inlineStr">
        <is>
          <t>2016-11-30</t>
        </is>
      </c>
      <c r="B169" s="5" t="n">
        <v>1178.1</v>
      </c>
      <c r="C169" s="5" t="n">
        <v>1.94</v>
      </c>
      <c r="D169" s="5" t="n">
        <v>0.43</v>
      </c>
      <c r="E169" s="5" t="n">
        <v>101.5</v>
      </c>
      <c r="F169" s="5" t="n">
        <v>49.41</v>
      </c>
      <c r="G169" s="5" t="n">
        <v>13.33</v>
      </c>
      <c r="H169" s="5" t="n">
        <v>80.959999</v>
      </c>
      <c r="I169" s="5" t="n">
        <v>2198.810059</v>
      </c>
      <c r="J169" s="5" t="n">
        <v>82.53769699999999</v>
      </c>
      <c r="L169" s="7">
        <f>LN(B169/B168)</f>
        <v/>
      </c>
      <c r="M169" s="7">
        <f>C169-C168</f>
        <v/>
      </c>
      <c r="N169" s="7">
        <f>D169-D168</f>
        <v/>
      </c>
      <c r="O169" s="7">
        <f>LN(E169/E168)</f>
        <v/>
      </c>
      <c r="P169" s="7">
        <f>LN(F169/F168)</f>
        <v/>
      </c>
      <c r="Q169" s="7">
        <f>G169-G168</f>
        <v/>
      </c>
      <c r="R169" s="7">
        <f>H169-H168</f>
        <v/>
      </c>
      <c r="S169" s="7">
        <f>LN(I169/I168)</f>
        <v/>
      </c>
      <c r="T169" s="7">
        <f>LN(J169/J168)</f>
        <v/>
      </c>
    </row>
    <row r="170">
      <c r="A170" s="4" t="inlineStr">
        <is>
          <t>2016-12-31</t>
        </is>
      </c>
      <c r="B170" s="5" t="n">
        <v>1145.9</v>
      </c>
      <c r="C170" s="5" t="n">
        <v>1.95</v>
      </c>
      <c r="D170" s="5" t="n">
        <v>0.5</v>
      </c>
      <c r="E170" s="5" t="n">
        <v>102.389999</v>
      </c>
      <c r="F170" s="5" t="n">
        <v>53.75</v>
      </c>
      <c r="G170" s="5" t="n">
        <v>14.04</v>
      </c>
      <c r="H170" s="5" t="n">
        <v>71.629997</v>
      </c>
      <c r="I170" s="5" t="n">
        <v>2238.830078</v>
      </c>
      <c r="J170" s="5" t="n">
        <v>82.74741400000001</v>
      </c>
      <c r="L170" s="7">
        <f>LN(B170/B169)</f>
        <v/>
      </c>
      <c r="M170" s="7">
        <f>C170-C169</f>
        <v/>
      </c>
      <c r="N170" s="7">
        <f>D170-D169</f>
        <v/>
      </c>
      <c r="O170" s="7">
        <f>LN(E170/E169)</f>
        <v/>
      </c>
      <c r="P170" s="7">
        <f>LN(F170/F169)</f>
        <v/>
      </c>
      <c r="Q170" s="7">
        <f>G170-G169</f>
        <v/>
      </c>
      <c r="R170" s="7">
        <f>H170-H169</f>
        <v/>
      </c>
      <c r="S170" s="7">
        <f>LN(I170/I169)</f>
        <v/>
      </c>
      <c r="T170" s="7">
        <f>LN(J170/J169)</f>
        <v/>
      </c>
    </row>
    <row r="171">
      <c r="A171" s="4" t="inlineStr">
        <is>
          <t>2017-01-31</t>
        </is>
      </c>
      <c r="B171" s="5" t="n">
        <v>1212.8</v>
      </c>
      <c r="C171" s="5" t="n">
        <v>2.05</v>
      </c>
      <c r="D171" s="5" t="n">
        <v>0.4</v>
      </c>
      <c r="E171" s="5" t="n">
        <v>99.510002</v>
      </c>
      <c r="F171" s="5" t="n">
        <v>52.75</v>
      </c>
      <c r="G171" s="5" t="n">
        <v>11.99</v>
      </c>
      <c r="H171" s="5" t="n">
        <v>72.519997</v>
      </c>
      <c r="I171" s="5" t="n">
        <v>2278.870117</v>
      </c>
      <c r="J171" s="5" t="n">
        <v>82.923485</v>
      </c>
      <c r="L171" s="7">
        <f>LN(B171/B170)</f>
        <v/>
      </c>
      <c r="M171" s="7">
        <f>C171-C170</f>
        <v/>
      </c>
      <c r="N171" s="7">
        <f>D171-D170</f>
        <v/>
      </c>
      <c r="O171" s="7">
        <f>LN(E171/E170)</f>
        <v/>
      </c>
      <c r="P171" s="7">
        <f>LN(F171/F170)</f>
        <v/>
      </c>
      <c r="Q171" s="7">
        <f>G171-G170</f>
        <v/>
      </c>
      <c r="R171" s="7">
        <f>H171-H170</f>
        <v/>
      </c>
      <c r="S171" s="7">
        <f>LN(I171/I170)</f>
        <v/>
      </c>
      <c r="T171" s="7">
        <f>LN(J171/J170)</f>
        <v/>
      </c>
    </row>
    <row r="172">
      <c r="A172" s="4" t="inlineStr">
        <is>
          <t>2017-02-28</t>
        </is>
      </c>
      <c r="B172" s="5" t="n">
        <v>1255.6</v>
      </c>
      <c r="C172" s="5" t="n">
        <v>2.02</v>
      </c>
      <c r="D172" s="5" t="n">
        <v>0.34</v>
      </c>
      <c r="E172" s="5" t="n">
        <v>101.120003</v>
      </c>
      <c r="F172" s="5" t="n">
        <v>54</v>
      </c>
      <c r="G172" s="5" t="n">
        <v>12.92</v>
      </c>
      <c r="H172" s="5" t="n">
        <v>70.889999</v>
      </c>
      <c r="I172" s="5" t="n">
        <v>2363.639893</v>
      </c>
      <c r="J172" s="5" t="n">
        <v>83.459084</v>
      </c>
      <c r="L172" s="7">
        <f>LN(B172/B171)</f>
        <v/>
      </c>
      <c r="M172" s="7">
        <f>C172-C171</f>
        <v/>
      </c>
      <c r="N172" s="7">
        <f>D172-D171</f>
        <v/>
      </c>
      <c r="O172" s="7">
        <f>LN(E172/E171)</f>
        <v/>
      </c>
      <c r="P172" s="7">
        <f>LN(F172/F171)</f>
        <v/>
      </c>
      <c r="Q172" s="7">
        <f>G172-G171</f>
        <v/>
      </c>
      <c r="R172" s="7">
        <f>H172-H171</f>
        <v/>
      </c>
      <c r="S172" s="7">
        <f>LN(I172/I171)</f>
        <v/>
      </c>
      <c r="T172" s="7">
        <f>LN(J172/J171)</f>
        <v/>
      </c>
    </row>
    <row r="173">
      <c r="A173" s="4" t="inlineStr">
        <is>
          <t>2017-03-31</t>
        </is>
      </c>
      <c r="B173" s="5" t="n">
        <v>1244.85</v>
      </c>
      <c r="C173" s="5" t="n">
        <v>1.97</v>
      </c>
      <c r="D173" s="5" t="n">
        <v>0.43</v>
      </c>
      <c r="E173" s="5" t="n">
        <v>100.349998</v>
      </c>
      <c r="F173" s="5" t="n">
        <v>50.54</v>
      </c>
      <c r="G173" s="5" t="n">
        <v>12.37</v>
      </c>
      <c r="H173" s="5" t="n">
        <v>60.700001</v>
      </c>
      <c r="I173" s="5" t="n">
        <v>2362.719971</v>
      </c>
      <c r="J173" s="5" t="n">
        <v>83.412971</v>
      </c>
      <c r="L173" s="7">
        <f>LN(B173/B172)</f>
        <v/>
      </c>
      <c r="M173" s="7">
        <f>C173-C172</f>
        <v/>
      </c>
      <c r="N173" s="7">
        <f>D173-D172</f>
        <v/>
      </c>
      <c r="O173" s="7">
        <f>LN(E173/E172)</f>
        <v/>
      </c>
      <c r="P173" s="7">
        <f>LN(F173/F172)</f>
        <v/>
      </c>
      <c r="Q173" s="7">
        <f>G173-G172</f>
        <v/>
      </c>
      <c r="R173" s="7">
        <f>H173-H172</f>
        <v/>
      </c>
      <c r="S173" s="7">
        <f>LN(I173/I172)</f>
        <v/>
      </c>
      <c r="T173" s="7">
        <f>LN(J173/J172)</f>
        <v/>
      </c>
    </row>
    <row r="174">
      <c r="A174" s="4" t="inlineStr">
        <is>
          <t>2017-04-30</t>
        </is>
      </c>
      <c r="B174" s="5" t="n">
        <v>1266.45</v>
      </c>
      <c r="C174" s="5" t="n">
        <v>1.92</v>
      </c>
      <c r="D174" s="5" t="n">
        <v>0.37</v>
      </c>
      <c r="E174" s="5" t="n">
        <v>99.050003</v>
      </c>
      <c r="F174" s="5" t="n">
        <v>49.31</v>
      </c>
      <c r="G174" s="5" t="n">
        <v>10.82</v>
      </c>
      <c r="H174" s="5" t="n">
        <v>60.189999</v>
      </c>
      <c r="I174" s="5" t="n">
        <v>2384.199951</v>
      </c>
      <c r="J174" s="5" t="n">
        <v>84.16954</v>
      </c>
      <c r="L174" s="7">
        <f>LN(B174/B173)</f>
        <v/>
      </c>
      <c r="M174" s="7">
        <f>C174-C173</f>
        <v/>
      </c>
      <c r="N174" s="7">
        <f>D174-D173</f>
        <v/>
      </c>
      <c r="O174" s="7">
        <f>LN(E174/E173)</f>
        <v/>
      </c>
      <c r="P174" s="7">
        <f>LN(F174/F173)</f>
        <v/>
      </c>
      <c r="Q174" s="7">
        <f>G174-G173</f>
        <v/>
      </c>
      <c r="R174" s="7">
        <f>H174-H173</f>
        <v/>
      </c>
      <c r="S174" s="7">
        <f>LN(I174/I173)</f>
        <v/>
      </c>
      <c r="T174" s="7">
        <f>LN(J174/J173)</f>
        <v/>
      </c>
    </row>
    <row r="175">
      <c r="A175" s="4" t="inlineStr">
        <is>
          <t>2017-05-31</t>
        </is>
      </c>
      <c r="B175" s="5" t="n">
        <v>1266.2</v>
      </c>
      <c r="C175" s="5" t="n">
        <v>1.81</v>
      </c>
      <c r="D175" s="5" t="n">
        <v>0.4</v>
      </c>
      <c r="E175" s="5" t="n">
        <v>96.91999800000001</v>
      </c>
      <c r="F175" s="5" t="n">
        <v>48.29</v>
      </c>
      <c r="G175" s="5" t="n">
        <v>10.41</v>
      </c>
      <c r="H175" s="5" t="n">
        <v>53.950001</v>
      </c>
      <c r="I175" s="5" t="n">
        <v>2411.800049</v>
      </c>
      <c r="J175" s="5" t="n">
        <v>84.747917</v>
      </c>
      <c r="L175" s="7">
        <f>LN(B175/B174)</f>
        <v/>
      </c>
      <c r="M175" s="7">
        <f>C175-C174</f>
        <v/>
      </c>
      <c r="N175" s="7">
        <f>D175-D174</f>
        <v/>
      </c>
      <c r="O175" s="7">
        <f>LN(E175/E174)</f>
        <v/>
      </c>
      <c r="P175" s="7">
        <f>LN(F175/F174)</f>
        <v/>
      </c>
      <c r="Q175" s="7">
        <f>G175-G174</f>
        <v/>
      </c>
      <c r="R175" s="7">
        <f>H175-H174</f>
        <v/>
      </c>
      <c r="S175" s="7">
        <f>LN(I175/I174)</f>
        <v/>
      </c>
      <c r="T175" s="7">
        <f>LN(J175/J174)</f>
        <v/>
      </c>
    </row>
    <row r="176">
      <c r="A176" s="4" t="inlineStr">
        <is>
          <t>2017-06-30</t>
        </is>
      </c>
      <c r="B176" s="5" t="n">
        <v>1242.25</v>
      </c>
      <c r="C176" s="5" t="n">
        <v>1.73</v>
      </c>
      <c r="D176" s="5" t="n">
        <v>0.58</v>
      </c>
      <c r="E176" s="5" t="n">
        <v>95.660004</v>
      </c>
      <c r="F176" s="5" t="n">
        <v>46.02</v>
      </c>
      <c r="G176" s="5" t="n">
        <v>11.18</v>
      </c>
      <c r="H176" s="5" t="n">
        <v>55.220001</v>
      </c>
      <c r="I176" s="5" t="n">
        <v>2423.409912</v>
      </c>
      <c r="J176" s="5" t="n">
        <v>84.732399</v>
      </c>
      <c r="L176" s="7">
        <f>LN(B176/B175)</f>
        <v/>
      </c>
      <c r="M176" s="7">
        <f>C176-C175</f>
        <v/>
      </c>
      <c r="N176" s="7">
        <f>D176-D175</f>
        <v/>
      </c>
      <c r="O176" s="7">
        <f>LN(E176/E175)</f>
        <v/>
      </c>
      <c r="P176" s="7">
        <f>LN(F176/F175)</f>
        <v/>
      </c>
      <c r="Q176" s="7">
        <f>G176-G175</f>
        <v/>
      </c>
      <c r="R176" s="7">
        <f>H176-H175</f>
        <v/>
      </c>
      <c r="S176" s="7">
        <f>LN(I176/I175)</f>
        <v/>
      </c>
      <c r="T176" s="7">
        <f>LN(J176/J175)</f>
        <v/>
      </c>
    </row>
    <row r="177">
      <c r="A177" s="4" t="inlineStr">
        <is>
          <t>2017-07-31</t>
        </is>
      </c>
      <c r="B177" s="5" t="n">
        <v>1267.55</v>
      </c>
      <c r="C177" s="5" t="n">
        <v>1.82</v>
      </c>
      <c r="D177" s="5" t="n">
        <v>0.48</v>
      </c>
      <c r="E177" s="5" t="n">
        <v>92.860001</v>
      </c>
      <c r="F177" s="5" t="n">
        <v>50.21</v>
      </c>
      <c r="G177" s="5" t="n">
        <v>10.26</v>
      </c>
      <c r="H177" s="5" t="n">
        <v>48.139999</v>
      </c>
      <c r="I177" s="5" t="n">
        <v>2470.300049</v>
      </c>
      <c r="J177" s="5" t="n">
        <v>85.015388</v>
      </c>
      <c r="L177" s="7">
        <f>LN(B177/B176)</f>
        <v/>
      </c>
      <c r="M177" s="7">
        <f>C177-C176</f>
        <v/>
      </c>
      <c r="N177" s="7">
        <f>D177-D176</f>
        <v/>
      </c>
      <c r="O177" s="7">
        <f>LN(E177/E176)</f>
        <v/>
      </c>
      <c r="P177" s="7">
        <f>LN(F177/F176)</f>
        <v/>
      </c>
      <c r="Q177" s="7">
        <f>G177-G176</f>
        <v/>
      </c>
      <c r="R177" s="7">
        <f>H177-H176</f>
        <v/>
      </c>
      <c r="S177" s="7">
        <f>LN(I177/I176)</f>
        <v/>
      </c>
      <c r="T177" s="7">
        <f>LN(J177/J176)</f>
        <v/>
      </c>
    </row>
    <row r="178">
      <c r="A178" s="4" t="inlineStr">
        <is>
          <t>2017-08-31</t>
        </is>
      </c>
      <c r="B178" s="5" t="n">
        <v>1311.75</v>
      </c>
      <c r="C178" s="5" t="n">
        <v>1.76</v>
      </c>
      <c r="D178" s="5" t="n">
        <v>0.36</v>
      </c>
      <c r="E178" s="5" t="n">
        <v>92.66999800000001</v>
      </c>
      <c r="F178" s="5" t="n">
        <v>47.26</v>
      </c>
      <c r="G178" s="5" t="n">
        <v>10.59</v>
      </c>
      <c r="H178" s="5" t="n">
        <v>51.130001</v>
      </c>
      <c r="I178" s="5" t="n">
        <v>2471.649902</v>
      </c>
      <c r="J178" s="5" t="n">
        <v>85.815636</v>
      </c>
      <c r="L178" s="7">
        <f>LN(B178/B177)</f>
        <v/>
      </c>
      <c r="M178" s="7">
        <f>C178-C177</f>
        <v/>
      </c>
      <c r="N178" s="7">
        <f>D178-D177</f>
        <v/>
      </c>
      <c r="O178" s="7">
        <f>LN(E178/E177)</f>
        <v/>
      </c>
      <c r="P178" s="7">
        <f>LN(F178/F177)</f>
        <v/>
      </c>
      <c r="Q178" s="7">
        <f>G178-G177</f>
        <v/>
      </c>
      <c r="R178" s="7">
        <f>H178-H177</f>
        <v/>
      </c>
      <c r="S178" s="7">
        <f>LN(I178/I177)</f>
        <v/>
      </c>
      <c r="T178" s="7">
        <f>LN(J178/J177)</f>
        <v/>
      </c>
    </row>
    <row r="179">
      <c r="A179" s="4" t="inlineStr">
        <is>
          <t>2017-09-30</t>
        </is>
      </c>
      <c r="B179" s="5" t="n">
        <v>1283.1</v>
      </c>
      <c r="C179" s="5" t="n">
        <v>1.84</v>
      </c>
      <c r="D179" s="5" t="n">
        <v>0.49</v>
      </c>
      <c r="E179" s="5" t="n">
        <v>93.08000199999999</v>
      </c>
      <c r="F179" s="5" t="n">
        <v>51.67</v>
      </c>
      <c r="G179" s="5" t="n">
        <v>9.51</v>
      </c>
      <c r="H179" s="5" t="n">
        <v>52.880001</v>
      </c>
      <c r="I179" s="5" t="n">
        <v>2519.360107</v>
      </c>
      <c r="J179" s="5" t="n">
        <v>85.325165</v>
      </c>
      <c r="L179" s="7">
        <f>LN(B179/B178)</f>
        <v/>
      </c>
      <c r="M179" s="7">
        <f>C179-C178</f>
        <v/>
      </c>
      <c r="N179" s="7">
        <f>D179-D178</f>
        <v/>
      </c>
      <c r="O179" s="7">
        <f>LN(E179/E178)</f>
        <v/>
      </c>
      <c r="P179" s="7">
        <f>LN(F179/F178)</f>
        <v/>
      </c>
      <c r="Q179" s="7">
        <f>G179-G178</f>
        <v/>
      </c>
      <c r="R179" s="7">
        <f>H179-H178</f>
        <v/>
      </c>
      <c r="S179" s="7">
        <f>LN(I179/I178)</f>
        <v/>
      </c>
      <c r="T179" s="7">
        <f>LN(J179/J178)</f>
        <v/>
      </c>
    </row>
    <row r="180">
      <c r="A180" s="4" t="inlineStr">
        <is>
          <t>2017-10-31</t>
        </is>
      </c>
      <c r="B180" s="5" t="n">
        <v>1270.15</v>
      </c>
      <c r="C180" s="5" t="n">
        <v>1.88</v>
      </c>
      <c r="D180" s="5" t="n">
        <v>0.5</v>
      </c>
      <c r="E180" s="5" t="n">
        <v>94.550003</v>
      </c>
      <c r="F180" s="5" t="n">
        <v>54.36</v>
      </c>
      <c r="G180" s="5" t="n">
        <v>10.18</v>
      </c>
      <c r="H180" s="5" t="n">
        <v>51.150002</v>
      </c>
      <c r="I180" s="5" t="n">
        <v>2575.26001</v>
      </c>
      <c r="J180" s="5" t="n">
        <v>85.40863</v>
      </c>
      <c r="L180" s="7">
        <f>LN(B180/B179)</f>
        <v/>
      </c>
      <c r="M180" s="7">
        <f>C180-C179</f>
        <v/>
      </c>
      <c r="N180" s="7">
        <f>D180-D179</f>
        <v/>
      </c>
      <c r="O180" s="7">
        <f>LN(E180/E179)</f>
        <v/>
      </c>
      <c r="P180" s="7">
        <f>LN(F180/F179)</f>
        <v/>
      </c>
      <c r="Q180" s="7">
        <f>G180-G179</f>
        <v/>
      </c>
      <c r="R180" s="7">
        <f>H180-H179</f>
        <v/>
      </c>
      <c r="S180" s="7">
        <f>LN(I180/I179)</f>
        <v/>
      </c>
      <c r="T180" s="7">
        <f>LN(J180/J179)</f>
        <v/>
      </c>
    </row>
    <row r="181">
      <c r="A181" s="4" t="inlineStr">
        <is>
          <t>2017-11-30</t>
        </is>
      </c>
      <c r="B181" s="5" t="n">
        <v>1280.2</v>
      </c>
      <c r="C181" s="5" t="n">
        <v>1.86</v>
      </c>
      <c r="D181" s="5" t="n">
        <v>0.5600000000000001</v>
      </c>
      <c r="E181" s="5" t="n">
        <v>93.010002</v>
      </c>
      <c r="F181" s="5" t="n">
        <v>57.4</v>
      </c>
      <c r="G181" s="5" t="n">
        <v>11.28</v>
      </c>
      <c r="H181" s="5" t="n">
        <v>46.830002</v>
      </c>
      <c r="I181" s="5" t="n">
        <v>2647.580078</v>
      </c>
      <c r="J181" s="5" t="n">
        <v>85.28196</v>
      </c>
      <c r="L181" s="7">
        <f>LN(B181/B180)</f>
        <v/>
      </c>
      <c r="M181" s="7">
        <f>C181-C180</f>
        <v/>
      </c>
      <c r="N181" s="7">
        <f>D181-D180</f>
        <v/>
      </c>
      <c r="O181" s="7">
        <f>LN(E181/E180)</f>
        <v/>
      </c>
      <c r="P181" s="7">
        <f>LN(F181/F180)</f>
        <v/>
      </c>
      <c r="Q181" s="7">
        <f>G181-G180</f>
        <v/>
      </c>
      <c r="R181" s="7">
        <f>H181-H180</f>
        <v/>
      </c>
      <c r="S181" s="7">
        <f>LN(I181/I180)</f>
        <v/>
      </c>
      <c r="T181" s="7">
        <f>LN(J181/J180)</f>
        <v/>
      </c>
    </row>
    <row r="182">
      <c r="A182" s="4" t="inlineStr">
        <is>
          <t>2017-12-31</t>
        </is>
      </c>
      <c r="B182" s="5" t="n">
        <v>1291</v>
      </c>
      <c r="C182" s="5" t="n">
        <v>1.96</v>
      </c>
      <c r="D182" s="5" t="n">
        <v>0.44</v>
      </c>
      <c r="E182" s="5" t="n">
        <v>92.120003</v>
      </c>
      <c r="F182" s="5" t="n">
        <v>60.46</v>
      </c>
      <c r="G182" s="5" t="n">
        <v>11.04</v>
      </c>
      <c r="H182" s="5" t="n">
        <v>46.599998</v>
      </c>
      <c r="I182" s="5" t="n">
        <v>2673.610107</v>
      </c>
      <c r="J182" s="5" t="n">
        <v>85.687195</v>
      </c>
      <c r="L182" s="7">
        <f>LN(B182/B181)</f>
        <v/>
      </c>
      <c r="M182" s="7">
        <f>C182-C181</f>
        <v/>
      </c>
      <c r="N182" s="7">
        <f>D182-D181</f>
        <v/>
      </c>
      <c r="O182" s="7">
        <f>LN(E182/E181)</f>
        <v/>
      </c>
      <c r="P182" s="7">
        <f>LN(F182/F181)</f>
        <v/>
      </c>
      <c r="Q182" s="7">
        <f>G182-G181</f>
        <v/>
      </c>
      <c r="R182" s="7">
        <f>H182-H181</f>
        <v/>
      </c>
      <c r="S182" s="7">
        <f>LN(I182/I181)</f>
        <v/>
      </c>
      <c r="T182" s="7">
        <f>LN(J182/J181)</f>
        <v/>
      </c>
    </row>
    <row r="183">
      <c r="A183" s="4" t="inlineStr">
        <is>
          <t>2018-01-31</t>
        </is>
      </c>
      <c r="B183" s="5" t="n">
        <v>1345.05</v>
      </c>
      <c r="C183" s="5" t="n">
        <v>2.11</v>
      </c>
      <c r="D183" s="5" t="n">
        <v>0.61</v>
      </c>
      <c r="E183" s="5" t="n">
        <v>89.129997</v>
      </c>
      <c r="F183" s="5" t="n">
        <v>64.81999999999999</v>
      </c>
      <c r="G183" s="5" t="n">
        <v>13.54</v>
      </c>
      <c r="H183" s="5" t="n">
        <v>57.200001</v>
      </c>
      <c r="I183" s="5" t="n">
        <v>2823.810059</v>
      </c>
      <c r="J183" s="5" t="n">
        <v>84.723213</v>
      </c>
      <c r="L183" s="7">
        <f>LN(B183/B182)</f>
        <v/>
      </c>
      <c r="M183" s="7">
        <f>C183-C182</f>
        <v/>
      </c>
      <c r="N183" s="7">
        <f>D183-D182</f>
        <v/>
      </c>
      <c r="O183" s="7">
        <f>LN(E183/E182)</f>
        <v/>
      </c>
      <c r="P183" s="7">
        <f>LN(F183/F182)</f>
        <v/>
      </c>
      <c r="Q183" s="7">
        <f>G183-G182</f>
        <v/>
      </c>
      <c r="R183" s="7">
        <f>H183-H182</f>
        <v/>
      </c>
      <c r="S183" s="7">
        <f>LN(I183/I182)</f>
        <v/>
      </c>
      <c r="T183" s="7">
        <f>LN(J183/J182)</f>
        <v/>
      </c>
    </row>
    <row r="184">
      <c r="A184" s="4" t="inlineStr">
        <is>
          <t>2018-02-28</t>
        </is>
      </c>
      <c r="B184" s="5" t="n">
        <v>1317.85</v>
      </c>
      <c r="C184" s="5" t="n">
        <v>2.12</v>
      </c>
      <c r="D184" s="5" t="n">
        <v>0.75</v>
      </c>
      <c r="E184" s="5" t="n">
        <v>90.610001</v>
      </c>
      <c r="F184" s="5" t="n">
        <v>61.43</v>
      </c>
      <c r="G184" s="5" t="n">
        <v>19.85</v>
      </c>
      <c r="H184" s="5" t="n">
        <v>62.970001</v>
      </c>
      <c r="I184" s="5" t="n">
        <v>2713.830078</v>
      </c>
      <c r="J184" s="5" t="n">
        <v>83.868515</v>
      </c>
      <c r="L184" s="7">
        <f>LN(B184/B183)</f>
        <v/>
      </c>
      <c r="M184" s="7">
        <f>C184-C183</f>
        <v/>
      </c>
      <c r="N184" s="7">
        <f>D184-D183</f>
        <v/>
      </c>
      <c r="O184" s="7">
        <f>LN(E184/E183)</f>
        <v/>
      </c>
      <c r="P184" s="7">
        <f>LN(F184/F183)</f>
        <v/>
      </c>
      <c r="Q184" s="7">
        <f>G184-G183</f>
        <v/>
      </c>
      <c r="R184" s="7">
        <f>H184-H183</f>
        <v/>
      </c>
      <c r="S184" s="7">
        <f>LN(I184/I183)</f>
        <v/>
      </c>
      <c r="T184" s="7">
        <f>LN(J184/J183)</f>
        <v/>
      </c>
    </row>
    <row r="185">
      <c r="A185" s="4" t="inlineStr">
        <is>
          <t>2018-03-31</t>
        </is>
      </c>
      <c r="B185" s="5" t="n">
        <v>1323.85</v>
      </c>
      <c r="C185" s="5" t="n">
        <v>2.05</v>
      </c>
      <c r="D185" s="5" t="n">
        <v>0.6899999999999999</v>
      </c>
      <c r="E185" s="5" t="n">
        <v>90.150002</v>
      </c>
      <c r="F185" s="5" t="n">
        <v>64.87</v>
      </c>
      <c r="G185" s="5" t="n">
        <v>19.97</v>
      </c>
      <c r="H185" s="5" t="n">
        <v>58.540001</v>
      </c>
      <c r="I185" s="5" t="n">
        <v>2640.870117</v>
      </c>
      <c r="J185" s="5" t="n">
        <v>84.431442</v>
      </c>
      <c r="L185" s="7">
        <f>LN(B185/B184)</f>
        <v/>
      </c>
      <c r="M185" s="7">
        <f>C185-C184</f>
        <v/>
      </c>
      <c r="N185" s="7">
        <f>D185-D184</f>
        <v/>
      </c>
      <c r="O185" s="7">
        <f>LN(E185/E184)</f>
        <v/>
      </c>
      <c r="P185" s="7">
        <f>LN(F185/F184)</f>
        <v/>
      </c>
      <c r="Q185" s="7">
        <f>G185-G184</f>
        <v/>
      </c>
      <c r="R185" s="7">
        <f>H185-H184</f>
        <v/>
      </c>
      <c r="S185" s="7">
        <f>LN(I185/I184)</f>
        <v/>
      </c>
      <c r="T185" s="7">
        <f>LN(J185/J184)</f>
        <v/>
      </c>
    </row>
    <row r="186">
      <c r="A186" s="4" t="inlineStr">
        <is>
          <t>2018-04-30</t>
        </is>
      </c>
      <c r="B186" s="5" t="n">
        <v>1313.2</v>
      </c>
      <c r="C186" s="5" t="n">
        <v>2.17</v>
      </c>
      <c r="D186" s="5" t="n">
        <v>0.78</v>
      </c>
      <c r="E186" s="5" t="n">
        <v>91.839996</v>
      </c>
      <c r="F186" s="5" t="n">
        <v>68.56</v>
      </c>
      <c r="G186" s="5" t="n">
        <v>15.93</v>
      </c>
      <c r="H186" s="5" t="n">
        <v>50.349998</v>
      </c>
      <c r="I186" s="5" t="n">
        <v>2648.050049</v>
      </c>
      <c r="J186" s="5" t="n">
        <v>83.636864</v>
      </c>
      <c r="L186" s="7">
        <f>LN(B186/B185)</f>
        <v/>
      </c>
      <c r="M186" s="7">
        <f>C186-C185</f>
        <v/>
      </c>
      <c r="N186" s="7">
        <f>D186-D185</f>
        <v/>
      </c>
      <c r="O186" s="7">
        <f>LN(E186/E185)</f>
        <v/>
      </c>
      <c r="P186" s="7">
        <f>LN(F186/F185)</f>
        <v/>
      </c>
      <c r="Q186" s="7">
        <f>G186-G185</f>
        <v/>
      </c>
      <c r="R186" s="7">
        <f>H186-H185</f>
        <v/>
      </c>
      <c r="S186" s="7">
        <f>LN(I186/I185)</f>
        <v/>
      </c>
      <c r="T186" s="7">
        <f>LN(J186/J185)</f>
        <v/>
      </c>
    </row>
    <row r="187">
      <c r="A187" s="4" t="inlineStr">
        <is>
          <t>2018-05-31</t>
        </is>
      </c>
      <c r="B187" s="5" t="n">
        <v>1305.35</v>
      </c>
      <c r="C187" s="5" t="n">
        <v>2.07</v>
      </c>
      <c r="D187" s="5" t="n">
        <v>0.76</v>
      </c>
      <c r="E187" s="5" t="n">
        <v>93.989998</v>
      </c>
      <c r="F187" s="5" t="n">
        <v>66.98</v>
      </c>
      <c r="G187" s="5" t="n">
        <v>15.43</v>
      </c>
      <c r="H187" s="5" t="n">
        <v>60.540001</v>
      </c>
      <c r="I187" s="5" t="n">
        <v>2705.27002</v>
      </c>
      <c r="J187" s="5" t="n">
        <v>84.190468</v>
      </c>
      <c r="L187" s="7">
        <f>LN(B187/B186)</f>
        <v/>
      </c>
      <c r="M187" s="7">
        <f>C187-C186</f>
        <v/>
      </c>
      <c r="N187" s="7">
        <f>D187-D186</f>
        <v/>
      </c>
      <c r="O187" s="7">
        <f>LN(E187/E186)</f>
        <v/>
      </c>
      <c r="P187" s="7">
        <f>LN(F187/F186)</f>
        <v/>
      </c>
      <c r="Q187" s="7">
        <f>G187-G186</f>
        <v/>
      </c>
      <c r="R187" s="7">
        <f>H187-H186</f>
        <v/>
      </c>
      <c r="S187" s="7">
        <f>LN(I187/I186)</f>
        <v/>
      </c>
      <c r="T187" s="7">
        <f>LN(J187/J186)</f>
        <v/>
      </c>
    </row>
    <row r="188">
      <c r="A188" s="4" t="inlineStr">
        <is>
          <t>2018-06-30</t>
        </is>
      </c>
      <c r="B188" s="5" t="n">
        <v>1250.45</v>
      </c>
      <c r="C188" s="5" t="n">
        <v>2.11</v>
      </c>
      <c r="D188" s="5" t="n">
        <v>0.74</v>
      </c>
      <c r="E188" s="5" t="n">
        <v>94.629997</v>
      </c>
      <c r="F188" s="5" t="n">
        <v>74.13</v>
      </c>
      <c r="G188" s="5" t="n">
        <v>16.09</v>
      </c>
      <c r="H188" s="5" t="n">
        <v>51.169998</v>
      </c>
      <c r="I188" s="5" t="n">
        <v>2718.370117</v>
      </c>
      <c r="J188" s="5" t="n">
        <v>84.276825</v>
      </c>
      <c r="L188" s="7">
        <f>LN(B188/B187)</f>
        <v/>
      </c>
      <c r="M188" s="7">
        <f>C188-C187</f>
        <v/>
      </c>
      <c r="N188" s="7">
        <f>D188-D187</f>
        <v/>
      </c>
      <c r="O188" s="7">
        <f>LN(E188/E187)</f>
        <v/>
      </c>
      <c r="P188" s="7">
        <f>LN(F188/F187)</f>
        <v/>
      </c>
      <c r="Q188" s="7">
        <f>G188-G187</f>
        <v/>
      </c>
      <c r="R188" s="7">
        <f>H188-H187</f>
        <v/>
      </c>
      <c r="S188" s="7">
        <f>LN(I188/I187)</f>
        <v/>
      </c>
      <c r="T188" s="7">
        <f>LN(J188/J187)</f>
        <v/>
      </c>
    </row>
    <row r="189">
      <c r="A189" s="4" t="inlineStr">
        <is>
          <t>2018-07-31</t>
        </is>
      </c>
      <c r="B189" s="5" t="n">
        <v>1220.95</v>
      </c>
      <c r="C189" s="5" t="n">
        <v>2.12</v>
      </c>
      <c r="D189" s="5" t="n">
        <v>0.84</v>
      </c>
      <c r="E189" s="5" t="n">
        <v>94.489998</v>
      </c>
      <c r="F189" s="5" t="n">
        <v>69.88</v>
      </c>
      <c r="G189" s="5" t="n">
        <v>12.83</v>
      </c>
      <c r="H189" s="5" t="n">
        <v>46.5</v>
      </c>
      <c r="I189" s="5" t="n">
        <v>2816.290039</v>
      </c>
      <c r="J189" s="5" t="n">
        <v>84.252213</v>
      </c>
      <c r="L189" s="7">
        <f>LN(B189/B188)</f>
        <v/>
      </c>
      <c r="M189" s="7">
        <f>C189-C188</f>
        <v/>
      </c>
      <c r="N189" s="7">
        <f>D189-D188</f>
        <v/>
      </c>
      <c r="O189" s="7">
        <f>LN(E189/E188)</f>
        <v/>
      </c>
      <c r="P189" s="7">
        <f>LN(F189/F188)</f>
        <v/>
      </c>
      <c r="Q189" s="7">
        <f>G189-G188</f>
        <v/>
      </c>
      <c r="R189" s="7">
        <f>H189-H188</f>
        <v/>
      </c>
      <c r="S189" s="7">
        <f>LN(I189/I188)</f>
        <v/>
      </c>
      <c r="T189" s="7">
        <f>LN(J189/J188)</f>
        <v/>
      </c>
    </row>
    <row r="190">
      <c r="A190" s="4" t="inlineStr">
        <is>
          <t>2018-08-31</t>
        </is>
      </c>
      <c r="B190" s="5" t="n">
        <v>1202.45</v>
      </c>
      <c r="C190" s="5" t="n">
        <v>2.08</v>
      </c>
      <c r="D190" s="5" t="n">
        <v>0.78</v>
      </c>
      <c r="E190" s="5" t="n">
        <v>95.139999</v>
      </c>
      <c r="F190" s="5" t="n">
        <v>69.84</v>
      </c>
      <c r="G190" s="5" t="n">
        <v>12.86</v>
      </c>
      <c r="H190" s="5" t="n">
        <v>50.709999</v>
      </c>
      <c r="I190" s="5" t="n">
        <v>2901.52002</v>
      </c>
      <c r="J190" s="5" t="n">
        <v>84.730774</v>
      </c>
      <c r="L190" s="7">
        <f>LN(B190/B189)</f>
        <v/>
      </c>
      <c r="M190" s="7">
        <f>C190-C189</f>
        <v/>
      </c>
      <c r="N190" s="7">
        <f>D190-D189</f>
        <v/>
      </c>
      <c r="O190" s="7">
        <f>LN(E190/E189)</f>
        <v/>
      </c>
      <c r="P190" s="7">
        <f>LN(F190/F189)</f>
        <v/>
      </c>
      <c r="Q190" s="7">
        <f>G190-G189</f>
        <v/>
      </c>
      <c r="R190" s="7">
        <f>H190-H189</f>
        <v/>
      </c>
      <c r="S190" s="7">
        <f>LN(I190/I189)</f>
        <v/>
      </c>
      <c r="T190" s="7">
        <f>LN(J190/J189)</f>
        <v/>
      </c>
    </row>
    <row r="191">
      <c r="A191" s="4" t="inlineStr">
        <is>
          <t>2018-09-30</t>
        </is>
      </c>
      <c r="B191" s="5" t="n">
        <v>1187.25</v>
      </c>
      <c r="C191" s="5" t="n">
        <v>2.14</v>
      </c>
      <c r="D191" s="5" t="n">
        <v>0.91</v>
      </c>
      <c r="E191" s="5" t="n">
        <v>95.19000200000001</v>
      </c>
      <c r="F191" s="5" t="n">
        <v>73.16</v>
      </c>
      <c r="G191" s="5" t="n">
        <v>12.12</v>
      </c>
      <c r="H191" s="5" t="n">
        <v>46.16</v>
      </c>
      <c r="I191" s="5" t="n">
        <v>2913.97998</v>
      </c>
      <c r="J191" s="5" t="n">
        <v>84.20568799999999</v>
      </c>
      <c r="L191" s="7">
        <f>LN(B191/B190)</f>
        <v/>
      </c>
      <c r="M191" s="7">
        <f>C191-C190</f>
        <v/>
      </c>
      <c r="N191" s="7">
        <f>D191-D190</f>
        <v/>
      </c>
      <c r="O191" s="7">
        <f>LN(E191/E190)</f>
        <v/>
      </c>
      <c r="P191" s="7">
        <f>LN(F191/F190)</f>
        <v/>
      </c>
      <c r="Q191" s="7">
        <f>G191-G190</f>
        <v/>
      </c>
      <c r="R191" s="7">
        <f>H191-H190</f>
        <v/>
      </c>
      <c r="S191" s="7">
        <f>LN(I191/I190)</f>
        <v/>
      </c>
      <c r="T191" s="7">
        <f>LN(J191/J190)</f>
        <v/>
      </c>
    </row>
    <row r="192">
      <c r="A192" s="4" t="inlineStr">
        <is>
          <t>2018-10-31</t>
        </is>
      </c>
      <c r="B192" s="5" t="n">
        <v>1214.95</v>
      </c>
      <c r="C192" s="5" t="n">
        <v>2.05</v>
      </c>
      <c r="D192" s="5" t="n">
        <v>1.1</v>
      </c>
      <c r="E192" s="5" t="n">
        <v>97.129997</v>
      </c>
      <c r="F192" s="5" t="n">
        <v>65.31</v>
      </c>
      <c r="G192" s="5" t="n">
        <v>21.23</v>
      </c>
      <c r="H192" s="5" t="n">
        <v>60.130001</v>
      </c>
      <c r="I192" s="5" t="n">
        <v>2711.73999</v>
      </c>
      <c r="J192" s="5" t="n">
        <v>83.66333</v>
      </c>
      <c r="L192" s="7">
        <f>LN(B192/B191)</f>
        <v/>
      </c>
      <c r="M192" s="7">
        <f>C192-C191</f>
        <v/>
      </c>
      <c r="N192" s="7">
        <f>D192-D191</f>
        <v/>
      </c>
      <c r="O192" s="7">
        <f>LN(E192/E191)</f>
        <v/>
      </c>
      <c r="P192" s="7">
        <f>LN(F192/F191)</f>
        <v/>
      </c>
      <c r="Q192" s="7">
        <f>G192-G191</f>
        <v/>
      </c>
      <c r="R192" s="7">
        <f>H192-H191</f>
        <v/>
      </c>
      <c r="S192" s="7">
        <f>LN(I192/I191)</f>
        <v/>
      </c>
      <c r="T192" s="7">
        <f>LN(J192/J191)</f>
        <v/>
      </c>
    </row>
    <row r="193">
      <c r="A193" s="4" t="inlineStr">
        <is>
          <t>2018-11-30</t>
        </is>
      </c>
      <c r="B193" s="5" t="n">
        <v>1217.55</v>
      </c>
      <c r="C193" s="5" t="n">
        <v>1.97</v>
      </c>
      <c r="D193" s="5" t="n">
        <v>1.04</v>
      </c>
      <c r="E193" s="5" t="n">
        <v>97.269997</v>
      </c>
      <c r="F193" s="5" t="n">
        <v>50.78</v>
      </c>
      <c r="G193" s="5" t="n">
        <v>18.07</v>
      </c>
      <c r="H193" s="5" t="n">
        <v>52.43</v>
      </c>
      <c r="I193" s="5" t="n">
        <v>2760.169922</v>
      </c>
      <c r="J193" s="5" t="n">
        <v>84.30886099999999</v>
      </c>
      <c r="L193" s="7">
        <f>LN(B193/B192)</f>
        <v/>
      </c>
      <c r="M193" s="7">
        <f>C193-C192</f>
        <v/>
      </c>
      <c r="N193" s="7">
        <f>D193-D192</f>
        <v/>
      </c>
      <c r="O193" s="7">
        <f>LN(E193/E192)</f>
        <v/>
      </c>
      <c r="P193" s="7">
        <f>LN(F193/F192)</f>
        <v/>
      </c>
      <c r="Q193" s="7">
        <f>G193-G192</f>
        <v/>
      </c>
      <c r="R193" s="7">
        <f>H193-H192</f>
        <v/>
      </c>
      <c r="S193" s="7">
        <f>LN(I193/I192)</f>
        <v/>
      </c>
      <c r="T193" s="7">
        <f>LN(J193/J192)</f>
        <v/>
      </c>
    </row>
    <row r="194">
      <c r="A194" s="4" t="inlineStr">
        <is>
          <t>2018-12-31</t>
        </is>
      </c>
      <c r="B194" s="5" t="n">
        <v>1279</v>
      </c>
      <c r="C194" s="5" t="n">
        <v>1.71</v>
      </c>
      <c r="D194" s="5" t="n">
        <v>0.98</v>
      </c>
      <c r="E194" s="5" t="n">
        <v>96.16999800000001</v>
      </c>
      <c r="F194" s="5" t="n">
        <v>45.15</v>
      </c>
      <c r="G194" s="5" t="n">
        <v>25.42</v>
      </c>
      <c r="H194" s="5" t="n">
        <v>66.58000199999999</v>
      </c>
      <c r="I194" s="5" t="n">
        <v>2506.850098</v>
      </c>
      <c r="J194" s="5" t="n">
        <v>85.979187</v>
      </c>
      <c r="L194" s="7">
        <f>LN(B194/B193)</f>
        <v/>
      </c>
      <c r="M194" s="7">
        <f>C194-C193</f>
        <v/>
      </c>
      <c r="N194" s="7">
        <f>D194-D193</f>
        <v/>
      </c>
      <c r="O194" s="7">
        <f>LN(E194/E193)</f>
        <v/>
      </c>
      <c r="P194" s="7">
        <f>LN(F194/F193)</f>
        <v/>
      </c>
      <c r="Q194" s="7">
        <f>G194-G193</f>
        <v/>
      </c>
      <c r="R194" s="7">
        <f>H194-H193</f>
        <v/>
      </c>
      <c r="S194" s="7">
        <f>LN(I194/I193)</f>
        <v/>
      </c>
      <c r="T194" s="7">
        <f>LN(J194/J193)</f>
        <v/>
      </c>
    </row>
    <row r="195">
      <c r="A195" s="4" t="inlineStr">
        <is>
          <t>2019-01-31</t>
        </is>
      </c>
      <c r="B195" s="5" t="n">
        <v>1323.25</v>
      </c>
      <c r="C195" s="5" t="n">
        <v>1.85</v>
      </c>
      <c r="D195" s="5" t="n">
        <v>0.78</v>
      </c>
      <c r="E195" s="5" t="n">
        <v>95.58000199999999</v>
      </c>
      <c r="F195" s="5" t="n">
        <v>53.84</v>
      </c>
      <c r="G195" s="5" t="n">
        <v>16.57</v>
      </c>
      <c r="H195" s="5" t="n">
        <v>49.810001</v>
      </c>
      <c r="I195" s="5" t="n">
        <v>2704.100098</v>
      </c>
      <c r="J195" s="5" t="n">
        <v>86.762321</v>
      </c>
      <c r="L195" s="7">
        <f>LN(B195/B194)</f>
        <v/>
      </c>
      <c r="M195" s="7">
        <f>C195-C194</f>
        <v/>
      </c>
      <c r="N195" s="7">
        <f>D195-D194</f>
        <v/>
      </c>
      <c r="O195" s="7">
        <f>LN(E195/E194)</f>
        <v/>
      </c>
      <c r="P195" s="7">
        <f>LN(F195/F194)</f>
        <v/>
      </c>
      <c r="Q195" s="7">
        <f>G195-G194</f>
        <v/>
      </c>
      <c r="R195" s="7">
        <f>H195-H194</f>
        <v/>
      </c>
      <c r="S195" s="7">
        <f>LN(I195/I194)</f>
        <v/>
      </c>
      <c r="T195" s="7">
        <f>LN(J195/J194)</f>
        <v/>
      </c>
    </row>
    <row r="196">
      <c r="A196" s="4" t="inlineStr">
        <is>
          <t>2019-02-28</t>
        </is>
      </c>
      <c r="B196" s="5" t="n">
        <v>1319.15</v>
      </c>
      <c r="C196" s="5" t="n">
        <v>1.95</v>
      </c>
      <c r="D196" s="5" t="n">
        <v>0.78</v>
      </c>
      <c r="E196" s="5" t="n">
        <v>96.160004</v>
      </c>
      <c r="F196" s="5" t="n">
        <v>57.21</v>
      </c>
      <c r="G196" s="5" t="n">
        <v>14.78</v>
      </c>
      <c r="H196" s="5" t="n">
        <v>47.220001</v>
      </c>
      <c r="I196" s="5" t="n">
        <v>2784.48999</v>
      </c>
      <c r="J196" s="5" t="n">
        <v>86.66361999999999</v>
      </c>
      <c r="L196" s="7">
        <f>LN(B196/B195)</f>
        <v/>
      </c>
      <c r="M196" s="7">
        <f>C196-C195</f>
        <v/>
      </c>
      <c r="N196" s="7">
        <f>D196-D195</f>
        <v/>
      </c>
      <c r="O196" s="7">
        <f>LN(E196/E195)</f>
        <v/>
      </c>
      <c r="P196" s="7">
        <f>LN(F196/F195)</f>
        <v/>
      </c>
      <c r="Q196" s="7">
        <f>G196-G195</f>
        <v/>
      </c>
      <c r="R196" s="7">
        <f>H196-H195</f>
        <v/>
      </c>
      <c r="S196" s="7">
        <f>LN(I196/I195)</f>
        <v/>
      </c>
      <c r="T196" s="7">
        <f>LN(J196/J195)</f>
        <v/>
      </c>
    </row>
    <row r="197">
      <c r="A197" s="4" t="inlineStr">
        <is>
          <t>2019-03-31</t>
        </is>
      </c>
      <c r="B197" s="5" t="n">
        <v>1295.4</v>
      </c>
      <c r="C197" s="5" t="n">
        <v>1.88</v>
      </c>
      <c r="D197" s="5" t="n">
        <v>0.53</v>
      </c>
      <c r="E197" s="5" t="n">
        <v>97.279999</v>
      </c>
      <c r="F197" s="5" t="n">
        <v>60.19</v>
      </c>
      <c r="G197" s="5" t="n">
        <v>13.71</v>
      </c>
      <c r="H197" s="5" t="n">
        <v>58.549999</v>
      </c>
      <c r="I197" s="5" t="n">
        <v>2834.399902</v>
      </c>
      <c r="J197" s="5" t="n">
        <v>88.503128</v>
      </c>
      <c r="L197" s="7">
        <f>LN(B197/B196)</f>
        <v/>
      </c>
      <c r="M197" s="7">
        <f>C197-C196</f>
        <v/>
      </c>
      <c r="N197" s="7">
        <f>D197-D196</f>
        <v/>
      </c>
      <c r="O197" s="7">
        <f>LN(E197/E196)</f>
        <v/>
      </c>
      <c r="P197" s="7">
        <f>LN(F197/F196)</f>
        <v/>
      </c>
      <c r="Q197" s="7">
        <f>G197-G196</f>
        <v/>
      </c>
      <c r="R197" s="7">
        <f>H197-H196</f>
        <v/>
      </c>
      <c r="S197" s="7">
        <f>LN(I197/I196)</f>
        <v/>
      </c>
      <c r="T197" s="7">
        <f>LN(J197/J196)</f>
        <v/>
      </c>
    </row>
    <row r="198">
      <c r="A198" s="4" t="inlineStr">
        <is>
          <t>2019-04-30</t>
        </is>
      </c>
      <c r="B198" s="5" t="n">
        <v>1282.3</v>
      </c>
      <c r="C198" s="5" t="n">
        <v>1.95</v>
      </c>
      <c r="D198" s="5" t="n">
        <v>0.5600000000000001</v>
      </c>
      <c r="E198" s="5" t="n">
        <v>97.480003</v>
      </c>
      <c r="F198" s="5" t="n">
        <v>63.83</v>
      </c>
      <c r="G198" s="5" t="n">
        <v>13.12</v>
      </c>
      <c r="H198" s="5" t="n">
        <v>49.470001</v>
      </c>
      <c r="I198" s="5" t="n">
        <v>2945.830078</v>
      </c>
      <c r="J198" s="5" t="n">
        <v>88.32579800000001</v>
      </c>
      <c r="L198" s="7">
        <f>LN(B198/B197)</f>
        <v/>
      </c>
      <c r="M198" s="7">
        <f>C198-C197</f>
        <v/>
      </c>
      <c r="N198" s="7">
        <f>D198-D197</f>
        <v/>
      </c>
      <c r="O198" s="7">
        <f>LN(E198/E197)</f>
        <v/>
      </c>
      <c r="P198" s="7">
        <f>LN(F198/F197)</f>
        <v/>
      </c>
      <c r="Q198" s="7">
        <f>G198-G197</f>
        <v/>
      </c>
      <c r="R198" s="7">
        <f>H198-H197</f>
        <v/>
      </c>
      <c r="S198" s="7">
        <f>LN(I198/I197)</f>
        <v/>
      </c>
      <c r="T198" s="7">
        <f>LN(J198/J197)</f>
        <v/>
      </c>
    </row>
    <row r="199">
      <c r="A199" s="4" t="inlineStr">
        <is>
          <t>2019-05-31</t>
        </is>
      </c>
      <c r="B199" s="5" t="n">
        <v>1295.55</v>
      </c>
      <c r="C199" s="5" t="n">
        <v>1.74</v>
      </c>
      <c r="D199" s="5" t="n">
        <v>0.4</v>
      </c>
      <c r="E199" s="5" t="n">
        <v>97.75</v>
      </c>
      <c r="F199" s="5" t="n">
        <v>53.49</v>
      </c>
      <c r="G199" s="5" t="n">
        <v>18.71</v>
      </c>
      <c r="H199" s="5" t="n">
        <v>72.68000000000001</v>
      </c>
      <c r="I199" s="5" t="n">
        <v>2752.060059</v>
      </c>
      <c r="J199" s="5" t="n">
        <v>90.01355</v>
      </c>
      <c r="L199" s="7">
        <f>LN(B199/B198)</f>
        <v/>
      </c>
      <c r="M199" s="7">
        <f>C199-C198</f>
        <v/>
      </c>
      <c r="N199" s="7">
        <f>D199-D198</f>
        <v/>
      </c>
      <c r="O199" s="7">
        <f>LN(E199/E198)</f>
        <v/>
      </c>
      <c r="P199" s="7">
        <f>LN(F199/F198)</f>
        <v/>
      </c>
      <c r="Q199" s="7">
        <f>G199-G198</f>
        <v/>
      </c>
      <c r="R199" s="7">
        <f>H199-H198</f>
        <v/>
      </c>
      <c r="S199" s="7">
        <f>LN(I199/I198)</f>
        <v/>
      </c>
      <c r="T199" s="7">
        <f>LN(J199/J198)</f>
        <v/>
      </c>
    </row>
    <row r="200">
      <c r="A200" s="4" t="inlineStr">
        <is>
          <t>2019-06-30</t>
        </is>
      </c>
      <c r="B200" s="5" t="n">
        <v>1409</v>
      </c>
      <c r="C200" s="5" t="n">
        <v>1.69</v>
      </c>
      <c r="D200" s="5" t="n">
        <v>0.31</v>
      </c>
      <c r="E200" s="5" t="n">
        <v>96.129997</v>
      </c>
      <c r="F200" s="5" t="n">
        <v>58.2</v>
      </c>
      <c r="G200" s="5" t="n">
        <v>15.08</v>
      </c>
      <c r="H200" s="5" t="n">
        <v>70.43000000000001</v>
      </c>
      <c r="I200" s="5" t="n">
        <v>2941.76001</v>
      </c>
      <c r="J200" s="5" t="n">
        <v>91.002441</v>
      </c>
      <c r="L200" s="7">
        <f>LN(B200/B199)</f>
        <v/>
      </c>
      <c r="M200" s="7">
        <f>C200-C199</f>
        <v/>
      </c>
      <c r="N200" s="7">
        <f>D200-D199</f>
        <v/>
      </c>
      <c r="O200" s="7">
        <f>LN(E200/E199)</f>
        <v/>
      </c>
      <c r="P200" s="7">
        <f>LN(F200/F199)</f>
        <v/>
      </c>
      <c r="Q200" s="7">
        <f>G200-G199</f>
        <v/>
      </c>
      <c r="R200" s="7">
        <f>H200-H199</f>
        <v/>
      </c>
      <c r="S200" s="7">
        <f>LN(I200/I199)</f>
        <v/>
      </c>
      <c r="T200" s="7">
        <f>LN(J200/J199)</f>
        <v/>
      </c>
    </row>
    <row r="201">
      <c r="A201" s="4" t="inlineStr">
        <is>
          <t>2019-07-31</t>
        </is>
      </c>
      <c r="B201" s="5" t="n">
        <v>1427.55</v>
      </c>
      <c r="C201" s="5" t="n">
        <v>1.76</v>
      </c>
      <c r="D201" s="5" t="n">
        <v>0.26</v>
      </c>
      <c r="E201" s="5" t="n">
        <v>98.519997</v>
      </c>
      <c r="F201" s="5" t="n">
        <v>58.53</v>
      </c>
      <c r="G201" s="5" t="n">
        <v>16.12</v>
      </c>
      <c r="H201" s="5" t="n">
        <v>55.25</v>
      </c>
      <c r="I201" s="5" t="n">
        <v>2980.379883</v>
      </c>
      <c r="J201" s="5" t="n">
        <v>91.1679</v>
      </c>
      <c r="L201" s="7">
        <f>LN(B201/B200)</f>
        <v/>
      </c>
      <c r="M201" s="7">
        <f>C201-C200</f>
        <v/>
      </c>
      <c r="N201" s="7">
        <f>D201-D200</f>
        <v/>
      </c>
      <c r="O201" s="7">
        <f>LN(E201/E200)</f>
        <v/>
      </c>
      <c r="P201" s="7">
        <f>LN(F201/F200)</f>
        <v/>
      </c>
      <c r="Q201" s="7">
        <f>G201-G200</f>
        <v/>
      </c>
      <c r="R201" s="7">
        <f>H201-H200</f>
        <v/>
      </c>
      <c r="S201" s="7">
        <f>LN(I201/I200)</f>
        <v/>
      </c>
      <c r="T201" s="7">
        <f>LN(J201/J200)</f>
        <v/>
      </c>
    </row>
    <row r="202">
      <c r="A202" s="4" t="inlineStr">
        <is>
          <t>2019-08-31</t>
        </is>
      </c>
      <c r="B202" s="5" t="n">
        <v>1528.4</v>
      </c>
      <c r="C202" s="5" t="n">
        <v>1.55</v>
      </c>
      <c r="D202" s="5" t="n">
        <v>-0.05</v>
      </c>
      <c r="E202" s="5" t="n">
        <v>98.91999800000001</v>
      </c>
      <c r="F202" s="5" t="n">
        <v>55.07</v>
      </c>
      <c r="G202" s="5" t="n">
        <v>18.98</v>
      </c>
      <c r="H202" s="5" t="n">
        <v>86.889999</v>
      </c>
      <c r="I202" s="5" t="n">
        <v>2926.459961</v>
      </c>
      <c r="J202" s="5" t="n">
        <v>93.704926</v>
      </c>
      <c r="L202" s="7">
        <f>LN(B202/B201)</f>
        <v/>
      </c>
      <c r="M202" s="7">
        <f>C202-C201</f>
        <v/>
      </c>
      <c r="N202" s="7">
        <f>D202-D201</f>
        <v/>
      </c>
      <c r="O202" s="7">
        <f>LN(E202/E201)</f>
        <v/>
      </c>
      <c r="P202" s="7">
        <f>LN(F202/F201)</f>
        <v/>
      </c>
      <c r="Q202" s="7">
        <f>G202-G201</f>
        <v/>
      </c>
      <c r="R202" s="7">
        <f>H202-H201</f>
        <v/>
      </c>
      <c r="S202" s="7">
        <f>LN(I202/I201)</f>
        <v/>
      </c>
      <c r="T202" s="7">
        <f>LN(J202/J201)</f>
        <v/>
      </c>
    </row>
    <row r="203">
      <c r="A203" s="4" t="inlineStr">
        <is>
          <t>2019-09-30</t>
        </is>
      </c>
      <c r="B203" s="5" t="n">
        <v>1485.3</v>
      </c>
      <c r="C203" s="5" t="n">
        <v>1.53</v>
      </c>
      <c r="D203" s="5" t="n">
        <v>0.15</v>
      </c>
      <c r="E203" s="5" t="n">
        <v>99.379997</v>
      </c>
      <c r="F203" s="5" t="n">
        <v>54.09</v>
      </c>
      <c r="G203" s="5" t="n">
        <v>16.24</v>
      </c>
      <c r="H203" s="5" t="n">
        <v>77.199997</v>
      </c>
      <c r="I203" s="5" t="n">
        <v>2976.73999</v>
      </c>
      <c r="J203" s="5" t="n">
        <v>93.131332</v>
      </c>
      <c r="L203" s="7">
        <f>LN(B203/B202)</f>
        <v/>
      </c>
      <c r="M203" s="7">
        <f>C203-C202</f>
        <v/>
      </c>
      <c r="N203" s="7">
        <f>D203-D202</f>
        <v/>
      </c>
      <c r="O203" s="7">
        <f>LN(E203/E202)</f>
        <v/>
      </c>
      <c r="P203" s="7">
        <f>LN(F203/F202)</f>
        <v/>
      </c>
      <c r="Q203" s="7">
        <f>G203-G202</f>
        <v/>
      </c>
      <c r="R203" s="7">
        <f>H203-H202</f>
        <v/>
      </c>
      <c r="S203" s="7">
        <f>LN(I203/I202)</f>
        <v/>
      </c>
      <c r="T203" s="7">
        <f>LN(J203/J202)</f>
        <v/>
      </c>
    </row>
    <row r="204">
      <c r="A204" s="4" t="inlineStr">
        <is>
          <t>2019-10-31</t>
        </is>
      </c>
      <c r="B204" s="5" t="n">
        <v>1510.95</v>
      </c>
      <c r="C204" s="5" t="n">
        <v>1.54</v>
      </c>
      <c r="D204" s="5" t="n">
        <v>0.15</v>
      </c>
      <c r="E204" s="5" t="n">
        <v>97.349998</v>
      </c>
      <c r="F204" s="5" t="n">
        <v>54.02</v>
      </c>
      <c r="G204" s="5" t="n">
        <v>13.22</v>
      </c>
      <c r="H204" s="5" t="n">
        <v>65.879997</v>
      </c>
      <c r="I204" s="5" t="n">
        <v>3037.560059</v>
      </c>
      <c r="J204" s="5" t="n">
        <v>93.32514999999999</v>
      </c>
      <c r="L204" s="7">
        <f>LN(B204/B203)</f>
        <v/>
      </c>
      <c r="M204" s="7">
        <f>C204-C203</f>
        <v/>
      </c>
      <c r="N204" s="7">
        <f>D204-D203</f>
        <v/>
      </c>
      <c r="O204" s="7">
        <f>LN(E204/E203)</f>
        <v/>
      </c>
      <c r="P204" s="7">
        <f>LN(F204/F203)</f>
        <v/>
      </c>
      <c r="Q204" s="7">
        <f>G204-G203</f>
        <v/>
      </c>
      <c r="R204" s="7">
        <f>H204-H203</f>
        <v/>
      </c>
      <c r="S204" s="7">
        <f>LN(I204/I203)</f>
        <v/>
      </c>
      <c r="T204" s="7">
        <f>LN(J204/J203)</f>
        <v/>
      </c>
    </row>
    <row r="205">
      <c r="A205" s="4" t="inlineStr">
        <is>
          <t>2019-11-30</t>
        </is>
      </c>
      <c r="B205" s="5" t="n">
        <v>1460.15</v>
      </c>
      <c r="C205" s="5" t="n">
        <v>1.61</v>
      </c>
      <c r="D205" s="5" t="n">
        <v>0.17</v>
      </c>
      <c r="E205" s="5" t="n">
        <v>98.269997</v>
      </c>
      <c r="F205" s="5" t="n">
        <v>58.12</v>
      </c>
      <c r="G205" s="5" t="n">
        <v>12.62</v>
      </c>
      <c r="H205" s="5" t="n">
        <v>56.57</v>
      </c>
      <c r="I205" s="5" t="n">
        <v>3140.97998</v>
      </c>
      <c r="J205" s="5" t="n">
        <v>93.29291499999999</v>
      </c>
      <c r="L205" s="7">
        <f>LN(B205/B204)</f>
        <v/>
      </c>
      <c r="M205" s="7">
        <f>C205-C204</f>
        <v/>
      </c>
      <c r="N205" s="7">
        <f>D205-D204</f>
        <v/>
      </c>
      <c r="O205" s="7">
        <f>LN(E205/E204)</f>
        <v/>
      </c>
      <c r="P205" s="7">
        <f>LN(F205/F204)</f>
        <v/>
      </c>
      <c r="Q205" s="7">
        <f>G205-G204</f>
        <v/>
      </c>
      <c r="R205" s="7">
        <f>H205-H204</f>
        <v/>
      </c>
      <c r="S205" s="7">
        <f>LN(I205/I204)</f>
        <v/>
      </c>
      <c r="T205" s="7">
        <f>LN(J205/J204)</f>
        <v/>
      </c>
    </row>
    <row r="206">
      <c r="A206" s="4" t="inlineStr">
        <is>
          <t>2019-12-31</t>
        </is>
      </c>
      <c r="B206" s="5" t="n">
        <v>1514.75</v>
      </c>
      <c r="C206" s="5" t="n">
        <v>1.77</v>
      </c>
      <c r="D206" s="5" t="n">
        <v>0.15</v>
      </c>
      <c r="E206" s="5" t="n">
        <v>96.389999</v>
      </c>
      <c r="F206" s="5" t="n">
        <v>61.14</v>
      </c>
      <c r="G206" s="5" t="n">
        <v>13.78</v>
      </c>
      <c r="H206" s="5" t="n">
        <v>58.279999</v>
      </c>
      <c r="I206" s="5" t="n">
        <v>3230.780029</v>
      </c>
      <c r="J206" s="5" t="n">
        <v>93.249306</v>
      </c>
      <c r="L206" s="7">
        <f>LN(B206/B205)</f>
        <v/>
      </c>
      <c r="M206" s="7">
        <f>C206-C205</f>
        <v/>
      </c>
      <c r="N206" s="7">
        <f>D206-D205</f>
        <v/>
      </c>
      <c r="O206" s="7">
        <f>LN(E206/E205)</f>
        <v/>
      </c>
      <c r="P206" s="7">
        <f>LN(F206/F205)</f>
        <v/>
      </c>
      <c r="Q206" s="7">
        <f>G206-G205</f>
        <v/>
      </c>
      <c r="R206" s="7">
        <f>H206-H205</f>
        <v/>
      </c>
      <c r="S206" s="7">
        <f>LN(I206/I205)</f>
        <v/>
      </c>
      <c r="T206" s="7">
        <f>LN(J206/J205)</f>
        <v/>
      </c>
    </row>
    <row r="207">
      <c r="A207" s="4" t="inlineStr">
        <is>
          <t>2020-01-31</t>
        </is>
      </c>
      <c r="B207" s="5" t="n">
        <v>1584.2</v>
      </c>
      <c r="C207" s="5" t="n">
        <v>1.65</v>
      </c>
      <c r="D207" s="5" t="n">
        <v>-0.14</v>
      </c>
      <c r="E207" s="5" t="n">
        <v>97.389999</v>
      </c>
      <c r="F207" s="5" t="n">
        <v>51.58</v>
      </c>
      <c r="G207" s="5" t="n">
        <v>18.84</v>
      </c>
      <c r="H207" s="5" t="n">
        <v>72.980003</v>
      </c>
      <c r="I207" s="5" t="n">
        <v>3225.52002</v>
      </c>
      <c r="J207" s="5" t="n">
        <v>95.141327</v>
      </c>
      <c r="L207" s="7">
        <f>LN(B207/B206)</f>
        <v/>
      </c>
      <c r="M207" s="7">
        <f>C207-C206</f>
        <v/>
      </c>
      <c r="N207" s="7">
        <f>D207-D206</f>
        <v/>
      </c>
      <c r="O207" s="7">
        <f>LN(E207/E206)</f>
        <v/>
      </c>
      <c r="P207" s="7">
        <f>LN(F207/F206)</f>
        <v/>
      </c>
      <c r="Q207" s="7">
        <f>G207-G206</f>
        <v/>
      </c>
      <c r="R207" s="7">
        <f>H207-H206</f>
        <v/>
      </c>
      <c r="S207" s="7">
        <f>LN(I207/I206)</f>
        <v/>
      </c>
      <c r="T207" s="7">
        <f>LN(J207/J206)</f>
        <v/>
      </c>
    </row>
    <row r="208">
      <c r="A208" s="4" t="inlineStr">
        <is>
          <t>2020-02-29</t>
        </is>
      </c>
      <c r="B208" s="5" t="n">
        <v>1609.85</v>
      </c>
      <c r="C208" s="5" t="n">
        <v>1.41</v>
      </c>
      <c r="D208" s="5" t="n">
        <v>-0.28</v>
      </c>
      <c r="E208" s="5" t="n">
        <v>98.129997</v>
      </c>
      <c r="F208" s="5" t="n">
        <v>44.83</v>
      </c>
      <c r="G208" s="5" t="n">
        <v>40.11</v>
      </c>
      <c r="H208" s="5" t="n">
        <v>109.669998</v>
      </c>
      <c r="I208" s="5" t="n">
        <v>2954.219971</v>
      </c>
      <c r="J208" s="5" t="n">
        <v>96.649017</v>
      </c>
      <c r="L208" s="7">
        <f>LN(B208/B207)</f>
        <v/>
      </c>
      <c r="M208" s="7">
        <f>C208-C207</f>
        <v/>
      </c>
      <c r="N208" s="7">
        <f>D208-D207</f>
        <v/>
      </c>
      <c r="O208" s="7">
        <f>LN(E208/E207)</f>
        <v/>
      </c>
      <c r="P208" s="7">
        <f>LN(F208/F207)</f>
        <v/>
      </c>
      <c r="Q208" s="7">
        <f>G208-G207</f>
        <v/>
      </c>
      <c r="R208" s="7">
        <f>H208-H207</f>
        <v/>
      </c>
      <c r="S208" s="7">
        <f>LN(I208/I207)</f>
        <v/>
      </c>
      <c r="T208" s="7">
        <f>LN(J208/J207)</f>
        <v/>
      </c>
    </row>
    <row r="209">
      <c r="A209" s="4" t="inlineStr">
        <is>
          <t>2020-03-31</t>
        </is>
      </c>
      <c r="B209" s="5" t="n">
        <v>1608.95</v>
      </c>
      <c r="C209" s="5" t="n">
        <v>0.87</v>
      </c>
      <c r="D209" s="5" t="n">
        <v>-0.17</v>
      </c>
      <c r="E209" s="5" t="n">
        <v>99.050003</v>
      </c>
      <c r="F209" s="5" t="n">
        <v>20.51</v>
      </c>
      <c r="G209" s="5" t="n">
        <v>53.54</v>
      </c>
      <c r="H209" s="5" t="n">
        <v>83.870003</v>
      </c>
      <c r="I209" s="5" t="n">
        <v>2584.590088</v>
      </c>
      <c r="J209" s="5" t="n">
        <v>96.13986199999999</v>
      </c>
      <c r="L209" s="7">
        <f>LN(B209/B208)</f>
        <v/>
      </c>
      <c r="M209" s="7">
        <f>C209-C208</f>
        <v/>
      </c>
      <c r="N209" s="7">
        <f>D209-D208</f>
        <v/>
      </c>
      <c r="O209" s="7">
        <f>LN(E209/E208)</f>
        <v/>
      </c>
      <c r="P209" s="7">
        <f>LN(F209/F208)</f>
        <v/>
      </c>
      <c r="Q209" s="7">
        <f>G209-G208</f>
        <v/>
      </c>
      <c r="R209" s="7">
        <f>H209-H208</f>
        <v/>
      </c>
      <c r="S209" s="7">
        <f>LN(I209/I208)</f>
        <v/>
      </c>
      <c r="T209" s="7">
        <f>LN(J209/J208)</f>
        <v/>
      </c>
    </row>
    <row r="210">
      <c r="A210" s="4" t="inlineStr">
        <is>
          <t>2020-04-30</t>
        </is>
      </c>
      <c r="B210" s="5" t="n">
        <v>1702.75</v>
      </c>
      <c r="C210" s="5" t="n">
        <v>1.07</v>
      </c>
      <c r="D210" s="5" t="n">
        <v>-0.43</v>
      </c>
      <c r="E210" s="5" t="n">
        <v>99.019997</v>
      </c>
      <c r="F210" s="5" t="n">
        <v>19.23</v>
      </c>
      <c r="G210" s="5" t="n">
        <v>34.15</v>
      </c>
      <c r="H210" s="5" t="n">
        <v>53.59</v>
      </c>
      <c r="I210" s="5" t="n">
        <v>2912.429932</v>
      </c>
      <c r="J210" s="5" t="n">
        <v>97.792542</v>
      </c>
      <c r="L210" s="7">
        <f>LN(B210/B209)</f>
        <v/>
      </c>
      <c r="M210" s="7">
        <f>C210-C209</f>
        <v/>
      </c>
      <c r="N210" s="7">
        <f>D210-D209</f>
        <v/>
      </c>
      <c r="O210" s="7">
        <f>LN(E210/E209)</f>
        <v/>
      </c>
      <c r="P210" s="7">
        <f>LN(F210/F209)</f>
        <v/>
      </c>
      <c r="Q210" s="7">
        <f>G210-G209</f>
        <v/>
      </c>
      <c r="R210" s="7">
        <f>H210-H209</f>
        <v/>
      </c>
      <c r="S210" s="7">
        <f>LN(I210/I209)</f>
        <v/>
      </c>
      <c r="T210" s="7">
        <f>LN(J210/J209)</f>
        <v/>
      </c>
    </row>
    <row r="211">
      <c r="A211" s="4" t="inlineStr">
        <is>
          <t>2020-05-31</t>
        </is>
      </c>
      <c r="B211" s="5" t="n">
        <v>1728.7</v>
      </c>
      <c r="C211" s="5" t="n">
        <v>1.15</v>
      </c>
      <c r="D211" s="5" t="n">
        <v>-0.5</v>
      </c>
      <c r="E211" s="5" t="n">
        <v>98.339996</v>
      </c>
      <c r="F211" s="5" t="n">
        <v>35.57</v>
      </c>
      <c r="G211" s="5" t="n">
        <v>27.51</v>
      </c>
      <c r="H211" s="5" t="n">
        <v>51.549999</v>
      </c>
      <c r="I211" s="5" t="n">
        <v>3044.310059</v>
      </c>
      <c r="J211" s="5" t="n">
        <v>98.450294</v>
      </c>
      <c r="L211" s="7">
        <f>LN(B211/B210)</f>
        <v/>
      </c>
      <c r="M211" s="7">
        <f>C211-C210</f>
        <v/>
      </c>
      <c r="N211" s="7">
        <f>D211-D210</f>
        <v/>
      </c>
      <c r="O211" s="7">
        <f>LN(E211/E210)</f>
        <v/>
      </c>
      <c r="P211" s="7">
        <f>LN(F211/F210)</f>
        <v/>
      </c>
      <c r="Q211" s="7">
        <f>G211-G210</f>
        <v/>
      </c>
      <c r="R211" s="7">
        <f>H211-H210</f>
        <v/>
      </c>
      <c r="S211" s="7">
        <f>LN(I211/I210)</f>
        <v/>
      </c>
      <c r="T211" s="7">
        <f>LN(J211/J210)</f>
        <v/>
      </c>
    </row>
    <row r="212">
      <c r="A212" s="4" t="inlineStr">
        <is>
          <t>2020-06-30</t>
        </is>
      </c>
      <c r="B212" s="5" t="n">
        <v>1768.1</v>
      </c>
      <c r="C212" s="5" t="n">
        <v>1.34</v>
      </c>
      <c r="D212" s="5" t="n">
        <v>-0.68</v>
      </c>
      <c r="E212" s="5" t="n">
        <v>97.389999</v>
      </c>
      <c r="F212" s="5" t="n">
        <v>39.27</v>
      </c>
      <c r="G212" s="5" t="n">
        <v>30.43</v>
      </c>
      <c r="H212" s="5" t="n">
        <v>54.130001</v>
      </c>
      <c r="I212" s="5" t="n">
        <v>3100.290039</v>
      </c>
      <c r="J212" s="5" t="n">
        <v>99.099182</v>
      </c>
      <c r="L212" s="7">
        <f>LN(B212/B211)</f>
        <v/>
      </c>
      <c r="M212" s="7">
        <f>C212-C211</f>
        <v/>
      </c>
      <c r="N212" s="7">
        <f>D212-D211</f>
        <v/>
      </c>
      <c r="O212" s="7">
        <f>LN(E212/E211)</f>
        <v/>
      </c>
      <c r="P212" s="7">
        <f>LN(F212/F211)</f>
        <v/>
      </c>
      <c r="Q212" s="7">
        <f>G212-G211</f>
        <v/>
      </c>
      <c r="R212" s="7">
        <f>H212-H211</f>
        <v/>
      </c>
      <c r="S212" s="7">
        <f>LN(I212/I211)</f>
        <v/>
      </c>
      <c r="T212" s="7">
        <f>LN(J212/J211)</f>
        <v/>
      </c>
    </row>
    <row r="213">
      <c r="A213" s="4" t="inlineStr">
        <is>
          <t>2020-07-31</t>
        </is>
      </c>
      <c r="B213" s="5" t="n">
        <v>1964.9</v>
      </c>
      <c r="C213" s="5" t="n">
        <v>1.55</v>
      </c>
      <c r="D213" s="5" t="n">
        <v>-1</v>
      </c>
      <c r="E213" s="5" t="n">
        <v>93.489998</v>
      </c>
      <c r="F213" s="5" t="n">
        <v>40.1</v>
      </c>
      <c r="G213" s="5" t="n">
        <v>24.46</v>
      </c>
      <c r="H213" s="5" t="n">
        <v>41.98</v>
      </c>
      <c r="I213" s="5" t="n">
        <v>3271.120117</v>
      </c>
      <c r="J213" s="5" t="n">
        <v>100.420334</v>
      </c>
      <c r="L213" s="7">
        <f>LN(B213/B212)</f>
        <v/>
      </c>
      <c r="M213" s="7">
        <f>C213-C212</f>
        <v/>
      </c>
      <c r="N213" s="7">
        <f>D213-D212</f>
        <v/>
      </c>
      <c r="O213" s="7">
        <f>LN(E213/E212)</f>
        <v/>
      </c>
      <c r="P213" s="7">
        <f>LN(F213/F212)</f>
        <v/>
      </c>
      <c r="Q213" s="7">
        <f>G213-G212</f>
        <v/>
      </c>
      <c r="R213" s="7">
        <f>H213-H212</f>
        <v/>
      </c>
      <c r="S213" s="7">
        <f>LN(I213/I212)</f>
        <v/>
      </c>
      <c r="T213" s="7">
        <f>LN(J213/J212)</f>
        <v/>
      </c>
    </row>
    <row r="214">
      <c r="A214" s="4" t="inlineStr">
        <is>
          <t>2020-08-31</t>
        </is>
      </c>
      <c r="B214" s="5" t="n">
        <v>1957.35</v>
      </c>
      <c r="C214" s="5" t="n">
        <v>1.8</v>
      </c>
      <c r="D214" s="5" t="n">
        <v>-1.08</v>
      </c>
      <c r="E214" s="5" t="n">
        <v>92.139999</v>
      </c>
      <c r="F214" s="5" t="n">
        <v>42.61</v>
      </c>
      <c r="G214" s="5" t="n">
        <v>26.41</v>
      </c>
      <c r="H214" s="5" t="n">
        <v>47.02</v>
      </c>
      <c r="I214" s="5" t="n">
        <v>3500.310059</v>
      </c>
      <c r="J214" s="5" t="n">
        <v>99.593239</v>
      </c>
      <c r="L214" s="7">
        <f>LN(B214/B213)</f>
        <v/>
      </c>
      <c r="M214" s="7">
        <f>C214-C213</f>
        <v/>
      </c>
      <c r="N214" s="7">
        <f>D214-D213</f>
        <v/>
      </c>
      <c r="O214" s="7">
        <f>LN(E214/E213)</f>
        <v/>
      </c>
      <c r="P214" s="7">
        <f>LN(F214/F213)</f>
        <v/>
      </c>
      <c r="Q214" s="7">
        <f>G214-G213</f>
        <v/>
      </c>
      <c r="R214" s="7">
        <f>H214-H213</f>
        <v/>
      </c>
      <c r="S214" s="7">
        <f>LN(I214/I213)</f>
        <v/>
      </c>
      <c r="T214" s="7">
        <f>LN(J214/J213)</f>
        <v/>
      </c>
    </row>
    <row r="215">
      <c r="A215" s="4" t="inlineStr">
        <is>
          <t>2020-09-30</t>
        </is>
      </c>
      <c r="B215" s="5" t="n">
        <v>1886.9</v>
      </c>
      <c r="C215" s="5" t="n">
        <v>1.63</v>
      </c>
      <c r="D215" s="5" t="n">
        <v>-0.9399999999999999</v>
      </c>
      <c r="E215" s="5" t="n">
        <v>93.889999</v>
      </c>
      <c r="F215" s="5" t="n">
        <v>40.05</v>
      </c>
      <c r="G215" s="5" t="n">
        <v>26.37</v>
      </c>
      <c r="H215" s="5" t="n">
        <v>39.209999</v>
      </c>
      <c r="I215" s="5" t="n">
        <v>3363</v>
      </c>
      <c r="J215" s="5" t="n">
        <v>99.496353</v>
      </c>
      <c r="L215" s="7">
        <f>LN(B215/B214)</f>
        <v/>
      </c>
      <c r="M215" s="7">
        <f>C215-C214</f>
        <v/>
      </c>
      <c r="N215" s="7">
        <f>D215-D214</f>
        <v/>
      </c>
      <c r="O215" s="7">
        <f>LN(E215/E214)</f>
        <v/>
      </c>
      <c r="P215" s="7">
        <f>LN(F215/F214)</f>
        <v/>
      </c>
      <c r="Q215" s="7">
        <f>G215-G214</f>
        <v/>
      </c>
      <c r="R215" s="7">
        <f>H215-H214</f>
        <v/>
      </c>
      <c r="S215" s="7">
        <f>LN(I215/I214)</f>
        <v/>
      </c>
      <c r="T215" s="7">
        <f>LN(J215/J214)</f>
        <v/>
      </c>
    </row>
    <row r="216">
      <c r="A216" s="4" t="inlineStr">
        <is>
          <t>2020-10-31</t>
        </is>
      </c>
      <c r="B216" s="5" t="n">
        <v>1881.85</v>
      </c>
      <c r="C216" s="5" t="n">
        <v>1.7</v>
      </c>
      <c r="D216" s="5" t="n">
        <v>-0.82</v>
      </c>
      <c r="E216" s="5" t="n">
        <v>94.040001</v>
      </c>
      <c r="F216" s="5" t="n">
        <v>35.64</v>
      </c>
      <c r="G216" s="5" t="n">
        <v>38.02</v>
      </c>
      <c r="H216" s="5" t="n">
        <v>61.91</v>
      </c>
      <c r="I216" s="5" t="n">
        <v>3269.959961</v>
      </c>
      <c r="J216" s="5" t="n">
        <v>98.94088000000001</v>
      </c>
      <c r="L216" s="7">
        <f>LN(B216/B215)</f>
        <v/>
      </c>
      <c r="M216" s="7">
        <f>C216-C215</f>
        <v/>
      </c>
      <c r="N216" s="7">
        <f>D216-D215</f>
        <v/>
      </c>
      <c r="O216" s="7">
        <f>LN(E216/E215)</f>
        <v/>
      </c>
      <c r="P216" s="7">
        <f>LN(F216/F215)</f>
        <v/>
      </c>
      <c r="Q216" s="7">
        <f>G216-G215</f>
        <v/>
      </c>
      <c r="R216" s="7">
        <f>H216-H215</f>
        <v/>
      </c>
      <c r="S216" s="7">
        <f>LN(I216/I215)</f>
        <v/>
      </c>
      <c r="T216" s="7">
        <f>LN(J216/J215)</f>
        <v/>
      </c>
    </row>
    <row r="217">
      <c r="A217" s="4" t="inlineStr">
        <is>
          <t>2020-11-30</t>
        </is>
      </c>
      <c r="B217" s="5" t="n">
        <v>1762.55</v>
      </c>
      <c r="C217" s="5" t="n">
        <v>1.77</v>
      </c>
      <c r="D217" s="5" t="n">
        <v>-0.93</v>
      </c>
      <c r="E217" s="5" t="n">
        <v>91.870003</v>
      </c>
      <c r="F217" s="5" t="n">
        <v>45.2</v>
      </c>
      <c r="G217" s="5" t="n">
        <v>20.57</v>
      </c>
      <c r="H217" s="5" t="n">
        <v>40.84</v>
      </c>
      <c r="I217" s="5" t="n">
        <v>3621.629883</v>
      </c>
      <c r="J217" s="5" t="n">
        <v>100.134834</v>
      </c>
      <c r="L217" s="7">
        <f>LN(B217/B216)</f>
        <v/>
      </c>
      <c r="M217" s="7">
        <f>C217-C216</f>
        <v/>
      </c>
      <c r="N217" s="7">
        <f>D217-D216</f>
        <v/>
      </c>
      <c r="O217" s="7">
        <f>LN(E217/E216)</f>
        <v/>
      </c>
      <c r="P217" s="7">
        <f>LN(F217/F216)</f>
        <v/>
      </c>
      <c r="Q217" s="7">
        <f>G217-G216</f>
        <v/>
      </c>
      <c r="R217" s="7">
        <f>H217-H216</f>
        <v/>
      </c>
      <c r="S217" s="7">
        <f>LN(I217/I216)</f>
        <v/>
      </c>
      <c r="T217" s="7">
        <f>LN(J217/J216)</f>
        <v/>
      </c>
    </row>
    <row r="218">
      <c r="A218" s="4" t="inlineStr">
        <is>
          <t>2020-12-31</t>
        </is>
      </c>
      <c r="B218" s="5" t="n">
        <v>1887.6</v>
      </c>
      <c r="C218" s="5" t="n">
        <v>1.99</v>
      </c>
      <c r="D218" s="5" t="n">
        <v>-1.06</v>
      </c>
      <c r="E218" s="5" t="n">
        <v>89.94000200000001</v>
      </c>
      <c r="F218" s="5" t="n">
        <v>48.35</v>
      </c>
      <c r="G218" s="5" t="n">
        <v>22.75</v>
      </c>
      <c r="H218" s="5" t="n">
        <v>48.98</v>
      </c>
      <c r="I218" s="5" t="n">
        <v>3756.070068</v>
      </c>
      <c r="J218" s="5" t="n">
        <v>100.220718</v>
      </c>
      <c r="L218" s="7">
        <f>LN(B218/B217)</f>
        <v/>
      </c>
      <c r="M218" s="7">
        <f>C218-C217</f>
        <v/>
      </c>
      <c r="N218" s="7">
        <f>D218-D217</f>
        <v/>
      </c>
      <c r="O218" s="7">
        <f>LN(E218/E217)</f>
        <v/>
      </c>
      <c r="P218" s="7">
        <f>LN(F218/F217)</f>
        <v/>
      </c>
      <c r="Q218" s="7">
        <f>G218-G217</f>
        <v/>
      </c>
      <c r="R218" s="7">
        <f>H218-H217</f>
        <v/>
      </c>
      <c r="S218" s="7">
        <f>LN(I218/I217)</f>
        <v/>
      </c>
      <c r="T218" s="7">
        <f>LN(J218/J217)</f>
        <v/>
      </c>
    </row>
    <row r="219">
      <c r="A219" s="4" t="inlineStr">
        <is>
          <t>2021-01-31</t>
        </is>
      </c>
      <c r="B219" s="5" t="n">
        <v>1863.8</v>
      </c>
      <c r="C219" s="5" t="n">
        <v>2.13</v>
      </c>
      <c r="D219" s="5" t="n">
        <v>-1.02</v>
      </c>
      <c r="E219" s="5" t="n">
        <v>90.58000199999999</v>
      </c>
      <c r="F219" s="5" t="n">
        <v>52.16</v>
      </c>
      <c r="G219" s="5" t="n">
        <v>33.09</v>
      </c>
      <c r="H219" s="5" t="n">
        <v>47.41</v>
      </c>
      <c r="I219" s="5" t="n">
        <v>3714.23999</v>
      </c>
      <c r="J219" s="5" t="n">
        <v>99.474518</v>
      </c>
      <c r="L219" s="7">
        <f>LN(B219/B218)</f>
        <v/>
      </c>
      <c r="M219" s="7">
        <f>C219-C218</f>
        <v/>
      </c>
      <c r="N219" s="7">
        <f>D219-D218</f>
        <v/>
      </c>
      <c r="O219" s="7">
        <f>LN(E219/E218)</f>
        <v/>
      </c>
      <c r="P219" s="7">
        <f>LN(F219/F218)</f>
        <v/>
      </c>
      <c r="Q219" s="7">
        <f>G219-G218</f>
        <v/>
      </c>
      <c r="R219" s="7">
        <f>H219-H218</f>
        <v/>
      </c>
      <c r="S219" s="7">
        <f>LN(I219/I218)</f>
        <v/>
      </c>
      <c r="T219" s="7">
        <f>LN(J219/J218)</f>
        <v/>
      </c>
    </row>
    <row r="220">
      <c r="A220" s="4" t="inlineStr">
        <is>
          <t>2021-02-28</t>
        </is>
      </c>
      <c r="B220" s="5" t="n">
        <v>1742.85</v>
      </c>
      <c r="C220" s="5" t="n">
        <v>2.15</v>
      </c>
      <c r="D220" s="5" t="n">
        <v>-0.71</v>
      </c>
      <c r="E220" s="5" t="n">
        <v>90.93000000000001</v>
      </c>
      <c r="F220" s="5" t="n">
        <v>61.55</v>
      </c>
      <c r="G220" s="5" t="n">
        <v>27.95</v>
      </c>
      <c r="H220" s="5" t="n">
        <v>75.660004</v>
      </c>
      <c r="I220" s="5" t="n">
        <v>3811.149902</v>
      </c>
      <c r="J220" s="5" t="n">
        <v>97.964348</v>
      </c>
      <c r="L220" s="7">
        <f>LN(B220/B219)</f>
        <v/>
      </c>
      <c r="M220" s="7">
        <f>C220-C219</f>
        <v/>
      </c>
      <c r="N220" s="7">
        <f>D220-D219</f>
        <v/>
      </c>
      <c r="O220" s="7">
        <f>LN(E220/E219)</f>
        <v/>
      </c>
      <c r="P220" s="7">
        <f>LN(F220/F219)</f>
        <v/>
      </c>
      <c r="Q220" s="7">
        <f>G220-G219</f>
        <v/>
      </c>
      <c r="R220" s="7">
        <f>H220-H219</f>
        <v/>
      </c>
      <c r="S220" s="7">
        <f>LN(I220/I219)</f>
        <v/>
      </c>
      <c r="T220" s="7">
        <f>LN(J220/J219)</f>
        <v/>
      </c>
    </row>
    <row r="221">
      <c r="A221" s="4" t="inlineStr">
        <is>
          <t>2021-03-31</t>
        </is>
      </c>
      <c r="B221" s="5" t="n">
        <v>1691.05</v>
      </c>
      <c r="C221" s="5" t="n">
        <v>2.37</v>
      </c>
      <c r="D221" s="5" t="n">
        <v>-0.63</v>
      </c>
      <c r="E221" s="5" t="n">
        <v>93.230003</v>
      </c>
      <c r="F221" s="5" t="n">
        <v>59.19</v>
      </c>
      <c r="G221" s="5" t="n">
        <v>19.4</v>
      </c>
      <c r="H221" s="5" t="n">
        <v>71.269997</v>
      </c>
      <c r="I221" s="5" t="n">
        <v>3972.889893</v>
      </c>
      <c r="J221" s="5" t="n">
        <v>96.841354</v>
      </c>
      <c r="L221" s="7">
        <f>LN(B221/B220)</f>
        <v/>
      </c>
      <c r="M221" s="7">
        <f>C221-C220</f>
        <v/>
      </c>
      <c r="N221" s="7">
        <f>D221-D220</f>
        <v/>
      </c>
      <c r="O221" s="7">
        <f>LN(E221/E220)</f>
        <v/>
      </c>
      <c r="P221" s="7">
        <f>LN(F221/F220)</f>
        <v/>
      </c>
      <c r="Q221" s="7">
        <f>G221-G220</f>
        <v/>
      </c>
      <c r="R221" s="7">
        <f>H221-H220</f>
        <v/>
      </c>
      <c r="S221" s="7">
        <f>LN(I221/I220)</f>
        <v/>
      </c>
      <c r="T221" s="7">
        <f>LN(J221/J220)</f>
        <v/>
      </c>
    </row>
    <row r="222">
      <c r="A222" s="4" t="inlineStr">
        <is>
          <t>2021-04-30</t>
        </is>
      </c>
      <c r="B222" s="5" t="n">
        <v>1767.65</v>
      </c>
      <c r="C222" s="5" t="n">
        <v>2.41</v>
      </c>
      <c r="D222" s="5" t="n">
        <v>-0.76</v>
      </c>
      <c r="E222" s="5" t="n">
        <v>91.279999</v>
      </c>
      <c r="F222" s="5" t="n">
        <v>63.5</v>
      </c>
      <c r="G222" s="5" t="n">
        <v>18.61</v>
      </c>
      <c r="H222" s="5" t="n">
        <v>58.130001</v>
      </c>
      <c r="I222" s="5" t="n">
        <v>4181.169922</v>
      </c>
      <c r="J222" s="5" t="n">
        <v>97.550262</v>
      </c>
      <c r="L222" s="7">
        <f>LN(B222/B221)</f>
        <v/>
      </c>
      <c r="M222" s="7">
        <f>C222-C221</f>
        <v/>
      </c>
      <c r="N222" s="7">
        <f>D222-D221</f>
        <v/>
      </c>
      <c r="O222" s="7">
        <f>LN(E222/E221)</f>
        <v/>
      </c>
      <c r="P222" s="7">
        <f>LN(F222/F221)</f>
        <v/>
      </c>
      <c r="Q222" s="7">
        <f>G222-G221</f>
        <v/>
      </c>
      <c r="R222" s="7">
        <f>H222-H221</f>
        <v/>
      </c>
      <c r="S222" s="7">
        <f>LN(I222/I221)</f>
        <v/>
      </c>
      <c r="T222" s="7">
        <f>LN(J222/J221)</f>
        <v/>
      </c>
    </row>
    <row r="223">
      <c r="A223" s="4" t="inlineStr">
        <is>
          <t>2021-05-31</t>
        </is>
      </c>
      <c r="B223" s="5" t="n">
        <v>1899.95</v>
      </c>
      <c r="C223" s="5" t="n">
        <v>2.42</v>
      </c>
      <c r="D223" s="5" t="n">
        <v>-0.84</v>
      </c>
      <c r="E223" s="5" t="n">
        <v>90.029999</v>
      </c>
      <c r="F223" s="5" t="n">
        <v>66.31</v>
      </c>
      <c r="G223" s="5" t="n">
        <v>16.76</v>
      </c>
      <c r="H223" s="5" t="n">
        <v>52.040001</v>
      </c>
      <c r="I223" s="5" t="n">
        <v>4204.109863</v>
      </c>
      <c r="J223" s="5" t="n">
        <v>97.749115</v>
      </c>
      <c r="L223" s="7">
        <f>LN(B223/B222)</f>
        <v/>
      </c>
      <c r="M223" s="7">
        <f>C223-C222</f>
        <v/>
      </c>
      <c r="N223" s="7">
        <f>D223-D222</f>
        <v/>
      </c>
      <c r="O223" s="7">
        <f>LN(E223/E222)</f>
        <v/>
      </c>
      <c r="P223" s="7">
        <f>LN(F223/F222)</f>
        <v/>
      </c>
      <c r="Q223" s="7">
        <f>G223-G222</f>
        <v/>
      </c>
      <c r="R223" s="7">
        <f>H223-H222</f>
        <v/>
      </c>
      <c r="S223" s="7">
        <f>LN(I223/I222)</f>
        <v/>
      </c>
      <c r="T223" s="7">
        <f>LN(J223/J222)</f>
        <v/>
      </c>
    </row>
    <row r="224">
      <c r="A224" s="4" t="inlineStr">
        <is>
          <t>2021-06-30</t>
        </is>
      </c>
      <c r="B224" s="5" t="n">
        <v>1763.15</v>
      </c>
      <c r="C224" s="5" t="n">
        <v>2.32</v>
      </c>
      <c r="D224" s="5" t="n">
        <v>-0.87</v>
      </c>
      <c r="E224" s="5" t="n">
        <v>92.44000200000001</v>
      </c>
      <c r="F224" s="5" t="n">
        <v>73.52</v>
      </c>
      <c r="G224" s="5" t="n">
        <v>15.83</v>
      </c>
      <c r="H224" s="5" t="n">
        <v>57.27</v>
      </c>
      <c r="I224" s="5" t="n">
        <v>4297.5</v>
      </c>
      <c r="J224" s="5" t="n">
        <v>98.55832700000001</v>
      </c>
      <c r="L224" s="7">
        <f>LN(B224/B223)</f>
        <v/>
      </c>
      <c r="M224" s="7">
        <f>C224-C223</f>
        <v/>
      </c>
      <c r="N224" s="7">
        <f>D224-D223</f>
        <v/>
      </c>
      <c r="O224" s="7">
        <f>LN(E224/E223)</f>
        <v/>
      </c>
      <c r="P224" s="7">
        <f>LN(F224/F223)</f>
        <v/>
      </c>
      <c r="Q224" s="7">
        <f>G224-G223</f>
        <v/>
      </c>
      <c r="R224" s="7">
        <f>H224-H223</f>
        <v/>
      </c>
      <c r="S224" s="7">
        <f>LN(I224/I223)</f>
        <v/>
      </c>
      <c r="T224" s="7">
        <f>LN(J224/J223)</f>
        <v/>
      </c>
    </row>
    <row r="225">
      <c r="A225" s="4" t="inlineStr">
        <is>
          <t>2021-07-31</t>
        </is>
      </c>
      <c r="B225" s="5" t="n">
        <v>1825.75</v>
      </c>
      <c r="C225" s="5" t="n">
        <v>2.4</v>
      </c>
      <c r="D225" s="5" t="n">
        <v>-1.16</v>
      </c>
      <c r="E225" s="5" t="n">
        <v>92.16999800000001</v>
      </c>
      <c r="F225" s="5" t="n">
        <v>73.93000000000001</v>
      </c>
      <c r="G225" s="5" t="n">
        <v>18.24</v>
      </c>
      <c r="H225" s="5" t="n">
        <v>61.189999</v>
      </c>
      <c r="I225" s="5" t="n">
        <v>4395.259766</v>
      </c>
      <c r="J225" s="5" t="n">
        <v>99.658821</v>
      </c>
      <c r="L225" s="7">
        <f>LN(B225/B224)</f>
        <v/>
      </c>
      <c r="M225" s="7">
        <f>C225-C224</f>
        <v/>
      </c>
      <c r="N225" s="7">
        <f>D225-D224</f>
        <v/>
      </c>
      <c r="O225" s="7">
        <f>LN(E225/E224)</f>
        <v/>
      </c>
      <c r="P225" s="7">
        <f>LN(F225/F224)</f>
        <v/>
      </c>
      <c r="Q225" s="7">
        <f>G225-G224</f>
        <v/>
      </c>
      <c r="R225" s="7">
        <f>H225-H224</f>
        <v/>
      </c>
      <c r="S225" s="7">
        <f>LN(I225/I224)</f>
        <v/>
      </c>
      <c r="T225" s="7">
        <f>LN(J225/J224)</f>
        <v/>
      </c>
    </row>
    <row r="226">
      <c r="A226" s="4" t="inlineStr">
        <is>
          <t>2021-08-31</t>
        </is>
      </c>
      <c r="B226" s="5" t="n">
        <v>1814.85</v>
      </c>
      <c r="C226" s="5" t="n">
        <v>2.33</v>
      </c>
      <c r="D226" s="5" t="n">
        <v>-1.03</v>
      </c>
      <c r="E226" s="5" t="n">
        <v>92.629997</v>
      </c>
      <c r="F226" s="5" t="n">
        <v>68.43000000000001</v>
      </c>
      <c r="G226" s="5" t="n">
        <v>16.48</v>
      </c>
      <c r="H226" s="5" t="n">
        <v>59.540001</v>
      </c>
      <c r="I226" s="5" t="n">
        <v>4522.680176</v>
      </c>
      <c r="J226" s="5" t="n">
        <v>99.45916</v>
      </c>
      <c r="L226" s="7">
        <f>LN(B226/B225)</f>
        <v/>
      </c>
      <c r="M226" s="7">
        <f>C226-C225</f>
        <v/>
      </c>
      <c r="N226" s="7">
        <f>D226-D225</f>
        <v/>
      </c>
      <c r="O226" s="7">
        <f>LN(E226/E225)</f>
        <v/>
      </c>
      <c r="P226" s="7">
        <f>LN(F226/F225)</f>
        <v/>
      </c>
      <c r="Q226" s="7">
        <f>G226-G225</f>
        <v/>
      </c>
      <c r="R226" s="7">
        <f>H226-H225</f>
        <v/>
      </c>
      <c r="S226" s="7">
        <f>LN(I226/I225)</f>
        <v/>
      </c>
      <c r="T226" s="7">
        <f>LN(J226/J225)</f>
        <v/>
      </c>
    </row>
    <row r="227">
      <c r="A227" s="4" t="inlineStr">
        <is>
          <t>2021-09-30</t>
        </is>
      </c>
      <c r="B227" s="5" t="n">
        <v>1742.8</v>
      </c>
      <c r="C227" s="5" t="n">
        <v>2.37</v>
      </c>
      <c r="D227" s="5" t="n">
        <v>-0.85</v>
      </c>
      <c r="E227" s="5" t="n">
        <v>94.25</v>
      </c>
      <c r="F227" s="5" t="n">
        <v>75.22</v>
      </c>
      <c r="G227" s="5" t="n">
        <v>23.14</v>
      </c>
      <c r="H227" s="5" t="n">
        <v>61.07</v>
      </c>
      <c r="I227" s="5" t="n">
        <v>4307.540039</v>
      </c>
      <c r="J227" s="5" t="n">
        <v>98.546898</v>
      </c>
      <c r="L227" s="7">
        <f>LN(B227/B226)</f>
        <v/>
      </c>
      <c r="M227" s="7">
        <f>C227-C226</f>
        <v/>
      </c>
      <c r="N227" s="7">
        <f>D227-D226</f>
        <v/>
      </c>
      <c r="O227" s="7">
        <f>LN(E227/E226)</f>
        <v/>
      </c>
      <c r="P227" s="7">
        <f>LN(F227/F226)</f>
        <v/>
      </c>
      <c r="Q227" s="7">
        <f>G227-G226</f>
        <v/>
      </c>
      <c r="R227" s="7">
        <f>H227-H226</f>
        <v/>
      </c>
      <c r="S227" s="7">
        <f>LN(I227/I226)</f>
        <v/>
      </c>
      <c r="T227" s="7">
        <f>LN(J227/J226)</f>
        <v/>
      </c>
    </row>
    <row r="228">
      <c r="A228" s="4" t="inlineStr">
        <is>
          <t>2021-10-31</t>
        </is>
      </c>
      <c r="B228" s="5" t="n">
        <v>1769.15</v>
      </c>
      <c r="C228" s="5" t="n">
        <v>2.51</v>
      </c>
      <c r="D228" s="5" t="n">
        <v>-0.96</v>
      </c>
      <c r="E228" s="5" t="n">
        <v>94.120003</v>
      </c>
      <c r="F228" s="5" t="n">
        <v>83.5</v>
      </c>
      <c r="G228" s="5" t="n">
        <v>16.26</v>
      </c>
      <c r="H228" s="5" t="n">
        <v>75.449997</v>
      </c>
      <c r="I228" s="5" t="n">
        <v>4605.379883</v>
      </c>
      <c r="J228" s="5" t="n">
        <v>98.538284</v>
      </c>
      <c r="L228" s="7">
        <f>LN(B228/B227)</f>
        <v/>
      </c>
      <c r="M228" s="7">
        <f>C228-C227</f>
        <v/>
      </c>
      <c r="N228" s="7">
        <f>D228-D227</f>
        <v/>
      </c>
      <c r="O228" s="7">
        <f>LN(E228/E227)</f>
        <v/>
      </c>
      <c r="P228" s="7">
        <f>LN(F228/F227)</f>
        <v/>
      </c>
      <c r="Q228" s="7">
        <f>G228-G227</f>
        <v/>
      </c>
      <c r="R228" s="7">
        <f>H228-H227</f>
        <v/>
      </c>
      <c r="S228" s="7">
        <f>LN(I228/I227)</f>
        <v/>
      </c>
      <c r="T228" s="7">
        <f>LN(J228/J227)</f>
        <v/>
      </c>
    </row>
    <row r="229">
      <c r="A229" s="4" t="inlineStr">
        <is>
          <t>2021-11-30</t>
        </is>
      </c>
      <c r="B229" s="5" t="n">
        <v>1804.4</v>
      </c>
      <c r="C229" s="5" t="n">
        <v>2.5</v>
      </c>
      <c r="D229" s="5" t="n">
        <v>-1.07</v>
      </c>
      <c r="E229" s="5" t="n">
        <v>95.989998</v>
      </c>
      <c r="F229" s="5" t="n">
        <v>66.14</v>
      </c>
      <c r="G229" s="5" t="n">
        <v>27.19</v>
      </c>
      <c r="H229" s="5" t="n">
        <v>84.040001</v>
      </c>
      <c r="I229" s="5" t="n">
        <v>4567</v>
      </c>
      <c r="J229" s="5" t="n">
        <v>98.805176</v>
      </c>
      <c r="L229" s="7">
        <f>LN(B229/B228)</f>
        <v/>
      </c>
      <c r="M229" s="7">
        <f>C229-C228</f>
        <v/>
      </c>
      <c r="N229" s="7">
        <f>D229-D228</f>
        <v/>
      </c>
      <c r="O229" s="7">
        <f>LN(E229/E228)</f>
        <v/>
      </c>
      <c r="P229" s="7">
        <f>LN(F229/F228)</f>
        <v/>
      </c>
      <c r="Q229" s="7">
        <f>G229-G228</f>
        <v/>
      </c>
      <c r="R229" s="7">
        <f>H229-H228</f>
        <v/>
      </c>
      <c r="S229" s="7">
        <f>LN(I229/I228)</f>
        <v/>
      </c>
      <c r="T229" s="7">
        <f>LN(J229/J228)</f>
        <v/>
      </c>
    </row>
    <row r="230">
      <c r="A230" s="4" t="inlineStr">
        <is>
          <t>2021-12-31</t>
        </is>
      </c>
      <c r="B230" s="5" t="n">
        <v>1805.85</v>
      </c>
      <c r="C230" s="5" t="n">
        <v>2.56</v>
      </c>
      <c r="D230" s="5" t="n">
        <v>-1.04</v>
      </c>
      <c r="E230" s="5" t="n">
        <v>95.66999800000001</v>
      </c>
      <c r="F230" s="5" t="n">
        <v>75.33</v>
      </c>
      <c r="G230" s="5" t="n">
        <v>17.22</v>
      </c>
      <c r="H230" s="5" t="n">
        <v>77.099998</v>
      </c>
      <c r="I230" s="5" t="n">
        <v>4766.180176</v>
      </c>
      <c r="J230" s="5" t="n">
        <v>98.450729</v>
      </c>
      <c r="L230" s="7">
        <f>LN(B230/B229)</f>
        <v/>
      </c>
      <c r="M230" s="7">
        <f>C230-C229</f>
        <v/>
      </c>
      <c r="N230" s="7">
        <f>D230-D229</f>
        <v/>
      </c>
      <c r="O230" s="7">
        <f>LN(E230/E229)</f>
        <v/>
      </c>
      <c r="P230" s="7">
        <f>LN(F230/F229)</f>
        <v/>
      </c>
      <c r="Q230" s="7">
        <f>G230-G229</f>
        <v/>
      </c>
      <c r="R230" s="7">
        <f>H230-H229</f>
        <v/>
      </c>
      <c r="S230" s="7">
        <f>LN(I230/I229)</f>
        <v/>
      </c>
      <c r="T230" s="7">
        <f>LN(J230/J229)</f>
        <v/>
      </c>
    </row>
    <row r="231">
      <c r="A231" s="4" t="inlineStr">
        <is>
          <t>2022-01-31</t>
        </is>
      </c>
      <c r="B231" s="5" t="n">
        <v>1795.25</v>
      </c>
      <c r="C231" s="5" t="n">
        <v>2.44</v>
      </c>
      <c r="D231" s="5" t="n">
        <v>-0.65</v>
      </c>
      <c r="E231" s="5" t="n">
        <v>96.540001</v>
      </c>
      <c r="F231" s="5" t="n">
        <v>89.16</v>
      </c>
      <c r="G231" s="5" t="n">
        <v>24.83</v>
      </c>
      <c r="H231" s="5" t="n">
        <v>85.139999</v>
      </c>
      <c r="I231" s="5" t="n">
        <v>4515.549805</v>
      </c>
      <c r="J231" s="5" t="n">
        <v>96.483116</v>
      </c>
      <c r="L231" s="7">
        <f>LN(B231/B230)</f>
        <v/>
      </c>
      <c r="M231" s="7">
        <f>C231-C230</f>
        <v/>
      </c>
      <c r="N231" s="7">
        <f>D231-D230</f>
        <v/>
      </c>
      <c r="O231" s="7">
        <f>LN(E231/E230)</f>
        <v/>
      </c>
      <c r="P231" s="7">
        <f>LN(F231/F230)</f>
        <v/>
      </c>
      <c r="Q231" s="7">
        <f>G231-G230</f>
        <v/>
      </c>
      <c r="R231" s="7">
        <f>H231-H230</f>
        <v/>
      </c>
      <c r="S231" s="7">
        <f>LN(I231/I230)</f>
        <v/>
      </c>
      <c r="T231" s="7">
        <f>LN(J231/J230)</f>
        <v/>
      </c>
    </row>
    <row r="232">
      <c r="A232" s="4" t="inlineStr">
        <is>
          <t>2022-02-28</t>
        </is>
      </c>
      <c r="B232" s="5" t="n">
        <v>1909.85</v>
      </c>
      <c r="C232" s="5" t="n">
        <v>2.62</v>
      </c>
      <c r="D232" s="5" t="n">
        <v>-0.79</v>
      </c>
      <c r="E232" s="5" t="n">
        <v>96.709999</v>
      </c>
      <c r="F232" s="5" t="n">
        <v>96.13</v>
      </c>
      <c r="G232" s="5" t="n">
        <v>30.15</v>
      </c>
      <c r="H232" s="5" t="n">
        <v>100.400002</v>
      </c>
      <c r="I232" s="5" t="n">
        <v>4373.939941</v>
      </c>
      <c r="J232" s="5" t="n">
        <v>95.37771600000001</v>
      </c>
      <c r="L232" s="7">
        <f>LN(B232/B231)</f>
        <v/>
      </c>
      <c r="M232" s="7">
        <f>C232-C231</f>
        <v/>
      </c>
      <c r="N232" s="7">
        <f>D232-D231</f>
        <v/>
      </c>
      <c r="O232" s="7">
        <f>LN(E232/E231)</f>
        <v/>
      </c>
      <c r="P232" s="7">
        <f>LN(F232/F231)</f>
        <v/>
      </c>
      <c r="Q232" s="7">
        <f>G232-G231</f>
        <v/>
      </c>
      <c r="R232" s="7">
        <f>H232-H231</f>
        <v/>
      </c>
      <c r="S232" s="7">
        <f>LN(I232/I231)</f>
        <v/>
      </c>
      <c r="T232" s="7">
        <f>LN(J232/J231)</f>
        <v/>
      </c>
    </row>
    <row r="233">
      <c r="A233" s="4" t="inlineStr">
        <is>
          <t>2022-03-31</t>
        </is>
      </c>
      <c r="B233" s="5" t="n">
        <v>1942.15</v>
      </c>
      <c r="C233" s="5" t="n">
        <v>2.84</v>
      </c>
      <c r="D233" s="5" t="n">
        <v>-0.52</v>
      </c>
      <c r="E233" s="5" t="n">
        <v>98.30999799999999</v>
      </c>
      <c r="F233" s="5" t="n">
        <v>100.53</v>
      </c>
      <c r="G233" s="5" t="n">
        <v>20.56</v>
      </c>
      <c r="H233" s="5" t="n">
        <v>106.879997</v>
      </c>
      <c r="I233" s="5" t="n">
        <v>4530.410156</v>
      </c>
      <c r="J233" s="5" t="n">
        <v>92.69553399999999</v>
      </c>
      <c r="L233" s="7">
        <f>LN(B233/B232)</f>
        <v/>
      </c>
      <c r="M233" s="7">
        <f>C233-C232</f>
        <v/>
      </c>
      <c r="N233" s="7">
        <f>D233-D232</f>
        <v/>
      </c>
      <c r="O233" s="7">
        <f>LN(E233/E232)</f>
        <v/>
      </c>
      <c r="P233" s="7">
        <f>LN(F233/F232)</f>
        <v/>
      </c>
      <c r="Q233" s="7">
        <f>G233-G232</f>
        <v/>
      </c>
      <c r="R233" s="7">
        <f>H233-H232</f>
        <v/>
      </c>
      <c r="S233" s="7">
        <f>LN(I233/I232)</f>
        <v/>
      </c>
      <c r="T233" s="7">
        <f>LN(J233/J232)</f>
        <v/>
      </c>
    </row>
    <row r="234">
      <c r="A234" s="4" t="inlineStr">
        <is>
          <t>2022-04-30</t>
        </is>
      </c>
      <c r="B234" s="5" t="n">
        <v>1911.3</v>
      </c>
      <c r="C234" s="5" t="n">
        <v>2.88</v>
      </c>
      <c r="D234" s="5" t="n">
        <v>0.01</v>
      </c>
      <c r="E234" s="5" t="n">
        <v>102.959999</v>
      </c>
      <c r="F234" s="5" t="n">
        <v>104.59</v>
      </c>
      <c r="G234" s="5" t="n">
        <v>33.4</v>
      </c>
      <c r="H234" s="5" t="n">
        <v>128.399994</v>
      </c>
      <c r="I234" s="5" t="n">
        <v>4131.930176</v>
      </c>
      <c r="J234" s="5" t="n">
        <v>89.167664</v>
      </c>
      <c r="L234" s="7">
        <f>LN(B234/B233)</f>
        <v/>
      </c>
      <c r="M234" s="7">
        <f>C234-C233</f>
        <v/>
      </c>
      <c r="N234" s="7">
        <f>D234-D233</f>
        <v/>
      </c>
      <c r="O234" s="7">
        <f>LN(E234/E233)</f>
        <v/>
      </c>
      <c r="P234" s="7">
        <f>LN(F234/F233)</f>
        <v/>
      </c>
      <c r="Q234" s="7">
        <f>G234-G233</f>
        <v/>
      </c>
      <c r="R234" s="7">
        <f>H234-H233</f>
        <v/>
      </c>
      <c r="S234" s="7">
        <f>LN(I234/I233)</f>
        <v/>
      </c>
      <c r="T234" s="7">
        <f>LN(J234/J233)</f>
        <v/>
      </c>
    </row>
    <row r="235">
      <c r="A235" s="4" t="inlineStr">
        <is>
          <t>2022-05-31</t>
        </is>
      </c>
      <c r="B235" s="5" t="n">
        <v>1838.7</v>
      </c>
      <c r="C235" s="5" t="n">
        <v>2.64</v>
      </c>
      <c r="D235" s="5" t="n">
        <v>0.21</v>
      </c>
      <c r="E235" s="5" t="n">
        <v>101.75</v>
      </c>
      <c r="F235" s="5" t="n">
        <v>114.38</v>
      </c>
      <c r="G235" s="5" t="n">
        <v>26.19</v>
      </c>
      <c r="H235" s="5" t="n">
        <v>107.120003</v>
      </c>
      <c r="I235" s="5" t="n">
        <v>4132.149902</v>
      </c>
      <c r="J235" s="5" t="n">
        <v>89.845825</v>
      </c>
      <c r="L235" s="7">
        <f>LN(B235/B234)</f>
        <v/>
      </c>
      <c r="M235" s="7">
        <f>C235-C234</f>
        <v/>
      </c>
      <c r="N235" s="7">
        <f>D235-D234</f>
        <v/>
      </c>
      <c r="O235" s="7">
        <f>LN(E235/E234)</f>
        <v/>
      </c>
      <c r="P235" s="7">
        <f>LN(F235/F234)</f>
        <v/>
      </c>
      <c r="Q235" s="7">
        <f>G235-G234</f>
        <v/>
      </c>
      <c r="R235" s="7">
        <f>H235-H234</f>
        <v/>
      </c>
      <c r="S235" s="7">
        <f>LN(I235/I234)</f>
        <v/>
      </c>
      <c r="T235" s="7">
        <f>LN(J235/J234)</f>
        <v/>
      </c>
    </row>
    <row r="236">
      <c r="A236" s="4" t="inlineStr">
        <is>
          <t>2022-06-30</t>
        </is>
      </c>
      <c r="B236" s="5" t="n">
        <v>1817</v>
      </c>
      <c r="C236" s="5" t="n">
        <v>2.33</v>
      </c>
      <c r="D236" s="5" t="n">
        <v>0.65</v>
      </c>
      <c r="E236" s="5" t="n">
        <v>104.690002</v>
      </c>
      <c r="F236" s="5" t="n">
        <v>107.76</v>
      </c>
      <c r="G236" s="5" t="n">
        <v>28.71</v>
      </c>
      <c r="H236" s="5" t="n">
        <v>135.5</v>
      </c>
      <c r="I236" s="5" t="n">
        <v>3785.379883</v>
      </c>
      <c r="J236" s="5" t="n">
        <v>88.450508</v>
      </c>
      <c r="L236" s="7">
        <f>LN(B236/B235)</f>
        <v/>
      </c>
      <c r="M236" s="7">
        <f>C236-C235</f>
        <v/>
      </c>
      <c r="N236" s="7">
        <f>D236-D235</f>
        <v/>
      </c>
      <c r="O236" s="7">
        <f>LN(E236/E235)</f>
        <v/>
      </c>
      <c r="P236" s="7">
        <f>LN(F236/F235)</f>
        <v/>
      </c>
      <c r="Q236" s="7">
        <f>G236-G235</f>
        <v/>
      </c>
      <c r="R236" s="7">
        <f>H236-H235</f>
        <v/>
      </c>
      <c r="S236" s="7">
        <f>LN(I236/I235)</f>
        <v/>
      </c>
      <c r="T236" s="7">
        <f>LN(J236/J235)</f>
        <v/>
      </c>
    </row>
    <row r="237">
      <c r="A237" s="4" t="inlineStr">
        <is>
          <t>2022-07-31</t>
        </is>
      </c>
      <c r="B237" s="5" t="n">
        <v>1753.4</v>
      </c>
      <c r="C237" s="5" t="n">
        <v>2.53</v>
      </c>
      <c r="D237" s="5" t="n">
        <v>0.14</v>
      </c>
      <c r="E237" s="5" t="n">
        <v>105.900002</v>
      </c>
      <c r="F237" s="5" t="n">
        <v>101.31</v>
      </c>
      <c r="G237" s="5" t="n">
        <v>21.33</v>
      </c>
      <c r="H237" s="5" t="n">
        <v>116.360001</v>
      </c>
      <c r="I237" s="5" t="n">
        <v>4130.290039</v>
      </c>
      <c r="J237" s="5" t="n">
        <v>90.69547300000001</v>
      </c>
      <c r="L237" s="7">
        <f>LN(B237/B236)</f>
        <v/>
      </c>
      <c r="M237" s="7">
        <f>C237-C236</f>
        <v/>
      </c>
      <c r="N237" s="7">
        <f>D237-D236</f>
        <v/>
      </c>
      <c r="O237" s="7">
        <f>LN(E237/E236)</f>
        <v/>
      </c>
      <c r="P237" s="7">
        <f>LN(F237/F236)</f>
        <v/>
      </c>
      <c r="Q237" s="7">
        <f>G237-G236</f>
        <v/>
      </c>
      <c r="R237" s="7">
        <f>H237-H236</f>
        <v/>
      </c>
      <c r="S237" s="7">
        <f>LN(I237/I236)</f>
        <v/>
      </c>
      <c r="T237" s="7">
        <f>LN(J237/J236)</f>
        <v/>
      </c>
    </row>
    <row r="238">
      <c r="A238" s="4" t="inlineStr">
        <is>
          <t>2022-08-31</t>
        </is>
      </c>
      <c r="B238" s="5" t="n">
        <v>1715.9</v>
      </c>
      <c r="C238" s="5" t="n">
        <v>2.48</v>
      </c>
      <c r="D238" s="5" t="n">
        <v>0.67</v>
      </c>
      <c r="E238" s="5" t="n">
        <v>108.699997</v>
      </c>
      <c r="F238" s="5" t="n">
        <v>90.09</v>
      </c>
      <c r="G238" s="5" t="n">
        <v>25.87</v>
      </c>
      <c r="H238" s="5" t="n">
        <v>124.839996</v>
      </c>
      <c r="I238" s="5" t="n">
        <v>3955</v>
      </c>
      <c r="J238" s="5" t="n">
        <v>87.93628699999999</v>
      </c>
      <c r="L238" s="7">
        <f>LN(B238/B237)</f>
        <v/>
      </c>
      <c r="M238" s="7">
        <f>C238-C237</f>
        <v/>
      </c>
      <c r="N238" s="7">
        <f>D238-D237</f>
        <v/>
      </c>
      <c r="O238" s="7">
        <f>LN(E238/E237)</f>
        <v/>
      </c>
      <c r="P238" s="7">
        <f>LN(F238/F237)</f>
        <v/>
      </c>
      <c r="Q238" s="7">
        <f>G238-G237</f>
        <v/>
      </c>
      <c r="R238" s="7">
        <f>H238-H237</f>
        <v/>
      </c>
      <c r="S238" s="7">
        <f>LN(I238/I237)</f>
        <v/>
      </c>
      <c r="T238" s="7">
        <f>LN(J238/J237)</f>
        <v/>
      </c>
    </row>
    <row r="239">
      <c r="A239" s="4" t="inlineStr">
        <is>
          <t>2022-09-30</t>
        </is>
      </c>
      <c r="B239" s="5" t="n">
        <v>1671.75</v>
      </c>
      <c r="C239" s="5" t="n">
        <v>2.15</v>
      </c>
      <c r="D239" s="5" t="n">
        <v>1.68</v>
      </c>
      <c r="E239" s="5" t="n">
        <v>112.120003</v>
      </c>
      <c r="F239" s="5" t="n">
        <v>79.91</v>
      </c>
      <c r="G239" s="5" t="n">
        <v>31.62</v>
      </c>
      <c r="H239" s="5" t="n">
        <v>141.889999</v>
      </c>
      <c r="I239" s="5" t="n">
        <v>3585.620117</v>
      </c>
      <c r="J239" s="5" t="n">
        <v>84.29128300000001</v>
      </c>
      <c r="L239" s="7">
        <f>LN(B239/B238)</f>
        <v/>
      </c>
      <c r="M239" s="7">
        <f>C239-C238</f>
        <v/>
      </c>
      <c r="N239" s="7">
        <f>D239-D238</f>
        <v/>
      </c>
      <c r="O239" s="7">
        <f>LN(E239/E238)</f>
        <v/>
      </c>
      <c r="P239" s="7">
        <f>LN(F239/F238)</f>
        <v/>
      </c>
      <c r="Q239" s="7">
        <f>G239-G238</f>
        <v/>
      </c>
      <c r="R239" s="7">
        <f>H239-H238</f>
        <v/>
      </c>
      <c r="S239" s="7">
        <f>LN(I239/I238)</f>
        <v/>
      </c>
      <c r="T239" s="7">
        <f>LN(J239/J238)</f>
        <v/>
      </c>
    </row>
    <row r="240">
      <c r="A240" s="4" t="inlineStr">
        <is>
          <t>2022-10-31</t>
        </is>
      </c>
      <c r="B240" s="5" t="n">
        <v>1639</v>
      </c>
      <c r="C240" s="5" t="n">
        <v>2.52</v>
      </c>
      <c r="D240" s="5" t="n">
        <v>1.58</v>
      </c>
      <c r="E240" s="5" t="n">
        <v>111.529999</v>
      </c>
      <c r="F240" s="5" t="n">
        <v>86.54000000000001</v>
      </c>
      <c r="G240" s="5" t="n">
        <v>25.88</v>
      </c>
      <c r="H240" s="5" t="n">
        <v>147.919998</v>
      </c>
      <c r="I240" s="5" t="n">
        <v>3871.97998</v>
      </c>
      <c r="J240" s="5" t="n">
        <v>83.213615</v>
      </c>
      <c r="L240" s="7">
        <f>LN(B240/B239)</f>
        <v/>
      </c>
      <c r="M240" s="7">
        <f>C240-C239</f>
        <v/>
      </c>
      <c r="N240" s="7">
        <f>D240-D239</f>
        <v/>
      </c>
      <c r="O240" s="7">
        <f>LN(E240/E239)</f>
        <v/>
      </c>
      <c r="P240" s="7">
        <f>LN(F240/F239)</f>
        <v/>
      </c>
      <c r="Q240" s="7">
        <f>G240-G239</f>
        <v/>
      </c>
      <c r="R240" s="7">
        <f>H240-H239</f>
        <v/>
      </c>
      <c r="S240" s="7">
        <f>LN(I240/I239)</f>
        <v/>
      </c>
      <c r="T240" s="7">
        <f>LN(J240/J239)</f>
        <v/>
      </c>
    </row>
    <row r="241">
      <c r="A241" s="4" t="inlineStr">
        <is>
          <t>2022-11-30</t>
        </is>
      </c>
      <c r="B241" s="5" t="n">
        <v>1753.5</v>
      </c>
      <c r="C241" s="5" t="n">
        <v>2.34</v>
      </c>
      <c r="D241" s="5" t="n">
        <v>1.34</v>
      </c>
      <c r="E241" s="5" t="n">
        <v>105.949997</v>
      </c>
      <c r="F241" s="5" t="n">
        <v>80.48</v>
      </c>
      <c r="G241" s="5" t="n">
        <v>20.58</v>
      </c>
      <c r="H241" s="5" t="n">
        <v>127.269997</v>
      </c>
      <c r="I241" s="5" t="n">
        <v>4080.110107</v>
      </c>
      <c r="J241" s="5" t="n">
        <v>86.38279</v>
      </c>
      <c r="L241" s="7">
        <f>LN(B241/B240)</f>
        <v/>
      </c>
      <c r="M241" s="7">
        <f>C241-C240</f>
        <v/>
      </c>
      <c r="N241" s="7">
        <f>D241-D240</f>
        <v/>
      </c>
      <c r="O241" s="7">
        <f>LN(E241/E240)</f>
        <v/>
      </c>
      <c r="P241" s="7">
        <f>LN(F241/F240)</f>
        <v/>
      </c>
      <c r="Q241" s="7">
        <f>G241-G240</f>
        <v/>
      </c>
      <c r="R241" s="7">
        <f>H241-H240</f>
        <v/>
      </c>
      <c r="S241" s="7">
        <f>LN(I241/I240)</f>
        <v/>
      </c>
      <c r="T241" s="7">
        <f>LN(J241/J240)</f>
        <v/>
      </c>
    </row>
    <row r="242">
      <c r="A242" s="4" t="inlineStr">
        <is>
          <t>2022-12-31</t>
        </is>
      </c>
      <c r="B242" s="5" t="n">
        <v>1813.75</v>
      </c>
      <c r="C242" s="5" t="n">
        <v>2.3</v>
      </c>
      <c r="D242" s="5" t="n">
        <v>1.58</v>
      </c>
      <c r="E242" s="5" t="n">
        <v>103.519997</v>
      </c>
      <c r="F242" s="5" t="n">
        <v>80.16</v>
      </c>
      <c r="G242" s="5" t="n">
        <v>21.67</v>
      </c>
      <c r="H242" s="5" t="n">
        <v>121.610001</v>
      </c>
      <c r="I242" s="5" t="n">
        <v>3839.5</v>
      </c>
      <c r="J242" s="5" t="n">
        <v>85.63082900000001</v>
      </c>
      <c r="L242" s="7">
        <f>LN(B242/B241)</f>
        <v/>
      </c>
      <c r="M242" s="7">
        <f>C242-C241</f>
        <v/>
      </c>
      <c r="N242" s="7">
        <f>D242-D241</f>
        <v/>
      </c>
      <c r="O242" s="7">
        <f>LN(E242/E241)</f>
        <v/>
      </c>
      <c r="P242" s="7">
        <f>LN(F242/F241)</f>
        <v/>
      </c>
      <c r="Q242" s="7">
        <f>G242-G241</f>
        <v/>
      </c>
      <c r="R242" s="7">
        <f>H242-H241</f>
        <v/>
      </c>
      <c r="S242" s="7">
        <f>LN(I242/I241)</f>
        <v/>
      </c>
      <c r="T242" s="7">
        <f>LN(J242/J241)</f>
        <v/>
      </c>
    </row>
    <row r="243">
      <c r="A243" s="4" t="inlineStr">
        <is>
          <t>2023-01-31</t>
        </is>
      </c>
      <c r="B243" s="5" t="n">
        <v>1923.9</v>
      </c>
      <c r="C243" s="5" t="n">
        <v>2.24</v>
      </c>
      <c r="D243" s="5" t="n">
        <v>1.28</v>
      </c>
      <c r="E243" s="5" t="n">
        <v>102.099998</v>
      </c>
      <c r="F243" s="5" t="n">
        <v>78.95</v>
      </c>
      <c r="G243" s="5" t="n">
        <v>19.4</v>
      </c>
      <c r="H243" s="5" t="n">
        <v>99.540001</v>
      </c>
      <c r="I243" s="5" t="n">
        <v>4076.600098</v>
      </c>
      <c r="J243" s="5" t="n">
        <v>88.482529</v>
      </c>
      <c r="L243" s="7">
        <f>LN(B243/B242)</f>
        <v/>
      </c>
      <c r="M243" s="7">
        <f>C243-C242</f>
        <v/>
      </c>
      <c r="N243" s="7">
        <f>D243-D242</f>
        <v/>
      </c>
      <c r="O243" s="7">
        <f>LN(E243/E242)</f>
        <v/>
      </c>
      <c r="P243" s="7">
        <f>LN(F243/F242)</f>
        <v/>
      </c>
      <c r="Q243" s="7">
        <f>G243-G242</f>
        <v/>
      </c>
      <c r="R243" s="7">
        <f>H243-H242</f>
        <v/>
      </c>
      <c r="S243" s="7">
        <f>LN(I243/I242)</f>
        <v/>
      </c>
      <c r="T243" s="7">
        <f>LN(J243/J242)</f>
        <v/>
      </c>
    </row>
    <row r="244">
      <c r="A244" s="4" t="inlineStr">
        <is>
          <t>2023-02-28</t>
        </is>
      </c>
      <c r="B244" s="5" t="n">
        <v>1824.6</v>
      </c>
      <c r="C244" s="5" t="n">
        <v>2.43</v>
      </c>
      <c r="D244" s="5" t="n">
        <v>1.49</v>
      </c>
      <c r="E244" s="5" t="n">
        <v>104.870003</v>
      </c>
      <c r="F244" s="5" t="n">
        <v>76.88</v>
      </c>
      <c r="G244" s="5" t="n">
        <v>20.7</v>
      </c>
      <c r="H244" s="5" t="n">
        <v>123.599998</v>
      </c>
      <c r="I244" s="5" t="n">
        <v>3970.149902</v>
      </c>
      <c r="J244" s="5" t="n">
        <v>86.123886</v>
      </c>
      <c r="L244" s="7">
        <f>LN(B244/B243)</f>
        <v/>
      </c>
      <c r="M244" s="7">
        <f>C244-C243</f>
        <v/>
      </c>
      <c r="N244" s="7">
        <f>D244-D243</f>
        <v/>
      </c>
      <c r="O244" s="7">
        <f>LN(E244/E243)</f>
        <v/>
      </c>
      <c r="P244" s="7">
        <f>LN(F244/F243)</f>
        <v/>
      </c>
      <c r="Q244" s="7">
        <f>G244-G243</f>
        <v/>
      </c>
      <c r="R244" s="7">
        <f>H244-H243</f>
        <v/>
      </c>
      <c r="S244" s="7">
        <f>LN(I244/I243)</f>
        <v/>
      </c>
      <c r="T244" s="7">
        <f>LN(J244/J243)</f>
        <v/>
      </c>
    </row>
    <row r="245">
      <c r="A245" s="4" t="inlineStr">
        <is>
          <t>2023-03-31</t>
        </is>
      </c>
      <c r="B245" s="5" t="n">
        <v>1979.7</v>
      </c>
      <c r="C245" s="5" t="n">
        <v>2.32</v>
      </c>
      <c r="D245" s="5" t="n">
        <v>1.16</v>
      </c>
      <c r="E245" s="5" t="n">
        <v>102.510002</v>
      </c>
      <c r="F245" s="5" t="n">
        <v>75.68000000000001</v>
      </c>
      <c r="G245" s="5" t="n">
        <v>18.7</v>
      </c>
      <c r="H245" s="5" t="n">
        <v>135.929993</v>
      </c>
      <c r="I245" s="5" t="n">
        <v>4109.310059</v>
      </c>
      <c r="J245" s="5" t="n">
        <v>88.39864300000001</v>
      </c>
      <c r="L245" s="7">
        <f>LN(B245/B244)</f>
        <v/>
      </c>
      <c r="M245" s="7">
        <f>C245-C244</f>
        <v/>
      </c>
      <c r="N245" s="7">
        <f>D245-D244</f>
        <v/>
      </c>
      <c r="O245" s="7">
        <f>LN(E245/E244)</f>
        <v/>
      </c>
      <c r="P245" s="7">
        <f>LN(F245/F244)</f>
        <v/>
      </c>
      <c r="Q245" s="7">
        <f>G245-G244</f>
        <v/>
      </c>
      <c r="R245" s="7">
        <f>H245-H244</f>
        <v/>
      </c>
      <c r="S245" s="7">
        <f>LN(I245/I244)</f>
        <v/>
      </c>
      <c r="T245" s="7">
        <f>LN(J245/J244)</f>
        <v/>
      </c>
    </row>
    <row r="246">
      <c r="A246" s="4" t="inlineStr">
        <is>
          <t>2023-04-30</t>
        </is>
      </c>
      <c r="B246" s="5" t="n">
        <v>1982.55</v>
      </c>
      <c r="C246" s="5" t="n">
        <v>2.18</v>
      </c>
      <c r="D246" s="5" t="n">
        <v>1.26</v>
      </c>
      <c r="E246" s="5" t="n">
        <v>101.669998</v>
      </c>
      <c r="F246" s="5" t="n">
        <v>76.78</v>
      </c>
      <c r="G246" s="5" t="n">
        <v>15.78</v>
      </c>
      <c r="H246" s="5" t="n">
        <v>122.459999</v>
      </c>
      <c r="I246" s="5" t="n">
        <v>4169.47998</v>
      </c>
      <c r="J246" s="5" t="n">
        <v>88.90741</v>
      </c>
      <c r="L246" s="7">
        <f>LN(B246/B245)</f>
        <v/>
      </c>
      <c r="M246" s="7">
        <f>C246-C245</f>
        <v/>
      </c>
      <c r="N246" s="7">
        <f>D246-D245</f>
        <v/>
      </c>
      <c r="O246" s="7">
        <f>LN(E246/E245)</f>
        <v/>
      </c>
      <c r="P246" s="7">
        <f>LN(F246/F245)</f>
        <v/>
      </c>
      <c r="Q246" s="7">
        <f>G246-G245</f>
        <v/>
      </c>
      <c r="R246" s="7">
        <f>H246-H245</f>
        <v/>
      </c>
      <c r="S246" s="7">
        <f>LN(I246/I245)</f>
        <v/>
      </c>
      <c r="T246" s="7">
        <f>LN(J246/J245)</f>
        <v/>
      </c>
    </row>
    <row r="247">
      <c r="A247" s="4" t="inlineStr">
        <is>
          <t>2023-05-31</t>
        </is>
      </c>
      <c r="B247" s="5" t="n">
        <v>1964.4</v>
      </c>
      <c r="C247" s="5" t="n">
        <v>2.18</v>
      </c>
      <c r="D247" s="5" t="n">
        <v>1.46</v>
      </c>
      <c r="E247" s="5" t="n">
        <v>104.32</v>
      </c>
      <c r="F247" s="5" t="n">
        <v>68.11</v>
      </c>
      <c r="G247" s="5" t="n">
        <v>17.94</v>
      </c>
      <c r="H247" s="5" t="n">
        <v>136.020004</v>
      </c>
      <c r="I247" s="5" t="n">
        <v>4179.830078</v>
      </c>
      <c r="J247" s="5" t="n">
        <v>87.89003</v>
      </c>
      <c r="L247" s="7">
        <f>LN(B247/B246)</f>
        <v/>
      </c>
      <c r="M247" s="7">
        <f>C247-C246</f>
        <v/>
      </c>
      <c r="N247" s="7">
        <f>D247-D246</f>
        <v/>
      </c>
      <c r="O247" s="7">
        <f>LN(E247/E246)</f>
        <v/>
      </c>
      <c r="P247" s="7">
        <f>LN(F247/F246)</f>
        <v/>
      </c>
      <c r="Q247" s="7">
        <f>G247-G246</f>
        <v/>
      </c>
      <c r="R247" s="7">
        <f>H247-H246</f>
        <v/>
      </c>
      <c r="S247" s="7">
        <f>LN(I247/I246)</f>
        <v/>
      </c>
      <c r="T247" s="7">
        <f>LN(J247/J246)</f>
        <v/>
      </c>
    </row>
    <row r="248">
      <c r="A248" s="4" t="inlineStr">
        <is>
          <t>2023-06-30</t>
        </is>
      </c>
      <c r="B248" s="5" t="n">
        <v>1912.25</v>
      </c>
      <c r="C248" s="5" t="n">
        <v>2.22</v>
      </c>
      <c r="D248" s="5" t="n">
        <v>1.59</v>
      </c>
      <c r="E248" s="5" t="n">
        <v>102.910004</v>
      </c>
      <c r="F248" s="5" t="n">
        <v>70.66</v>
      </c>
      <c r="G248" s="5" t="n">
        <v>13.59</v>
      </c>
      <c r="H248" s="5" t="n">
        <v>110.639999</v>
      </c>
      <c r="I248" s="5" t="n">
        <v>4450.379883</v>
      </c>
      <c r="J248" s="5" t="n">
        <v>87.566383</v>
      </c>
      <c r="L248" s="7">
        <f>LN(B248/B247)</f>
        <v/>
      </c>
      <c r="M248" s="7">
        <f>C248-C247</f>
        <v/>
      </c>
      <c r="N248" s="7">
        <f>D248-D247</f>
        <v/>
      </c>
      <c r="O248" s="7">
        <f>LN(E248/E247)</f>
        <v/>
      </c>
      <c r="P248" s="7">
        <f>LN(F248/F247)</f>
        <v/>
      </c>
      <c r="Q248" s="7">
        <f>G248-G247</f>
        <v/>
      </c>
      <c r="R248" s="7">
        <f>H248-H247</f>
        <v/>
      </c>
      <c r="S248" s="7">
        <f>LN(I248/I247)</f>
        <v/>
      </c>
      <c r="T248" s="7">
        <f>LN(J248/J247)</f>
        <v/>
      </c>
    </row>
    <row r="249">
      <c r="A249" s="4" t="inlineStr">
        <is>
          <t>2023-07-31</t>
        </is>
      </c>
      <c r="B249" s="5" t="n">
        <v>1970.65</v>
      </c>
      <c r="C249" s="5" t="n">
        <v>2.37</v>
      </c>
      <c r="D249" s="5" t="n">
        <v>1.6</v>
      </c>
      <c r="E249" s="5" t="n">
        <v>101.860001</v>
      </c>
      <c r="F249" s="5" t="n">
        <v>81.8</v>
      </c>
      <c r="G249" s="5" t="n">
        <v>13.63</v>
      </c>
      <c r="H249" s="5" t="n">
        <v>112.029999</v>
      </c>
      <c r="I249" s="5" t="n">
        <v>4588.959961</v>
      </c>
      <c r="J249" s="5" t="n">
        <v>87.55295599999999</v>
      </c>
      <c r="L249" s="7">
        <f>LN(B249/B248)</f>
        <v/>
      </c>
      <c r="M249" s="7">
        <f>C249-C248</f>
        <v/>
      </c>
      <c r="N249" s="7">
        <f>D249-D248</f>
        <v/>
      </c>
      <c r="O249" s="7">
        <f>LN(E249/E248)</f>
        <v/>
      </c>
      <c r="P249" s="7">
        <f>LN(F249/F248)</f>
        <v/>
      </c>
      <c r="Q249" s="7">
        <f>G249-G248</f>
        <v/>
      </c>
      <c r="R249" s="7">
        <f>H249-H248</f>
        <v/>
      </c>
      <c r="S249" s="7">
        <f>LN(I249/I248)</f>
        <v/>
      </c>
      <c r="T249" s="7">
        <f>LN(J249/J248)</f>
        <v/>
      </c>
    </row>
    <row r="250">
      <c r="A250" s="4" t="inlineStr">
        <is>
          <t>2023-08-31</t>
        </is>
      </c>
      <c r="B250" s="5" t="n">
        <v>1942.3</v>
      </c>
      <c r="C250" s="5" t="n">
        <v>2.24</v>
      </c>
      <c r="D250" s="5" t="n">
        <v>1.85</v>
      </c>
      <c r="E250" s="5" t="n">
        <v>103.620003</v>
      </c>
      <c r="F250" s="5" t="n">
        <v>83.55</v>
      </c>
      <c r="G250" s="5" t="n">
        <v>13.57</v>
      </c>
      <c r="H250" s="5" t="n">
        <v>107.93</v>
      </c>
      <c r="I250" s="5" t="n">
        <v>4507.660156</v>
      </c>
      <c r="J250" s="5" t="n">
        <v>87.00020600000001</v>
      </c>
      <c r="L250" s="7">
        <f>LN(B250/B249)</f>
        <v/>
      </c>
      <c r="M250" s="7">
        <f>C250-C249</f>
        <v/>
      </c>
      <c r="N250" s="7">
        <f>D250-D249</f>
        <v/>
      </c>
      <c r="O250" s="7">
        <f>LN(E250/E249)</f>
        <v/>
      </c>
      <c r="P250" s="7">
        <f>LN(F250/F249)</f>
        <v/>
      </c>
      <c r="Q250" s="7">
        <f>G250-G249</f>
        <v/>
      </c>
      <c r="R250" s="7">
        <f>H250-H249</f>
        <v/>
      </c>
      <c r="S250" s="7">
        <f>LN(I250/I249)</f>
        <v/>
      </c>
      <c r="T250" s="7">
        <f>LN(J250/J249)</f>
        <v/>
      </c>
    </row>
    <row r="251">
      <c r="A251" s="4" t="inlineStr">
        <is>
          <t>2023-09-30</t>
        </is>
      </c>
      <c r="B251" s="5" t="n">
        <v>1870.5</v>
      </c>
      <c r="C251" s="5" t="n">
        <v>2.35</v>
      </c>
      <c r="D251" s="5" t="n">
        <v>2.24</v>
      </c>
      <c r="E251" s="5" t="n">
        <v>106.169998</v>
      </c>
      <c r="F251" s="5" t="n">
        <v>90.77</v>
      </c>
      <c r="G251" s="5" t="n">
        <v>17.52</v>
      </c>
      <c r="H251" s="5" t="n">
        <v>113.550003</v>
      </c>
      <c r="I251" s="5" t="n">
        <v>4288.049805</v>
      </c>
      <c r="J251" s="5" t="n">
        <v>84.747246</v>
      </c>
      <c r="L251" s="7">
        <f>LN(B251/B250)</f>
        <v/>
      </c>
      <c r="M251" s="7">
        <f>C251-C250</f>
        <v/>
      </c>
      <c r="N251" s="7">
        <f>D251-D250</f>
        <v/>
      </c>
      <c r="O251" s="7">
        <f>LN(E251/E250)</f>
        <v/>
      </c>
      <c r="P251" s="7">
        <f>LN(F251/F250)</f>
        <v/>
      </c>
      <c r="Q251" s="7">
        <f>G251-G250</f>
        <v/>
      </c>
      <c r="R251" s="7">
        <f>H251-H250</f>
        <v/>
      </c>
      <c r="S251" s="7">
        <f>LN(I251/I250)</f>
        <v/>
      </c>
      <c r="T251" s="7">
        <f>LN(J251/J250)</f>
        <v/>
      </c>
    </row>
    <row r="252">
      <c r="A252" s="4" t="inlineStr">
        <is>
          <t>2023-10-31</t>
        </is>
      </c>
      <c r="B252" s="5" t="n">
        <v>1996.9</v>
      </c>
      <c r="C252" s="5" t="n">
        <v>2.42</v>
      </c>
      <c r="D252" s="5" t="n">
        <v>2.46</v>
      </c>
      <c r="E252" s="5" t="n">
        <v>106.660004</v>
      </c>
      <c r="F252" s="5" t="n">
        <v>81.64</v>
      </c>
      <c r="G252" s="5" t="n">
        <v>18.14</v>
      </c>
      <c r="H252" s="5" t="n">
        <v>126.860001</v>
      </c>
      <c r="I252" s="5" t="n">
        <v>4193.799805</v>
      </c>
      <c r="J252" s="5" t="n">
        <v>83.41617599999999</v>
      </c>
      <c r="L252" s="7">
        <f>LN(B252/B251)</f>
        <v/>
      </c>
      <c r="M252" s="7">
        <f>C252-C251</f>
        <v/>
      </c>
      <c r="N252" s="7">
        <f>D252-D251</f>
        <v/>
      </c>
      <c r="O252" s="7">
        <f>LN(E252/E251)</f>
        <v/>
      </c>
      <c r="P252" s="7">
        <f>LN(F252/F251)</f>
        <v/>
      </c>
      <c r="Q252" s="7">
        <f>G252-G251</f>
        <v/>
      </c>
      <c r="R252" s="7">
        <f>H252-H251</f>
        <v/>
      </c>
      <c r="S252" s="7">
        <f>LN(I252/I251)</f>
        <v/>
      </c>
      <c r="T252" s="7">
        <f>LN(J252/J251)</f>
        <v/>
      </c>
    </row>
    <row r="253">
      <c r="A253" s="4" t="inlineStr">
        <is>
          <t>2023-11-30</t>
        </is>
      </c>
      <c r="B253" s="5" t="n">
        <v>2035.45</v>
      </c>
      <c r="C253" s="5" t="n">
        <v>2.23</v>
      </c>
      <c r="D253" s="5" t="n">
        <v>2.14</v>
      </c>
      <c r="E253" s="5" t="n">
        <v>103.5</v>
      </c>
      <c r="F253" s="5" t="n">
        <v>75.66</v>
      </c>
      <c r="G253" s="5" t="n">
        <v>12.92</v>
      </c>
      <c r="H253" s="5" t="n">
        <v>115.32</v>
      </c>
      <c r="I253" s="5" t="n">
        <v>4567.799805</v>
      </c>
      <c r="J253" s="5" t="n">
        <v>87.247421</v>
      </c>
      <c r="L253" s="7">
        <f>LN(B253/B252)</f>
        <v/>
      </c>
      <c r="M253" s="7">
        <f>C253-C252</f>
        <v/>
      </c>
      <c r="N253" s="7">
        <f>D253-D252</f>
        <v/>
      </c>
      <c r="O253" s="7">
        <f>LN(E253/E252)</f>
        <v/>
      </c>
      <c r="P253" s="7">
        <f>LN(F253/F252)</f>
        <v/>
      </c>
      <c r="Q253" s="7">
        <f>G253-G252</f>
        <v/>
      </c>
      <c r="R253" s="7">
        <f>H253-H252</f>
        <v/>
      </c>
      <c r="S253" s="7">
        <f>LN(I253/I252)</f>
        <v/>
      </c>
      <c r="T253" s="7">
        <f>LN(J253/J252)</f>
        <v/>
      </c>
    </row>
    <row r="254">
      <c r="A254" s="4" t="inlineStr">
        <is>
          <t>2023-12-31</t>
        </is>
      </c>
      <c r="B254" s="5" t="n">
        <v>2078.4</v>
      </c>
      <c r="C254" s="5" t="n">
        <v>2.16</v>
      </c>
      <c r="D254" s="5" t="n">
        <v>1.72</v>
      </c>
      <c r="E254" s="5" t="n">
        <v>101.330002</v>
      </c>
      <c r="F254" s="5" t="n">
        <v>71.89</v>
      </c>
      <c r="G254" s="5" t="n">
        <v>12.45</v>
      </c>
      <c r="H254" s="5" t="n">
        <v>114.620003</v>
      </c>
      <c r="I254" s="5" t="n">
        <v>4769.830078</v>
      </c>
      <c r="J254" s="5" t="n">
        <v>90.473488</v>
      </c>
      <c r="L254" s="7">
        <f>LN(B254/B253)</f>
        <v/>
      </c>
      <c r="M254" s="7">
        <f>C254-C253</f>
        <v/>
      </c>
      <c r="N254" s="7">
        <f>D254-D253</f>
        <v/>
      </c>
      <c r="O254" s="7">
        <f>LN(E254/E253)</f>
        <v/>
      </c>
      <c r="P254" s="7">
        <f>LN(F254/F253)</f>
        <v/>
      </c>
      <c r="Q254" s="7">
        <f>G254-G253</f>
        <v/>
      </c>
      <c r="R254" s="7">
        <f>H254-H253</f>
        <v/>
      </c>
      <c r="S254" s="7">
        <f>LN(I254/I253)</f>
        <v/>
      </c>
      <c r="T254" s="7">
        <f>LN(J254/J253)</f>
        <v/>
      </c>
    </row>
    <row r="255">
      <c r="A255" s="4" t="inlineStr">
        <is>
          <t>2024-01-31</t>
        </is>
      </c>
      <c r="B255" s="5" t="n">
        <v>2053.25</v>
      </c>
      <c r="C255" s="5" t="n">
        <v>2.26</v>
      </c>
      <c r="D255" s="5" t="n">
        <v>1.73</v>
      </c>
      <c r="E255" s="5" t="n">
        <v>103.269997</v>
      </c>
      <c r="F255" s="5" t="n">
        <v>76.28</v>
      </c>
      <c r="G255" s="5" t="n">
        <v>14.35</v>
      </c>
      <c r="H255" s="5" t="n">
        <v>107.279999</v>
      </c>
      <c r="I255" s="5" t="n">
        <v>4845.649902</v>
      </c>
      <c r="J255" s="5" t="n">
        <v>90.33678399999999</v>
      </c>
      <c r="L255" s="7">
        <f>LN(B255/B254)</f>
        <v/>
      </c>
      <c r="M255" s="7">
        <f>C255-C254</f>
        <v/>
      </c>
      <c r="N255" s="7">
        <f>D255-D254</f>
        <v/>
      </c>
      <c r="O255" s="7">
        <f>LN(E255/E254)</f>
        <v/>
      </c>
      <c r="P255" s="7">
        <f>LN(F255/F254)</f>
        <v/>
      </c>
      <c r="Q255" s="7">
        <f>G255-G254</f>
        <v/>
      </c>
      <c r="R255" s="7">
        <f>H255-H254</f>
        <v/>
      </c>
      <c r="S255" s="7">
        <f>LN(I255/I254)</f>
        <v/>
      </c>
      <c r="T255" s="7">
        <f>LN(J255/J254)</f>
        <v/>
      </c>
    </row>
    <row r="256">
      <c r="A256" s="4" t="inlineStr">
        <is>
          <t>2024-02-29</t>
        </is>
      </c>
      <c r="B256" s="5" t="n">
        <v>2048.05</v>
      </c>
      <c r="C256" s="5" t="n">
        <v>2.33</v>
      </c>
      <c r="D256" s="5" t="n">
        <v>1.92</v>
      </c>
      <c r="E256" s="5" t="n">
        <v>104.160004</v>
      </c>
      <c r="F256" s="5" t="n">
        <v>79.22</v>
      </c>
      <c r="G256" s="5" t="n">
        <v>13.4</v>
      </c>
      <c r="H256" s="5" t="n">
        <v>109.099998</v>
      </c>
      <c r="I256" s="5" t="n">
        <v>5096.27002</v>
      </c>
      <c r="J256" s="5" t="n">
        <v>89.004677</v>
      </c>
      <c r="L256" s="7">
        <f>LN(B256/B255)</f>
        <v/>
      </c>
      <c r="M256" s="7">
        <f>C256-C255</f>
        <v/>
      </c>
      <c r="N256" s="7">
        <f>D256-D255</f>
        <v/>
      </c>
      <c r="O256" s="7">
        <f>LN(E256/E255)</f>
        <v/>
      </c>
      <c r="P256" s="7">
        <f>LN(F256/F255)</f>
        <v/>
      </c>
      <c r="Q256" s="7">
        <f>G256-G255</f>
        <v/>
      </c>
      <c r="R256" s="7">
        <f>H256-H255</f>
        <v/>
      </c>
      <c r="S256" s="7">
        <f>LN(I256/I255)</f>
        <v/>
      </c>
      <c r="T256" s="7">
        <f>LN(J256/J255)</f>
        <v/>
      </c>
    </row>
    <row r="257">
      <c r="A257" s="4" t="inlineStr">
        <is>
          <t>2024-03-31</t>
        </is>
      </c>
      <c r="B257" s="5" t="n">
        <v>2214.35</v>
      </c>
      <c r="C257" s="5" t="n">
        <v>2.32</v>
      </c>
      <c r="D257" s="5" t="n">
        <v>1.88</v>
      </c>
      <c r="E257" s="5" t="n">
        <v>104.550003</v>
      </c>
      <c r="F257" s="5" t="n">
        <v>83.95999999999999</v>
      </c>
      <c r="G257" s="5" t="n">
        <v>13.01</v>
      </c>
      <c r="H257" s="5" t="n">
        <v>86.379997</v>
      </c>
      <c r="I257" s="5" t="n">
        <v>5254.350098</v>
      </c>
      <c r="J257" s="5" t="n">
        <v>89.807922</v>
      </c>
      <c r="L257" s="7">
        <f>LN(B257/B256)</f>
        <v/>
      </c>
      <c r="M257" s="7">
        <f>C257-C256</f>
        <v/>
      </c>
      <c r="N257" s="7">
        <f>D257-D256</f>
        <v/>
      </c>
      <c r="O257" s="7">
        <f>LN(E257/E256)</f>
        <v/>
      </c>
      <c r="P257" s="7">
        <f>LN(F257/F256)</f>
        <v/>
      </c>
      <c r="Q257" s="7">
        <f>G257-G256</f>
        <v/>
      </c>
      <c r="R257" s="7">
        <f>H257-H256</f>
        <v/>
      </c>
      <c r="S257" s="7">
        <f>LN(I257/I256)</f>
        <v/>
      </c>
      <c r="T257" s="7">
        <f>LN(J257/J256)</f>
        <v/>
      </c>
    </row>
    <row r="258">
      <c r="A258" s="4" t="inlineStr">
        <is>
          <t>2024-04-30</t>
        </is>
      </c>
      <c r="B258" s="5" t="n">
        <v>2307</v>
      </c>
      <c r="C258" s="5" t="n">
        <v>2.41</v>
      </c>
      <c r="D258" s="5" t="n">
        <v>2.28</v>
      </c>
      <c r="E258" s="5" t="n">
        <v>106.220001</v>
      </c>
      <c r="F258" s="5" t="n">
        <v>83.48999999999999</v>
      </c>
      <c r="G258" s="5" t="n">
        <v>15.65</v>
      </c>
      <c r="H258" s="5" t="n">
        <v>107.459999</v>
      </c>
      <c r="I258" s="5" t="n">
        <v>5035.689941</v>
      </c>
      <c r="J258" s="5" t="n">
        <v>87.582291</v>
      </c>
      <c r="L258" s="7">
        <f>LN(B258/B257)</f>
        <v/>
      </c>
      <c r="M258" s="7">
        <f>C258-C257</f>
        <v/>
      </c>
      <c r="N258" s="7">
        <f>D258-D257</f>
        <v/>
      </c>
      <c r="O258" s="7">
        <f>LN(E258/E257)</f>
        <v/>
      </c>
      <c r="P258" s="7">
        <f>LN(F258/F257)</f>
        <v/>
      </c>
      <c r="Q258" s="7">
        <f>G258-G257</f>
        <v/>
      </c>
      <c r="R258" s="7">
        <f>H258-H257</f>
        <v/>
      </c>
      <c r="S258" s="7">
        <f>LN(I258/I257)</f>
        <v/>
      </c>
      <c r="T258" s="7">
        <f>LN(J258/J257)</f>
        <v/>
      </c>
    </row>
    <row r="259">
      <c r="A259" s="4" t="inlineStr">
        <is>
          <t>2024-05-31</t>
        </is>
      </c>
      <c r="B259" s="5" t="n">
        <v>2348.25</v>
      </c>
      <c r="C259" s="5" t="n">
        <v>2.35</v>
      </c>
      <c r="D259" s="5" t="n">
        <v>2.16</v>
      </c>
      <c r="E259" s="5" t="n">
        <v>104.669998</v>
      </c>
      <c r="F259" s="5" t="n">
        <v>77.97</v>
      </c>
      <c r="G259" s="5" t="n">
        <v>12.92</v>
      </c>
      <c r="H259" s="5" t="n">
        <v>91.139999</v>
      </c>
      <c r="I259" s="5" t="n">
        <v>5277.509766</v>
      </c>
      <c r="J259" s="5" t="n">
        <v>89.044518</v>
      </c>
      <c r="L259" s="7">
        <f>LN(B259/B258)</f>
        <v/>
      </c>
      <c r="M259" s="7">
        <f>C259-C258</f>
        <v/>
      </c>
      <c r="N259" s="7">
        <f>D259-D258</f>
        <v/>
      </c>
      <c r="O259" s="7">
        <f>LN(E259/E258)</f>
        <v/>
      </c>
      <c r="P259" s="7">
        <f>LN(F259/F258)</f>
        <v/>
      </c>
      <c r="Q259" s="7">
        <f>G259-G258</f>
        <v/>
      </c>
      <c r="R259" s="7">
        <f>H259-H258</f>
        <v/>
      </c>
      <c r="S259" s="7">
        <f>LN(I259/I258)</f>
        <v/>
      </c>
      <c r="T259" s="7">
        <f>LN(J259/J258)</f>
        <v/>
      </c>
    </row>
    <row r="260">
      <c r="A260" s="4" t="inlineStr">
        <is>
          <t>2024-06-30</t>
        </is>
      </c>
      <c r="B260" s="5" t="n">
        <v>2330.9</v>
      </c>
      <c r="C260" s="5" t="n">
        <v>2.28</v>
      </c>
      <c r="D260" s="5" t="n">
        <v>2.08</v>
      </c>
      <c r="E260" s="5" t="n">
        <v>105.870003</v>
      </c>
      <c r="F260" s="5" t="n">
        <v>82.83</v>
      </c>
      <c r="G260" s="5" t="n">
        <v>12.44</v>
      </c>
      <c r="H260" s="5" t="n">
        <v>98.589996</v>
      </c>
      <c r="I260" s="5" t="n">
        <v>5460.47998</v>
      </c>
      <c r="J260" s="5" t="n">
        <v>89.83300800000001</v>
      </c>
      <c r="L260" s="7">
        <f>LN(B260/B259)</f>
        <v/>
      </c>
      <c r="M260" s="7">
        <f>C260-C259</f>
        <v/>
      </c>
      <c r="N260" s="7">
        <f>D260-D259</f>
        <v/>
      </c>
      <c r="O260" s="7">
        <f>LN(E260/E259)</f>
        <v/>
      </c>
      <c r="P260" s="7">
        <f>LN(F260/F259)</f>
        <v/>
      </c>
      <c r="Q260" s="7">
        <f>G260-G259</f>
        <v/>
      </c>
      <c r="R260" s="7">
        <f>H260-H259</f>
        <v/>
      </c>
      <c r="S260" s="7">
        <f>LN(I260/I259)</f>
        <v/>
      </c>
      <c r="T260" s="7">
        <f>LN(J260/J259)</f>
        <v/>
      </c>
    </row>
    <row r="261">
      <c r="A261" s="4" t="inlineStr">
        <is>
          <t>2024-07-31</t>
        </is>
      </c>
      <c r="B261" s="5" t="n">
        <v>2426.3</v>
      </c>
      <c r="C261" s="5" t="n">
        <v>2.24</v>
      </c>
      <c r="D261" s="5" t="n">
        <v>1.85</v>
      </c>
      <c r="E261" s="5" t="n">
        <v>104.099998</v>
      </c>
      <c r="F261" s="5" t="n">
        <v>79.36</v>
      </c>
      <c r="G261" s="5" t="n">
        <v>16.36</v>
      </c>
      <c r="H261" s="5" t="n">
        <v>99.410004</v>
      </c>
      <c r="I261" s="5" t="n">
        <v>5522.299805</v>
      </c>
      <c r="J261" s="5" t="n">
        <v>92.006218</v>
      </c>
      <c r="L261" s="7">
        <f>LN(B261/B260)</f>
        <v/>
      </c>
      <c r="M261" s="7">
        <f>C261-C260</f>
        <v/>
      </c>
      <c r="N261" s="7">
        <f>D261-D260</f>
        <v/>
      </c>
      <c r="O261" s="7">
        <f>LN(E261/E260)</f>
        <v/>
      </c>
      <c r="P261" s="7">
        <f>LN(F261/F260)</f>
        <v/>
      </c>
      <c r="Q261" s="7">
        <f>G261-G260</f>
        <v/>
      </c>
      <c r="R261" s="7">
        <f>H261-H260</f>
        <v/>
      </c>
      <c r="S261" s="7">
        <f>LN(I261/I260)</f>
        <v/>
      </c>
      <c r="T261" s="7">
        <f>LN(J261/J260)</f>
        <v/>
      </c>
    </row>
    <row r="262">
      <c r="A262" s="4" t="inlineStr">
        <is>
          <t>2024-08-31</t>
        </is>
      </c>
      <c r="B262" s="5" t="n">
        <v>2513.35</v>
      </c>
      <c r="C262" s="5" t="n">
        <v>2.15</v>
      </c>
      <c r="D262" s="5" t="n">
        <v>1.76</v>
      </c>
      <c r="E262" s="5" t="n">
        <v>101.699997</v>
      </c>
      <c r="F262" s="5" t="n">
        <v>74.52</v>
      </c>
      <c r="G262" s="5" t="n">
        <v>15</v>
      </c>
      <c r="H262" s="5" t="n">
        <v>107.769997</v>
      </c>
      <c r="I262" s="5" t="n">
        <v>5648.399902</v>
      </c>
      <c r="J262" s="5" t="n">
        <v>93.350838</v>
      </c>
      <c r="L262" s="7">
        <f>LN(B262/B261)</f>
        <v/>
      </c>
      <c r="M262" s="7">
        <f>C262-C261</f>
        <v/>
      </c>
      <c r="N262" s="7">
        <f>D262-D261</f>
        <v/>
      </c>
      <c r="O262" s="7">
        <f>LN(E262/E261)</f>
        <v/>
      </c>
      <c r="P262" s="7">
        <f>LN(F262/F261)</f>
        <v/>
      </c>
      <c r="Q262" s="7">
        <f>G262-G261</f>
        <v/>
      </c>
      <c r="R262" s="7">
        <f>H262-H261</f>
        <v/>
      </c>
      <c r="S262" s="7">
        <f>LN(I262/I261)</f>
        <v/>
      </c>
      <c r="T262" s="7">
        <f>LN(J262/J261)</f>
        <v/>
      </c>
    </row>
    <row r="263">
      <c r="A263" s="4" t="inlineStr">
        <is>
          <t>2024-09-30</t>
        </is>
      </c>
      <c r="B263" s="5" t="n">
        <v>2629.95</v>
      </c>
      <c r="C263" s="5" t="n">
        <v>2.18</v>
      </c>
      <c r="D263" s="5" t="n">
        <v>1.63</v>
      </c>
      <c r="E263" s="5" t="n">
        <v>100.779999</v>
      </c>
      <c r="F263" s="5" t="n">
        <v>68.75</v>
      </c>
      <c r="G263" s="5" t="n">
        <v>16.73</v>
      </c>
      <c r="H263" s="5" t="n">
        <v>94.610001</v>
      </c>
      <c r="I263" s="5" t="n">
        <v>5762.47998</v>
      </c>
      <c r="J263" s="5" t="n">
        <v>94.595039</v>
      </c>
      <c r="L263" s="7">
        <f>LN(B263/B262)</f>
        <v/>
      </c>
      <c r="M263" s="7">
        <f>C263-C262</f>
        <v/>
      </c>
      <c r="N263" s="7">
        <f>D263-D262</f>
        <v/>
      </c>
      <c r="O263" s="7">
        <f>LN(E263/E262)</f>
        <v/>
      </c>
      <c r="P263" s="7">
        <f>LN(F263/F262)</f>
        <v/>
      </c>
      <c r="Q263" s="7">
        <f>G263-G262</f>
        <v/>
      </c>
      <c r="R263" s="7">
        <f>H263-H262</f>
        <v/>
      </c>
      <c r="S263" s="7">
        <f>LN(I263/I262)</f>
        <v/>
      </c>
      <c r="T263" s="7">
        <f>LN(J263/J262)</f>
        <v/>
      </c>
    </row>
    <row r="264">
      <c r="A264" s="4" t="inlineStr">
        <is>
          <t>2024-10-31</t>
        </is>
      </c>
      <c r="B264" s="5" t="n">
        <v>2734.15</v>
      </c>
      <c r="C264" s="5" t="n">
        <v>2.33</v>
      </c>
      <c r="D264" s="5" t="n">
        <v>1.95</v>
      </c>
      <c r="E264" s="5" t="n">
        <v>103.980003</v>
      </c>
      <c r="F264" s="5" t="n">
        <v>69.58</v>
      </c>
      <c r="G264" s="5" t="n">
        <v>23.16</v>
      </c>
      <c r="H264" s="5" t="n">
        <v>135.179993</v>
      </c>
      <c r="I264" s="5" t="n">
        <v>5705.450195</v>
      </c>
      <c r="J264" s="5" t="n">
        <v>92.212433</v>
      </c>
      <c r="L264" s="7">
        <f>LN(B264/B263)</f>
        <v/>
      </c>
      <c r="M264" s="7">
        <f>C264-C263</f>
        <v/>
      </c>
      <c r="N264" s="7">
        <f>D264-D263</f>
        <v/>
      </c>
      <c r="O264" s="7">
        <f>LN(E264/E263)</f>
        <v/>
      </c>
      <c r="P264" s="7">
        <f>LN(F264/F263)</f>
        <v/>
      </c>
      <c r="Q264" s="7">
        <f>G264-G263</f>
        <v/>
      </c>
      <c r="R264" s="7">
        <f>H264-H263</f>
        <v/>
      </c>
      <c r="S264" s="7">
        <f>LN(I264/I263)</f>
        <v/>
      </c>
      <c r="T264" s="7">
        <f>LN(J264/J263)</f>
        <v/>
      </c>
    </row>
    <row r="265">
      <c r="A265" s="4" t="inlineStr">
        <is>
          <t>2024-11-30</t>
        </is>
      </c>
      <c r="B265" s="5" t="n">
        <v>2651.05</v>
      </c>
      <c r="C265" s="5" t="n">
        <v>2.26</v>
      </c>
      <c r="D265" s="5" t="n">
        <v>1.92</v>
      </c>
      <c r="E265" s="5" t="n">
        <v>105.739998</v>
      </c>
      <c r="F265" s="5" t="n">
        <v>68.26000000000001</v>
      </c>
      <c r="G265" s="5" t="n">
        <v>13.51</v>
      </c>
      <c r="H265" s="5" t="n">
        <v>95.220001</v>
      </c>
      <c r="I265" s="5" t="n">
        <v>6032.379883</v>
      </c>
      <c r="J265" s="5" t="n">
        <v>93.23690000000001</v>
      </c>
      <c r="L265" s="7">
        <f>LN(B265/B264)</f>
        <v/>
      </c>
      <c r="M265" s="7">
        <f>C265-C264</f>
        <v/>
      </c>
      <c r="N265" s="7">
        <f>D265-D264</f>
        <v/>
      </c>
      <c r="O265" s="7">
        <f>LN(E265/E264)</f>
        <v/>
      </c>
      <c r="P265" s="7">
        <f>LN(F265/F264)</f>
        <v/>
      </c>
      <c r="Q265" s="7">
        <f>G265-G264</f>
        <v/>
      </c>
      <c r="R265" s="7">
        <f>H265-H264</f>
        <v/>
      </c>
      <c r="S265" s="7">
        <f>LN(I265/I264)</f>
        <v/>
      </c>
      <c r="T265" s="7">
        <f>LN(J265/J264)</f>
        <v/>
      </c>
    </row>
    <row r="266">
      <c r="A266" s="4" t="inlineStr">
        <is>
          <t>2024-12-31</t>
        </is>
      </c>
      <c r="B266" s="5" t="n">
        <v>2609.1</v>
      </c>
      <c r="C266" s="5" t="n">
        <v>2.34</v>
      </c>
      <c r="D266" s="5" t="n">
        <v>2.24</v>
      </c>
      <c r="E266" s="5" t="n">
        <v>108.489998</v>
      </c>
      <c r="F266" s="5" t="n">
        <v>72.44</v>
      </c>
      <c r="G266" s="5" t="n">
        <v>17.35</v>
      </c>
      <c r="H266" s="5" t="n">
        <v>98.800003</v>
      </c>
      <c r="I266" s="5" t="n">
        <v>5881.629883</v>
      </c>
      <c r="J266" s="5" t="n">
        <v>91.658058</v>
      </c>
      <c r="L266" s="7">
        <f>LN(B266/B265)</f>
        <v/>
      </c>
      <c r="M266" s="7">
        <f>C266-C265</f>
        <v/>
      </c>
      <c r="N266" s="7">
        <f>D266-D265</f>
        <v/>
      </c>
      <c r="O266" s="7">
        <f>LN(E266/E265)</f>
        <v/>
      </c>
      <c r="P266" s="7">
        <f>LN(F266/F265)</f>
        <v/>
      </c>
      <c r="Q266" s="7">
        <f>G266-G265</f>
        <v/>
      </c>
      <c r="R266" s="7">
        <f>H266-H265</f>
        <v/>
      </c>
      <c r="S266" s="7">
        <f>LN(I266/I265)</f>
        <v/>
      </c>
      <c r="T266" s="7">
        <f>LN(J266/J265)</f>
        <v/>
      </c>
    </row>
    <row r="267">
      <c r="A267" s="4" t="inlineStr">
        <is>
          <t>2025-01-31</t>
        </is>
      </c>
      <c r="B267" s="5" t="n">
        <v>2812.05</v>
      </c>
      <c r="C267" s="5" t="n">
        <v>2.42</v>
      </c>
      <c r="D267" s="5" t="n">
        <v>2.16</v>
      </c>
      <c r="E267" s="5" t="n">
        <v>108.370003</v>
      </c>
      <c r="F267" s="5" t="n">
        <v>72.84</v>
      </c>
      <c r="G267" s="5" t="n">
        <v>16.43</v>
      </c>
      <c r="H267" s="5" t="n">
        <v>91.760002</v>
      </c>
      <c r="I267" s="5" t="n">
        <v>6040.529785</v>
      </c>
      <c r="J267" s="5" t="n">
        <v>92.13099699999999</v>
      </c>
      <c r="L267" s="7">
        <f>LN(B267/B266)</f>
        <v/>
      </c>
      <c r="M267" s="7">
        <f>C267-C266</f>
        <v/>
      </c>
      <c r="N267" s="7">
        <f>D267-D266</f>
        <v/>
      </c>
      <c r="O267" s="7">
        <f>LN(E267/E266)</f>
        <v/>
      </c>
      <c r="P267" s="7">
        <f>LN(F267/F266)</f>
        <v/>
      </c>
      <c r="Q267" s="7">
        <f>G267-G266</f>
        <v/>
      </c>
      <c r="R267" s="7">
        <f>H267-H266</f>
        <v/>
      </c>
      <c r="S267" s="7">
        <f>LN(I267/I266)</f>
        <v/>
      </c>
      <c r="T267" s="7">
        <f>LN(J267/J266)</f>
        <v/>
      </c>
    </row>
    <row r="268">
      <c r="A268" s="4" t="inlineStr">
        <is>
          <t>2025-02-28</t>
        </is>
      </c>
      <c r="B268" s="5" t="n">
        <v>2834.55</v>
      </c>
      <c r="C268" s="5" t="n">
        <v>2.38</v>
      </c>
      <c r="D268" s="5" t="n">
        <v>1.86</v>
      </c>
      <c r="E268" s="5" t="n">
        <v>107.610001</v>
      </c>
      <c r="F268" s="5" t="n">
        <v>69.97</v>
      </c>
      <c r="G268" s="5" t="n">
        <v>19.63</v>
      </c>
      <c r="H268" s="5" t="n">
        <v>104.459999</v>
      </c>
      <c r="I268" s="5" t="n">
        <v>5954.5</v>
      </c>
      <c r="J268" s="5" t="n">
        <v>94.192307</v>
      </c>
      <c r="L268" s="7">
        <f>LN(B268/B267)</f>
        <v/>
      </c>
      <c r="M268" s="7">
        <f>C268-C267</f>
        <v/>
      </c>
      <c r="N268" s="7">
        <f>D268-D267</f>
        <v/>
      </c>
      <c r="O268" s="7">
        <f>LN(E268/E267)</f>
        <v/>
      </c>
      <c r="P268" s="7">
        <f>LN(F268/F267)</f>
        <v/>
      </c>
      <c r="Q268" s="7">
        <f>G268-G267</f>
        <v/>
      </c>
      <c r="R268" s="7">
        <f>H268-H267</f>
        <v/>
      </c>
      <c r="S268" s="7">
        <f>LN(I268/I267)</f>
        <v/>
      </c>
      <c r="T268" s="7">
        <f>LN(J268/J267)</f>
        <v/>
      </c>
    </row>
    <row r="269">
      <c r="A269" s="4" t="inlineStr">
        <is>
          <t>2025-03-31</t>
        </is>
      </c>
      <c r="B269" s="5" t="n">
        <v>3115.1</v>
      </c>
      <c r="C269" s="5" t="n">
        <v>2.38</v>
      </c>
      <c r="D269" s="5" t="n">
        <v>1.85</v>
      </c>
      <c r="E269" s="5" t="n">
        <v>104.209999</v>
      </c>
      <c r="F269" s="5" t="n">
        <v>71.87</v>
      </c>
      <c r="G269" s="5" t="n">
        <v>22.28</v>
      </c>
      <c r="H269" s="5" t="n">
        <v>101.349998</v>
      </c>
      <c r="I269" s="5" t="n">
        <v>5611.850098</v>
      </c>
      <c r="J269" s="5" t="n">
        <v>94.16754899999999</v>
      </c>
      <c r="L269" s="7">
        <f>LN(B269/B268)</f>
        <v/>
      </c>
      <c r="M269" s="7">
        <f>C269-C268</f>
        <v/>
      </c>
      <c r="N269" s="7">
        <f>D269-D268</f>
        <v/>
      </c>
      <c r="O269" s="7">
        <f>LN(E269/E268)</f>
        <v/>
      </c>
      <c r="P269" s="7">
        <f>LN(F269/F268)</f>
        <v/>
      </c>
      <c r="Q269" s="7">
        <f>G269-G268</f>
        <v/>
      </c>
      <c r="R269" s="7">
        <f>H269-H268</f>
        <v/>
      </c>
      <c r="S269" s="7">
        <f>LN(I269/I268)</f>
        <v/>
      </c>
      <c r="T269" s="7">
        <f>LN(J269/J268)</f>
        <v/>
      </c>
    </row>
    <row r="270">
      <c r="A270" s="4" t="inlineStr">
        <is>
          <t>2025-04-30</t>
        </is>
      </c>
      <c r="B270" s="5" t="n">
        <v>3302.05</v>
      </c>
      <c r="C270" s="5" t="n">
        <v>2.23</v>
      </c>
      <c r="D270" s="5" t="n">
        <v>1.94</v>
      </c>
      <c r="E270" s="5" t="n">
        <v>99.470001</v>
      </c>
      <c r="F270" s="5" t="n">
        <v>59.55</v>
      </c>
      <c r="G270" s="5" t="n">
        <v>24.7</v>
      </c>
      <c r="H270" s="5" t="n">
        <v>112.480003</v>
      </c>
      <c r="I270" s="5" t="n">
        <v>5569.060059</v>
      </c>
      <c r="J270" s="5" t="n">
        <v>94.573471</v>
      </c>
      <c r="L270" s="7">
        <f>LN(B270/B269)</f>
        <v/>
      </c>
      <c r="M270" s="7">
        <f>C270-C269</f>
        <v/>
      </c>
      <c r="N270" s="7">
        <f>D270-D269</f>
        <v/>
      </c>
      <c r="O270" s="7">
        <f>LN(E270/E269)</f>
        <v/>
      </c>
      <c r="P270" s="7">
        <f>LN(F270/F269)</f>
        <v/>
      </c>
      <c r="Q270" s="7">
        <f>G270-G269</f>
        <v/>
      </c>
      <c r="R270" s="7">
        <f>H270-H269</f>
        <v/>
      </c>
      <c r="S270" s="7">
        <f>LN(I270/I269)</f>
        <v/>
      </c>
      <c r="T270" s="7">
        <f>LN(J270/J269)</f>
        <v/>
      </c>
    </row>
    <row r="271">
      <c r="A271" s="4" t="inlineStr">
        <is>
          <t>2025-05-31</t>
        </is>
      </c>
      <c r="B271" s="5" t="n">
        <v>3277.55</v>
      </c>
      <c r="C271" s="5" t="n">
        <v>2.34</v>
      </c>
      <c r="D271" s="5" t="n">
        <v>2.07</v>
      </c>
      <c r="E271" s="5" t="n">
        <v>99.33000199999999</v>
      </c>
      <c r="F271" s="5" t="n">
        <v>61.46</v>
      </c>
      <c r="G271" s="5" t="n">
        <v>18.57</v>
      </c>
      <c r="H271" s="5" t="n">
        <v>92.110001</v>
      </c>
      <c r="I271" s="5" t="n">
        <v>5911.689941</v>
      </c>
      <c r="J271" s="5" t="n">
        <v>93.999504</v>
      </c>
      <c r="L271" s="7">
        <f>LN(B271/B270)</f>
        <v/>
      </c>
      <c r="M271" s="7">
        <f>C271-C270</f>
        <v/>
      </c>
      <c r="N271" s="7">
        <f>D271-D270</f>
        <v/>
      </c>
      <c r="O271" s="7">
        <f>LN(E271/E270)</f>
        <v/>
      </c>
      <c r="P271" s="7">
        <f>LN(F271/F270)</f>
        <v/>
      </c>
      <c r="Q271" s="7">
        <f>G271-G270</f>
        <v/>
      </c>
      <c r="R271" s="7">
        <f>H271-H270</f>
        <v/>
      </c>
      <c r="S271" s="7">
        <f>LN(I271/I270)</f>
        <v/>
      </c>
      <c r="T271" s="7">
        <f>LN(J271/J270)</f>
        <v/>
      </c>
    </row>
    <row r="272">
      <c r="A272" s="4" t="inlineStr">
        <is>
          <t>2025-06-30</t>
        </is>
      </c>
      <c r="B272" s="5" t="n">
        <v>3287.45</v>
      </c>
      <c r="C272" s="5" t="n">
        <v>2.29</v>
      </c>
      <c r="D272" s="5" t="n">
        <v>1.95</v>
      </c>
      <c r="E272" s="5" t="n">
        <v>96.879997</v>
      </c>
      <c r="F272" s="5" t="n">
        <v>66.3</v>
      </c>
      <c r="G272" s="5" t="n">
        <v>16.73</v>
      </c>
      <c r="H272" s="5" t="n">
        <v>90.260002</v>
      </c>
      <c r="I272" s="5" t="n">
        <v>6204.950195</v>
      </c>
      <c r="J272" s="5" t="n">
        <v>95.367531</v>
      </c>
      <c r="L272" s="7">
        <f>LN(B272/B271)</f>
        <v/>
      </c>
      <c r="M272" s="7">
        <f>C272-C271</f>
        <v/>
      </c>
      <c r="N272" s="7">
        <f>D272-D271</f>
        <v/>
      </c>
      <c r="O272" s="7">
        <f>LN(E272/E271)</f>
        <v/>
      </c>
      <c r="P272" s="7">
        <f>LN(F272/F271)</f>
        <v/>
      </c>
      <c r="Q272" s="7">
        <f>G272-G271</f>
        <v/>
      </c>
      <c r="R272" s="7">
        <f>H272-H271</f>
        <v/>
      </c>
      <c r="S272" s="7">
        <f>LN(I272/I271)</f>
        <v/>
      </c>
      <c r="T272" s="7">
        <f>LN(J272/J271)</f>
        <v/>
      </c>
    </row>
    <row r="273">
      <c r="A273" s="4" t="inlineStr">
        <is>
          <t>2025-07-31</t>
        </is>
      </c>
      <c r="B273" s="5" t="n">
        <v>3298.85</v>
      </c>
      <c r="C273" s="5" t="n">
        <v>2.39</v>
      </c>
      <c r="D273" s="5" t="n">
        <v>1.98</v>
      </c>
      <c r="E273" s="5" t="n">
        <v>100.029999</v>
      </c>
      <c r="F273" s="5" t="n">
        <v>70.36</v>
      </c>
      <c r="G273" s="5" t="n">
        <v>16.72</v>
      </c>
      <c r="H273" s="5" t="n">
        <v>79.839996</v>
      </c>
      <c r="I273" s="5" t="n">
        <v>6339.390137</v>
      </c>
      <c r="J273" s="5" t="n">
        <v>95.115814</v>
      </c>
      <c r="L273" s="7">
        <f>LN(B273/B272)</f>
        <v/>
      </c>
      <c r="M273" s="7">
        <f>C273-C272</f>
        <v/>
      </c>
      <c r="N273" s="7">
        <f>D273-D272</f>
        <v/>
      </c>
      <c r="O273" s="7">
        <f>LN(E273/E272)</f>
        <v/>
      </c>
      <c r="P273" s="7">
        <f>LN(F273/F272)</f>
        <v/>
      </c>
      <c r="Q273" s="7">
        <f>G273-G272</f>
        <v/>
      </c>
      <c r="R273" s="7">
        <f>H273-H272</f>
        <v/>
      </c>
      <c r="S273" s="7">
        <f>LN(I273/I272)</f>
        <v/>
      </c>
      <c r="T273" s="7">
        <f>LN(J273/J272)</f>
        <v/>
      </c>
    </row>
    <row r="274">
      <c r="A274" s="4" t="inlineStr">
        <is>
          <t>2025-08-31</t>
        </is>
      </c>
      <c r="B274" s="5" t="n">
        <v>3429.15</v>
      </c>
      <c r="C274" s="5" t="n">
        <v>2.41</v>
      </c>
      <c r="D274" s="5" t="n">
        <v>1.82</v>
      </c>
      <c r="E274" s="5" t="n">
        <v>97.769997</v>
      </c>
      <c r="F274" s="5" t="n">
        <v>64.36</v>
      </c>
      <c r="G274" s="5" t="n">
        <v>15.36</v>
      </c>
      <c r="H274" s="5" t="n">
        <v>79.389999</v>
      </c>
      <c r="I274" s="5" t="n">
        <v>6460.259766</v>
      </c>
      <c r="J274" s="5" t="n">
        <v>96.24803900000001</v>
      </c>
      <c r="L274" s="7">
        <f>LN(B274/B273)</f>
        <v/>
      </c>
      <c r="M274" s="7">
        <f>C274-C273</f>
        <v/>
      </c>
      <c r="N274" s="7">
        <f>D274-D273</f>
        <v/>
      </c>
      <c r="O274" s="7">
        <f>LN(E274/E273)</f>
        <v/>
      </c>
      <c r="P274" s="7">
        <f>LN(F274/F273)</f>
        <v/>
      </c>
      <c r="Q274" s="7">
        <f>G274-G273</f>
        <v/>
      </c>
      <c r="R274" s="7">
        <f>H274-H273</f>
        <v/>
      </c>
      <c r="S274" s="7">
        <f>LN(I274/I273)</f>
        <v/>
      </c>
      <c r="T274" s="7">
        <f>LN(J274/J273)</f>
        <v/>
      </c>
    </row>
    <row r="275">
      <c r="A275" s="4" t="inlineStr">
        <is>
          <t>2025-09-30</t>
        </is>
      </c>
      <c r="B275" s="5" t="n">
        <v>3825.3</v>
      </c>
      <c r="C275" s="5" t="n">
        <v>2.36</v>
      </c>
      <c r="D275" s="5" t="n">
        <v>1.8</v>
      </c>
      <c r="E275" s="5" t="n">
        <v>97.769997</v>
      </c>
      <c r="F275" s="5" t="n">
        <v>63.17</v>
      </c>
      <c r="G275" s="5" t="n">
        <v>16.28</v>
      </c>
      <c r="H275" s="5" t="n">
        <v>77.93000000000001</v>
      </c>
      <c r="I275" s="5" t="n">
        <v>6688.459961</v>
      </c>
      <c r="J275" s="5" t="n">
        <v>97.33251199999999</v>
      </c>
      <c r="L275" s="7">
        <f>LN(B275/B274)</f>
        <v/>
      </c>
      <c r="M275" s="7">
        <f>C275-C274</f>
        <v/>
      </c>
      <c r="N275" s="7">
        <f>D275-D274</f>
        <v/>
      </c>
      <c r="O275" s="7">
        <f>LN(E275/E274)</f>
        <v/>
      </c>
      <c r="P275" s="7">
        <f>LN(F275/F274)</f>
        <v/>
      </c>
      <c r="Q275" s="7">
        <f>G275-G274</f>
        <v/>
      </c>
      <c r="R275" s="7">
        <f>H275-H274</f>
        <v/>
      </c>
      <c r="S275" s="7">
        <f>LN(I275/I274)</f>
        <v/>
      </c>
      <c r="T275" s="7">
        <f>LN(J275/J274)</f>
        <v/>
      </c>
    </row>
    <row r="276">
      <c r="A276" s="4" t="inlineStr">
        <is>
          <t>2025-10-31</t>
        </is>
      </c>
      <c r="B276" s="5" t="n">
        <v>4011.5</v>
      </c>
      <c r="C276" s="5" t="n">
        <v>2.3</v>
      </c>
      <c r="D276" s="5" t="n">
        <v>1.81</v>
      </c>
      <c r="E276" s="5" t="n">
        <v>99.800003</v>
      </c>
      <c r="F276" s="5" t="n">
        <v>61.75</v>
      </c>
      <c r="G276" s="5" t="n">
        <v>17.44</v>
      </c>
      <c r="H276" s="5" t="n">
        <v>66.610001</v>
      </c>
      <c r="I276" s="5" t="n">
        <v>6840.200195</v>
      </c>
      <c r="J276" s="5" t="n">
        <v>97.93156399999999</v>
      </c>
      <c r="L276" s="7">
        <f>LN(B276/B275)</f>
        <v/>
      </c>
      <c r="M276" s="7">
        <f>C276-C275</f>
        <v/>
      </c>
      <c r="N276" s="7">
        <f>D276-D275</f>
        <v/>
      </c>
      <c r="O276" s="7">
        <f>LN(E276/E275)</f>
        <v/>
      </c>
      <c r="P276" s="7">
        <f>LN(F276/F275)</f>
        <v/>
      </c>
      <c r="Q276" s="7">
        <f>G276-G275</f>
        <v/>
      </c>
      <c r="R276" s="7">
        <f>H276-H275</f>
        <v/>
      </c>
      <c r="S276" s="7">
        <f>LN(I276/I275)</f>
        <v/>
      </c>
      <c r="T276" s="7">
        <f>LN(J276/J275)</f>
        <v/>
      </c>
    </row>
    <row r="277">
      <c r="A277" s="4" t="inlineStr">
        <is>
          <t>2025-11-30</t>
        </is>
      </c>
      <c r="B277" s="5" t="n">
        <v>4191.05</v>
      </c>
      <c r="C277" s="5" t="n">
        <v>2.23</v>
      </c>
      <c r="D277" s="5" t="n">
        <v>1.79</v>
      </c>
      <c r="E277" s="5" t="n">
        <v>99.459999</v>
      </c>
      <c r="F277" s="5" t="n">
        <v>58.58</v>
      </c>
      <c r="G277" s="5" t="n">
        <v>16.35</v>
      </c>
      <c r="H277" s="5" t="n">
        <v>68.949997</v>
      </c>
      <c r="I277" s="5" t="n">
        <v>6849.089844</v>
      </c>
      <c r="J277" s="5" t="n">
        <v>98.524742</v>
      </c>
      <c r="L277" s="7">
        <f>LN(B277/B276)</f>
        <v/>
      </c>
      <c r="M277" s="7">
        <f>C277-C276</f>
        <v/>
      </c>
      <c r="N277" s="7">
        <f>D277-D276</f>
        <v/>
      </c>
      <c r="O277" s="7">
        <f>LN(E277/E276)</f>
        <v/>
      </c>
      <c r="P277" s="7">
        <f>LN(F277/F276)</f>
        <v/>
      </c>
      <c r="Q277" s="7">
        <f>G277-G276</f>
        <v/>
      </c>
      <c r="R277" s="7">
        <f>H277-H276</f>
        <v/>
      </c>
      <c r="S277" s="7">
        <f>LN(I277/I276)</f>
        <v/>
      </c>
      <c r="T277" s="7">
        <f>LN(J277/J276)</f>
        <v/>
      </c>
    </row>
    <row r="278">
      <c r="A278" s="4" t="inlineStr">
        <is>
          <t>2025-12-31</t>
        </is>
      </c>
      <c r="B278" s="5" t="n">
        <v>4367.8</v>
      </c>
      <c r="C278" s="5" t="n">
        <v>2.25</v>
      </c>
      <c r="D278" s="5" t="n">
        <v>1.93</v>
      </c>
      <c r="E278" s="5" t="n">
        <v>98.279999</v>
      </c>
      <c r="F278" s="5" t="n">
        <v>57.26</v>
      </c>
      <c r="G278" s="5" t="n">
        <v>14.95</v>
      </c>
      <c r="H278" s="5" t="n">
        <v>63.959999</v>
      </c>
      <c r="I278" s="5" t="n">
        <v>6845.5</v>
      </c>
      <c r="J278" s="5" t="n">
        <v>98.249886</v>
      </c>
      <c r="L278" s="7">
        <f>LN(B278/B277)</f>
        <v/>
      </c>
      <c r="M278" s="7">
        <f>C278-C277</f>
        <v/>
      </c>
      <c r="N278" s="7">
        <f>D278-D277</f>
        <v/>
      </c>
      <c r="O278" s="7">
        <f>LN(E278/E277)</f>
        <v/>
      </c>
      <c r="P278" s="7">
        <f>LN(F278/F277)</f>
        <v/>
      </c>
      <c r="Q278" s="7">
        <f>G278-G277</f>
        <v/>
      </c>
      <c r="R278" s="7">
        <f>H278-H277</f>
        <v/>
      </c>
      <c r="S278" s="7">
        <f>LN(I278/I277)</f>
        <v/>
      </c>
      <c r="T278" s="7">
        <f>LN(J278/J277)</f>
        <v/>
      </c>
    </row>
    <row r="279">
      <c r="A279" s="4" t="inlineStr">
        <is>
          <t>2026-01-31</t>
        </is>
      </c>
      <c r="B279" s="5" t="n">
        <v>4981.85</v>
      </c>
      <c r="C279" s="5" t="n">
        <v>2.36</v>
      </c>
      <c r="D279" s="5" t="n">
        <v>1.9</v>
      </c>
      <c r="E279" s="5" t="n">
        <v>96.989998</v>
      </c>
      <c r="F279" s="5" t="n">
        <v>64.5</v>
      </c>
      <c r="G279" s="5" t="n">
        <v>17.44</v>
      </c>
      <c r="H279" s="5" t="n">
        <v>59.200001</v>
      </c>
      <c r="I279" s="5" t="n">
        <v>6939.029785</v>
      </c>
      <c r="J279" s="5" t="n">
        <v>98.495789</v>
      </c>
      <c r="L279" s="7">
        <f>LN(B279/B278)</f>
        <v/>
      </c>
      <c r="M279" s="7">
        <f>C279-C278</f>
        <v/>
      </c>
      <c r="N279" s="7">
        <f>D279-D278</f>
        <v/>
      </c>
      <c r="O279" s="7">
        <f>LN(E279/E278)</f>
        <v/>
      </c>
      <c r="P279" s="7">
        <f>LN(F279/F278)</f>
        <v/>
      </c>
      <c r="Q279" s="7">
        <f>G279-G278</f>
        <v/>
      </c>
      <c r="R279" s="7">
        <f>H279-H278</f>
        <v/>
      </c>
      <c r="S279" s="7">
        <f>LN(I279/I278)</f>
        <v/>
      </c>
      <c r="T279" s="7">
        <f>LN(J279/J278)</f>
        <v/>
      </c>
    </row>
    <row r="280">
      <c r="A280" s="4" t="inlineStr">
        <is>
          <t>2026-02-28</t>
        </is>
      </c>
      <c r="B280" s="5" t="n">
        <v>5222.3</v>
      </c>
      <c r="C280" s="5" t="n">
        <v>2.25</v>
      </c>
      <c r="D280" s="5" t="n">
        <v>1.72</v>
      </c>
      <c r="E280" s="5" t="n">
        <v>97.610001</v>
      </c>
      <c r="F280" s="5" t="n">
        <v>66.95999999999999</v>
      </c>
      <c r="G280" s="5" t="n">
        <v>19.86</v>
      </c>
      <c r="H280" s="5" t="n">
        <v>73.379997</v>
      </c>
      <c r="I280" s="5" t="n">
        <v>6878.879883</v>
      </c>
      <c r="J280" s="5" t="n">
        <v>100.069878</v>
      </c>
      <c r="L280" s="7">
        <f>LN(B280/B279)</f>
        <v/>
      </c>
      <c r="M280" s="7">
        <f>C280-C279</f>
        <v/>
      </c>
      <c r="N280" s="7">
        <f>D280-D279</f>
        <v/>
      </c>
      <c r="O280" s="7">
        <f>LN(E280/E279)</f>
        <v/>
      </c>
      <c r="P280" s="7">
        <f>LN(F280/F279)</f>
        <v/>
      </c>
      <c r="Q280" s="7">
        <f>G280-G279</f>
        <v/>
      </c>
      <c r="R280" s="7">
        <f>H280-H279</f>
        <v/>
      </c>
      <c r="S280" s="7">
        <f>LN(I280/I279)</f>
        <v/>
      </c>
      <c r="T280" s="7">
        <f>LN(J280/J279)</f>
        <v/>
      </c>
    </row>
    <row r="281">
      <c r="A281" s="4" t="inlineStr">
        <is>
          <t>2026-03-31</t>
        </is>
      </c>
      <c r="B281" s="5" t="n">
        <v>4608.35</v>
      </c>
      <c r="C281" s="5" t="n">
        <v>2.3</v>
      </c>
      <c r="D281" s="5" t="n">
        <v>2</v>
      </c>
      <c r="E281" s="5" t="n">
        <v>99.959999</v>
      </c>
      <c r="F281" s="5" t="n">
        <v>102.86</v>
      </c>
      <c r="G281" s="5" t="n">
        <v>25.25</v>
      </c>
      <c r="H281" s="5" t="n">
        <v>96.050003</v>
      </c>
      <c r="I281" s="5" t="n">
        <v>6528.52002</v>
      </c>
      <c r="J281" s="5" t="n">
        <v>98.274078</v>
      </c>
      <c r="L281" s="7">
        <f>LN(B281/B280)</f>
        <v/>
      </c>
      <c r="M281" s="7">
        <f>C281-C280</f>
        <v/>
      </c>
      <c r="N281" s="7">
        <f>D281-D280</f>
        <v/>
      </c>
      <c r="O281" s="7">
        <f>LN(E281/E280)</f>
        <v/>
      </c>
      <c r="P281" s="7">
        <f>LN(F281/F280)</f>
        <v/>
      </c>
      <c r="Q281" s="7">
        <f>G281-G280</f>
        <v/>
      </c>
      <c r="R281" s="7">
        <f>H281-H280</f>
        <v/>
      </c>
      <c r="S281" s="7">
        <f>LN(I281/I280)</f>
        <v/>
      </c>
      <c r="T281" s="7">
        <f>LN(J281/J280)</f>
        <v/>
      </c>
    </row>
    <row r="282">
      <c r="A282" s="4" t="inlineStr">
        <is>
          <t>2026-04-30</t>
        </is>
      </c>
      <c r="B282" s="5" t="n">
        <v>4611.35</v>
      </c>
      <c r="C282" s="5" t="n">
        <v>2.46</v>
      </c>
      <c r="D282" s="5" t="n">
        <v>1.94</v>
      </c>
      <c r="E282" s="5" t="n">
        <v>98.08000199999999</v>
      </c>
      <c r="F282" s="5" t="n">
        <v>108.64</v>
      </c>
      <c r="G282" s="5" t="n">
        <v>16.89</v>
      </c>
      <c r="H282" s="5" t="n">
        <v>72.06999999999999</v>
      </c>
      <c r="I282" s="5" t="n">
        <v>7209.009766</v>
      </c>
      <c r="J282" s="5" t="n">
        <v>98.439964</v>
      </c>
      <c r="L282" s="7">
        <f>LN(B282/B281)</f>
        <v/>
      </c>
      <c r="M282" s="7">
        <f>C282-C281</f>
        <v/>
      </c>
      <c r="N282" s="7">
        <f>D282-D281</f>
        <v/>
      </c>
      <c r="O282" s="7">
        <f>LN(E282/E281)</f>
        <v/>
      </c>
      <c r="P282" s="7">
        <f>LN(F282/F281)</f>
        <v/>
      </c>
      <c r="Q282" s="7">
        <f>G282-G281</f>
        <v/>
      </c>
      <c r="R282" s="7">
        <f>H282-H281</f>
        <v/>
      </c>
      <c r="S282" s="7">
        <f>LN(I282/I281)</f>
        <v/>
      </c>
      <c r="T282" s="7">
        <f>LN(J282/J281)</f>
        <v/>
      </c>
    </row>
    <row r="283">
      <c r="A283" s="4" t="inlineStr">
        <is>
          <t>2026-05-31</t>
        </is>
      </c>
      <c r="B283" s="5" t="n">
        <v>4545.95</v>
      </c>
      <c r="C283" s="5" t="n">
        <v>2.38</v>
      </c>
      <c r="D283" s="5" t="n">
        <v>2.07</v>
      </c>
      <c r="E283" s="5" t="n">
        <v>98.910004</v>
      </c>
      <c r="F283" s="5" t="n">
        <v>91.16</v>
      </c>
      <c r="G283" s="5" t="n">
        <v>15.32</v>
      </c>
      <c r="H283" s="5" t="n">
        <v>70.220001</v>
      </c>
      <c r="I283" s="5" t="n">
        <v>7580.060059</v>
      </c>
      <c r="J283" s="5" t="n">
        <v>98.728996</v>
      </c>
      <c r="L283" s="7">
        <f>LN(B283/B282)</f>
        <v/>
      </c>
      <c r="M283" s="7">
        <f>C283-C282</f>
        <v/>
      </c>
      <c r="N283" s="7">
        <f>D283-D282</f>
        <v/>
      </c>
      <c r="O283" s="7">
        <f>LN(E283/E282)</f>
        <v/>
      </c>
      <c r="P283" s="7">
        <f>LN(F283/F282)</f>
        <v/>
      </c>
      <c r="Q283" s="7">
        <f>G283-G282</f>
        <v/>
      </c>
      <c r="R283" s="7">
        <f>H283-H282</f>
        <v/>
      </c>
      <c r="S283" s="7">
        <f>LN(I283/I282)</f>
        <v/>
      </c>
      <c r="T283" s="7">
        <f>LN(J283/J282)</f>
        <v/>
      </c>
    </row>
    <row r="284">
      <c r="A284" s="4" t="inlineStr">
        <is>
          <t>2026-06-30</t>
        </is>
      </c>
      <c r="B284" s="5" t="n">
        <v>4150.9</v>
      </c>
      <c r="C284" s="5" t="n">
        <v>2.23</v>
      </c>
      <c r="D284" s="5" t="n">
        <v>2.23</v>
      </c>
      <c r="E284" s="5" t="n">
        <v>101.417</v>
      </c>
      <c r="F284" s="5" t="n">
        <v>84.65000000000001</v>
      </c>
      <c r="G284" s="5" t="n">
        <v>17.28</v>
      </c>
      <c r="H284" s="5" t="n">
        <v>68.77979999999999</v>
      </c>
      <c r="I284" s="5" t="n">
        <v>7365.459961</v>
      </c>
      <c r="J284" s="5" t="n">
        <v>98.709999</v>
      </c>
      <c r="L284" s="7">
        <f>LN(B284/B283)</f>
        <v/>
      </c>
      <c r="M284" s="7">
        <f>C284-C283</f>
        <v/>
      </c>
      <c r="N284" s="7">
        <f>D284-D283</f>
        <v/>
      </c>
      <c r="O284" s="7">
        <f>LN(E284/E283)</f>
        <v/>
      </c>
      <c r="P284" s="7">
        <f>LN(F284/F283)</f>
        <v/>
      </c>
      <c r="Q284" s="7">
        <f>G284-G283</f>
        <v/>
      </c>
      <c r="R284" s="7">
        <f>H284-H283</f>
        <v/>
      </c>
      <c r="S284" s="7">
        <f>LN(I284/I283)</f>
        <v/>
      </c>
      <c r="T284" s="7">
        <f>LN(J284/J283)</f>
        <v/>
      </c>
    </row>
  </sheetData>
  <mergeCells count="1">
    <mergeCell ref="A1:J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2" customWidth="1" min="22" max="22"/>
    <col width="11" customWidth="1" min="23" max="23"/>
    <col width="11" customWidth="1" min="24" max="24"/>
    <col width="11" customWidth="1" min="25" max="25"/>
  </cols>
  <sheetData>
    <row r="1">
      <c r="A1" s="1" t="inlineStr">
        <is>
          <t>Gold factor regression — monthly, Bloomberg BDH (needs BBG add-in)</t>
        </is>
      </c>
    </row>
    <row r="2">
      <c r="A2" s="2" t="inlineStr">
        <is>
          <t>Date</t>
        </is>
      </c>
      <c r="B2" s="2" t="inlineStr">
        <is>
          <t>Gold (LBMA PM)</t>
        </is>
      </c>
      <c r="C2" s="2" t="inlineStr">
        <is>
          <t>10Y breakeven</t>
        </is>
      </c>
      <c r="D2" s="2" t="inlineStr">
        <is>
          <t>10Y TIPS real</t>
        </is>
      </c>
      <c r="E2" s="2" t="inlineStr">
        <is>
          <t>US Dollar Index DXY</t>
        </is>
      </c>
      <c r="F2" s="2" t="inlineStr">
        <is>
          <t>WTI crude oil</t>
        </is>
      </c>
      <c r="G2" s="2" t="inlineStr">
        <is>
          <t>Equity vol VIX</t>
        </is>
      </c>
      <c r="H2" s="2" t="inlineStr">
        <is>
          <t>Rate vol MOVE</t>
        </is>
      </c>
      <c r="I2" s="2" t="inlineStr">
        <is>
          <t>S&amp;P 500 (price)</t>
        </is>
      </c>
      <c r="J2" s="2" t="inlineStr">
        <is>
          <t>US Agg bonds TR</t>
        </is>
      </c>
      <c r="K2" t="inlineStr"/>
      <c r="L2" s="2" t="inlineStr">
        <is>
          <t>Gold ret</t>
        </is>
      </c>
      <c r="M2" s="2" t="inlineStr">
        <is>
          <t>Δ 10Y BE</t>
        </is>
      </c>
      <c r="N2" s="2" t="inlineStr">
        <is>
          <t>Δ 10Y real</t>
        </is>
      </c>
      <c r="O2" s="2" t="inlineStr">
        <is>
          <t>DXY ret</t>
        </is>
      </c>
      <c r="P2" s="2" t="inlineStr">
        <is>
          <t>Oil ret</t>
        </is>
      </c>
      <c r="Q2" s="2" t="inlineStr">
        <is>
          <t>Δ VIX</t>
        </is>
      </c>
      <c r="R2" s="2" t="inlineStr">
        <is>
          <t>Δ MOVE</t>
        </is>
      </c>
      <c r="S2" s="2" t="inlineStr">
        <is>
          <t>S&amp;P ret</t>
        </is>
      </c>
      <c r="T2" s="2" t="inlineStr">
        <is>
          <t>Agg ret</t>
        </is>
      </c>
      <c r="V2" s="3" t="inlineStr">
        <is>
          <t>Regression (monthly, full sample)</t>
        </is>
      </c>
    </row>
    <row r="3">
      <c r="A3" s="12">
        <f>BDH("XAU Curncy, USGGBE10 Index, USGGT10Y Index, DXY Curncy, CL1 Comdty, VIX Index, MOVE Index, SPX Index, LBUSTRUU Index","PX_LAST",DATE(2003,1,31),TODAY(),"Per=cm","Dts=S","Sort=A","cols=10;rows=282")</f>
        <v/>
      </c>
      <c r="L3" s="13" t="inlineStr">
        <is>
          <t>↑ One BDH array (A3) spills Date + 9 series into A3:J. If your add-in needs per-cell BDP, see Readme.</t>
        </is>
      </c>
      <c r="V3" s="6" t="inlineStr">
        <is>
          <t>Factor</t>
        </is>
      </c>
      <c r="W3" s="6" t="inlineStr">
        <is>
          <t>β</t>
        </is>
      </c>
      <c r="X3" s="6" t="inlineStr">
        <is>
          <t>std err</t>
        </is>
      </c>
      <c r="Y3" s="6" t="inlineStr">
        <is>
          <t>t-stat</t>
        </is>
      </c>
    </row>
    <row r="4">
      <c r="L4" s="7">
        <f>LN(B4/B3)</f>
        <v/>
      </c>
      <c r="M4" s="7">
        <f>C4-C3</f>
        <v/>
      </c>
      <c r="N4" s="7">
        <f>D4-D3</f>
        <v/>
      </c>
      <c r="O4" s="7">
        <f>LN(E4/E3)</f>
        <v/>
      </c>
      <c r="P4" s="7">
        <f>LN(F4/F3)</f>
        <v/>
      </c>
      <c r="Q4" s="7">
        <f>G4-G3</f>
        <v/>
      </c>
      <c r="R4" s="7">
        <f>H4-H3</f>
        <v/>
      </c>
      <c r="S4" s="7">
        <f>LN(I4/I3)</f>
        <v/>
      </c>
      <c r="T4" s="7">
        <f>LN(J4/J3)</f>
        <v/>
      </c>
      <c r="V4" t="inlineStr">
        <is>
          <t>10Y breakeven</t>
        </is>
      </c>
      <c r="W4" s="7">
        <f>INDEX(LINEST($L$4:$L$284,$M$4:$T$284,TRUE,TRUE),1,8)</f>
        <v/>
      </c>
      <c r="X4" s="7">
        <f>INDEX(LINEST($L$4:$L$284,$M$4:$T$284,TRUE,TRUE),2,8)</f>
        <v/>
      </c>
      <c r="Y4" s="7">
        <f>W4/X4</f>
        <v/>
      </c>
    </row>
    <row r="5">
      <c r="L5" s="7">
        <f>LN(B5/B4)</f>
        <v/>
      </c>
      <c r="M5" s="7">
        <f>C5-C4</f>
        <v/>
      </c>
      <c r="N5" s="7">
        <f>D5-D4</f>
        <v/>
      </c>
      <c r="O5" s="7">
        <f>LN(E5/E4)</f>
        <v/>
      </c>
      <c r="P5" s="7">
        <f>LN(F5/F4)</f>
        <v/>
      </c>
      <c r="Q5" s="7">
        <f>G5-G4</f>
        <v/>
      </c>
      <c r="R5" s="7">
        <f>H5-H4</f>
        <v/>
      </c>
      <c r="S5" s="7">
        <f>LN(I5/I4)</f>
        <v/>
      </c>
      <c r="T5" s="7">
        <f>LN(J5/J4)</f>
        <v/>
      </c>
      <c r="V5" t="inlineStr">
        <is>
          <t>10Y TIPS real</t>
        </is>
      </c>
      <c r="W5" s="7">
        <f>INDEX(LINEST($L$4:$L$284,$M$4:$T$284,TRUE,TRUE),1,7)</f>
        <v/>
      </c>
      <c r="X5" s="7">
        <f>INDEX(LINEST($L$4:$L$284,$M$4:$T$284,TRUE,TRUE),2,7)</f>
        <v/>
      </c>
      <c r="Y5" s="7">
        <f>W5/X5</f>
        <v/>
      </c>
    </row>
    <row r="6">
      <c r="L6" s="7">
        <f>LN(B6/B5)</f>
        <v/>
      </c>
      <c r="M6" s="7">
        <f>C6-C5</f>
        <v/>
      </c>
      <c r="N6" s="7">
        <f>D6-D5</f>
        <v/>
      </c>
      <c r="O6" s="7">
        <f>LN(E6/E5)</f>
        <v/>
      </c>
      <c r="P6" s="7">
        <f>LN(F6/F5)</f>
        <v/>
      </c>
      <c r="Q6" s="7">
        <f>G6-G5</f>
        <v/>
      </c>
      <c r="R6" s="7">
        <f>H6-H5</f>
        <v/>
      </c>
      <c r="S6" s="7">
        <f>LN(I6/I5)</f>
        <v/>
      </c>
      <c r="T6" s="7">
        <f>LN(J6/J5)</f>
        <v/>
      </c>
      <c r="V6" t="inlineStr">
        <is>
          <t>US Dollar Index DXY</t>
        </is>
      </c>
      <c r="W6" s="7">
        <f>INDEX(LINEST($L$4:$L$284,$M$4:$T$284,TRUE,TRUE),1,6)</f>
        <v/>
      </c>
      <c r="X6" s="7">
        <f>INDEX(LINEST($L$4:$L$284,$M$4:$T$284,TRUE,TRUE),2,6)</f>
        <v/>
      </c>
      <c r="Y6" s="7">
        <f>W6/X6</f>
        <v/>
      </c>
    </row>
    <row r="7">
      <c r="L7" s="7">
        <f>LN(B7/B6)</f>
        <v/>
      </c>
      <c r="M7" s="7">
        <f>C7-C6</f>
        <v/>
      </c>
      <c r="N7" s="7">
        <f>D7-D6</f>
        <v/>
      </c>
      <c r="O7" s="7">
        <f>LN(E7/E6)</f>
        <v/>
      </c>
      <c r="P7" s="7">
        <f>LN(F7/F6)</f>
        <v/>
      </c>
      <c r="Q7" s="7">
        <f>G7-G6</f>
        <v/>
      </c>
      <c r="R7" s="7">
        <f>H7-H6</f>
        <v/>
      </c>
      <c r="S7" s="7">
        <f>LN(I7/I6)</f>
        <v/>
      </c>
      <c r="T7" s="7">
        <f>LN(J7/J6)</f>
        <v/>
      </c>
      <c r="V7" t="inlineStr">
        <is>
          <t>WTI crude oil</t>
        </is>
      </c>
      <c r="W7" s="7">
        <f>INDEX(LINEST($L$4:$L$284,$M$4:$T$284,TRUE,TRUE),1,5)</f>
        <v/>
      </c>
      <c r="X7" s="7">
        <f>INDEX(LINEST($L$4:$L$284,$M$4:$T$284,TRUE,TRUE),2,5)</f>
        <v/>
      </c>
      <c r="Y7" s="7">
        <f>W7/X7</f>
        <v/>
      </c>
    </row>
    <row r="8">
      <c r="L8" s="7">
        <f>LN(B8/B7)</f>
        <v/>
      </c>
      <c r="M8" s="7">
        <f>C8-C7</f>
        <v/>
      </c>
      <c r="N8" s="7">
        <f>D8-D7</f>
        <v/>
      </c>
      <c r="O8" s="7">
        <f>LN(E8/E7)</f>
        <v/>
      </c>
      <c r="P8" s="7">
        <f>LN(F8/F7)</f>
        <v/>
      </c>
      <c r="Q8" s="7">
        <f>G8-G7</f>
        <v/>
      </c>
      <c r="R8" s="7">
        <f>H8-H7</f>
        <v/>
      </c>
      <c r="S8" s="7">
        <f>LN(I8/I7)</f>
        <v/>
      </c>
      <c r="T8" s="7">
        <f>LN(J8/J7)</f>
        <v/>
      </c>
      <c r="V8" t="inlineStr">
        <is>
          <t>Equity vol VIX</t>
        </is>
      </c>
      <c r="W8" s="7">
        <f>INDEX(LINEST($L$4:$L$284,$M$4:$T$284,TRUE,TRUE),1,4)</f>
        <v/>
      </c>
      <c r="X8" s="7">
        <f>INDEX(LINEST($L$4:$L$284,$M$4:$T$284,TRUE,TRUE),2,4)</f>
        <v/>
      </c>
      <c r="Y8" s="7">
        <f>W8/X8</f>
        <v/>
      </c>
    </row>
    <row r="9">
      <c r="L9" s="7">
        <f>LN(B9/B8)</f>
        <v/>
      </c>
      <c r="M9" s="7">
        <f>C9-C8</f>
        <v/>
      </c>
      <c r="N9" s="7">
        <f>D9-D8</f>
        <v/>
      </c>
      <c r="O9" s="7">
        <f>LN(E9/E8)</f>
        <v/>
      </c>
      <c r="P9" s="7">
        <f>LN(F9/F8)</f>
        <v/>
      </c>
      <c r="Q9" s="7">
        <f>G9-G8</f>
        <v/>
      </c>
      <c r="R9" s="7">
        <f>H9-H8</f>
        <v/>
      </c>
      <c r="S9" s="7">
        <f>LN(I9/I8)</f>
        <v/>
      </c>
      <c r="T9" s="7">
        <f>LN(J9/J8)</f>
        <v/>
      </c>
      <c r="V9" t="inlineStr">
        <is>
          <t>Rate vol MOVE</t>
        </is>
      </c>
      <c r="W9" s="7">
        <f>INDEX(LINEST($L$4:$L$284,$M$4:$T$284,TRUE,TRUE),1,3)</f>
        <v/>
      </c>
      <c r="X9" s="7">
        <f>INDEX(LINEST($L$4:$L$284,$M$4:$T$284,TRUE,TRUE),2,3)</f>
        <v/>
      </c>
      <c r="Y9" s="7">
        <f>W9/X9</f>
        <v/>
      </c>
    </row>
    <row r="10">
      <c r="L10" s="7">
        <f>LN(B10/B9)</f>
        <v/>
      </c>
      <c r="M10" s="7">
        <f>C10-C9</f>
        <v/>
      </c>
      <c r="N10" s="7">
        <f>D10-D9</f>
        <v/>
      </c>
      <c r="O10" s="7">
        <f>LN(E10/E9)</f>
        <v/>
      </c>
      <c r="P10" s="7">
        <f>LN(F10/F9)</f>
        <v/>
      </c>
      <c r="Q10" s="7">
        <f>G10-G9</f>
        <v/>
      </c>
      <c r="R10" s="7">
        <f>H10-H9</f>
        <v/>
      </c>
      <c r="S10" s="7">
        <f>LN(I10/I9)</f>
        <v/>
      </c>
      <c r="T10" s="7">
        <f>LN(J10/J9)</f>
        <v/>
      </c>
      <c r="V10" t="inlineStr">
        <is>
          <t>S&amp;P 500 (price)</t>
        </is>
      </c>
      <c r="W10" s="7">
        <f>INDEX(LINEST($L$4:$L$284,$M$4:$T$284,TRUE,TRUE),1,2)</f>
        <v/>
      </c>
      <c r="X10" s="7">
        <f>INDEX(LINEST($L$4:$L$284,$M$4:$T$284,TRUE,TRUE),2,2)</f>
        <v/>
      </c>
      <c r="Y10" s="7">
        <f>W10/X10</f>
        <v/>
      </c>
    </row>
    <row r="11">
      <c r="L11" s="7">
        <f>LN(B11/B10)</f>
        <v/>
      </c>
      <c r="M11" s="7">
        <f>C11-C10</f>
        <v/>
      </c>
      <c r="N11" s="7">
        <f>D11-D10</f>
        <v/>
      </c>
      <c r="O11" s="7">
        <f>LN(E11/E10)</f>
        <v/>
      </c>
      <c r="P11" s="7">
        <f>LN(F11/F10)</f>
        <v/>
      </c>
      <c r="Q11" s="7">
        <f>G11-G10</f>
        <v/>
      </c>
      <c r="R11" s="7">
        <f>H11-H10</f>
        <v/>
      </c>
      <c r="S11" s="7">
        <f>LN(I11/I10)</f>
        <v/>
      </c>
      <c r="T11" s="7">
        <f>LN(J11/J10)</f>
        <v/>
      </c>
      <c r="V11" t="inlineStr">
        <is>
          <t>US Agg bonds TR</t>
        </is>
      </c>
      <c r="W11" s="7">
        <f>INDEX(LINEST($L$4:$L$284,$M$4:$T$284,TRUE,TRUE),1,1)</f>
        <v/>
      </c>
      <c r="X11" s="7">
        <f>INDEX(LINEST($L$4:$L$284,$M$4:$T$284,TRUE,TRUE),2,1)</f>
        <v/>
      </c>
      <c r="Y11" s="7">
        <f>W11/X11</f>
        <v/>
      </c>
    </row>
    <row r="12">
      <c r="L12" s="7">
        <f>LN(B12/B11)</f>
        <v/>
      </c>
      <c r="M12" s="7">
        <f>C12-C11</f>
        <v/>
      </c>
      <c r="N12" s="7">
        <f>D12-D11</f>
        <v/>
      </c>
      <c r="O12" s="7">
        <f>LN(E12/E11)</f>
        <v/>
      </c>
      <c r="P12" s="7">
        <f>LN(F12/F11)</f>
        <v/>
      </c>
      <c r="Q12" s="7">
        <f>G12-G11</f>
        <v/>
      </c>
      <c r="R12" s="7">
        <f>H12-H11</f>
        <v/>
      </c>
      <c r="S12" s="7">
        <f>LN(I12/I11)</f>
        <v/>
      </c>
      <c r="T12" s="7">
        <f>LN(J12/J11)</f>
        <v/>
      </c>
      <c r="V12" t="inlineStr">
        <is>
          <t>Intercept α</t>
        </is>
      </c>
      <c r="W12" s="7">
        <f>INDEX(LINEST($L$4:$L$284,$M$4:$T$284,TRUE,TRUE),1,9)</f>
        <v/>
      </c>
      <c r="X12" s="7">
        <f>INDEX(LINEST($L$4:$L$284,$M$4:$T$284,TRUE,TRUE),2,9)</f>
        <v/>
      </c>
      <c r="Y12" s="7">
        <f>W12/X12</f>
        <v/>
      </c>
    </row>
    <row r="13">
      <c r="L13" s="7">
        <f>LN(B13/B12)</f>
        <v/>
      </c>
      <c r="M13" s="7">
        <f>C13-C12</f>
        <v/>
      </c>
      <c r="N13" s="7">
        <f>D13-D12</f>
        <v/>
      </c>
      <c r="O13" s="7">
        <f>LN(E13/E12)</f>
        <v/>
      </c>
      <c r="P13" s="7">
        <f>LN(F13/F12)</f>
        <v/>
      </c>
      <c r="Q13" s="7">
        <f>G13-G12</f>
        <v/>
      </c>
      <c r="R13" s="7">
        <f>H13-H12</f>
        <v/>
      </c>
      <c r="S13" s="7">
        <f>LN(I13/I12)</f>
        <v/>
      </c>
      <c r="T13" s="7">
        <f>LN(J13/J12)</f>
        <v/>
      </c>
    </row>
    <row r="14">
      <c r="L14" s="7">
        <f>LN(B14/B13)</f>
        <v/>
      </c>
      <c r="M14" s="7">
        <f>C14-C13</f>
        <v/>
      </c>
      <c r="N14" s="7">
        <f>D14-D13</f>
        <v/>
      </c>
      <c r="O14" s="7">
        <f>LN(E14/E13)</f>
        <v/>
      </c>
      <c r="P14" s="7">
        <f>LN(F14/F13)</f>
        <v/>
      </c>
      <c r="Q14" s="7">
        <f>G14-G13</f>
        <v/>
      </c>
      <c r="R14" s="7">
        <f>H14-H13</f>
        <v/>
      </c>
      <c r="S14" s="7">
        <f>LN(I14/I13)</f>
        <v/>
      </c>
      <c r="T14" s="7">
        <f>LN(J14/J13)</f>
        <v/>
      </c>
      <c r="V14" t="inlineStr">
        <is>
          <t>R²</t>
        </is>
      </c>
      <c r="W14" s="8">
        <f>INDEX(LINEST($L$4:$L$284,$M$4:$T$284,TRUE,TRUE),3,1)</f>
        <v/>
      </c>
    </row>
    <row r="15">
      <c r="L15" s="7">
        <f>LN(B15/B14)</f>
        <v/>
      </c>
      <c r="M15" s="7">
        <f>C15-C14</f>
        <v/>
      </c>
      <c r="N15" s="7">
        <f>D15-D14</f>
        <v/>
      </c>
      <c r="O15" s="7">
        <f>LN(E15/E14)</f>
        <v/>
      </c>
      <c r="P15" s="7">
        <f>LN(F15/F14)</f>
        <v/>
      </c>
      <c r="Q15" s="7">
        <f>G15-G14</f>
        <v/>
      </c>
      <c r="R15" s="7">
        <f>H15-H14</f>
        <v/>
      </c>
      <c r="S15" s="7">
        <f>LN(I15/I14)</f>
        <v/>
      </c>
      <c r="T15" s="7">
        <f>LN(J15/J14)</f>
        <v/>
      </c>
      <c r="V15" t="inlineStr">
        <is>
          <t>α annualized</t>
        </is>
      </c>
      <c r="W15" s="8">
        <f>W12*12</f>
        <v/>
      </c>
    </row>
    <row r="16">
      <c r="L16" s="7">
        <f>LN(B16/B15)</f>
        <v/>
      </c>
      <c r="M16" s="7">
        <f>C16-C15</f>
        <v/>
      </c>
      <c r="N16" s="7">
        <f>D16-D15</f>
        <v/>
      </c>
      <c r="O16" s="7">
        <f>LN(E16/E15)</f>
        <v/>
      </c>
      <c r="P16" s="7">
        <f>LN(F16/F15)</f>
        <v/>
      </c>
      <c r="Q16" s="7">
        <f>G16-G15</f>
        <v/>
      </c>
      <c r="R16" s="7">
        <f>H16-H15</f>
        <v/>
      </c>
      <c r="S16" s="7">
        <f>LN(I16/I15)</f>
        <v/>
      </c>
      <c r="T16" s="7">
        <f>LN(J16/J15)</f>
        <v/>
      </c>
    </row>
    <row r="17">
      <c r="L17" s="7">
        <f>LN(B17/B16)</f>
        <v/>
      </c>
      <c r="M17" s="7">
        <f>C17-C16</f>
        <v/>
      </c>
      <c r="N17" s="7">
        <f>D17-D16</f>
        <v/>
      </c>
      <c r="O17" s="7">
        <f>LN(E17/E16)</f>
        <v/>
      </c>
      <c r="P17" s="7">
        <f>LN(F17/F16)</f>
        <v/>
      </c>
      <c r="Q17" s="7">
        <f>G17-G16</f>
        <v/>
      </c>
      <c r="R17" s="7">
        <f>H17-H16</f>
        <v/>
      </c>
      <c r="S17" s="7">
        <f>LN(I17/I16)</f>
        <v/>
      </c>
      <c r="T17" s="7">
        <f>LN(J17/J16)</f>
        <v/>
      </c>
      <c r="V17" s="3" t="inlineStr">
        <is>
          <t>Forecast: enter your next-period factor change →</t>
        </is>
      </c>
    </row>
    <row r="18">
      <c r="L18" s="7">
        <f>LN(B18/B17)</f>
        <v/>
      </c>
      <c r="M18" s="7">
        <f>C18-C17</f>
        <v/>
      </c>
      <c r="N18" s="7">
        <f>D18-D17</f>
        <v/>
      </c>
      <c r="O18" s="7">
        <f>LN(E18/E17)</f>
        <v/>
      </c>
      <c r="P18" s="7">
        <f>LN(F18/F17)</f>
        <v/>
      </c>
      <c r="Q18" s="7">
        <f>G18-G17</f>
        <v/>
      </c>
      <c r="R18" s="7">
        <f>H18-H17</f>
        <v/>
      </c>
      <c r="S18" s="7">
        <f>LN(I18/I17)</f>
        <v/>
      </c>
      <c r="T18" s="7">
        <f>LN(J18/J17)</f>
        <v/>
      </c>
      <c r="V18" s="6" t="inlineStr">
        <is>
          <t>Factor</t>
        </is>
      </c>
      <c r="W18" s="6" t="inlineStr">
        <is>
          <t>Your Δ (input)</t>
        </is>
      </c>
      <c r="X18" s="6" t="inlineStr">
        <is>
          <t>Contribution</t>
        </is>
      </c>
    </row>
    <row r="19">
      <c r="L19" s="7">
        <f>LN(B19/B18)</f>
        <v/>
      </c>
      <c r="M19" s="7">
        <f>C19-C18</f>
        <v/>
      </c>
      <c r="N19" s="7">
        <f>D19-D18</f>
        <v/>
      </c>
      <c r="O19" s="7">
        <f>LN(E19/E18)</f>
        <v/>
      </c>
      <c r="P19" s="7">
        <f>LN(F19/F18)</f>
        <v/>
      </c>
      <c r="Q19" s="7">
        <f>G19-G18</f>
        <v/>
      </c>
      <c r="R19" s="7">
        <f>H19-H18</f>
        <v/>
      </c>
      <c r="S19" s="7">
        <f>LN(I19/I18)</f>
        <v/>
      </c>
      <c r="T19" s="7">
        <f>LN(J19/J18)</f>
        <v/>
      </c>
      <c r="V19" t="inlineStr">
        <is>
          <t>10Y breakeven (pp)</t>
        </is>
      </c>
      <c r="W19" s="9" t="n">
        <v>0</v>
      </c>
      <c r="X19" s="10">
        <f>W4*W19</f>
        <v/>
      </c>
    </row>
    <row r="20">
      <c r="L20" s="7">
        <f>LN(B20/B19)</f>
        <v/>
      </c>
      <c r="M20" s="7">
        <f>C20-C19</f>
        <v/>
      </c>
      <c r="N20" s="7">
        <f>D20-D19</f>
        <v/>
      </c>
      <c r="O20" s="7">
        <f>LN(E20/E19)</f>
        <v/>
      </c>
      <c r="P20" s="7">
        <f>LN(F20/F19)</f>
        <v/>
      </c>
      <c r="Q20" s="7">
        <f>G20-G19</f>
        <v/>
      </c>
      <c r="R20" s="7">
        <f>H20-H19</f>
        <v/>
      </c>
      <c r="S20" s="7">
        <f>LN(I20/I19)</f>
        <v/>
      </c>
      <c r="T20" s="7">
        <f>LN(J20/J19)</f>
        <v/>
      </c>
      <c r="V20" t="inlineStr">
        <is>
          <t>10Y TIPS real (pp)</t>
        </is>
      </c>
      <c r="W20" s="9" t="n">
        <v>0</v>
      </c>
      <c r="X20" s="10">
        <f>W5*W20</f>
        <v/>
      </c>
    </row>
    <row r="21">
      <c r="L21" s="7">
        <f>LN(B21/B20)</f>
        <v/>
      </c>
      <c r="M21" s="7">
        <f>C21-C20</f>
        <v/>
      </c>
      <c r="N21" s="7">
        <f>D21-D20</f>
        <v/>
      </c>
      <c r="O21" s="7">
        <f>LN(E21/E20)</f>
        <v/>
      </c>
      <c r="P21" s="7">
        <f>LN(F21/F20)</f>
        <v/>
      </c>
      <c r="Q21" s="7">
        <f>G21-G20</f>
        <v/>
      </c>
      <c r="R21" s="7">
        <f>H21-H20</f>
        <v/>
      </c>
      <c r="S21" s="7">
        <f>LN(I21/I20)</f>
        <v/>
      </c>
      <c r="T21" s="7">
        <f>LN(J21/J20)</f>
        <v/>
      </c>
      <c r="V21" t="inlineStr">
        <is>
          <t>US Dollar Index DXY (idx)</t>
        </is>
      </c>
      <c r="W21" s="9" t="n">
        <v>0</v>
      </c>
      <c r="X21" s="10">
        <f>W6*W21</f>
        <v/>
      </c>
    </row>
    <row r="22">
      <c r="L22" s="7">
        <f>LN(B22/B21)</f>
        <v/>
      </c>
      <c r="M22" s="7">
        <f>C22-C21</f>
        <v/>
      </c>
      <c r="N22" s="7">
        <f>D22-D21</f>
        <v/>
      </c>
      <c r="O22" s="7">
        <f>LN(E22/E21)</f>
        <v/>
      </c>
      <c r="P22" s="7">
        <f>LN(F22/F21)</f>
        <v/>
      </c>
      <c r="Q22" s="7">
        <f>G22-G21</f>
        <v/>
      </c>
      <c r="R22" s="7">
        <f>H22-H21</f>
        <v/>
      </c>
      <c r="S22" s="7">
        <f>LN(I22/I21)</f>
        <v/>
      </c>
      <c r="T22" s="7">
        <f>LN(J22/J21)</f>
        <v/>
      </c>
      <c r="V22" t="inlineStr">
        <is>
          <t>WTI crude oil ($/bbl)</t>
        </is>
      </c>
      <c r="W22" s="9" t="n">
        <v>0</v>
      </c>
      <c r="X22" s="10">
        <f>W7*W22</f>
        <v/>
      </c>
    </row>
    <row r="23">
      <c r="L23" s="7">
        <f>LN(B23/B22)</f>
        <v/>
      </c>
      <c r="M23" s="7">
        <f>C23-C22</f>
        <v/>
      </c>
      <c r="N23" s="7">
        <f>D23-D22</f>
        <v/>
      </c>
      <c r="O23" s="7">
        <f>LN(E23/E22)</f>
        <v/>
      </c>
      <c r="P23" s="7">
        <f>LN(F23/F22)</f>
        <v/>
      </c>
      <c r="Q23" s="7">
        <f>G23-G22</f>
        <v/>
      </c>
      <c r="R23" s="7">
        <f>H23-H22</f>
        <v/>
      </c>
      <c r="S23" s="7">
        <f>LN(I23/I22)</f>
        <v/>
      </c>
      <c r="T23" s="7">
        <f>LN(J23/J22)</f>
        <v/>
      </c>
      <c r="V23" t="inlineStr">
        <is>
          <t>Equity vol VIX (pts)</t>
        </is>
      </c>
      <c r="W23" s="9" t="n">
        <v>0</v>
      </c>
      <c r="X23" s="10">
        <f>W8*W23</f>
        <v/>
      </c>
    </row>
    <row r="24">
      <c r="L24" s="7">
        <f>LN(B24/B23)</f>
        <v/>
      </c>
      <c r="M24" s="7">
        <f>C24-C23</f>
        <v/>
      </c>
      <c r="N24" s="7">
        <f>D24-D23</f>
        <v/>
      </c>
      <c r="O24" s="7">
        <f>LN(E24/E23)</f>
        <v/>
      </c>
      <c r="P24" s="7">
        <f>LN(F24/F23)</f>
        <v/>
      </c>
      <c r="Q24" s="7">
        <f>G24-G23</f>
        <v/>
      </c>
      <c r="R24" s="7">
        <f>H24-H23</f>
        <v/>
      </c>
      <c r="S24" s="7">
        <f>LN(I24/I23)</f>
        <v/>
      </c>
      <c r="T24" s="7">
        <f>LN(J24/J23)</f>
        <v/>
      </c>
      <c r="V24" t="inlineStr">
        <is>
          <t>Rate vol MOVE (bps)</t>
        </is>
      </c>
      <c r="W24" s="9" t="n">
        <v>0</v>
      </c>
      <c r="X24" s="10">
        <f>W9*W24</f>
        <v/>
      </c>
    </row>
    <row r="25">
      <c r="L25" s="7">
        <f>LN(B25/B24)</f>
        <v/>
      </c>
      <c r="M25" s="7">
        <f>C25-C24</f>
        <v/>
      </c>
      <c r="N25" s="7">
        <f>D25-D24</f>
        <v/>
      </c>
      <c r="O25" s="7">
        <f>LN(E25/E24)</f>
        <v/>
      </c>
      <c r="P25" s="7">
        <f>LN(F25/F24)</f>
        <v/>
      </c>
      <c r="Q25" s="7">
        <f>G25-G24</f>
        <v/>
      </c>
      <c r="R25" s="7">
        <f>H25-H24</f>
        <v/>
      </c>
      <c r="S25" s="7">
        <f>LN(I25/I24)</f>
        <v/>
      </c>
      <c r="T25" s="7">
        <f>LN(J25/J24)</f>
        <v/>
      </c>
      <c r="V25" t="inlineStr">
        <is>
          <t>S&amp;P 500 (price) (idx)</t>
        </is>
      </c>
      <c r="W25" s="9" t="n">
        <v>0</v>
      </c>
      <c r="X25" s="10">
        <f>W10*W25</f>
        <v/>
      </c>
    </row>
    <row r="26">
      <c r="L26" s="7">
        <f>LN(B26/B25)</f>
        <v/>
      </c>
      <c r="M26" s="7">
        <f>C26-C25</f>
        <v/>
      </c>
      <c r="N26" s="7">
        <f>D26-D25</f>
        <v/>
      </c>
      <c r="O26" s="7">
        <f>LN(E26/E25)</f>
        <v/>
      </c>
      <c r="P26" s="7">
        <f>LN(F26/F25)</f>
        <v/>
      </c>
      <c r="Q26" s="7">
        <f>G26-G25</f>
        <v/>
      </c>
      <c r="R26" s="7">
        <f>H26-H25</f>
        <v/>
      </c>
      <c r="S26" s="7">
        <f>LN(I26/I25)</f>
        <v/>
      </c>
      <c r="T26" s="7">
        <f>LN(J26/J25)</f>
        <v/>
      </c>
      <c r="V26" t="inlineStr">
        <is>
          <t>US Agg bonds TR (idx)</t>
        </is>
      </c>
      <c r="W26" s="9" t="n">
        <v>0</v>
      </c>
      <c r="X26" s="10">
        <f>W11*W26</f>
        <v/>
      </c>
    </row>
    <row r="27">
      <c r="L27" s="7">
        <f>LN(B27/B26)</f>
        <v/>
      </c>
      <c r="M27" s="7">
        <f>C27-C26</f>
        <v/>
      </c>
      <c r="N27" s="7">
        <f>D27-D26</f>
        <v/>
      </c>
      <c r="O27" s="7">
        <f>LN(E27/E26)</f>
        <v/>
      </c>
      <c r="P27" s="7">
        <f>LN(F27/F26)</f>
        <v/>
      </c>
      <c r="Q27" s="7">
        <f>G27-G26</f>
        <v/>
      </c>
      <c r="R27" s="7">
        <f>H27-H26</f>
        <v/>
      </c>
      <c r="S27" s="7">
        <f>LN(I27/I26)</f>
        <v/>
      </c>
      <c r="T27" s="7">
        <f>LN(J27/J26)</f>
        <v/>
      </c>
      <c r="V27" s="3" t="inlineStr">
        <is>
          <t>Implied gold log-return</t>
        </is>
      </c>
      <c r="X27" s="11">
        <f>W12+SUM(X19:X26)</f>
        <v/>
      </c>
    </row>
    <row r="28">
      <c r="L28" s="7">
        <f>LN(B28/B27)</f>
        <v/>
      </c>
      <c r="M28" s="7">
        <f>C28-C27</f>
        <v/>
      </c>
      <c r="N28" s="7">
        <f>D28-D27</f>
        <v/>
      </c>
      <c r="O28" s="7">
        <f>LN(E28/E27)</f>
        <v/>
      </c>
      <c r="P28" s="7">
        <f>LN(F28/F27)</f>
        <v/>
      </c>
      <c r="Q28" s="7">
        <f>G28-G27</f>
        <v/>
      </c>
      <c r="R28" s="7">
        <f>H28-H27</f>
        <v/>
      </c>
      <c r="S28" s="7">
        <f>LN(I28/I27)</f>
        <v/>
      </c>
      <c r="T28" s="7">
        <f>LN(J28/J27)</f>
        <v/>
      </c>
      <c r="V28" t="inlineStr">
        <is>
          <t>≈ simple return</t>
        </is>
      </c>
      <c r="X28" s="10">
        <f>EXP(X27)-1</f>
        <v/>
      </c>
    </row>
    <row r="29">
      <c r="L29" s="7">
        <f>LN(B29/B28)</f>
        <v/>
      </c>
      <c r="M29" s="7">
        <f>C29-C28</f>
        <v/>
      </c>
      <c r="N29" s="7">
        <f>D29-D28</f>
        <v/>
      </c>
      <c r="O29" s="7">
        <f>LN(E29/E28)</f>
        <v/>
      </c>
      <c r="P29" s="7">
        <f>LN(F29/F28)</f>
        <v/>
      </c>
      <c r="Q29" s="7">
        <f>G29-G28</f>
        <v/>
      </c>
      <c r="R29" s="7">
        <f>H29-H28</f>
        <v/>
      </c>
      <c r="S29" s="7">
        <f>LN(I29/I28)</f>
        <v/>
      </c>
      <c r="T29" s="7">
        <f>LN(J29/J28)</f>
        <v/>
      </c>
    </row>
    <row r="30">
      <c r="L30" s="7">
        <f>LN(B30/B29)</f>
        <v/>
      </c>
      <c r="M30" s="7">
        <f>C30-C29</f>
        <v/>
      </c>
      <c r="N30" s="7">
        <f>D30-D29</f>
        <v/>
      </c>
      <c r="O30" s="7">
        <f>LN(E30/E29)</f>
        <v/>
      </c>
      <c r="P30" s="7">
        <f>LN(F30/F29)</f>
        <v/>
      </c>
      <c r="Q30" s="7">
        <f>G30-G29</f>
        <v/>
      </c>
      <c r="R30" s="7">
        <f>H30-H29</f>
        <v/>
      </c>
      <c r="S30" s="7">
        <f>LN(I30/I29)</f>
        <v/>
      </c>
      <c r="T30" s="7">
        <f>LN(J30/J29)</f>
        <v/>
      </c>
    </row>
    <row r="31">
      <c r="L31" s="7">
        <f>LN(B31/B30)</f>
        <v/>
      </c>
      <c r="M31" s="7">
        <f>C31-C30</f>
        <v/>
      </c>
      <c r="N31" s="7">
        <f>D31-D30</f>
        <v/>
      </c>
      <c r="O31" s="7">
        <f>LN(E31/E30)</f>
        <v/>
      </c>
      <c r="P31" s="7">
        <f>LN(F31/F30)</f>
        <v/>
      </c>
      <c r="Q31" s="7">
        <f>G31-G30</f>
        <v/>
      </c>
      <c r="R31" s="7">
        <f>H31-H30</f>
        <v/>
      </c>
      <c r="S31" s="7">
        <f>LN(I31/I30)</f>
        <v/>
      </c>
      <c r="T31" s="7">
        <f>LN(J31/J30)</f>
        <v/>
      </c>
    </row>
    <row r="32">
      <c r="L32" s="7">
        <f>LN(B32/B31)</f>
        <v/>
      </c>
      <c r="M32" s="7">
        <f>C32-C31</f>
        <v/>
      </c>
      <c r="N32" s="7">
        <f>D32-D31</f>
        <v/>
      </c>
      <c r="O32" s="7">
        <f>LN(E32/E31)</f>
        <v/>
      </c>
      <c r="P32" s="7">
        <f>LN(F32/F31)</f>
        <v/>
      </c>
      <c r="Q32" s="7">
        <f>G32-G31</f>
        <v/>
      </c>
      <c r="R32" s="7">
        <f>H32-H31</f>
        <v/>
      </c>
      <c r="S32" s="7">
        <f>LN(I32/I31)</f>
        <v/>
      </c>
      <c r="T32" s="7">
        <f>LN(J32/J31)</f>
        <v/>
      </c>
    </row>
    <row r="33">
      <c r="L33" s="7">
        <f>LN(B33/B32)</f>
        <v/>
      </c>
      <c r="M33" s="7">
        <f>C33-C32</f>
        <v/>
      </c>
      <c r="N33" s="7">
        <f>D33-D32</f>
        <v/>
      </c>
      <c r="O33" s="7">
        <f>LN(E33/E32)</f>
        <v/>
      </c>
      <c r="P33" s="7">
        <f>LN(F33/F32)</f>
        <v/>
      </c>
      <c r="Q33" s="7">
        <f>G33-G32</f>
        <v/>
      </c>
      <c r="R33" s="7">
        <f>H33-H32</f>
        <v/>
      </c>
      <c r="S33" s="7">
        <f>LN(I33/I32)</f>
        <v/>
      </c>
      <c r="T33" s="7">
        <f>LN(J33/J32)</f>
        <v/>
      </c>
    </row>
    <row r="34">
      <c r="L34" s="7">
        <f>LN(B34/B33)</f>
        <v/>
      </c>
      <c r="M34" s="7">
        <f>C34-C33</f>
        <v/>
      </c>
      <c r="N34" s="7">
        <f>D34-D33</f>
        <v/>
      </c>
      <c r="O34" s="7">
        <f>LN(E34/E33)</f>
        <v/>
      </c>
      <c r="P34" s="7">
        <f>LN(F34/F33)</f>
        <v/>
      </c>
      <c r="Q34" s="7">
        <f>G34-G33</f>
        <v/>
      </c>
      <c r="R34" s="7">
        <f>H34-H33</f>
        <v/>
      </c>
      <c r="S34" s="7">
        <f>LN(I34/I33)</f>
        <v/>
      </c>
      <c r="T34" s="7">
        <f>LN(J34/J33)</f>
        <v/>
      </c>
    </row>
    <row r="35">
      <c r="L35" s="7">
        <f>LN(B35/B34)</f>
        <v/>
      </c>
      <c r="M35" s="7">
        <f>C35-C34</f>
        <v/>
      </c>
      <c r="N35" s="7">
        <f>D35-D34</f>
        <v/>
      </c>
      <c r="O35" s="7">
        <f>LN(E35/E34)</f>
        <v/>
      </c>
      <c r="P35" s="7">
        <f>LN(F35/F34)</f>
        <v/>
      </c>
      <c r="Q35" s="7">
        <f>G35-G34</f>
        <v/>
      </c>
      <c r="R35" s="7">
        <f>H35-H34</f>
        <v/>
      </c>
      <c r="S35" s="7">
        <f>LN(I35/I34)</f>
        <v/>
      </c>
      <c r="T35" s="7">
        <f>LN(J35/J34)</f>
        <v/>
      </c>
    </row>
    <row r="36">
      <c r="L36" s="7">
        <f>LN(B36/B35)</f>
        <v/>
      </c>
      <c r="M36" s="7">
        <f>C36-C35</f>
        <v/>
      </c>
      <c r="N36" s="7">
        <f>D36-D35</f>
        <v/>
      </c>
      <c r="O36" s="7">
        <f>LN(E36/E35)</f>
        <v/>
      </c>
      <c r="P36" s="7">
        <f>LN(F36/F35)</f>
        <v/>
      </c>
      <c r="Q36" s="7">
        <f>G36-G35</f>
        <v/>
      </c>
      <c r="R36" s="7">
        <f>H36-H35</f>
        <v/>
      </c>
      <c r="S36" s="7">
        <f>LN(I36/I35)</f>
        <v/>
      </c>
      <c r="T36" s="7">
        <f>LN(J36/J35)</f>
        <v/>
      </c>
    </row>
    <row r="37">
      <c r="L37" s="7">
        <f>LN(B37/B36)</f>
        <v/>
      </c>
      <c r="M37" s="7">
        <f>C37-C36</f>
        <v/>
      </c>
      <c r="N37" s="7">
        <f>D37-D36</f>
        <v/>
      </c>
      <c r="O37" s="7">
        <f>LN(E37/E36)</f>
        <v/>
      </c>
      <c r="P37" s="7">
        <f>LN(F37/F36)</f>
        <v/>
      </c>
      <c r="Q37" s="7">
        <f>G37-G36</f>
        <v/>
      </c>
      <c r="R37" s="7">
        <f>H37-H36</f>
        <v/>
      </c>
      <c r="S37" s="7">
        <f>LN(I37/I36)</f>
        <v/>
      </c>
      <c r="T37" s="7">
        <f>LN(J37/J36)</f>
        <v/>
      </c>
    </row>
    <row r="38">
      <c r="L38" s="7">
        <f>LN(B38/B37)</f>
        <v/>
      </c>
      <c r="M38" s="7">
        <f>C38-C37</f>
        <v/>
      </c>
      <c r="N38" s="7">
        <f>D38-D37</f>
        <v/>
      </c>
      <c r="O38" s="7">
        <f>LN(E38/E37)</f>
        <v/>
      </c>
      <c r="P38" s="7">
        <f>LN(F38/F37)</f>
        <v/>
      </c>
      <c r="Q38" s="7">
        <f>G38-G37</f>
        <v/>
      </c>
      <c r="R38" s="7">
        <f>H38-H37</f>
        <v/>
      </c>
      <c r="S38" s="7">
        <f>LN(I38/I37)</f>
        <v/>
      </c>
      <c r="T38" s="7">
        <f>LN(J38/J37)</f>
        <v/>
      </c>
    </row>
    <row r="39">
      <c r="L39" s="7">
        <f>LN(B39/B38)</f>
        <v/>
      </c>
      <c r="M39" s="7">
        <f>C39-C38</f>
        <v/>
      </c>
      <c r="N39" s="7">
        <f>D39-D38</f>
        <v/>
      </c>
      <c r="O39" s="7">
        <f>LN(E39/E38)</f>
        <v/>
      </c>
      <c r="P39" s="7">
        <f>LN(F39/F38)</f>
        <v/>
      </c>
      <c r="Q39" s="7">
        <f>G39-G38</f>
        <v/>
      </c>
      <c r="R39" s="7">
        <f>H39-H38</f>
        <v/>
      </c>
      <c r="S39" s="7">
        <f>LN(I39/I38)</f>
        <v/>
      </c>
      <c r="T39" s="7">
        <f>LN(J39/J38)</f>
        <v/>
      </c>
    </row>
    <row r="40">
      <c r="L40" s="7">
        <f>LN(B40/B39)</f>
        <v/>
      </c>
      <c r="M40" s="7">
        <f>C40-C39</f>
        <v/>
      </c>
      <c r="N40" s="7">
        <f>D40-D39</f>
        <v/>
      </c>
      <c r="O40" s="7">
        <f>LN(E40/E39)</f>
        <v/>
      </c>
      <c r="P40" s="7">
        <f>LN(F40/F39)</f>
        <v/>
      </c>
      <c r="Q40" s="7">
        <f>G40-G39</f>
        <v/>
      </c>
      <c r="R40" s="7">
        <f>H40-H39</f>
        <v/>
      </c>
      <c r="S40" s="7">
        <f>LN(I40/I39)</f>
        <v/>
      </c>
      <c r="T40" s="7">
        <f>LN(J40/J39)</f>
        <v/>
      </c>
    </row>
    <row r="41">
      <c r="L41" s="7">
        <f>LN(B41/B40)</f>
        <v/>
      </c>
      <c r="M41" s="7">
        <f>C41-C40</f>
        <v/>
      </c>
      <c r="N41" s="7">
        <f>D41-D40</f>
        <v/>
      </c>
      <c r="O41" s="7">
        <f>LN(E41/E40)</f>
        <v/>
      </c>
      <c r="P41" s="7">
        <f>LN(F41/F40)</f>
        <v/>
      </c>
      <c r="Q41" s="7">
        <f>G41-G40</f>
        <v/>
      </c>
      <c r="R41" s="7">
        <f>H41-H40</f>
        <v/>
      </c>
      <c r="S41" s="7">
        <f>LN(I41/I40)</f>
        <v/>
      </c>
      <c r="T41" s="7">
        <f>LN(J41/J40)</f>
        <v/>
      </c>
    </row>
    <row r="42">
      <c r="L42" s="7">
        <f>LN(B42/B41)</f>
        <v/>
      </c>
      <c r="M42" s="7">
        <f>C42-C41</f>
        <v/>
      </c>
      <c r="N42" s="7">
        <f>D42-D41</f>
        <v/>
      </c>
      <c r="O42" s="7">
        <f>LN(E42/E41)</f>
        <v/>
      </c>
      <c r="P42" s="7">
        <f>LN(F42/F41)</f>
        <v/>
      </c>
      <c r="Q42" s="7">
        <f>G42-G41</f>
        <v/>
      </c>
      <c r="R42" s="7">
        <f>H42-H41</f>
        <v/>
      </c>
      <c r="S42" s="7">
        <f>LN(I42/I41)</f>
        <v/>
      </c>
      <c r="T42" s="7">
        <f>LN(J42/J41)</f>
        <v/>
      </c>
    </row>
    <row r="43">
      <c r="L43" s="7">
        <f>LN(B43/B42)</f>
        <v/>
      </c>
      <c r="M43" s="7">
        <f>C43-C42</f>
        <v/>
      </c>
      <c r="N43" s="7">
        <f>D43-D42</f>
        <v/>
      </c>
      <c r="O43" s="7">
        <f>LN(E43/E42)</f>
        <v/>
      </c>
      <c r="P43" s="7">
        <f>LN(F43/F42)</f>
        <v/>
      </c>
      <c r="Q43" s="7">
        <f>G43-G42</f>
        <v/>
      </c>
      <c r="R43" s="7">
        <f>H43-H42</f>
        <v/>
      </c>
      <c r="S43" s="7">
        <f>LN(I43/I42)</f>
        <v/>
      </c>
      <c r="T43" s="7">
        <f>LN(J43/J42)</f>
        <v/>
      </c>
    </row>
    <row r="44">
      <c r="L44" s="7">
        <f>LN(B44/B43)</f>
        <v/>
      </c>
      <c r="M44" s="7">
        <f>C44-C43</f>
        <v/>
      </c>
      <c r="N44" s="7">
        <f>D44-D43</f>
        <v/>
      </c>
      <c r="O44" s="7">
        <f>LN(E44/E43)</f>
        <v/>
      </c>
      <c r="P44" s="7">
        <f>LN(F44/F43)</f>
        <v/>
      </c>
      <c r="Q44" s="7">
        <f>G44-G43</f>
        <v/>
      </c>
      <c r="R44" s="7">
        <f>H44-H43</f>
        <v/>
      </c>
      <c r="S44" s="7">
        <f>LN(I44/I43)</f>
        <v/>
      </c>
      <c r="T44" s="7">
        <f>LN(J44/J43)</f>
        <v/>
      </c>
    </row>
    <row r="45">
      <c r="L45" s="7">
        <f>LN(B45/B44)</f>
        <v/>
      </c>
      <c r="M45" s="7">
        <f>C45-C44</f>
        <v/>
      </c>
      <c r="N45" s="7">
        <f>D45-D44</f>
        <v/>
      </c>
      <c r="O45" s="7">
        <f>LN(E45/E44)</f>
        <v/>
      </c>
      <c r="P45" s="7">
        <f>LN(F45/F44)</f>
        <v/>
      </c>
      <c r="Q45" s="7">
        <f>G45-G44</f>
        <v/>
      </c>
      <c r="R45" s="7">
        <f>H45-H44</f>
        <v/>
      </c>
      <c r="S45" s="7">
        <f>LN(I45/I44)</f>
        <v/>
      </c>
      <c r="T45" s="7">
        <f>LN(J45/J44)</f>
        <v/>
      </c>
    </row>
    <row r="46">
      <c r="L46" s="7">
        <f>LN(B46/B45)</f>
        <v/>
      </c>
      <c r="M46" s="7">
        <f>C46-C45</f>
        <v/>
      </c>
      <c r="N46" s="7">
        <f>D46-D45</f>
        <v/>
      </c>
      <c r="O46" s="7">
        <f>LN(E46/E45)</f>
        <v/>
      </c>
      <c r="P46" s="7">
        <f>LN(F46/F45)</f>
        <v/>
      </c>
      <c r="Q46" s="7">
        <f>G46-G45</f>
        <v/>
      </c>
      <c r="R46" s="7">
        <f>H46-H45</f>
        <v/>
      </c>
      <c r="S46" s="7">
        <f>LN(I46/I45)</f>
        <v/>
      </c>
      <c r="T46" s="7">
        <f>LN(J46/J45)</f>
        <v/>
      </c>
    </row>
    <row r="47">
      <c r="L47" s="7">
        <f>LN(B47/B46)</f>
        <v/>
      </c>
      <c r="M47" s="7">
        <f>C47-C46</f>
        <v/>
      </c>
      <c r="N47" s="7">
        <f>D47-D46</f>
        <v/>
      </c>
      <c r="O47" s="7">
        <f>LN(E47/E46)</f>
        <v/>
      </c>
      <c r="P47" s="7">
        <f>LN(F47/F46)</f>
        <v/>
      </c>
      <c r="Q47" s="7">
        <f>G47-G46</f>
        <v/>
      </c>
      <c r="R47" s="7">
        <f>H47-H46</f>
        <v/>
      </c>
      <c r="S47" s="7">
        <f>LN(I47/I46)</f>
        <v/>
      </c>
      <c r="T47" s="7">
        <f>LN(J47/J46)</f>
        <v/>
      </c>
    </row>
    <row r="48">
      <c r="L48" s="7">
        <f>LN(B48/B47)</f>
        <v/>
      </c>
      <c r="M48" s="7">
        <f>C48-C47</f>
        <v/>
      </c>
      <c r="N48" s="7">
        <f>D48-D47</f>
        <v/>
      </c>
      <c r="O48" s="7">
        <f>LN(E48/E47)</f>
        <v/>
      </c>
      <c r="P48" s="7">
        <f>LN(F48/F47)</f>
        <v/>
      </c>
      <c r="Q48" s="7">
        <f>G48-G47</f>
        <v/>
      </c>
      <c r="R48" s="7">
        <f>H48-H47</f>
        <v/>
      </c>
      <c r="S48" s="7">
        <f>LN(I48/I47)</f>
        <v/>
      </c>
      <c r="T48" s="7">
        <f>LN(J48/J47)</f>
        <v/>
      </c>
    </row>
    <row r="49">
      <c r="L49" s="7">
        <f>LN(B49/B48)</f>
        <v/>
      </c>
      <c r="M49" s="7">
        <f>C49-C48</f>
        <v/>
      </c>
      <c r="N49" s="7">
        <f>D49-D48</f>
        <v/>
      </c>
      <c r="O49" s="7">
        <f>LN(E49/E48)</f>
        <v/>
      </c>
      <c r="P49" s="7">
        <f>LN(F49/F48)</f>
        <v/>
      </c>
      <c r="Q49" s="7">
        <f>G49-G48</f>
        <v/>
      </c>
      <c r="R49" s="7">
        <f>H49-H48</f>
        <v/>
      </c>
      <c r="S49" s="7">
        <f>LN(I49/I48)</f>
        <v/>
      </c>
      <c r="T49" s="7">
        <f>LN(J49/J48)</f>
        <v/>
      </c>
    </row>
    <row r="50">
      <c r="L50" s="7">
        <f>LN(B50/B49)</f>
        <v/>
      </c>
      <c r="M50" s="7">
        <f>C50-C49</f>
        <v/>
      </c>
      <c r="N50" s="7">
        <f>D50-D49</f>
        <v/>
      </c>
      <c r="O50" s="7">
        <f>LN(E50/E49)</f>
        <v/>
      </c>
      <c r="P50" s="7">
        <f>LN(F50/F49)</f>
        <v/>
      </c>
      <c r="Q50" s="7">
        <f>G50-G49</f>
        <v/>
      </c>
      <c r="R50" s="7">
        <f>H50-H49</f>
        <v/>
      </c>
      <c r="S50" s="7">
        <f>LN(I50/I49)</f>
        <v/>
      </c>
      <c r="T50" s="7">
        <f>LN(J50/J49)</f>
        <v/>
      </c>
    </row>
    <row r="51">
      <c r="L51" s="7">
        <f>LN(B51/B50)</f>
        <v/>
      </c>
      <c r="M51" s="7">
        <f>C51-C50</f>
        <v/>
      </c>
      <c r="N51" s="7">
        <f>D51-D50</f>
        <v/>
      </c>
      <c r="O51" s="7">
        <f>LN(E51/E50)</f>
        <v/>
      </c>
      <c r="P51" s="7">
        <f>LN(F51/F50)</f>
        <v/>
      </c>
      <c r="Q51" s="7">
        <f>G51-G50</f>
        <v/>
      </c>
      <c r="R51" s="7">
        <f>H51-H50</f>
        <v/>
      </c>
      <c r="S51" s="7">
        <f>LN(I51/I50)</f>
        <v/>
      </c>
      <c r="T51" s="7">
        <f>LN(J51/J50)</f>
        <v/>
      </c>
    </row>
    <row r="52">
      <c r="L52" s="7">
        <f>LN(B52/B51)</f>
        <v/>
      </c>
      <c r="M52" s="7">
        <f>C52-C51</f>
        <v/>
      </c>
      <c r="N52" s="7">
        <f>D52-D51</f>
        <v/>
      </c>
      <c r="O52" s="7">
        <f>LN(E52/E51)</f>
        <v/>
      </c>
      <c r="P52" s="7">
        <f>LN(F52/F51)</f>
        <v/>
      </c>
      <c r="Q52" s="7">
        <f>G52-G51</f>
        <v/>
      </c>
      <c r="R52" s="7">
        <f>H52-H51</f>
        <v/>
      </c>
      <c r="S52" s="7">
        <f>LN(I52/I51)</f>
        <v/>
      </c>
      <c r="T52" s="7">
        <f>LN(J52/J51)</f>
        <v/>
      </c>
    </row>
    <row r="53">
      <c r="L53" s="7">
        <f>LN(B53/B52)</f>
        <v/>
      </c>
      <c r="M53" s="7">
        <f>C53-C52</f>
        <v/>
      </c>
      <c r="N53" s="7">
        <f>D53-D52</f>
        <v/>
      </c>
      <c r="O53" s="7">
        <f>LN(E53/E52)</f>
        <v/>
      </c>
      <c r="P53" s="7">
        <f>LN(F53/F52)</f>
        <v/>
      </c>
      <c r="Q53" s="7">
        <f>G53-G52</f>
        <v/>
      </c>
      <c r="R53" s="7">
        <f>H53-H52</f>
        <v/>
      </c>
      <c r="S53" s="7">
        <f>LN(I53/I52)</f>
        <v/>
      </c>
      <c r="T53" s="7">
        <f>LN(J53/J52)</f>
        <v/>
      </c>
    </row>
    <row r="54">
      <c r="L54" s="7">
        <f>LN(B54/B53)</f>
        <v/>
      </c>
      <c r="M54" s="7">
        <f>C54-C53</f>
        <v/>
      </c>
      <c r="N54" s="7">
        <f>D54-D53</f>
        <v/>
      </c>
      <c r="O54" s="7">
        <f>LN(E54/E53)</f>
        <v/>
      </c>
      <c r="P54" s="7">
        <f>LN(F54/F53)</f>
        <v/>
      </c>
      <c r="Q54" s="7">
        <f>G54-G53</f>
        <v/>
      </c>
      <c r="R54" s="7">
        <f>H54-H53</f>
        <v/>
      </c>
      <c r="S54" s="7">
        <f>LN(I54/I53)</f>
        <v/>
      </c>
      <c r="T54" s="7">
        <f>LN(J54/J53)</f>
        <v/>
      </c>
    </row>
    <row r="55">
      <c r="L55" s="7">
        <f>LN(B55/B54)</f>
        <v/>
      </c>
      <c r="M55" s="7">
        <f>C55-C54</f>
        <v/>
      </c>
      <c r="N55" s="7">
        <f>D55-D54</f>
        <v/>
      </c>
      <c r="O55" s="7">
        <f>LN(E55/E54)</f>
        <v/>
      </c>
      <c r="P55" s="7">
        <f>LN(F55/F54)</f>
        <v/>
      </c>
      <c r="Q55" s="7">
        <f>G55-G54</f>
        <v/>
      </c>
      <c r="R55" s="7">
        <f>H55-H54</f>
        <v/>
      </c>
      <c r="S55" s="7">
        <f>LN(I55/I54)</f>
        <v/>
      </c>
      <c r="T55" s="7">
        <f>LN(J55/J54)</f>
        <v/>
      </c>
    </row>
    <row r="56">
      <c r="L56" s="7">
        <f>LN(B56/B55)</f>
        <v/>
      </c>
      <c r="M56" s="7">
        <f>C56-C55</f>
        <v/>
      </c>
      <c r="N56" s="7">
        <f>D56-D55</f>
        <v/>
      </c>
      <c r="O56" s="7">
        <f>LN(E56/E55)</f>
        <v/>
      </c>
      <c r="P56" s="7">
        <f>LN(F56/F55)</f>
        <v/>
      </c>
      <c r="Q56" s="7">
        <f>G56-G55</f>
        <v/>
      </c>
      <c r="R56" s="7">
        <f>H56-H55</f>
        <v/>
      </c>
      <c r="S56" s="7">
        <f>LN(I56/I55)</f>
        <v/>
      </c>
      <c r="T56" s="7">
        <f>LN(J56/J55)</f>
        <v/>
      </c>
    </row>
    <row r="57">
      <c r="L57" s="7">
        <f>LN(B57/B56)</f>
        <v/>
      </c>
      <c r="M57" s="7">
        <f>C57-C56</f>
        <v/>
      </c>
      <c r="N57" s="7">
        <f>D57-D56</f>
        <v/>
      </c>
      <c r="O57" s="7">
        <f>LN(E57/E56)</f>
        <v/>
      </c>
      <c r="P57" s="7">
        <f>LN(F57/F56)</f>
        <v/>
      </c>
      <c r="Q57" s="7">
        <f>G57-G56</f>
        <v/>
      </c>
      <c r="R57" s="7">
        <f>H57-H56</f>
        <v/>
      </c>
      <c r="S57" s="7">
        <f>LN(I57/I56)</f>
        <v/>
      </c>
      <c r="T57" s="7">
        <f>LN(J57/J56)</f>
        <v/>
      </c>
    </row>
    <row r="58">
      <c r="L58" s="7">
        <f>LN(B58/B57)</f>
        <v/>
      </c>
      <c r="M58" s="7">
        <f>C58-C57</f>
        <v/>
      </c>
      <c r="N58" s="7">
        <f>D58-D57</f>
        <v/>
      </c>
      <c r="O58" s="7">
        <f>LN(E58/E57)</f>
        <v/>
      </c>
      <c r="P58" s="7">
        <f>LN(F58/F57)</f>
        <v/>
      </c>
      <c r="Q58" s="7">
        <f>G58-G57</f>
        <v/>
      </c>
      <c r="R58" s="7">
        <f>H58-H57</f>
        <v/>
      </c>
      <c r="S58" s="7">
        <f>LN(I58/I57)</f>
        <v/>
      </c>
      <c r="T58" s="7">
        <f>LN(J58/J57)</f>
        <v/>
      </c>
    </row>
    <row r="59">
      <c r="L59" s="7">
        <f>LN(B59/B58)</f>
        <v/>
      </c>
      <c r="M59" s="7">
        <f>C59-C58</f>
        <v/>
      </c>
      <c r="N59" s="7">
        <f>D59-D58</f>
        <v/>
      </c>
      <c r="O59" s="7">
        <f>LN(E59/E58)</f>
        <v/>
      </c>
      <c r="P59" s="7">
        <f>LN(F59/F58)</f>
        <v/>
      </c>
      <c r="Q59" s="7">
        <f>G59-G58</f>
        <v/>
      </c>
      <c r="R59" s="7">
        <f>H59-H58</f>
        <v/>
      </c>
      <c r="S59" s="7">
        <f>LN(I59/I58)</f>
        <v/>
      </c>
      <c r="T59" s="7">
        <f>LN(J59/J58)</f>
        <v/>
      </c>
    </row>
    <row r="60">
      <c r="L60" s="7">
        <f>LN(B60/B59)</f>
        <v/>
      </c>
      <c r="M60" s="7">
        <f>C60-C59</f>
        <v/>
      </c>
      <c r="N60" s="7">
        <f>D60-D59</f>
        <v/>
      </c>
      <c r="O60" s="7">
        <f>LN(E60/E59)</f>
        <v/>
      </c>
      <c r="P60" s="7">
        <f>LN(F60/F59)</f>
        <v/>
      </c>
      <c r="Q60" s="7">
        <f>G60-G59</f>
        <v/>
      </c>
      <c r="R60" s="7">
        <f>H60-H59</f>
        <v/>
      </c>
      <c r="S60" s="7">
        <f>LN(I60/I59)</f>
        <v/>
      </c>
      <c r="T60" s="7">
        <f>LN(J60/J59)</f>
        <v/>
      </c>
    </row>
    <row r="61">
      <c r="L61" s="7">
        <f>LN(B61/B60)</f>
        <v/>
      </c>
      <c r="M61" s="7">
        <f>C61-C60</f>
        <v/>
      </c>
      <c r="N61" s="7">
        <f>D61-D60</f>
        <v/>
      </c>
      <c r="O61" s="7">
        <f>LN(E61/E60)</f>
        <v/>
      </c>
      <c r="P61" s="7">
        <f>LN(F61/F60)</f>
        <v/>
      </c>
      <c r="Q61" s="7">
        <f>G61-G60</f>
        <v/>
      </c>
      <c r="R61" s="7">
        <f>H61-H60</f>
        <v/>
      </c>
      <c r="S61" s="7">
        <f>LN(I61/I60)</f>
        <v/>
      </c>
      <c r="T61" s="7">
        <f>LN(J61/J60)</f>
        <v/>
      </c>
    </row>
    <row r="62">
      <c r="L62" s="7">
        <f>LN(B62/B61)</f>
        <v/>
      </c>
      <c r="M62" s="7">
        <f>C62-C61</f>
        <v/>
      </c>
      <c r="N62" s="7">
        <f>D62-D61</f>
        <v/>
      </c>
      <c r="O62" s="7">
        <f>LN(E62/E61)</f>
        <v/>
      </c>
      <c r="P62" s="7">
        <f>LN(F62/F61)</f>
        <v/>
      </c>
      <c r="Q62" s="7">
        <f>G62-G61</f>
        <v/>
      </c>
      <c r="R62" s="7">
        <f>H62-H61</f>
        <v/>
      </c>
      <c r="S62" s="7">
        <f>LN(I62/I61)</f>
        <v/>
      </c>
      <c r="T62" s="7">
        <f>LN(J62/J61)</f>
        <v/>
      </c>
    </row>
    <row r="63">
      <c r="L63" s="7">
        <f>LN(B63/B62)</f>
        <v/>
      </c>
      <c r="M63" s="7">
        <f>C63-C62</f>
        <v/>
      </c>
      <c r="N63" s="7">
        <f>D63-D62</f>
        <v/>
      </c>
      <c r="O63" s="7">
        <f>LN(E63/E62)</f>
        <v/>
      </c>
      <c r="P63" s="7">
        <f>LN(F63/F62)</f>
        <v/>
      </c>
      <c r="Q63" s="7">
        <f>G63-G62</f>
        <v/>
      </c>
      <c r="R63" s="7">
        <f>H63-H62</f>
        <v/>
      </c>
      <c r="S63" s="7">
        <f>LN(I63/I62)</f>
        <v/>
      </c>
      <c r="T63" s="7">
        <f>LN(J63/J62)</f>
        <v/>
      </c>
    </row>
    <row r="64">
      <c r="L64" s="7">
        <f>LN(B64/B63)</f>
        <v/>
      </c>
      <c r="M64" s="7">
        <f>C64-C63</f>
        <v/>
      </c>
      <c r="N64" s="7">
        <f>D64-D63</f>
        <v/>
      </c>
      <c r="O64" s="7">
        <f>LN(E64/E63)</f>
        <v/>
      </c>
      <c r="P64" s="7">
        <f>LN(F64/F63)</f>
        <v/>
      </c>
      <c r="Q64" s="7">
        <f>G64-G63</f>
        <v/>
      </c>
      <c r="R64" s="7">
        <f>H64-H63</f>
        <v/>
      </c>
      <c r="S64" s="7">
        <f>LN(I64/I63)</f>
        <v/>
      </c>
      <c r="T64" s="7">
        <f>LN(J64/J63)</f>
        <v/>
      </c>
    </row>
    <row r="65">
      <c r="L65" s="7">
        <f>LN(B65/B64)</f>
        <v/>
      </c>
      <c r="M65" s="7">
        <f>C65-C64</f>
        <v/>
      </c>
      <c r="N65" s="7">
        <f>D65-D64</f>
        <v/>
      </c>
      <c r="O65" s="7">
        <f>LN(E65/E64)</f>
        <v/>
      </c>
      <c r="P65" s="7">
        <f>LN(F65/F64)</f>
        <v/>
      </c>
      <c r="Q65" s="7">
        <f>G65-G64</f>
        <v/>
      </c>
      <c r="R65" s="7">
        <f>H65-H64</f>
        <v/>
      </c>
      <c r="S65" s="7">
        <f>LN(I65/I64)</f>
        <v/>
      </c>
      <c r="T65" s="7">
        <f>LN(J65/J64)</f>
        <v/>
      </c>
    </row>
    <row r="66">
      <c r="L66" s="7">
        <f>LN(B66/B65)</f>
        <v/>
      </c>
      <c r="M66" s="7">
        <f>C66-C65</f>
        <v/>
      </c>
      <c r="N66" s="7">
        <f>D66-D65</f>
        <v/>
      </c>
      <c r="O66" s="7">
        <f>LN(E66/E65)</f>
        <v/>
      </c>
      <c r="P66" s="7">
        <f>LN(F66/F65)</f>
        <v/>
      </c>
      <c r="Q66" s="7">
        <f>G66-G65</f>
        <v/>
      </c>
      <c r="R66" s="7">
        <f>H66-H65</f>
        <v/>
      </c>
      <c r="S66" s="7">
        <f>LN(I66/I65)</f>
        <v/>
      </c>
      <c r="T66" s="7">
        <f>LN(J66/J65)</f>
        <v/>
      </c>
    </row>
    <row r="67">
      <c r="L67" s="7">
        <f>LN(B67/B66)</f>
        <v/>
      </c>
      <c r="M67" s="7">
        <f>C67-C66</f>
        <v/>
      </c>
      <c r="N67" s="7">
        <f>D67-D66</f>
        <v/>
      </c>
      <c r="O67" s="7">
        <f>LN(E67/E66)</f>
        <v/>
      </c>
      <c r="P67" s="7">
        <f>LN(F67/F66)</f>
        <v/>
      </c>
      <c r="Q67" s="7">
        <f>G67-G66</f>
        <v/>
      </c>
      <c r="R67" s="7">
        <f>H67-H66</f>
        <v/>
      </c>
      <c r="S67" s="7">
        <f>LN(I67/I66)</f>
        <v/>
      </c>
      <c r="T67" s="7">
        <f>LN(J67/J66)</f>
        <v/>
      </c>
    </row>
    <row r="68">
      <c r="L68" s="7">
        <f>LN(B68/B67)</f>
        <v/>
      </c>
      <c r="M68" s="7">
        <f>C68-C67</f>
        <v/>
      </c>
      <c r="N68" s="7">
        <f>D68-D67</f>
        <v/>
      </c>
      <c r="O68" s="7">
        <f>LN(E68/E67)</f>
        <v/>
      </c>
      <c r="P68" s="7">
        <f>LN(F68/F67)</f>
        <v/>
      </c>
      <c r="Q68" s="7">
        <f>G68-G67</f>
        <v/>
      </c>
      <c r="R68" s="7">
        <f>H68-H67</f>
        <v/>
      </c>
      <c r="S68" s="7">
        <f>LN(I68/I67)</f>
        <v/>
      </c>
      <c r="T68" s="7">
        <f>LN(J68/J67)</f>
        <v/>
      </c>
    </row>
    <row r="69">
      <c r="L69" s="7">
        <f>LN(B69/B68)</f>
        <v/>
      </c>
      <c r="M69" s="7">
        <f>C69-C68</f>
        <v/>
      </c>
      <c r="N69" s="7">
        <f>D69-D68</f>
        <v/>
      </c>
      <c r="O69" s="7">
        <f>LN(E69/E68)</f>
        <v/>
      </c>
      <c r="P69" s="7">
        <f>LN(F69/F68)</f>
        <v/>
      </c>
      <c r="Q69" s="7">
        <f>G69-G68</f>
        <v/>
      </c>
      <c r="R69" s="7">
        <f>H69-H68</f>
        <v/>
      </c>
      <c r="S69" s="7">
        <f>LN(I69/I68)</f>
        <v/>
      </c>
      <c r="T69" s="7">
        <f>LN(J69/J68)</f>
        <v/>
      </c>
    </row>
    <row r="70">
      <c r="L70" s="7">
        <f>LN(B70/B69)</f>
        <v/>
      </c>
      <c r="M70" s="7">
        <f>C70-C69</f>
        <v/>
      </c>
      <c r="N70" s="7">
        <f>D70-D69</f>
        <v/>
      </c>
      <c r="O70" s="7">
        <f>LN(E70/E69)</f>
        <v/>
      </c>
      <c r="P70" s="7">
        <f>LN(F70/F69)</f>
        <v/>
      </c>
      <c r="Q70" s="7">
        <f>G70-G69</f>
        <v/>
      </c>
      <c r="R70" s="7">
        <f>H70-H69</f>
        <v/>
      </c>
      <c r="S70" s="7">
        <f>LN(I70/I69)</f>
        <v/>
      </c>
      <c r="T70" s="7">
        <f>LN(J70/J69)</f>
        <v/>
      </c>
    </row>
    <row r="71">
      <c r="L71" s="7">
        <f>LN(B71/B70)</f>
        <v/>
      </c>
      <c r="M71" s="7">
        <f>C71-C70</f>
        <v/>
      </c>
      <c r="N71" s="7">
        <f>D71-D70</f>
        <v/>
      </c>
      <c r="O71" s="7">
        <f>LN(E71/E70)</f>
        <v/>
      </c>
      <c r="P71" s="7">
        <f>LN(F71/F70)</f>
        <v/>
      </c>
      <c r="Q71" s="7">
        <f>G71-G70</f>
        <v/>
      </c>
      <c r="R71" s="7">
        <f>H71-H70</f>
        <v/>
      </c>
      <c r="S71" s="7">
        <f>LN(I71/I70)</f>
        <v/>
      </c>
      <c r="T71" s="7">
        <f>LN(J71/J70)</f>
        <v/>
      </c>
    </row>
    <row r="72">
      <c r="L72" s="7">
        <f>LN(B72/B71)</f>
        <v/>
      </c>
      <c r="M72" s="7">
        <f>C72-C71</f>
        <v/>
      </c>
      <c r="N72" s="7">
        <f>D72-D71</f>
        <v/>
      </c>
      <c r="O72" s="7">
        <f>LN(E72/E71)</f>
        <v/>
      </c>
      <c r="P72" s="7">
        <f>LN(F72/F71)</f>
        <v/>
      </c>
      <c r="Q72" s="7">
        <f>G72-G71</f>
        <v/>
      </c>
      <c r="R72" s="7">
        <f>H72-H71</f>
        <v/>
      </c>
      <c r="S72" s="7">
        <f>LN(I72/I71)</f>
        <v/>
      </c>
      <c r="T72" s="7">
        <f>LN(J72/J71)</f>
        <v/>
      </c>
    </row>
    <row r="73">
      <c r="L73" s="7">
        <f>LN(B73/B72)</f>
        <v/>
      </c>
      <c r="M73" s="7">
        <f>C73-C72</f>
        <v/>
      </c>
      <c r="N73" s="7">
        <f>D73-D72</f>
        <v/>
      </c>
      <c r="O73" s="7">
        <f>LN(E73/E72)</f>
        <v/>
      </c>
      <c r="P73" s="7">
        <f>LN(F73/F72)</f>
        <v/>
      </c>
      <c r="Q73" s="7">
        <f>G73-G72</f>
        <v/>
      </c>
      <c r="R73" s="7">
        <f>H73-H72</f>
        <v/>
      </c>
      <c r="S73" s="7">
        <f>LN(I73/I72)</f>
        <v/>
      </c>
      <c r="T73" s="7">
        <f>LN(J73/J72)</f>
        <v/>
      </c>
    </row>
    <row r="74">
      <c r="L74" s="7">
        <f>LN(B74/B73)</f>
        <v/>
      </c>
      <c r="M74" s="7">
        <f>C74-C73</f>
        <v/>
      </c>
      <c r="N74" s="7">
        <f>D74-D73</f>
        <v/>
      </c>
      <c r="O74" s="7">
        <f>LN(E74/E73)</f>
        <v/>
      </c>
      <c r="P74" s="7">
        <f>LN(F74/F73)</f>
        <v/>
      </c>
      <c r="Q74" s="7">
        <f>G74-G73</f>
        <v/>
      </c>
      <c r="R74" s="7">
        <f>H74-H73</f>
        <v/>
      </c>
      <c r="S74" s="7">
        <f>LN(I74/I73)</f>
        <v/>
      </c>
      <c r="T74" s="7">
        <f>LN(J74/J73)</f>
        <v/>
      </c>
    </row>
    <row r="75">
      <c r="L75" s="7">
        <f>LN(B75/B74)</f>
        <v/>
      </c>
      <c r="M75" s="7">
        <f>C75-C74</f>
        <v/>
      </c>
      <c r="N75" s="7">
        <f>D75-D74</f>
        <v/>
      </c>
      <c r="O75" s="7">
        <f>LN(E75/E74)</f>
        <v/>
      </c>
      <c r="P75" s="7">
        <f>LN(F75/F74)</f>
        <v/>
      </c>
      <c r="Q75" s="7">
        <f>G75-G74</f>
        <v/>
      </c>
      <c r="R75" s="7">
        <f>H75-H74</f>
        <v/>
      </c>
      <c r="S75" s="7">
        <f>LN(I75/I74)</f>
        <v/>
      </c>
      <c r="T75" s="7">
        <f>LN(J75/J74)</f>
        <v/>
      </c>
    </row>
    <row r="76">
      <c r="L76" s="7">
        <f>LN(B76/B75)</f>
        <v/>
      </c>
      <c r="M76" s="7">
        <f>C76-C75</f>
        <v/>
      </c>
      <c r="N76" s="7">
        <f>D76-D75</f>
        <v/>
      </c>
      <c r="O76" s="7">
        <f>LN(E76/E75)</f>
        <v/>
      </c>
      <c r="P76" s="7">
        <f>LN(F76/F75)</f>
        <v/>
      </c>
      <c r="Q76" s="7">
        <f>G76-G75</f>
        <v/>
      </c>
      <c r="R76" s="7">
        <f>H76-H75</f>
        <v/>
      </c>
      <c r="S76" s="7">
        <f>LN(I76/I75)</f>
        <v/>
      </c>
      <c r="T76" s="7">
        <f>LN(J76/J75)</f>
        <v/>
      </c>
    </row>
    <row r="77">
      <c r="L77" s="7">
        <f>LN(B77/B76)</f>
        <v/>
      </c>
      <c r="M77" s="7">
        <f>C77-C76</f>
        <v/>
      </c>
      <c r="N77" s="7">
        <f>D77-D76</f>
        <v/>
      </c>
      <c r="O77" s="7">
        <f>LN(E77/E76)</f>
        <v/>
      </c>
      <c r="P77" s="7">
        <f>LN(F77/F76)</f>
        <v/>
      </c>
      <c r="Q77" s="7">
        <f>G77-G76</f>
        <v/>
      </c>
      <c r="R77" s="7">
        <f>H77-H76</f>
        <v/>
      </c>
      <c r="S77" s="7">
        <f>LN(I77/I76)</f>
        <v/>
      </c>
      <c r="T77" s="7">
        <f>LN(J77/J76)</f>
        <v/>
      </c>
    </row>
    <row r="78">
      <c r="L78" s="7">
        <f>LN(B78/B77)</f>
        <v/>
      </c>
      <c r="M78" s="7">
        <f>C78-C77</f>
        <v/>
      </c>
      <c r="N78" s="7">
        <f>D78-D77</f>
        <v/>
      </c>
      <c r="O78" s="7">
        <f>LN(E78/E77)</f>
        <v/>
      </c>
      <c r="P78" s="7">
        <f>LN(F78/F77)</f>
        <v/>
      </c>
      <c r="Q78" s="7">
        <f>G78-G77</f>
        <v/>
      </c>
      <c r="R78" s="7">
        <f>H78-H77</f>
        <v/>
      </c>
      <c r="S78" s="7">
        <f>LN(I78/I77)</f>
        <v/>
      </c>
      <c r="T78" s="7">
        <f>LN(J78/J77)</f>
        <v/>
      </c>
    </row>
    <row r="79">
      <c r="L79" s="7">
        <f>LN(B79/B78)</f>
        <v/>
      </c>
      <c r="M79" s="7">
        <f>C79-C78</f>
        <v/>
      </c>
      <c r="N79" s="7">
        <f>D79-D78</f>
        <v/>
      </c>
      <c r="O79" s="7">
        <f>LN(E79/E78)</f>
        <v/>
      </c>
      <c r="P79" s="7">
        <f>LN(F79/F78)</f>
        <v/>
      </c>
      <c r="Q79" s="7">
        <f>G79-G78</f>
        <v/>
      </c>
      <c r="R79" s="7">
        <f>H79-H78</f>
        <v/>
      </c>
      <c r="S79" s="7">
        <f>LN(I79/I78)</f>
        <v/>
      </c>
      <c r="T79" s="7">
        <f>LN(J79/J78)</f>
        <v/>
      </c>
    </row>
    <row r="80">
      <c r="L80" s="7">
        <f>LN(B80/B79)</f>
        <v/>
      </c>
      <c r="M80" s="7">
        <f>C80-C79</f>
        <v/>
      </c>
      <c r="N80" s="7">
        <f>D80-D79</f>
        <v/>
      </c>
      <c r="O80" s="7">
        <f>LN(E80/E79)</f>
        <v/>
      </c>
      <c r="P80" s="7">
        <f>LN(F80/F79)</f>
        <v/>
      </c>
      <c r="Q80" s="7">
        <f>G80-G79</f>
        <v/>
      </c>
      <c r="R80" s="7">
        <f>H80-H79</f>
        <v/>
      </c>
      <c r="S80" s="7">
        <f>LN(I80/I79)</f>
        <v/>
      </c>
      <c r="T80" s="7">
        <f>LN(J80/J79)</f>
        <v/>
      </c>
    </row>
    <row r="81">
      <c r="L81" s="7">
        <f>LN(B81/B80)</f>
        <v/>
      </c>
      <c r="M81" s="7">
        <f>C81-C80</f>
        <v/>
      </c>
      <c r="N81" s="7">
        <f>D81-D80</f>
        <v/>
      </c>
      <c r="O81" s="7">
        <f>LN(E81/E80)</f>
        <v/>
      </c>
      <c r="P81" s="7">
        <f>LN(F81/F80)</f>
        <v/>
      </c>
      <c r="Q81" s="7">
        <f>G81-G80</f>
        <v/>
      </c>
      <c r="R81" s="7">
        <f>H81-H80</f>
        <v/>
      </c>
      <c r="S81" s="7">
        <f>LN(I81/I80)</f>
        <v/>
      </c>
      <c r="T81" s="7">
        <f>LN(J81/J80)</f>
        <v/>
      </c>
    </row>
    <row r="82">
      <c r="L82" s="7">
        <f>LN(B82/B81)</f>
        <v/>
      </c>
      <c r="M82" s="7">
        <f>C82-C81</f>
        <v/>
      </c>
      <c r="N82" s="7">
        <f>D82-D81</f>
        <v/>
      </c>
      <c r="O82" s="7">
        <f>LN(E82/E81)</f>
        <v/>
      </c>
      <c r="P82" s="7">
        <f>LN(F82/F81)</f>
        <v/>
      </c>
      <c r="Q82" s="7">
        <f>G82-G81</f>
        <v/>
      </c>
      <c r="R82" s="7">
        <f>H82-H81</f>
        <v/>
      </c>
      <c r="S82" s="7">
        <f>LN(I82/I81)</f>
        <v/>
      </c>
      <c r="T82" s="7">
        <f>LN(J82/J81)</f>
        <v/>
      </c>
    </row>
    <row r="83">
      <c r="L83" s="7">
        <f>LN(B83/B82)</f>
        <v/>
      </c>
      <c r="M83" s="7">
        <f>C83-C82</f>
        <v/>
      </c>
      <c r="N83" s="7">
        <f>D83-D82</f>
        <v/>
      </c>
      <c r="O83" s="7">
        <f>LN(E83/E82)</f>
        <v/>
      </c>
      <c r="P83" s="7">
        <f>LN(F83/F82)</f>
        <v/>
      </c>
      <c r="Q83" s="7">
        <f>G83-G82</f>
        <v/>
      </c>
      <c r="R83" s="7">
        <f>H83-H82</f>
        <v/>
      </c>
      <c r="S83" s="7">
        <f>LN(I83/I82)</f>
        <v/>
      </c>
      <c r="T83" s="7">
        <f>LN(J83/J82)</f>
        <v/>
      </c>
    </row>
    <row r="84">
      <c r="L84" s="7">
        <f>LN(B84/B83)</f>
        <v/>
      </c>
      <c r="M84" s="7">
        <f>C84-C83</f>
        <v/>
      </c>
      <c r="N84" s="7">
        <f>D84-D83</f>
        <v/>
      </c>
      <c r="O84" s="7">
        <f>LN(E84/E83)</f>
        <v/>
      </c>
      <c r="P84" s="7">
        <f>LN(F84/F83)</f>
        <v/>
      </c>
      <c r="Q84" s="7">
        <f>G84-G83</f>
        <v/>
      </c>
      <c r="R84" s="7">
        <f>H84-H83</f>
        <v/>
      </c>
      <c r="S84" s="7">
        <f>LN(I84/I83)</f>
        <v/>
      </c>
      <c r="T84" s="7">
        <f>LN(J84/J83)</f>
        <v/>
      </c>
    </row>
    <row r="85">
      <c r="L85" s="7">
        <f>LN(B85/B84)</f>
        <v/>
      </c>
      <c r="M85" s="7">
        <f>C85-C84</f>
        <v/>
      </c>
      <c r="N85" s="7">
        <f>D85-D84</f>
        <v/>
      </c>
      <c r="O85" s="7">
        <f>LN(E85/E84)</f>
        <v/>
      </c>
      <c r="P85" s="7">
        <f>LN(F85/F84)</f>
        <v/>
      </c>
      <c r="Q85" s="7">
        <f>G85-G84</f>
        <v/>
      </c>
      <c r="R85" s="7">
        <f>H85-H84</f>
        <v/>
      </c>
      <c r="S85" s="7">
        <f>LN(I85/I84)</f>
        <v/>
      </c>
      <c r="T85" s="7">
        <f>LN(J85/J84)</f>
        <v/>
      </c>
    </row>
    <row r="86">
      <c r="L86" s="7">
        <f>LN(B86/B85)</f>
        <v/>
      </c>
      <c r="M86" s="7">
        <f>C86-C85</f>
        <v/>
      </c>
      <c r="N86" s="7">
        <f>D86-D85</f>
        <v/>
      </c>
      <c r="O86" s="7">
        <f>LN(E86/E85)</f>
        <v/>
      </c>
      <c r="P86" s="7">
        <f>LN(F86/F85)</f>
        <v/>
      </c>
      <c r="Q86" s="7">
        <f>G86-G85</f>
        <v/>
      </c>
      <c r="R86" s="7">
        <f>H86-H85</f>
        <v/>
      </c>
      <c r="S86" s="7">
        <f>LN(I86/I85)</f>
        <v/>
      </c>
      <c r="T86" s="7">
        <f>LN(J86/J85)</f>
        <v/>
      </c>
    </row>
    <row r="87">
      <c r="L87" s="7">
        <f>LN(B87/B86)</f>
        <v/>
      </c>
      <c r="M87" s="7">
        <f>C87-C86</f>
        <v/>
      </c>
      <c r="N87" s="7">
        <f>D87-D86</f>
        <v/>
      </c>
      <c r="O87" s="7">
        <f>LN(E87/E86)</f>
        <v/>
      </c>
      <c r="P87" s="7">
        <f>LN(F87/F86)</f>
        <v/>
      </c>
      <c r="Q87" s="7">
        <f>G87-G86</f>
        <v/>
      </c>
      <c r="R87" s="7">
        <f>H87-H86</f>
        <v/>
      </c>
      <c r="S87" s="7">
        <f>LN(I87/I86)</f>
        <v/>
      </c>
      <c r="T87" s="7">
        <f>LN(J87/J86)</f>
        <v/>
      </c>
    </row>
    <row r="88">
      <c r="L88" s="7">
        <f>LN(B88/B87)</f>
        <v/>
      </c>
      <c r="M88" s="7">
        <f>C88-C87</f>
        <v/>
      </c>
      <c r="N88" s="7">
        <f>D88-D87</f>
        <v/>
      </c>
      <c r="O88" s="7">
        <f>LN(E88/E87)</f>
        <v/>
      </c>
      <c r="P88" s="7">
        <f>LN(F88/F87)</f>
        <v/>
      </c>
      <c r="Q88" s="7">
        <f>G88-G87</f>
        <v/>
      </c>
      <c r="R88" s="7">
        <f>H88-H87</f>
        <v/>
      </c>
      <c r="S88" s="7">
        <f>LN(I88/I87)</f>
        <v/>
      </c>
      <c r="T88" s="7">
        <f>LN(J88/J87)</f>
        <v/>
      </c>
    </row>
    <row r="89">
      <c r="L89" s="7">
        <f>LN(B89/B88)</f>
        <v/>
      </c>
      <c r="M89" s="7">
        <f>C89-C88</f>
        <v/>
      </c>
      <c r="N89" s="7">
        <f>D89-D88</f>
        <v/>
      </c>
      <c r="O89" s="7">
        <f>LN(E89/E88)</f>
        <v/>
      </c>
      <c r="P89" s="7">
        <f>LN(F89/F88)</f>
        <v/>
      </c>
      <c r="Q89" s="7">
        <f>G89-G88</f>
        <v/>
      </c>
      <c r="R89" s="7">
        <f>H89-H88</f>
        <v/>
      </c>
      <c r="S89" s="7">
        <f>LN(I89/I88)</f>
        <v/>
      </c>
      <c r="T89" s="7">
        <f>LN(J89/J88)</f>
        <v/>
      </c>
    </row>
    <row r="90">
      <c r="L90" s="7">
        <f>LN(B90/B89)</f>
        <v/>
      </c>
      <c r="M90" s="7">
        <f>C90-C89</f>
        <v/>
      </c>
      <c r="N90" s="7">
        <f>D90-D89</f>
        <v/>
      </c>
      <c r="O90" s="7">
        <f>LN(E90/E89)</f>
        <v/>
      </c>
      <c r="P90" s="7">
        <f>LN(F90/F89)</f>
        <v/>
      </c>
      <c r="Q90" s="7">
        <f>G90-G89</f>
        <v/>
      </c>
      <c r="R90" s="7">
        <f>H90-H89</f>
        <v/>
      </c>
      <c r="S90" s="7">
        <f>LN(I90/I89)</f>
        <v/>
      </c>
      <c r="T90" s="7">
        <f>LN(J90/J89)</f>
        <v/>
      </c>
    </row>
    <row r="91">
      <c r="L91" s="7">
        <f>LN(B91/B90)</f>
        <v/>
      </c>
      <c r="M91" s="7">
        <f>C91-C90</f>
        <v/>
      </c>
      <c r="N91" s="7">
        <f>D91-D90</f>
        <v/>
      </c>
      <c r="O91" s="7">
        <f>LN(E91/E90)</f>
        <v/>
      </c>
      <c r="P91" s="7">
        <f>LN(F91/F90)</f>
        <v/>
      </c>
      <c r="Q91" s="7">
        <f>G91-G90</f>
        <v/>
      </c>
      <c r="R91" s="7">
        <f>H91-H90</f>
        <v/>
      </c>
      <c r="S91" s="7">
        <f>LN(I91/I90)</f>
        <v/>
      </c>
      <c r="T91" s="7">
        <f>LN(J91/J90)</f>
        <v/>
      </c>
    </row>
    <row r="92">
      <c r="L92" s="7">
        <f>LN(B92/B91)</f>
        <v/>
      </c>
      <c r="M92" s="7">
        <f>C92-C91</f>
        <v/>
      </c>
      <c r="N92" s="7">
        <f>D92-D91</f>
        <v/>
      </c>
      <c r="O92" s="7">
        <f>LN(E92/E91)</f>
        <v/>
      </c>
      <c r="P92" s="7">
        <f>LN(F92/F91)</f>
        <v/>
      </c>
      <c r="Q92" s="7">
        <f>G92-G91</f>
        <v/>
      </c>
      <c r="R92" s="7">
        <f>H92-H91</f>
        <v/>
      </c>
      <c r="S92" s="7">
        <f>LN(I92/I91)</f>
        <v/>
      </c>
      <c r="T92" s="7">
        <f>LN(J92/J91)</f>
        <v/>
      </c>
    </row>
    <row r="93">
      <c r="L93" s="7">
        <f>LN(B93/B92)</f>
        <v/>
      </c>
      <c r="M93" s="7">
        <f>C93-C92</f>
        <v/>
      </c>
      <c r="N93" s="7">
        <f>D93-D92</f>
        <v/>
      </c>
      <c r="O93" s="7">
        <f>LN(E93/E92)</f>
        <v/>
      </c>
      <c r="P93" s="7">
        <f>LN(F93/F92)</f>
        <v/>
      </c>
      <c r="Q93" s="7">
        <f>G93-G92</f>
        <v/>
      </c>
      <c r="R93" s="7">
        <f>H93-H92</f>
        <v/>
      </c>
      <c r="S93" s="7">
        <f>LN(I93/I92)</f>
        <v/>
      </c>
      <c r="T93" s="7">
        <f>LN(J93/J92)</f>
        <v/>
      </c>
    </row>
    <row r="94">
      <c r="L94" s="7">
        <f>LN(B94/B93)</f>
        <v/>
      </c>
      <c r="M94" s="7">
        <f>C94-C93</f>
        <v/>
      </c>
      <c r="N94" s="7">
        <f>D94-D93</f>
        <v/>
      </c>
      <c r="O94" s="7">
        <f>LN(E94/E93)</f>
        <v/>
      </c>
      <c r="P94" s="7">
        <f>LN(F94/F93)</f>
        <v/>
      </c>
      <c r="Q94" s="7">
        <f>G94-G93</f>
        <v/>
      </c>
      <c r="R94" s="7">
        <f>H94-H93</f>
        <v/>
      </c>
      <c r="S94" s="7">
        <f>LN(I94/I93)</f>
        <v/>
      </c>
      <c r="T94" s="7">
        <f>LN(J94/J93)</f>
        <v/>
      </c>
    </row>
    <row r="95">
      <c r="L95" s="7">
        <f>LN(B95/B94)</f>
        <v/>
      </c>
      <c r="M95" s="7">
        <f>C95-C94</f>
        <v/>
      </c>
      <c r="N95" s="7">
        <f>D95-D94</f>
        <v/>
      </c>
      <c r="O95" s="7">
        <f>LN(E95/E94)</f>
        <v/>
      </c>
      <c r="P95" s="7">
        <f>LN(F95/F94)</f>
        <v/>
      </c>
      <c r="Q95" s="7">
        <f>G95-G94</f>
        <v/>
      </c>
      <c r="R95" s="7">
        <f>H95-H94</f>
        <v/>
      </c>
      <c r="S95" s="7">
        <f>LN(I95/I94)</f>
        <v/>
      </c>
      <c r="T95" s="7">
        <f>LN(J95/J94)</f>
        <v/>
      </c>
    </row>
    <row r="96">
      <c r="L96" s="7">
        <f>LN(B96/B95)</f>
        <v/>
      </c>
      <c r="M96" s="7">
        <f>C96-C95</f>
        <v/>
      </c>
      <c r="N96" s="7">
        <f>D96-D95</f>
        <v/>
      </c>
      <c r="O96" s="7">
        <f>LN(E96/E95)</f>
        <v/>
      </c>
      <c r="P96" s="7">
        <f>LN(F96/F95)</f>
        <v/>
      </c>
      <c r="Q96" s="7">
        <f>G96-G95</f>
        <v/>
      </c>
      <c r="R96" s="7">
        <f>H96-H95</f>
        <v/>
      </c>
      <c r="S96" s="7">
        <f>LN(I96/I95)</f>
        <v/>
      </c>
      <c r="T96" s="7">
        <f>LN(J96/J95)</f>
        <v/>
      </c>
    </row>
    <row r="97">
      <c r="L97" s="7">
        <f>LN(B97/B96)</f>
        <v/>
      </c>
      <c r="M97" s="7">
        <f>C97-C96</f>
        <v/>
      </c>
      <c r="N97" s="7">
        <f>D97-D96</f>
        <v/>
      </c>
      <c r="O97" s="7">
        <f>LN(E97/E96)</f>
        <v/>
      </c>
      <c r="P97" s="7">
        <f>LN(F97/F96)</f>
        <v/>
      </c>
      <c r="Q97" s="7">
        <f>G97-G96</f>
        <v/>
      </c>
      <c r="R97" s="7">
        <f>H97-H96</f>
        <v/>
      </c>
      <c r="S97" s="7">
        <f>LN(I97/I96)</f>
        <v/>
      </c>
      <c r="T97" s="7">
        <f>LN(J97/J96)</f>
        <v/>
      </c>
    </row>
    <row r="98">
      <c r="L98" s="7">
        <f>LN(B98/B97)</f>
        <v/>
      </c>
      <c r="M98" s="7">
        <f>C98-C97</f>
        <v/>
      </c>
      <c r="N98" s="7">
        <f>D98-D97</f>
        <v/>
      </c>
      <c r="O98" s="7">
        <f>LN(E98/E97)</f>
        <v/>
      </c>
      <c r="P98" s="7">
        <f>LN(F98/F97)</f>
        <v/>
      </c>
      <c r="Q98" s="7">
        <f>G98-G97</f>
        <v/>
      </c>
      <c r="R98" s="7">
        <f>H98-H97</f>
        <v/>
      </c>
      <c r="S98" s="7">
        <f>LN(I98/I97)</f>
        <v/>
      </c>
      <c r="T98" s="7">
        <f>LN(J98/J97)</f>
        <v/>
      </c>
    </row>
    <row r="99">
      <c r="L99" s="7">
        <f>LN(B99/B98)</f>
        <v/>
      </c>
      <c r="M99" s="7">
        <f>C99-C98</f>
        <v/>
      </c>
      <c r="N99" s="7">
        <f>D99-D98</f>
        <v/>
      </c>
      <c r="O99" s="7">
        <f>LN(E99/E98)</f>
        <v/>
      </c>
      <c r="P99" s="7">
        <f>LN(F99/F98)</f>
        <v/>
      </c>
      <c r="Q99" s="7">
        <f>G99-G98</f>
        <v/>
      </c>
      <c r="R99" s="7">
        <f>H99-H98</f>
        <v/>
      </c>
      <c r="S99" s="7">
        <f>LN(I99/I98)</f>
        <v/>
      </c>
      <c r="T99" s="7">
        <f>LN(J99/J98)</f>
        <v/>
      </c>
    </row>
    <row r="100">
      <c r="L100" s="7">
        <f>LN(B100/B99)</f>
        <v/>
      </c>
      <c r="M100" s="7">
        <f>C100-C99</f>
        <v/>
      </c>
      <c r="N100" s="7">
        <f>D100-D99</f>
        <v/>
      </c>
      <c r="O100" s="7">
        <f>LN(E100/E99)</f>
        <v/>
      </c>
      <c r="P100" s="7">
        <f>LN(F100/F99)</f>
        <v/>
      </c>
      <c r="Q100" s="7">
        <f>G100-G99</f>
        <v/>
      </c>
      <c r="R100" s="7">
        <f>H100-H99</f>
        <v/>
      </c>
      <c r="S100" s="7">
        <f>LN(I100/I99)</f>
        <v/>
      </c>
      <c r="T100" s="7">
        <f>LN(J100/J99)</f>
        <v/>
      </c>
    </row>
    <row r="101">
      <c r="L101" s="7">
        <f>LN(B101/B100)</f>
        <v/>
      </c>
      <c r="M101" s="7">
        <f>C101-C100</f>
        <v/>
      </c>
      <c r="N101" s="7">
        <f>D101-D100</f>
        <v/>
      </c>
      <c r="O101" s="7">
        <f>LN(E101/E100)</f>
        <v/>
      </c>
      <c r="P101" s="7">
        <f>LN(F101/F100)</f>
        <v/>
      </c>
      <c r="Q101" s="7">
        <f>G101-G100</f>
        <v/>
      </c>
      <c r="R101" s="7">
        <f>H101-H100</f>
        <v/>
      </c>
      <c r="S101" s="7">
        <f>LN(I101/I100)</f>
        <v/>
      </c>
      <c r="T101" s="7">
        <f>LN(J101/J100)</f>
        <v/>
      </c>
    </row>
    <row r="102">
      <c r="L102" s="7">
        <f>LN(B102/B101)</f>
        <v/>
      </c>
      <c r="M102" s="7">
        <f>C102-C101</f>
        <v/>
      </c>
      <c r="N102" s="7">
        <f>D102-D101</f>
        <v/>
      </c>
      <c r="O102" s="7">
        <f>LN(E102/E101)</f>
        <v/>
      </c>
      <c r="P102" s="7">
        <f>LN(F102/F101)</f>
        <v/>
      </c>
      <c r="Q102" s="7">
        <f>G102-G101</f>
        <v/>
      </c>
      <c r="R102" s="7">
        <f>H102-H101</f>
        <v/>
      </c>
      <c r="S102" s="7">
        <f>LN(I102/I101)</f>
        <v/>
      </c>
      <c r="T102" s="7">
        <f>LN(J102/J101)</f>
        <v/>
      </c>
    </row>
    <row r="103">
      <c r="L103" s="7">
        <f>LN(B103/B102)</f>
        <v/>
      </c>
      <c r="M103" s="7">
        <f>C103-C102</f>
        <v/>
      </c>
      <c r="N103" s="7">
        <f>D103-D102</f>
        <v/>
      </c>
      <c r="O103" s="7">
        <f>LN(E103/E102)</f>
        <v/>
      </c>
      <c r="P103" s="7">
        <f>LN(F103/F102)</f>
        <v/>
      </c>
      <c r="Q103" s="7">
        <f>G103-G102</f>
        <v/>
      </c>
      <c r="R103" s="7">
        <f>H103-H102</f>
        <v/>
      </c>
      <c r="S103" s="7">
        <f>LN(I103/I102)</f>
        <v/>
      </c>
      <c r="T103" s="7">
        <f>LN(J103/J102)</f>
        <v/>
      </c>
    </row>
    <row r="104">
      <c r="L104" s="7">
        <f>LN(B104/B103)</f>
        <v/>
      </c>
      <c r="M104" s="7">
        <f>C104-C103</f>
        <v/>
      </c>
      <c r="N104" s="7">
        <f>D104-D103</f>
        <v/>
      </c>
      <c r="O104" s="7">
        <f>LN(E104/E103)</f>
        <v/>
      </c>
      <c r="P104" s="7">
        <f>LN(F104/F103)</f>
        <v/>
      </c>
      <c r="Q104" s="7">
        <f>G104-G103</f>
        <v/>
      </c>
      <c r="R104" s="7">
        <f>H104-H103</f>
        <v/>
      </c>
      <c r="S104" s="7">
        <f>LN(I104/I103)</f>
        <v/>
      </c>
      <c r="T104" s="7">
        <f>LN(J104/J103)</f>
        <v/>
      </c>
    </row>
    <row r="105">
      <c r="L105" s="7">
        <f>LN(B105/B104)</f>
        <v/>
      </c>
      <c r="M105" s="7">
        <f>C105-C104</f>
        <v/>
      </c>
      <c r="N105" s="7">
        <f>D105-D104</f>
        <v/>
      </c>
      <c r="O105" s="7">
        <f>LN(E105/E104)</f>
        <v/>
      </c>
      <c r="P105" s="7">
        <f>LN(F105/F104)</f>
        <v/>
      </c>
      <c r="Q105" s="7">
        <f>G105-G104</f>
        <v/>
      </c>
      <c r="R105" s="7">
        <f>H105-H104</f>
        <v/>
      </c>
      <c r="S105" s="7">
        <f>LN(I105/I104)</f>
        <v/>
      </c>
      <c r="T105" s="7">
        <f>LN(J105/J104)</f>
        <v/>
      </c>
    </row>
    <row r="106">
      <c r="L106" s="7">
        <f>LN(B106/B105)</f>
        <v/>
      </c>
      <c r="M106" s="7">
        <f>C106-C105</f>
        <v/>
      </c>
      <c r="N106" s="7">
        <f>D106-D105</f>
        <v/>
      </c>
      <c r="O106" s="7">
        <f>LN(E106/E105)</f>
        <v/>
      </c>
      <c r="P106" s="7">
        <f>LN(F106/F105)</f>
        <v/>
      </c>
      <c r="Q106" s="7">
        <f>G106-G105</f>
        <v/>
      </c>
      <c r="R106" s="7">
        <f>H106-H105</f>
        <v/>
      </c>
      <c r="S106" s="7">
        <f>LN(I106/I105)</f>
        <v/>
      </c>
      <c r="T106" s="7">
        <f>LN(J106/J105)</f>
        <v/>
      </c>
    </row>
    <row r="107">
      <c r="L107" s="7">
        <f>LN(B107/B106)</f>
        <v/>
      </c>
      <c r="M107" s="7">
        <f>C107-C106</f>
        <v/>
      </c>
      <c r="N107" s="7">
        <f>D107-D106</f>
        <v/>
      </c>
      <c r="O107" s="7">
        <f>LN(E107/E106)</f>
        <v/>
      </c>
      <c r="P107" s="7">
        <f>LN(F107/F106)</f>
        <v/>
      </c>
      <c r="Q107" s="7">
        <f>G107-G106</f>
        <v/>
      </c>
      <c r="R107" s="7">
        <f>H107-H106</f>
        <v/>
      </c>
      <c r="S107" s="7">
        <f>LN(I107/I106)</f>
        <v/>
      </c>
      <c r="T107" s="7">
        <f>LN(J107/J106)</f>
        <v/>
      </c>
    </row>
    <row r="108">
      <c r="L108" s="7">
        <f>LN(B108/B107)</f>
        <v/>
      </c>
      <c r="M108" s="7">
        <f>C108-C107</f>
        <v/>
      </c>
      <c r="N108" s="7">
        <f>D108-D107</f>
        <v/>
      </c>
      <c r="O108" s="7">
        <f>LN(E108/E107)</f>
        <v/>
      </c>
      <c r="P108" s="7">
        <f>LN(F108/F107)</f>
        <v/>
      </c>
      <c r="Q108" s="7">
        <f>G108-G107</f>
        <v/>
      </c>
      <c r="R108" s="7">
        <f>H108-H107</f>
        <v/>
      </c>
      <c r="S108" s="7">
        <f>LN(I108/I107)</f>
        <v/>
      </c>
      <c r="T108" s="7">
        <f>LN(J108/J107)</f>
        <v/>
      </c>
    </row>
    <row r="109">
      <c r="L109" s="7">
        <f>LN(B109/B108)</f>
        <v/>
      </c>
      <c r="M109" s="7">
        <f>C109-C108</f>
        <v/>
      </c>
      <c r="N109" s="7">
        <f>D109-D108</f>
        <v/>
      </c>
      <c r="O109" s="7">
        <f>LN(E109/E108)</f>
        <v/>
      </c>
      <c r="P109" s="7">
        <f>LN(F109/F108)</f>
        <v/>
      </c>
      <c r="Q109" s="7">
        <f>G109-G108</f>
        <v/>
      </c>
      <c r="R109" s="7">
        <f>H109-H108</f>
        <v/>
      </c>
      <c r="S109" s="7">
        <f>LN(I109/I108)</f>
        <v/>
      </c>
      <c r="T109" s="7">
        <f>LN(J109/J108)</f>
        <v/>
      </c>
    </row>
    <row r="110">
      <c r="L110" s="7">
        <f>LN(B110/B109)</f>
        <v/>
      </c>
      <c r="M110" s="7">
        <f>C110-C109</f>
        <v/>
      </c>
      <c r="N110" s="7">
        <f>D110-D109</f>
        <v/>
      </c>
      <c r="O110" s="7">
        <f>LN(E110/E109)</f>
        <v/>
      </c>
      <c r="P110" s="7">
        <f>LN(F110/F109)</f>
        <v/>
      </c>
      <c r="Q110" s="7">
        <f>G110-G109</f>
        <v/>
      </c>
      <c r="R110" s="7">
        <f>H110-H109</f>
        <v/>
      </c>
      <c r="S110" s="7">
        <f>LN(I110/I109)</f>
        <v/>
      </c>
      <c r="T110" s="7">
        <f>LN(J110/J109)</f>
        <v/>
      </c>
    </row>
    <row r="111">
      <c r="L111" s="7">
        <f>LN(B111/B110)</f>
        <v/>
      </c>
      <c r="M111" s="7">
        <f>C111-C110</f>
        <v/>
      </c>
      <c r="N111" s="7">
        <f>D111-D110</f>
        <v/>
      </c>
      <c r="O111" s="7">
        <f>LN(E111/E110)</f>
        <v/>
      </c>
      <c r="P111" s="7">
        <f>LN(F111/F110)</f>
        <v/>
      </c>
      <c r="Q111" s="7">
        <f>G111-G110</f>
        <v/>
      </c>
      <c r="R111" s="7">
        <f>H111-H110</f>
        <v/>
      </c>
      <c r="S111" s="7">
        <f>LN(I111/I110)</f>
        <v/>
      </c>
      <c r="T111" s="7">
        <f>LN(J111/J110)</f>
        <v/>
      </c>
    </row>
    <row r="112">
      <c r="L112" s="7">
        <f>LN(B112/B111)</f>
        <v/>
      </c>
      <c r="M112" s="7">
        <f>C112-C111</f>
        <v/>
      </c>
      <c r="N112" s="7">
        <f>D112-D111</f>
        <v/>
      </c>
      <c r="O112" s="7">
        <f>LN(E112/E111)</f>
        <v/>
      </c>
      <c r="P112" s="7">
        <f>LN(F112/F111)</f>
        <v/>
      </c>
      <c r="Q112" s="7">
        <f>G112-G111</f>
        <v/>
      </c>
      <c r="R112" s="7">
        <f>H112-H111</f>
        <v/>
      </c>
      <c r="S112" s="7">
        <f>LN(I112/I111)</f>
        <v/>
      </c>
      <c r="T112" s="7">
        <f>LN(J112/J111)</f>
        <v/>
      </c>
    </row>
    <row r="113">
      <c r="L113" s="7">
        <f>LN(B113/B112)</f>
        <v/>
      </c>
      <c r="M113" s="7">
        <f>C113-C112</f>
        <v/>
      </c>
      <c r="N113" s="7">
        <f>D113-D112</f>
        <v/>
      </c>
      <c r="O113" s="7">
        <f>LN(E113/E112)</f>
        <v/>
      </c>
      <c r="P113" s="7">
        <f>LN(F113/F112)</f>
        <v/>
      </c>
      <c r="Q113" s="7">
        <f>G113-G112</f>
        <v/>
      </c>
      <c r="R113" s="7">
        <f>H113-H112</f>
        <v/>
      </c>
      <c r="S113" s="7">
        <f>LN(I113/I112)</f>
        <v/>
      </c>
      <c r="T113" s="7">
        <f>LN(J113/J112)</f>
        <v/>
      </c>
    </row>
    <row r="114">
      <c r="L114" s="7">
        <f>LN(B114/B113)</f>
        <v/>
      </c>
      <c r="M114" s="7">
        <f>C114-C113</f>
        <v/>
      </c>
      <c r="N114" s="7">
        <f>D114-D113</f>
        <v/>
      </c>
      <c r="O114" s="7">
        <f>LN(E114/E113)</f>
        <v/>
      </c>
      <c r="P114" s="7">
        <f>LN(F114/F113)</f>
        <v/>
      </c>
      <c r="Q114" s="7">
        <f>G114-G113</f>
        <v/>
      </c>
      <c r="R114" s="7">
        <f>H114-H113</f>
        <v/>
      </c>
      <c r="S114" s="7">
        <f>LN(I114/I113)</f>
        <v/>
      </c>
      <c r="T114" s="7">
        <f>LN(J114/J113)</f>
        <v/>
      </c>
    </row>
    <row r="115">
      <c r="L115" s="7">
        <f>LN(B115/B114)</f>
        <v/>
      </c>
      <c r="M115" s="7">
        <f>C115-C114</f>
        <v/>
      </c>
      <c r="N115" s="7">
        <f>D115-D114</f>
        <v/>
      </c>
      <c r="O115" s="7">
        <f>LN(E115/E114)</f>
        <v/>
      </c>
      <c r="P115" s="7">
        <f>LN(F115/F114)</f>
        <v/>
      </c>
      <c r="Q115" s="7">
        <f>G115-G114</f>
        <v/>
      </c>
      <c r="R115" s="7">
        <f>H115-H114</f>
        <v/>
      </c>
      <c r="S115" s="7">
        <f>LN(I115/I114)</f>
        <v/>
      </c>
      <c r="T115" s="7">
        <f>LN(J115/J114)</f>
        <v/>
      </c>
    </row>
    <row r="116">
      <c r="L116" s="7">
        <f>LN(B116/B115)</f>
        <v/>
      </c>
      <c r="M116" s="7">
        <f>C116-C115</f>
        <v/>
      </c>
      <c r="N116" s="7">
        <f>D116-D115</f>
        <v/>
      </c>
      <c r="O116" s="7">
        <f>LN(E116/E115)</f>
        <v/>
      </c>
      <c r="P116" s="7">
        <f>LN(F116/F115)</f>
        <v/>
      </c>
      <c r="Q116" s="7">
        <f>G116-G115</f>
        <v/>
      </c>
      <c r="R116" s="7">
        <f>H116-H115</f>
        <v/>
      </c>
      <c r="S116" s="7">
        <f>LN(I116/I115)</f>
        <v/>
      </c>
      <c r="T116" s="7">
        <f>LN(J116/J115)</f>
        <v/>
      </c>
    </row>
    <row r="117">
      <c r="L117" s="7">
        <f>LN(B117/B116)</f>
        <v/>
      </c>
      <c r="M117" s="7">
        <f>C117-C116</f>
        <v/>
      </c>
      <c r="N117" s="7">
        <f>D117-D116</f>
        <v/>
      </c>
      <c r="O117" s="7">
        <f>LN(E117/E116)</f>
        <v/>
      </c>
      <c r="P117" s="7">
        <f>LN(F117/F116)</f>
        <v/>
      </c>
      <c r="Q117" s="7">
        <f>G117-G116</f>
        <v/>
      </c>
      <c r="R117" s="7">
        <f>H117-H116</f>
        <v/>
      </c>
      <c r="S117" s="7">
        <f>LN(I117/I116)</f>
        <v/>
      </c>
      <c r="T117" s="7">
        <f>LN(J117/J116)</f>
        <v/>
      </c>
    </row>
    <row r="118">
      <c r="L118" s="7">
        <f>LN(B118/B117)</f>
        <v/>
      </c>
      <c r="M118" s="7">
        <f>C118-C117</f>
        <v/>
      </c>
      <c r="N118" s="7">
        <f>D118-D117</f>
        <v/>
      </c>
      <c r="O118" s="7">
        <f>LN(E118/E117)</f>
        <v/>
      </c>
      <c r="P118" s="7">
        <f>LN(F118/F117)</f>
        <v/>
      </c>
      <c r="Q118" s="7">
        <f>G118-G117</f>
        <v/>
      </c>
      <c r="R118" s="7">
        <f>H118-H117</f>
        <v/>
      </c>
      <c r="S118" s="7">
        <f>LN(I118/I117)</f>
        <v/>
      </c>
      <c r="T118" s="7">
        <f>LN(J118/J117)</f>
        <v/>
      </c>
    </row>
    <row r="119">
      <c r="L119" s="7">
        <f>LN(B119/B118)</f>
        <v/>
      </c>
      <c r="M119" s="7">
        <f>C119-C118</f>
        <v/>
      </c>
      <c r="N119" s="7">
        <f>D119-D118</f>
        <v/>
      </c>
      <c r="O119" s="7">
        <f>LN(E119/E118)</f>
        <v/>
      </c>
      <c r="P119" s="7">
        <f>LN(F119/F118)</f>
        <v/>
      </c>
      <c r="Q119" s="7">
        <f>G119-G118</f>
        <v/>
      </c>
      <c r="R119" s="7">
        <f>H119-H118</f>
        <v/>
      </c>
      <c r="S119" s="7">
        <f>LN(I119/I118)</f>
        <v/>
      </c>
      <c r="T119" s="7">
        <f>LN(J119/J118)</f>
        <v/>
      </c>
    </row>
    <row r="120">
      <c r="L120" s="7">
        <f>LN(B120/B119)</f>
        <v/>
      </c>
      <c r="M120" s="7">
        <f>C120-C119</f>
        <v/>
      </c>
      <c r="N120" s="7">
        <f>D120-D119</f>
        <v/>
      </c>
      <c r="O120" s="7">
        <f>LN(E120/E119)</f>
        <v/>
      </c>
      <c r="P120" s="7">
        <f>LN(F120/F119)</f>
        <v/>
      </c>
      <c r="Q120" s="7">
        <f>G120-G119</f>
        <v/>
      </c>
      <c r="R120" s="7">
        <f>H120-H119</f>
        <v/>
      </c>
      <c r="S120" s="7">
        <f>LN(I120/I119)</f>
        <v/>
      </c>
      <c r="T120" s="7">
        <f>LN(J120/J119)</f>
        <v/>
      </c>
    </row>
    <row r="121">
      <c r="L121" s="7">
        <f>LN(B121/B120)</f>
        <v/>
      </c>
      <c r="M121" s="7">
        <f>C121-C120</f>
        <v/>
      </c>
      <c r="N121" s="7">
        <f>D121-D120</f>
        <v/>
      </c>
      <c r="O121" s="7">
        <f>LN(E121/E120)</f>
        <v/>
      </c>
      <c r="P121" s="7">
        <f>LN(F121/F120)</f>
        <v/>
      </c>
      <c r="Q121" s="7">
        <f>G121-G120</f>
        <v/>
      </c>
      <c r="R121" s="7">
        <f>H121-H120</f>
        <v/>
      </c>
      <c r="S121" s="7">
        <f>LN(I121/I120)</f>
        <v/>
      </c>
      <c r="T121" s="7">
        <f>LN(J121/J120)</f>
        <v/>
      </c>
    </row>
    <row r="122">
      <c r="L122" s="7">
        <f>LN(B122/B121)</f>
        <v/>
      </c>
      <c r="M122" s="7">
        <f>C122-C121</f>
        <v/>
      </c>
      <c r="N122" s="7">
        <f>D122-D121</f>
        <v/>
      </c>
      <c r="O122" s="7">
        <f>LN(E122/E121)</f>
        <v/>
      </c>
      <c r="P122" s="7">
        <f>LN(F122/F121)</f>
        <v/>
      </c>
      <c r="Q122" s="7">
        <f>G122-G121</f>
        <v/>
      </c>
      <c r="R122" s="7">
        <f>H122-H121</f>
        <v/>
      </c>
      <c r="S122" s="7">
        <f>LN(I122/I121)</f>
        <v/>
      </c>
      <c r="T122" s="7">
        <f>LN(J122/J121)</f>
        <v/>
      </c>
    </row>
    <row r="123">
      <c r="L123" s="7">
        <f>LN(B123/B122)</f>
        <v/>
      </c>
      <c r="M123" s="7">
        <f>C123-C122</f>
        <v/>
      </c>
      <c r="N123" s="7">
        <f>D123-D122</f>
        <v/>
      </c>
      <c r="O123" s="7">
        <f>LN(E123/E122)</f>
        <v/>
      </c>
      <c r="P123" s="7">
        <f>LN(F123/F122)</f>
        <v/>
      </c>
      <c r="Q123" s="7">
        <f>G123-G122</f>
        <v/>
      </c>
      <c r="R123" s="7">
        <f>H123-H122</f>
        <v/>
      </c>
      <c r="S123" s="7">
        <f>LN(I123/I122)</f>
        <v/>
      </c>
      <c r="T123" s="7">
        <f>LN(J123/J122)</f>
        <v/>
      </c>
    </row>
    <row r="124">
      <c r="L124" s="7">
        <f>LN(B124/B123)</f>
        <v/>
      </c>
      <c r="M124" s="7">
        <f>C124-C123</f>
        <v/>
      </c>
      <c r="N124" s="7">
        <f>D124-D123</f>
        <v/>
      </c>
      <c r="O124" s="7">
        <f>LN(E124/E123)</f>
        <v/>
      </c>
      <c r="P124" s="7">
        <f>LN(F124/F123)</f>
        <v/>
      </c>
      <c r="Q124" s="7">
        <f>G124-G123</f>
        <v/>
      </c>
      <c r="R124" s="7">
        <f>H124-H123</f>
        <v/>
      </c>
      <c r="S124" s="7">
        <f>LN(I124/I123)</f>
        <v/>
      </c>
      <c r="T124" s="7">
        <f>LN(J124/J123)</f>
        <v/>
      </c>
    </row>
    <row r="125">
      <c r="L125" s="7">
        <f>LN(B125/B124)</f>
        <v/>
      </c>
      <c r="M125" s="7">
        <f>C125-C124</f>
        <v/>
      </c>
      <c r="N125" s="7">
        <f>D125-D124</f>
        <v/>
      </c>
      <c r="O125" s="7">
        <f>LN(E125/E124)</f>
        <v/>
      </c>
      <c r="P125" s="7">
        <f>LN(F125/F124)</f>
        <v/>
      </c>
      <c r="Q125" s="7">
        <f>G125-G124</f>
        <v/>
      </c>
      <c r="R125" s="7">
        <f>H125-H124</f>
        <v/>
      </c>
      <c r="S125" s="7">
        <f>LN(I125/I124)</f>
        <v/>
      </c>
      <c r="T125" s="7">
        <f>LN(J125/J124)</f>
        <v/>
      </c>
    </row>
    <row r="126">
      <c r="L126" s="7">
        <f>LN(B126/B125)</f>
        <v/>
      </c>
      <c r="M126" s="7">
        <f>C126-C125</f>
        <v/>
      </c>
      <c r="N126" s="7">
        <f>D126-D125</f>
        <v/>
      </c>
      <c r="O126" s="7">
        <f>LN(E126/E125)</f>
        <v/>
      </c>
      <c r="P126" s="7">
        <f>LN(F126/F125)</f>
        <v/>
      </c>
      <c r="Q126" s="7">
        <f>G126-G125</f>
        <v/>
      </c>
      <c r="R126" s="7">
        <f>H126-H125</f>
        <v/>
      </c>
      <c r="S126" s="7">
        <f>LN(I126/I125)</f>
        <v/>
      </c>
      <c r="T126" s="7">
        <f>LN(J126/J125)</f>
        <v/>
      </c>
    </row>
    <row r="127">
      <c r="L127" s="7">
        <f>LN(B127/B126)</f>
        <v/>
      </c>
      <c r="M127" s="7">
        <f>C127-C126</f>
        <v/>
      </c>
      <c r="N127" s="7">
        <f>D127-D126</f>
        <v/>
      </c>
      <c r="O127" s="7">
        <f>LN(E127/E126)</f>
        <v/>
      </c>
      <c r="P127" s="7">
        <f>LN(F127/F126)</f>
        <v/>
      </c>
      <c r="Q127" s="7">
        <f>G127-G126</f>
        <v/>
      </c>
      <c r="R127" s="7">
        <f>H127-H126</f>
        <v/>
      </c>
      <c r="S127" s="7">
        <f>LN(I127/I126)</f>
        <v/>
      </c>
      <c r="T127" s="7">
        <f>LN(J127/J126)</f>
        <v/>
      </c>
    </row>
    <row r="128">
      <c r="L128" s="7">
        <f>LN(B128/B127)</f>
        <v/>
      </c>
      <c r="M128" s="7">
        <f>C128-C127</f>
        <v/>
      </c>
      <c r="N128" s="7">
        <f>D128-D127</f>
        <v/>
      </c>
      <c r="O128" s="7">
        <f>LN(E128/E127)</f>
        <v/>
      </c>
      <c r="P128" s="7">
        <f>LN(F128/F127)</f>
        <v/>
      </c>
      <c r="Q128" s="7">
        <f>G128-G127</f>
        <v/>
      </c>
      <c r="R128" s="7">
        <f>H128-H127</f>
        <v/>
      </c>
      <c r="S128" s="7">
        <f>LN(I128/I127)</f>
        <v/>
      </c>
      <c r="T128" s="7">
        <f>LN(J128/J127)</f>
        <v/>
      </c>
    </row>
    <row r="129">
      <c r="L129" s="7">
        <f>LN(B129/B128)</f>
        <v/>
      </c>
      <c r="M129" s="7">
        <f>C129-C128</f>
        <v/>
      </c>
      <c r="N129" s="7">
        <f>D129-D128</f>
        <v/>
      </c>
      <c r="O129" s="7">
        <f>LN(E129/E128)</f>
        <v/>
      </c>
      <c r="P129" s="7">
        <f>LN(F129/F128)</f>
        <v/>
      </c>
      <c r="Q129" s="7">
        <f>G129-G128</f>
        <v/>
      </c>
      <c r="R129" s="7">
        <f>H129-H128</f>
        <v/>
      </c>
      <c r="S129" s="7">
        <f>LN(I129/I128)</f>
        <v/>
      </c>
      <c r="T129" s="7">
        <f>LN(J129/J128)</f>
        <v/>
      </c>
    </row>
    <row r="130">
      <c r="L130" s="7">
        <f>LN(B130/B129)</f>
        <v/>
      </c>
      <c r="M130" s="7">
        <f>C130-C129</f>
        <v/>
      </c>
      <c r="N130" s="7">
        <f>D130-D129</f>
        <v/>
      </c>
      <c r="O130" s="7">
        <f>LN(E130/E129)</f>
        <v/>
      </c>
      <c r="P130" s="7">
        <f>LN(F130/F129)</f>
        <v/>
      </c>
      <c r="Q130" s="7">
        <f>G130-G129</f>
        <v/>
      </c>
      <c r="R130" s="7">
        <f>H130-H129</f>
        <v/>
      </c>
      <c r="S130" s="7">
        <f>LN(I130/I129)</f>
        <v/>
      </c>
      <c r="T130" s="7">
        <f>LN(J130/J129)</f>
        <v/>
      </c>
    </row>
    <row r="131">
      <c r="L131" s="7">
        <f>LN(B131/B130)</f>
        <v/>
      </c>
      <c r="M131" s="7">
        <f>C131-C130</f>
        <v/>
      </c>
      <c r="N131" s="7">
        <f>D131-D130</f>
        <v/>
      </c>
      <c r="O131" s="7">
        <f>LN(E131/E130)</f>
        <v/>
      </c>
      <c r="P131" s="7">
        <f>LN(F131/F130)</f>
        <v/>
      </c>
      <c r="Q131" s="7">
        <f>G131-G130</f>
        <v/>
      </c>
      <c r="R131" s="7">
        <f>H131-H130</f>
        <v/>
      </c>
      <c r="S131" s="7">
        <f>LN(I131/I130)</f>
        <v/>
      </c>
      <c r="T131" s="7">
        <f>LN(J131/J130)</f>
        <v/>
      </c>
    </row>
    <row r="132">
      <c r="L132" s="7">
        <f>LN(B132/B131)</f>
        <v/>
      </c>
      <c r="M132" s="7">
        <f>C132-C131</f>
        <v/>
      </c>
      <c r="N132" s="7">
        <f>D132-D131</f>
        <v/>
      </c>
      <c r="O132" s="7">
        <f>LN(E132/E131)</f>
        <v/>
      </c>
      <c r="P132" s="7">
        <f>LN(F132/F131)</f>
        <v/>
      </c>
      <c r="Q132" s="7">
        <f>G132-G131</f>
        <v/>
      </c>
      <c r="R132" s="7">
        <f>H132-H131</f>
        <v/>
      </c>
      <c r="S132" s="7">
        <f>LN(I132/I131)</f>
        <v/>
      </c>
      <c r="T132" s="7">
        <f>LN(J132/J131)</f>
        <v/>
      </c>
    </row>
    <row r="133">
      <c r="L133" s="7">
        <f>LN(B133/B132)</f>
        <v/>
      </c>
      <c r="M133" s="7">
        <f>C133-C132</f>
        <v/>
      </c>
      <c r="N133" s="7">
        <f>D133-D132</f>
        <v/>
      </c>
      <c r="O133" s="7">
        <f>LN(E133/E132)</f>
        <v/>
      </c>
      <c r="P133" s="7">
        <f>LN(F133/F132)</f>
        <v/>
      </c>
      <c r="Q133" s="7">
        <f>G133-G132</f>
        <v/>
      </c>
      <c r="R133" s="7">
        <f>H133-H132</f>
        <v/>
      </c>
      <c r="S133" s="7">
        <f>LN(I133/I132)</f>
        <v/>
      </c>
      <c r="T133" s="7">
        <f>LN(J133/J132)</f>
        <v/>
      </c>
    </row>
    <row r="134">
      <c r="L134" s="7">
        <f>LN(B134/B133)</f>
        <v/>
      </c>
      <c r="M134" s="7">
        <f>C134-C133</f>
        <v/>
      </c>
      <c r="N134" s="7">
        <f>D134-D133</f>
        <v/>
      </c>
      <c r="O134" s="7">
        <f>LN(E134/E133)</f>
        <v/>
      </c>
      <c r="P134" s="7">
        <f>LN(F134/F133)</f>
        <v/>
      </c>
      <c r="Q134" s="7">
        <f>G134-G133</f>
        <v/>
      </c>
      <c r="R134" s="7">
        <f>H134-H133</f>
        <v/>
      </c>
      <c r="S134" s="7">
        <f>LN(I134/I133)</f>
        <v/>
      </c>
      <c r="T134" s="7">
        <f>LN(J134/J133)</f>
        <v/>
      </c>
    </row>
    <row r="135">
      <c r="L135" s="7">
        <f>LN(B135/B134)</f>
        <v/>
      </c>
      <c r="M135" s="7">
        <f>C135-C134</f>
        <v/>
      </c>
      <c r="N135" s="7">
        <f>D135-D134</f>
        <v/>
      </c>
      <c r="O135" s="7">
        <f>LN(E135/E134)</f>
        <v/>
      </c>
      <c r="P135" s="7">
        <f>LN(F135/F134)</f>
        <v/>
      </c>
      <c r="Q135" s="7">
        <f>G135-G134</f>
        <v/>
      </c>
      <c r="R135" s="7">
        <f>H135-H134</f>
        <v/>
      </c>
      <c r="S135" s="7">
        <f>LN(I135/I134)</f>
        <v/>
      </c>
      <c r="T135" s="7">
        <f>LN(J135/J134)</f>
        <v/>
      </c>
    </row>
    <row r="136">
      <c r="L136" s="7">
        <f>LN(B136/B135)</f>
        <v/>
      </c>
      <c r="M136" s="7">
        <f>C136-C135</f>
        <v/>
      </c>
      <c r="N136" s="7">
        <f>D136-D135</f>
        <v/>
      </c>
      <c r="O136" s="7">
        <f>LN(E136/E135)</f>
        <v/>
      </c>
      <c r="P136" s="7">
        <f>LN(F136/F135)</f>
        <v/>
      </c>
      <c r="Q136" s="7">
        <f>G136-G135</f>
        <v/>
      </c>
      <c r="R136" s="7">
        <f>H136-H135</f>
        <v/>
      </c>
      <c r="S136" s="7">
        <f>LN(I136/I135)</f>
        <v/>
      </c>
      <c r="T136" s="7">
        <f>LN(J136/J135)</f>
        <v/>
      </c>
    </row>
    <row r="137">
      <c r="L137" s="7">
        <f>LN(B137/B136)</f>
        <v/>
      </c>
      <c r="M137" s="7">
        <f>C137-C136</f>
        <v/>
      </c>
      <c r="N137" s="7">
        <f>D137-D136</f>
        <v/>
      </c>
      <c r="O137" s="7">
        <f>LN(E137/E136)</f>
        <v/>
      </c>
      <c r="P137" s="7">
        <f>LN(F137/F136)</f>
        <v/>
      </c>
      <c r="Q137" s="7">
        <f>G137-G136</f>
        <v/>
      </c>
      <c r="R137" s="7">
        <f>H137-H136</f>
        <v/>
      </c>
      <c r="S137" s="7">
        <f>LN(I137/I136)</f>
        <v/>
      </c>
      <c r="T137" s="7">
        <f>LN(J137/J136)</f>
        <v/>
      </c>
    </row>
    <row r="138">
      <c r="L138" s="7">
        <f>LN(B138/B137)</f>
        <v/>
      </c>
      <c r="M138" s="7">
        <f>C138-C137</f>
        <v/>
      </c>
      <c r="N138" s="7">
        <f>D138-D137</f>
        <v/>
      </c>
      <c r="O138" s="7">
        <f>LN(E138/E137)</f>
        <v/>
      </c>
      <c r="P138" s="7">
        <f>LN(F138/F137)</f>
        <v/>
      </c>
      <c r="Q138" s="7">
        <f>G138-G137</f>
        <v/>
      </c>
      <c r="R138" s="7">
        <f>H138-H137</f>
        <v/>
      </c>
      <c r="S138" s="7">
        <f>LN(I138/I137)</f>
        <v/>
      </c>
      <c r="T138" s="7">
        <f>LN(J138/J137)</f>
        <v/>
      </c>
    </row>
    <row r="139">
      <c r="L139" s="7">
        <f>LN(B139/B138)</f>
        <v/>
      </c>
      <c r="M139" s="7">
        <f>C139-C138</f>
        <v/>
      </c>
      <c r="N139" s="7">
        <f>D139-D138</f>
        <v/>
      </c>
      <c r="O139" s="7">
        <f>LN(E139/E138)</f>
        <v/>
      </c>
      <c r="P139" s="7">
        <f>LN(F139/F138)</f>
        <v/>
      </c>
      <c r="Q139" s="7">
        <f>G139-G138</f>
        <v/>
      </c>
      <c r="R139" s="7">
        <f>H139-H138</f>
        <v/>
      </c>
      <c r="S139" s="7">
        <f>LN(I139/I138)</f>
        <v/>
      </c>
      <c r="T139" s="7">
        <f>LN(J139/J138)</f>
        <v/>
      </c>
    </row>
    <row r="140">
      <c r="L140" s="7">
        <f>LN(B140/B139)</f>
        <v/>
      </c>
      <c r="M140" s="7">
        <f>C140-C139</f>
        <v/>
      </c>
      <c r="N140" s="7">
        <f>D140-D139</f>
        <v/>
      </c>
      <c r="O140" s="7">
        <f>LN(E140/E139)</f>
        <v/>
      </c>
      <c r="P140" s="7">
        <f>LN(F140/F139)</f>
        <v/>
      </c>
      <c r="Q140" s="7">
        <f>G140-G139</f>
        <v/>
      </c>
      <c r="R140" s="7">
        <f>H140-H139</f>
        <v/>
      </c>
      <c r="S140" s="7">
        <f>LN(I140/I139)</f>
        <v/>
      </c>
      <c r="T140" s="7">
        <f>LN(J140/J139)</f>
        <v/>
      </c>
    </row>
    <row r="141">
      <c r="L141" s="7">
        <f>LN(B141/B140)</f>
        <v/>
      </c>
      <c r="M141" s="7">
        <f>C141-C140</f>
        <v/>
      </c>
      <c r="N141" s="7">
        <f>D141-D140</f>
        <v/>
      </c>
      <c r="O141" s="7">
        <f>LN(E141/E140)</f>
        <v/>
      </c>
      <c r="P141" s="7">
        <f>LN(F141/F140)</f>
        <v/>
      </c>
      <c r="Q141" s="7">
        <f>G141-G140</f>
        <v/>
      </c>
      <c r="R141" s="7">
        <f>H141-H140</f>
        <v/>
      </c>
      <c r="S141" s="7">
        <f>LN(I141/I140)</f>
        <v/>
      </c>
      <c r="T141" s="7">
        <f>LN(J141/J140)</f>
        <v/>
      </c>
    </row>
    <row r="142">
      <c r="L142" s="7">
        <f>LN(B142/B141)</f>
        <v/>
      </c>
      <c r="M142" s="7">
        <f>C142-C141</f>
        <v/>
      </c>
      <c r="N142" s="7">
        <f>D142-D141</f>
        <v/>
      </c>
      <c r="O142" s="7">
        <f>LN(E142/E141)</f>
        <v/>
      </c>
      <c r="P142" s="7">
        <f>LN(F142/F141)</f>
        <v/>
      </c>
      <c r="Q142" s="7">
        <f>G142-G141</f>
        <v/>
      </c>
      <c r="R142" s="7">
        <f>H142-H141</f>
        <v/>
      </c>
      <c r="S142" s="7">
        <f>LN(I142/I141)</f>
        <v/>
      </c>
      <c r="T142" s="7">
        <f>LN(J142/J141)</f>
        <v/>
      </c>
    </row>
    <row r="143">
      <c r="L143" s="7">
        <f>LN(B143/B142)</f>
        <v/>
      </c>
      <c r="M143" s="7">
        <f>C143-C142</f>
        <v/>
      </c>
      <c r="N143" s="7">
        <f>D143-D142</f>
        <v/>
      </c>
      <c r="O143" s="7">
        <f>LN(E143/E142)</f>
        <v/>
      </c>
      <c r="P143" s="7">
        <f>LN(F143/F142)</f>
        <v/>
      </c>
      <c r="Q143" s="7">
        <f>G143-G142</f>
        <v/>
      </c>
      <c r="R143" s="7">
        <f>H143-H142</f>
        <v/>
      </c>
      <c r="S143" s="7">
        <f>LN(I143/I142)</f>
        <v/>
      </c>
      <c r="T143" s="7">
        <f>LN(J143/J142)</f>
        <v/>
      </c>
    </row>
    <row r="144">
      <c r="L144" s="7">
        <f>LN(B144/B143)</f>
        <v/>
      </c>
      <c r="M144" s="7">
        <f>C144-C143</f>
        <v/>
      </c>
      <c r="N144" s="7">
        <f>D144-D143</f>
        <v/>
      </c>
      <c r="O144" s="7">
        <f>LN(E144/E143)</f>
        <v/>
      </c>
      <c r="P144" s="7">
        <f>LN(F144/F143)</f>
        <v/>
      </c>
      <c r="Q144" s="7">
        <f>G144-G143</f>
        <v/>
      </c>
      <c r="R144" s="7">
        <f>H144-H143</f>
        <v/>
      </c>
      <c r="S144" s="7">
        <f>LN(I144/I143)</f>
        <v/>
      </c>
      <c r="T144" s="7">
        <f>LN(J144/J143)</f>
        <v/>
      </c>
    </row>
    <row r="145">
      <c r="L145" s="7">
        <f>LN(B145/B144)</f>
        <v/>
      </c>
      <c r="M145" s="7">
        <f>C145-C144</f>
        <v/>
      </c>
      <c r="N145" s="7">
        <f>D145-D144</f>
        <v/>
      </c>
      <c r="O145" s="7">
        <f>LN(E145/E144)</f>
        <v/>
      </c>
      <c r="P145" s="7">
        <f>LN(F145/F144)</f>
        <v/>
      </c>
      <c r="Q145" s="7">
        <f>G145-G144</f>
        <v/>
      </c>
      <c r="R145" s="7">
        <f>H145-H144</f>
        <v/>
      </c>
      <c r="S145" s="7">
        <f>LN(I145/I144)</f>
        <v/>
      </c>
      <c r="T145" s="7">
        <f>LN(J145/J144)</f>
        <v/>
      </c>
    </row>
    <row r="146">
      <c r="L146" s="7">
        <f>LN(B146/B145)</f>
        <v/>
      </c>
      <c r="M146" s="7">
        <f>C146-C145</f>
        <v/>
      </c>
      <c r="N146" s="7">
        <f>D146-D145</f>
        <v/>
      </c>
      <c r="O146" s="7">
        <f>LN(E146/E145)</f>
        <v/>
      </c>
      <c r="P146" s="7">
        <f>LN(F146/F145)</f>
        <v/>
      </c>
      <c r="Q146" s="7">
        <f>G146-G145</f>
        <v/>
      </c>
      <c r="R146" s="7">
        <f>H146-H145</f>
        <v/>
      </c>
      <c r="S146" s="7">
        <f>LN(I146/I145)</f>
        <v/>
      </c>
      <c r="T146" s="7">
        <f>LN(J146/J145)</f>
        <v/>
      </c>
    </row>
    <row r="147">
      <c r="L147" s="7">
        <f>LN(B147/B146)</f>
        <v/>
      </c>
      <c r="M147" s="7">
        <f>C147-C146</f>
        <v/>
      </c>
      <c r="N147" s="7">
        <f>D147-D146</f>
        <v/>
      </c>
      <c r="O147" s="7">
        <f>LN(E147/E146)</f>
        <v/>
      </c>
      <c r="P147" s="7">
        <f>LN(F147/F146)</f>
        <v/>
      </c>
      <c r="Q147" s="7">
        <f>G147-G146</f>
        <v/>
      </c>
      <c r="R147" s="7">
        <f>H147-H146</f>
        <v/>
      </c>
      <c r="S147" s="7">
        <f>LN(I147/I146)</f>
        <v/>
      </c>
      <c r="T147" s="7">
        <f>LN(J147/J146)</f>
        <v/>
      </c>
    </row>
    <row r="148">
      <c r="L148" s="7">
        <f>LN(B148/B147)</f>
        <v/>
      </c>
      <c r="M148" s="7">
        <f>C148-C147</f>
        <v/>
      </c>
      <c r="N148" s="7">
        <f>D148-D147</f>
        <v/>
      </c>
      <c r="O148" s="7">
        <f>LN(E148/E147)</f>
        <v/>
      </c>
      <c r="P148" s="7">
        <f>LN(F148/F147)</f>
        <v/>
      </c>
      <c r="Q148" s="7">
        <f>G148-G147</f>
        <v/>
      </c>
      <c r="R148" s="7">
        <f>H148-H147</f>
        <v/>
      </c>
      <c r="S148" s="7">
        <f>LN(I148/I147)</f>
        <v/>
      </c>
      <c r="T148" s="7">
        <f>LN(J148/J147)</f>
        <v/>
      </c>
    </row>
    <row r="149">
      <c r="L149" s="7">
        <f>LN(B149/B148)</f>
        <v/>
      </c>
      <c r="M149" s="7">
        <f>C149-C148</f>
        <v/>
      </c>
      <c r="N149" s="7">
        <f>D149-D148</f>
        <v/>
      </c>
      <c r="O149" s="7">
        <f>LN(E149/E148)</f>
        <v/>
      </c>
      <c r="P149" s="7">
        <f>LN(F149/F148)</f>
        <v/>
      </c>
      <c r="Q149" s="7">
        <f>G149-G148</f>
        <v/>
      </c>
      <c r="R149" s="7">
        <f>H149-H148</f>
        <v/>
      </c>
      <c r="S149" s="7">
        <f>LN(I149/I148)</f>
        <v/>
      </c>
      <c r="T149" s="7">
        <f>LN(J149/J148)</f>
        <v/>
      </c>
    </row>
    <row r="150">
      <c r="L150" s="7">
        <f>LN(B150/B149)</f>
        <v/>
      </c>
      <c r="M150" s="7">
        <f>C150-C149</f>
        <v/>
      </c>
      <c r="N150" s="7">
        <f>D150-D149</f>
        <v/>
      </c>
      <c r="O150" s="7">
        <f>LN(E150/E149)</f>
        <v/>
      </c>
      <c r="P150" s="7">
        <f>LN(F150/F149)</f>
        <v/>
      </c>
      <c r="Q150" s="7">
        <f>G150-G149</f>
        <v/>
      </c>
      <c r="R150" s="7">
        <f>H150-H149</f>
        <v/>
      </c>
      <c r="S150" s="7">
        <f>LN(I150/I149)</f>
        <v/>
      </c>
      <c r="T150" s="7">
        <f>LN(J150/J149)</f>
        <v/>
      </c>
    </row>
    <row r="151">
      <c r="L151" s="7">
        <f>LN(B151/B150)</f>
        <v/>
      </c>
      <c r="M151" s="7">
        <f>C151-C150</f>
        <v/>
      </c>
      <c r="N151" s="7">
        <f>D151-D150</f>
        <v/>
      </c>
      <c r="O151" s="7">
        <f>LN(E151/E150)</f>
        <v/>
      </c>
      <c r="P151" s="7">
        <f>LN(F151/F150)</f>
        <v/>
      </c>
      <c r="Q151" s="7">
        <f>G151-G150</f>
        <v/>
      </c>
      <c r="R151" s="7">
        <f>H151-H150</f>
        <v/>
      </c>
      <c r="S151" s="7">
        <f>LN(I151/I150)</f>
        <v/>
      </c>
      <c r="T151" s="7">
        <f>LN(J151/J150)</f>
        <v/>
      </c>
    </row>
    <row r="152">
      <c r="L152" s="7">
        <f>LN(B152/B151)</f>
        <v/>
      </c>
      <c r="M152" s="7">
        <f>C152-C151</f>
        <v/>
      </c>
      <c r="N152" s="7">
        <f>D152-D151</f>
        <v/>
      </c>
      <c r="O152" s="7">
        <f>LN(E152/E151)</f>
        <v/>
      </c>
      <c r="P152" s="7">
        <f>LN(F152/F151)</f>
        <v/>
      </c>
      <c r="Q152" s="7">
        <f>G152-G151</f>
        <v/>
      </c>
      <c r="R152" s="7">
        <f>H152-H151</f>
        <v/>
      </c>
      <c r="S152" s="7">
        <f>LN(I152/I151)</f>
        <v/>
      </c>
      <c r="T152" s="7">
        <f>LN(J152/J151)</f>
        <v/>
      </c>
    </row>
    <row r="153">
      <c r="L153" s="7">
        <f>LN(B153/B152)</f>
        <v/>
      </c>
      <c r="M153" s="7">
        <f>C153-C152</f>
        <v/>
      </c>
      <c r="N153" s="7">
        <f>D153-D152</f>
        <v/>
      </c>
      <c r="O153" s="7">
        <f>LN(E153/E152)</f>
        <v/>
      </c>
      <c r="P153" s="7">
        <f>LN(F153/F152)</f>
        <v/>
      </c>
      <c r="Q153" s="7">
        <f>G153-G152</f>
        <v/>
      </c>
      <c r="R153" s="7">
        <f>H153-H152</f>
        <v/>
      </c>
      <c r="S153" s="7">
        <f>LN(I153/I152)</f>
        <v/>
      </c>
      <c r="T153" s="7">
        <f>LN(J153/J152)</f>
        <v/>
      </c>
    </row>
    <row r="154">
      <c r="L154" s="7">
        <f>LN(B154/B153)</f>
        <v/>
      </c>
      <c r="M154" s="7">
        <f>C154-C153</f>
        <v/>
      </c>
      <c r="N154" s="7">
        <f>D154-D153</f>
        <v/>
      </c>
      <c r="O154" s="7">
        <f>LN(E154/E153)</f>
        <v/>
      </c>
      <c r="P154" s="7">
        <f>LN(F154/F153)</f>
        <v/>
      </c>
      <c r="Q154" s="7">
        <f>G154-G153</f>
        <v/>
      </c>
      <c r="R154" s="7">
        <f>H154-H153</f>
        <v/>
      </c>
      <c r="S154" s="7">
        <f>LN(I154/I153)</f>
        <v/>
      </c>
      <c r="T154" s="7">
        <f>LN(J154/J153)</f>
        <v/>
      </c>
    </row>
    <row r="155">
      <c r="L155" s="7">
        <f>LN(B155/B154)</f>
        <v/>
      </c>
      <c r="M155" s="7">
        <f>C155-C154</f>
        <v/>
      </c>
      <c r="N155" s="7">
        <f>D155-D154</f>
        <v/>
      </c>
      <c r="O155" s="7">
        <f>LN(E155/E154)</f>
        <v/>
      </c>
      <c r="P155" s="7">
        <f>LN(F155/F154)</f>
        <v/>
      </c>
      <c r="Q155" s="7">
        <f>G155-G154</f>
        <v/>
      </c>
      <c r="R155" s="7">
        <f>H155-H154</f>
        <v/>
      </c>
      <c r="S155" s="7">
        <f>LN(I155/I154)</f>
        <v/>
      </c>
      <c r="T155" s="7">
        <f>LN(J155/J154)</f>
        <v/>
      </c>
    </row>
    <row r="156">
      <c r="L156" s="7">
        <f>LN(B156/B155)</f>
        <v/>
      </c>
      <c r="M156" s="7">
        <f>C156-C155</f>
        <v/>
      </c>
      <c r="N156" s="7">
        <f>D156-D155</f>
        <v/>
      </c>
      <c r="O156" s="7">
        <f>LN(E156/E155)</f>
        <v/>
      </c>
      <c r="P156" s="7">
        <f>LN(F156/F155)</f>
        <v/>
      </c>
      <c r="Q156" s="7">
        <f>G156-G155</f>
        <v/>
      </c>
      <c r="R156" s="7">
        <f>H156-H155</f>
        <v/>
      </c>
      <c r="S156" s="7">
        <f>LN(I156/I155)</f>
        <v/>
      </c>
      <c r="T156" s="7">
        <f>LN(J156/J155)</f>
        <v/>
      </c>
    </row>
    <row r="157">
      <c r="L157" s="7">
        <f>LN(B157/B156)</f>
        <v/>
      </c>
      <c r="M157" s="7">
        <f>C157-C156</f>
        <v/>
      </c>
      <c r="N157" s="7">
        <f>D157-D156</f>
        <v/>
      </c>
      <c r="O157" s="7">
        <f>LN(E157/E156)</f>
        <v/>
      </c>
      <c r="P157" s="7">
        <f>LN(F157/F156)</f>
        <v/>
      </c>
      <c r="Q157" s="7">
        <f>G157-G156</f>
        <v/>
      </c>
      <c r="R157" s="7">
        <f>H157-H156</f>
        <v/>
      </c>
      <c r="S157" s="7">
        <f>LN(I157/I156)</f>
        <v/>
      </c>
      <c r="T157" s="7">
        <f>LN(J157/J156)</f>
        <v/>
      </c>
    </row>
    <row r="158">
      <c r="L158" s="7">
        <f>LN(B158/B157)</f>
        <v/>
      </c>
      <c r="M158" s="7">
        <f>C158-C157</f>
        <v/>
      </c>
      <c r="N158" s="7">
        <f>D158-D157</f>
        <v/>
      </c>
      <c r="O158" s="7">
        <f>LN(E158/E157)</f>
        <v/>
      </c>
      <c r="P158" s="7">
        <f>LN(F158/F157)</f>
        <v/>
      </c>
      <c r="Q158" s="7">
        <f>G158-G157</f>
        <v/>
      </c>
      <c r="R158" s="7">
        <f>H158-H157</f>
        <v/>
      </c>
      <c r="S158" s="7">
        <f>LN(I158/I157)</f>
        <v/>
      </c>
      <c r="T158" s="7">
        <f>LN(J158/J157)</f>
        <v/>
      </c>
    </row>
    <row r="159">
      <c r="L159" s="7">
        <f>LN(B159/B158)</f>
        <v/>
      </c>
      <c r="M159" s="7">
        <f>C159-C158</f>
        <v/>
      </c>
      <c r="N159" s="7">
        <f>D159-D158</f>
        <v/>
      </c>
      <c r="O159" s="7">
        <f>LN(E159/E158)</f>
        <v/>
      </c>
      <c r="P159" s="7">
        <f>LN(F159/F158)</f>
        <v/>
      </c>
      <c r="Q159" s="7">
        <f>G159-G158</f>
        <v/>
      </c>
      <c r="R159" s="7">
        <f>H159-H158</f>
        <v/>
      </c>
      <c r="S159" s="7">
        <f>LN(I159/I158)</f>
        <v/>
      </c>
      <c r="T159" s="7">
        <f>LN(J159/J158)</f>
        <v/>
      </c>
    </row>
    <row r="160">
      <c r="L160" s="7">
        <f>LN(B160/B159)</f>
        <v/>
      </c>
      <c r="M160" s="7">
        <f>C160-C159</f>
        <v/>
      </c>
      <c r="N160" s="7">
        <f>D160-D159</f>
        <v/>
      </c>
      <c r="O160" s="7">
        <f>LN(E160/E159)</f>
        <v/>
      </c>
      <c r="P160" s="7">
        <f>LN(F160/F159)</f>
        <v/>
      </c>
      <c r="Q160" s="7">
        <f>G160-G159</f>
        <v/>
      </c>
      <c r="R160" s="7">
        <f>H160-H159</f>
        <v/>
      </c>
      <c r="S160" s="7">
        <f>LN(I160/I159)</f>
        <v/>
      </c>
      <c r="T160" s="7">
        <f>LN(J160/J159)</f>
        <v/>
      </c>
    </row>
    <row r="161">
      <c r="L161" s="7">
        <f>LN(B161/B160)</f>
        <v/>
      </c>
      <c r="M161" s="7">
        <f>C161-C160</f>
        <v/>
      </c>
      <c r="N161" s="7">
        <f>D161-D160</f>
        <v/>
      </c>
      <c r="O161" s="7">
        <f>LN(E161/E160)</f>
        <v/>
      </c>
      <c r="P161" s="7">
        <f>LN(F161/F160)</f>
        <v/>
      </c>
      <c r="Q161" s="7">
        <f>G161-G160</f>
        <v/>
      </c>
      <c r="R161" s="7">
        <f>H161-H160</f>
        <v/>
      </c>
      <c r="S161" s="7">
        <f>LN(I161/I160)</f>
        <v/>
      </c>
      <c r="T161" s="7">
        <f>LN(J161/J160)</f>
        <v/>
      </c>
    </row>
    <row r="162">
      <c r="L162" s="7">
        <f>LN(B162/B161)</f>
        <v/>
      </c>
      <c r="M162" s="7">
        <f>C162-C161</f>
        <v/>
      </c>
      <c r="N162" s="7">
        <f>D162-D161</f>
        <v/>
      </c>
      <c r="O162" s="7">
        <f>LN(E162/E161)</f>
        <v/>
      </c>
      <c r="P162" s="7">
        <f>LN(F162/F161)</f>
        <v/>
      </c>
      <c r="Q162" s="7">
        <f>G162-G161</f>
        <v/>
      </c>
      <c r="R162" s="7">
        <f>H162-H161</f>
        <v/>
      </c>
      <c r="S162" s="7">
        <f>LN(I162/I161)</f>
        <v/>
      </c>
      <c r="T162" s="7">
        <f>LN(J162/J161)</f>
        <v/>
      </c>
    </row>
    <row r="163">
      <c r="L163" s="7">
        <f>LN(B163/B162)</f>
        <v/>
      </c>
      <c r="M163" s="7">
        <f>C163-C162</f>
        <v/>
      </c>
      <c r="N163" s="7">
        <f>D163-D162</f>
        <v/>
      </c>
      <c r="O163" s="7">
        <f>LN(E163/E162)</f>
        <v/>
      </c>
      <c r="P163" s="7">
        <f>LN(F163/F162)</f>
        <v/>
      </c>
      <c r="Q163" s="7">
        <f>G163-G162</f>
        <v/>
      </c>
      <c r="R163" s="7">
        <f>H163-H162</f>
        <v/>
      </c>
      <c r="S163" s="7">
        <f>LN(I163/I162)</f>
        <v/>
      </c>
      <c r="T163" s="7">
        <f>LN(J163/J162)</f>
        <v/>
      </c>
    </row>
    <row r="164">
      <c r="L164" s="7">
        <f>LN(B164/B163)</f>
        <v/>
      </c>
      <c r="M164" s="7">
        <f>C164-C163</f>
        <v/>
      </c>
      <c r="N164" s="7">
        <f>D164-D163</f>
        <v/>
      </c>
      <c r="O164" s="7">
        <f>LN(E164/E163)</f>
        <v/>
      </c>
      <c r="P164" s="7">
        <f>LN(F164/F163)</f>
        <v/>
      </c>
      <c r="Q164" s="7">
        <f>G164-G163</f>
        <v/>
      </c>
      <c r="R164" s="7">
        <f>H164-H163</f>
        <v/>
      </c>
      <c r="S164" s="7">
        <f>LN(I164/I163)</f>
        <v/>
      </c>
      <c r="T164" s="7">
        <f>LN(J164/J163)</f>
        <v/>
      </c>
    </row>
    <row r="165">
      <c r="L165" s="7">
        <f>LN(B165/B164)</f>
        <v/>
      </c>
      <c r="M165" s="7">
        <f>C165-C164</f>
        <v/>
      </c>
      <c r="N165" s="7">
        <f>D165-D164</f>
        <v/>
      </c>
      <c r="O165" s="7">
        <f>LN(E165/E164)</f>
        <v/>
      </c>
      <c r="P165" s="7">
        <f>LN(F165/F164)</f>
        <v/>
      </c>
      <c r="Q165" s="7">
        <f>G165-G164</f>
        <v/>
      </c>
      <c r="R165" s="7">
        <f>H165-H164</f>
        <v/>
      </c>
      <c r="S165" s="7">
        <f>LN(I165/I164)</f>
        <v/>
      </c>
      <c r="T165" s="7">
        <f>LN(J165/J164)</f>
        <v/>
      </c>
    </row>
    <row r="166">
      <c r="L166" s="7">
        <f>LN(B166/B165)</f>
        <v/>
      </c>
      <c r="M166" s="7">
        <f>C166-C165</f>
        <v/>
      </c>
      <c r="N166" s="7">
        <f>D166-D165</f>
        <v/>
      </c>
      <c r="O166" s="7">
        <f>LN(E166/E165)</f>
        <v/>
      </c>
      <c r="P166" s="7">
        <f>LN(F166/F165)</f>
        <v/>
      </c>
      <c r="Q166" s="7">
        <f>G166-G165</f>
        <v/>
      </c>
      <c r="R166" s="7">
        <f>H166-H165</f>
        <v/>
      </c>
      <c r="S166" s="7">
        <f>LN(I166/I165)</f>
        <v/>
      </c>
      <c r="T166" s="7">
        <f>LN(J166/J165)</f>
        <v/>
      </c>
    </row>
    <row r="167">
      <c r="L167" s="7">
        <f>LN(B167/B166)</f>
        <v/>
      </c>
      <c r="M167" s="7">
        <f>C167-C166</f>
        <v/>
      </c>
      <c r="N167" s="7">
        <f>D167-D166</f>
        <v/>
      </c>
      <c r="O167" s="7">
        <f>LN(E167/E166)</f>
        <v/>
      </c>
      <c r="P167" s="7">
        <f>LN(F167/F166)</f>
        <v/>
      </c>
      <c r="Q167" s="7">
        <f>G167-G166</f>
        <v/>
      </c>
      <c r="R167" s="7">
        <f>H167-H166</f>
        <v/>
      </c>
      <c r="S167" s="7">
        <f>LN(I167/I166)</f>
        <v/>
      </c>
      <c r="T167" s="7">
        <f>LN(J167/J166)</f>
        <v/>
      </c>
    </row>
    <row r="168">
      <c r="L168" s="7">
        <f>LN(B168/B167)</f>
        <v/>
      </c>
      <c r="M168" s="7">
        <f>C168-C167</f>
        <v/>
      </c>
      <c r="N168" s="7">
        <f>D168-D167</f>
        <v/>
      </c>
      <c r="O168" s="7">
        <f>LN(E168/E167)</f>
        <v/>
      </c>
      <c r="P168" s="7">
        <f>LN(F168/F167)</f>
        <v/>
      </c>
      <c r="Q168" s="7">
        <f>G168-G167</f>
        <v/>
      </c>
      <c r="R168" s="7">
        <f>H168-H167</f>
        <v/>
      </c>
      <c r="S168" s="7">
        <f>LN(I168/I167)</f>
        <v/>
      </c>
      <c r="T168" s="7">
        <f>LN(J168/J167)</f>
        <v/>
      </c>
    </row>
    <row r="169">
      <c r="L169" s="7">
        <f>LN(B169/B168)</f>
        <v/>
      </c>
      <c r="M169" s="7">
        <f>C169-C168</f>
        <v/>
      </c>
      <c r="N169" s="7">
        <f>D169-D168</f>
        <v/>
      </c>
      <c r="O169" s="7">
        <f>LN(E169/E168)</f>
        <v/>
      </c>
      <c r="P169" s="7">
        <f>LN(F169/F168)</f>
        <v/>
      </c>
      <c r="Q169" s="7">
        <f>G169-G168</f>
        <v/>
      </c>
      <c r="R169" s="7">
        <f>H169-H168</f>
        <v/>
      </c>
      <c r="S169" s="7">
        <f>LN(I169/I168)</f>
        <v/>
      </c>
      <c r="T169" s="7">
        <f>LN(J169/J168)</f>
        <v/>
      </c>
    </row>
    <row r="170">
      <c r="L170" s="7">
        <f>LN(B170/B169)</f>
        <v/>
      </c>
      <c r="M170" s="7">
        <f>C170-C169</f>
        <v/>
      </c>
      <c r="N170" s="7">
        <f>D170-D169</f>
        <v/>
      </c>
      <c r="O170" s="7">
        <f>LN(E170/E169)</f>
        <v/>
      </c>
      <c r="P170" s="7">
        <f>LN(F170/F169)</f>
        <v/>
      </c>
      <c r="Q170" s="7">
        <f>G170-G169</f>
        <v/>
      </c>
      <c r="R170" s="7">
        <f>H170-H169</f>
        <v/>
      </c>
      <c r="S170" s="7">
        <f>LN(I170/I169)</f>
        <v/>
      </c>
      <c r="T170" s="7">
        <f>LN(J170/J169)</f>
        <v/>
      </c>
    </row>
    <row r="171">
      <c r="L171" s="7">
        <f>LN(B171/B170)</f>
        <v/>
      </c>
      <c r="M171" s="7">
        <f>C171-C170</f>
        <v/>
      </c>
      <c r="N171" s="7">
        <f>D171-D170</f>
        <v/>
      </c>
      <c r="O171" s="7">
        <f>LN(E171/E170)</f>
        <v/>
      </c>
      <c r="P171" s="7">
        <f>LN(F171/F170)</f>
        <v/>
      </c>
      <c r="Q171" s="7">
        <f>G171-G170</f>
        <v/>
      </c>
      <c r="R171" s="7">
        <f>H171-H170</f>
        <v/>
      </c>
      <c r="S171" s="7">
        <f>LN(I171/I170)</f>
        <v/>
      </c>
      <c r="T171" s="7">
        <f>LN(J171/J170)</f>
        <v/>
      </c>
    </row>
    <row r="172">
      <c r="L172" s="7">
        <f>LN(B172/B171)</f>
        <v/>
      </c>
      <c r="M172" s="7">
        <f>C172-C171</f>
        <v/>
      </c>
      <c r="N172" s="7">
        <f>D172-D171</f>
        <v/>
      </c>
      <c r="O172" s="7">
        <f>LN(E172/E171)</f>
        <v/>
      </c>
      <c r="P172" s="7">
        <f>LN(F172/F171)</f>
        <v/>
      </c>
      <c r="Q172" s="7">
        <f>G172-G171</f>
        <v/>
      </c>
      <c r="R172" s="7">
        <f>H172-H171</f>
        <v/>
      </c>
      <c r="S172" s="7">
        <f>LN(I172/I171)</f>
        <v/>
      </c>
      <c r="T172" s="7">
        <f>LN(J172/J171)</f>
        <v/>
      </c>
    </row>
    <row r="173">
      <c r="L173" s="7">
        <f>LN(B173/B172)</f>
        <v/>
      </c>
      <c r="M173" s="7">
        <f>C173-C172</f>
        <v/>
      </c>
      <c r="N173" s="7">
        <f>D173-D172</f>
        <v/>
      </c>
      <c r="O173" s="7">
        <f>LN(E173/E172)</f>
        <v/>
      </c>
      <c r="P173" s="7">
        <f>LN(F173/F172)</f>
        <v/>
      </c>
      <c r="Q173" s="7">
        <f>G173-G172</f>
        <v/>
      </c>
      <c r="R173" s="7">
        <f>H173-H172</f>
        <v/>
      </c>
      <c r="S173" s="7">
        <f>LN(I173/I172)</f>
        <v/>
      </c>
      <c r="T173" s="7">
        <f>LN(J173/J172)</f>
        <v/>
      </c>
    </row>
    <row r="174">
      <c r="L174" s="7">
        <f>LN(B174/B173)</f>
        <v/>
      </c>
      <c r="M174" s="7">
        <f>C174-C173</f>
        <v/>
      </c>
      <c r="N174" s="7">
        <f>D174-D173</f>
        <v/>
      </c>
      <c r="O174" s="7">
        <f>LN(E174/E173)</f>
        <v/>
      </c>
      <c r="P174" s="7">
        <f>LN(F174/F173)</f>
        <v/>
      </c>
      <c r="Q174" s="7">
        <f>G174-G173</f>
        <v/>
      </c>
      <c r="R174" s="7">
        <f>H174-H173</f>
        <v/>
      </c>
      <c r="S174" s="7">
        <f>LN(I174/I173)</f>
        <v/>
      </c>
      <c r="T174" s="7">
        <f>LN(J174/J173)</f>
        <v/>
      </c>
    </row>
    <row r="175">
      <c r="L175" s="7">
        <f>LN(B175/B174)</f>
        <v/>
      </c>
      <c r="M175" s="7">
        <f>C175-C174</f>
        <v/>
      </c>
      <c r="N175" s="7">
        <f>D175-D174</f>
        <v/>
      </c>
      <c r="O175" s="7">
        <f>LN(E175/E174)</f>
        <v/>
      </c>
      <c r="P175" s="7">
        <f>LN(F175/F174)</f>
        <v/>
      </c>
      <c r="Q175" s="7">
        <f>G175-G174</f>
        <v/>
      </c>
      <c r="R175" s="7">
        <f>H175-H174</f>
        <v/>
      </c>
      <c r="S175" s="7">
        <f>LN(I175/I174)</f>
        <v/>
      </c>
      <c r="T175" s="7">
        <f>LN(J175/J174)</f>
        <v/>
      </c>
    </row>
    <row r="176">
      <c r="L176" s="7">
        <f>LN(B176/B175)</f>
        <v/>
      </c>
      <c r="M176" s="7">
        <f>C176-C175</f>
        <v/>
      </c>
      <c r="N176" s="7">
        <f>D176-D175</f>
        <v/>
      </c>
      <c r="O176" s="7">
        <f>LN(E176/E175)</f>
        <v/>
      </c>
      <c r="P176" s="7">
        <f>LN(F176/F175)</f>
        <v/>
      </c>
      <c r="Q176" s="7">
        <f>G176-G175</f>
        <v/>
      </c>
      <c r="R176" s="7">
        <f>H176-H175</f>
        <v/>
      </c>
      <c r="S176" s="7">
        <f>LN(I176/I175)</f>
        <v/>
      </c>
      <c r="T176" s="7">
        <f>LN(J176/J175)</f>
        <v/>
      </c>
    </row>
    <row r="177">
      <c r="L177" s="7">
        <f>LN(B177/B176)</f>
        <v/>
      </c>
      <c r="M177" s="7">
        <f>C177-C176</f>
        <v/>
      </c>
      <c r="N177" s="7">
        <f>D177-D176</f>
        <v/>
      </c>
      <c r="O177" s="7">
        <f>LN(E177/E176)</f>
        <v/>
      </c>
      <c r="P177" s="7">
        <f>LN(F177/F176)</f>
        <v/>
      </c>
      <c r="Q177" s="7">
        <f>G177-G176</f>
        <v/>
      </c>
      <c r="R177" s="7">
        <f>H177-H176</f>
        <v/>
      </c>
      <c r="S177" s="7">
        <f>LN(I177/I176)</f>
        <v/>
      </c>
      <c r="T177" s="7">
        <f>LN(J177/J176)</f>
        <v/>
      </c>
    </row>
    <row r="178">
      <c r="L178" s="7">
        <f>LN(B178/B177)</f>
        <v/>
      </c>
      <c r="M178" s="7">
        <f>C178-C177</f>
        <v/>
      </c>
      <c r="N178" s="7">
        <f>D178-D177</f>
        <v/>
      </c>
      <c r="O178" s="7">
        <f>LN(E178/E177)</f>
        <v/>
      </c>
      <c r="P178" s="7">
        <f>LN(F178/F177)</f>
        <v/>
      </c>
      <c r="Q178" s="7">
        <f>G178-G177</f>
        <v/>
      </c>
      <c r="R178" s="7">
        <f>H178-H177</f>
        <v/>
      </c>
      <c r="S178" s="7">
        <f>LN(I178/I177)</f>
        <v/>
      </c>
      <c r="T178" s="7">
        <f>LN(J178/J177)</f>
        <v/>
      </c>
    </row>
    <row r="179">
      <c r="L179" s="7">
        <f>LN(B179/B178)</f>
        <v/>
      </c>
      <c r="M179" s="7">
        <f>C179-C178</f>
        <v/>
      </c>
      <c r="N179" s="7">
        <f>D179-D178</f>
        <v/>
      </c>
      <c r="O179" s="7">
        <f>LN(E179/E178)</f>
        <v/>
      </c>
      <c r="P179" s="7">
        <f>LN(F179/F178)</f>
        <v/>
      </c>
      <c r="Q179" s="7">
        <f>G179-G178</f>
        <v/>
      </c>
      <c r="R179" s="7">
        <f>H179-H178</f>
        <v/>
      </c>
      <c r="S179" s="7">
        <f>LN(I179/I178)</f>
        <v/>
      </c>
      <c r="T179" s="7">
        <f>LN(J179/J178)</f>
        <v/>
      </c>
    </row>
    <row r="180">
      <c r="L180" s="7">
        <f>LN(B180/B179)</f>
        <v/>
      </c>
      <c r="M180" s="7">
        <f>C180-C179</f>
        <v/>
      </c>
      <c r="N180" s="7">
        <f>D180-D179</f>
        <v/>
      </c>
      <c r="O180" s="7">
        <f>LN(E180/E179)</f>
        <v/>
      </c>
      <c r="P180" s="7">
        <f>LN(F180/F179)</f>
        <v/>
      </c>
      <c r="Q180" s="7">
        <f>G180-G179</f>
        <v/>
      </c>
      <c r="R180" s="7">
        <f>H180-H179</f>
        <v/>
      </c>
      <c r="S180" s="7">
        <f>LN(I180/I179)</f>
        <v/>
      </c>
      <c r="T180" s="7">
        <f>LN(J180/J179)</f>
        <v/>
      </c>
    </row>
    <row r="181">
      <c r="L181" s="7">
        <f>LN(B181/B180)</f>
        <v/>
      </c>
      <c r="M181" s="7">
        <f>C181-C180</f>
        <v/>
      </c>
      <c r="N181" s="7">
        <f>D181-D180</f>
        <v/>
      </c>
      <c r="O181" s="7">
        <f>LN(E181/E180)</f>
        <v/>
      </c>
      <c r="P181" s="7">
        <f>LN(F181/F180)</f>
        <v/>
      </c>
      <c r="Q181" s="7">
        <f>G181-G180</f>
        <v/>
      </c>
      <c r="R181" s="7">
        <f>H181-H180</f>
        <v/>
      </c>
      <c r="S181" s="7">
        <f>LN(I181/I180)</f>
        <v/>
      </c>
      <c r="T181" s="7">
        <f>LN(J181/J180)</f>
        <v/>
      </c>
    </row>
    <row r="182">
      <c r="L182" s="7">
        <f>LN(B182/B181)</f>
        <v/>
      </c>
      <c r="M182" s="7">
        <f>C182-C181</f>
        <v/>
      </c>
      <c r="N182" s="7">
        <f>D182-D181</f>
        <v/>
      </c>
      <c r="O182" s="7">
        <f>LN(E182/E181)</f>
        <v/>
      </c>
      <c r="P182" s="7">
        <f>LN(F182/F181)</f>
        <v/>
      </c>
      <c r="Q182" s="7">
        <f>G182-G181</f>
        <v/>
      </c>
      <c r="R182" s="7">
        <f>H182-H181</f>
        <v/>
      </c>
      <c r="S182" s="7">
        <f>LN(I182/I181)</f>
        <v/>
      </c>
      <c r="T182" s="7">
        <f>LN(J182/J181)</f>
        <v/>
      </c>
    </row>
    <row r="183">
      <c r="L183" s="7">
        <f>LN(B183/B182)</f>
        <v/>
      </c>
      <c r="M183" s="7">
        <f>C183-C182</f>
        <v/>
      </c>
      <c r="N183" s="7">
        <f>D183-D182</f>
        <v/>
      </c>
      <c r="O183" s="7">
        <f>LN(E183/E182)</f>
        <v/>
      </c>
      <c r="P183" s="7">
        <f>LN(F183/F182)</f>
        <v/>
      </c>
      <c r="Q183" s="7">
        <f>G183-G182</f>
        <v/>
      </c>
      <c r="R183" s="7">
        <f>H183-H182</f>
        <v/>
      </c>
      <c r="S183" s="7">
        <f>LN(I183/I182)</f>
        <v/>
      </c>
      <c r="T183" s="7">
        <f>LN(J183/J182)</f>
        <v/>
      </c>
    </row>
    <row r="184">
      <c r="L184" s="7">
        <f>LN(B184/B183)</f>
        <v/>
      </c>
      <c r="M184" s="7">
        <f>C184-C183</f>
        <v/>
      </c>
      <c r="N184" s="7">
        <f>D184-D183</f>
        <v/>
      </c>
      <c r="O184" s="7">
        <f>LN(E184/E183)</f>
        <v/>
      </c>
      <c r="P184" s="7">
        <f>LN(F184/F183)</f>
        <v/>
      </c>
      <c r="Q184" s="7">
        <f>G184-G183</f>
        <v/>
      </c>
      <c r="R184" s="7">
        <f>H184-H183</f>
        <v/>
      </c>
      <c r="S184" s="7">
        <f>LN(I184/I183)</f>
        <v/>
      </c>
      <c r="T184" s="7">
        <f>LN(J184/J183)</f>
        <v/>
      </c>
    </row>
    <row r="185">
      <c r="L185" s="7">
        <f>LN(B185/B184)</f>
        <v/>
      </c>
      <c r="M185" s="7">
        <f>C185-C184</f>
        <v/>
      </c>
      <c r="N185" s="7">
        <f>D185-D184</f>
        <v/>
      </c>
      <c r="O185" s="7">
        <f>LN(E185/E184)</f>
        <v/>
      </c>
      <c r="P185" s="7">
        <f>LN(F185/F184)</f>
        <v/>
      </c>
      <c r="Q185" s="7">
        <f>G185-G184</f>
        <v/>
      </c>
      <c r="R185" s="7">
        <f>H185-H184</f>
        <v/>
      </c>
      <c r="S185" s="7">
        <f>LN(I185/I184)</f>
        <v/>
      </c>
      <c r="T185" s="7">
        <f>LN(J185/J184)</f>
        <v/>
      </c>
    </row>
    <row r="186">
      <c r="L186" s="7">
        <f>LN(B186/B185)</f>
        <v/>
      </c>
      <c r="M186" s="7">
        <f>C186-C185</f>
        <v/>
      </c>
      <c r="N186" s="7">
        <f>D186-D185</f>
        <v/>
      </c>
      <c r="O186" s="7">
        <f>LN(E186/E185)</f>
        <v/>
      </c>
      <c r="P186" s="7">
        <f>LN(F186/F185)</f>
        <v/>
      </c>
      <c r="Q186" s="7">
        <f>G186-G185</f>
        <v/>
      </c>
      <c r="R186" s="7">
        <f>H186-H185</f>
        <v/>
      </c>
      <c r="S186" s="7">
        <f>LN(I186/I185)</f>
        <v/>
      </c>
      <c r="T186" s="7">
        <f>LN(J186/J185)</f>
        <v/>
      </c>
    </row>
    <row r="187">
      <c r="L187" s="7">
        <f>LN(B187/B186)</f>
        <v/>
      </c>
      <c r="M187" s="7">
        <f>C187-C186</f>
        <v/>
      </c>
      <c r="N187" s="7">
        <f>D187-D186</f>
        <v/>
      </c>
      <c r="O187" s="7">
        <f>LN(E187/E186)</f>
        <v/>
      </c>
      <c r="P187" s="7">
        <f>LN(F187/F186)</f>
        <v/>
      </c>
      <c r="Q187" s="7">
        <f>G187-G186</f>
        <v/>
      </c>
      <c r="R187" s="7">
        <f>H187-H186</f>
        <v/>
      </c>
      <c r="S187" s="7">
        <f>LN(I187/I186)</f>
        <v/>
      </c>
      <c r="T187" s="7">
        <f>LN(J187/J186)</f>
        <v/>
      </c>
    </row>
    <row r="188">
      <c r="L188" s="7">
        <f>LN(B188/B187)</f>
        <v/>
      </c>
      <c r="M188" s="7">
        <f>C188-C187</f>
        <v/>
      </c>
      <c r="N188" s="7">
        <f>D188-D187</f>
        <v/>
      </c>
      <c r="O188" s="7">
        <f>LN(E188/E187)</f>
        <v/>
      </c>
      <c r="P188" s="7">
        <f>LN(F188/F187)</f>
        <v/>
      </c>
      <c r="Q188" s="7">
        <f>G188-G187</f>
        <v/>
      </c>
      <c r="R188" s="7">
        <f>H188-H187</f>
        <v/>
      </c>
      <c r="S188" s="7">
        <f>LN(I188/I187)</f>
        <v/>
      </c>
      <c r="T188" s="7">
        <f>LN(J188/J187)</f>
        <v/>
      </c>
    </row>
    <row r="189">
      <c r="L189" s="7">
        <f>LN(B189/B188)</f>
        <v/>
      </c>
      <c r="M189" s="7">
        <f>C189-C188</f>
        <v/>
      </c>
      <c r="N189" s="7">
        <f>D189-D188</f>
        <v/>
      </c>
      <c r="O189" s="7">
        <f>LN(E189/E188)</f>
        <v/>
      </c>
      <c r="P189" s="7">
        <f>LN(F189/F188)</f>
        <v/>
      </c>
      <c r="Q189" s="7">
        <f>G189-G188</f>
        <v/>
      </c>
      <c r="R189" s="7">
        <f>H189-H188</f>
        <v/>
      </c>
      <c r="S189" s="7">
        <f>LN(I189/I188)</f>
        <v/>
      </c>
      <c r="T189" s="7">
        <f>LN(J189/J188)</f>
        <v/>
      </c>
    </row>
    <row r="190">
      <c r="L190" s="7">
        <f>LN(B190/B189)</f>
        <v/>
      </c>
      <c r="M190" s="7">
        <f>C190-C189</f>
        <v/>
      </c>
      <c r="N190" s="7">
        <f>D190-D189</f>
        <v/>
      </c>
      <c r="O190" s="7">
        <f>LN(E190/E189)</f>
        <v/>
      </c>
      <c r="P190" s="7">
        <f>LN(F190/F189)</f>
        <v/>
      </c>
      <c r="Q190" s="7">
        <f>G190-G189</f>
        <v/>
      </c>
      <c r="R190" s="7">
        <f>H190-H189</f>
        <v/>
      </c>
      <c r="S190" s="7">
        <f>LN(I190/I189)</f>
        <v/>
      </c>
      <c r="T190" s="7">
        <f>LN(J190/J189)</f>
        <v/>
      </c>
    </row>
    <row r="191">
      <c r="L191" s="7">
        <f>LN(B191/B190)</f>
        <v/>
      </c>
      <c r="M191" s="7">
        <f>C191-C190</f>
        <v/>
      </c>
      <c r="N191" s="7">
        <f>D191-D190</f>
        <v/>
      </c>
      <c r="O191" s="7">
        <f>LN(E191/E190)</f>
        <v/>
      </c>
      <c r="P191" s="7">
        <f>LN(F191/F190)</f>
        <v/>
      </c>
      <c r="Q191" s="7">
        <f>G191-G190</f>
        <v/>
      </c>
      <c r="R191" s="7">
        <f>H191-H190</f>
        <v/>
      </c>
      <c r="S191" s="7">
        <f>LN(I191/I190)</f>
        <v/>
      </c>
      <c r="T191" s="7">
        <f>LN(J191/J190)</f>
        <v/>
      </c>
    </row>
    <row r="192">
      <c r="L192" s="7">
        <f>LN(B192/B191)</f>
        <v/>
      </c>
      <c r="M192" s="7">
        <f>C192-C191</f>
        <v/>
      </c>
      <c r="N192" s="7">
        <f>D192-D191</f>
        <v/>
      </c>
      <c r="O192" s="7">
        <f>LN(E192/E191)</f>
        <v/>
      </c>
      <c r="P192" s="7">
        <f>LN(F192/F191)</f>
        <v/>
      </c>
      <c r="Q192" s="7">
        <f>G192-G191</f>
        <v/>
      </c>
      <c r="R192" s="7">
        <f>H192-H191</f>
        <v/>
      </c>
      <c r="S192" s="7">
        <f>LN(I192/I191)</f>
        <v/>
      </c>
      <c r="T192" s="7">
        <f>LN(J192/J191)</f>
        <v/>
      </c>
    </row>
    <row r="193">
      <c r="L193" s="7">
        <f>LN(B193/B192)</f>
        <v/>
      </c>
      <c r="M193" s="7">
        <f>C193-C192</f>
        <v/>
      </c>
      <c r="N193" s="7">
        <f>D193-D192</f>
        <v/>
      </c>
      <c r="O193" s="7">
        <f>LN(E193/E192)</f>
        <v/>
      </c>
      <c r="P193" s="7">
        <f>LN(F193/F192)</f>
        <v/>
      </c>
      <c r="Q193" s="7">
        <f>G193-G192</f>
        <v/>
      </c>
      <c r="R193" s="7">
        <f>H193-H192</f>
        <v/>
      </c>
      <c r="S193" s="7">
        <f>LN(I193/I192)</f>
        <v/>
      </c>
      <c r="T193" s="7">
        <f>LN(J193/J192)</f>
        <v/>
      </c>
    </row>
    <row r="194">
      <c r="L194" s="7">
        <f>LN(B194/B193)</f>
        <v/>
      </c>
      <c r="M194" s="7">
        <f>C194-C193</f>
        <v/>
      </c>
      <c r="N194" s="7">
        <f>D194-D193</f>
        <v/>
      </c>
      <c r="O194" s="7">
        <f>LN(E194/E193)</f>
        <v/>
      </c>
      <c r="P194" s="7">
        <f>LN(F194/F193)</f>
        <v/>
      </c>
      <c r="Q194" s="7">
        <f>G194-G193</f>
        <v/>
      </c>
      <c r="R194" s="7">
        <f>H194-H193</f>
        <v/>
      </c>
      <c r="S194" s="7">
        <f>LN(I194/I193)</f>
        <v/>
      </c>
      <c r="T194" s="7">
        <f>LN(J194/J193)</f>
        <v/>
      </c>
    </row>
    <row r="195">
      <c r="L195" s="7">
        <f>LN(B195/B194)</f>
        <v/>
      </c>
      <c r="M195" s="7">
        <f>C195-C194</f>
        <v/>
      </c>
      <c r="N195" s="7">
        <f>D195-D194</f>
        <v/>
      </c>
      <c r="O195" s="7">
        <f>LN(E195/E194)</f>
        <v/>
      </c>
      <c r="P195" s="7">
        <f>LN(F195/F194)</f>
        <v/>
      </c>
      <c r="Q195" s="7">
        <f>G195-G194</f>
        <v/>
      </c>
      <c r="R195" s="7">
        <f>H195-H194</f>
        <v/>
      </c>
      <c r="S195" s="7">
        <f>LN(I195/I194)</f>
        <v/>
      </c>
      <c r="T195" s="7">
        <f>LN(J195/J194)</f>
        <v/>
      </c>
    </row>
    <row r="196">
      <c r="L196" s="7">
        <f>LN(B196/B195)</f>
        <v/>
      </c>
      <c r="M196" s="7">
        <f>C196-C195</f>
        <v/>
      </c>
      <c r="N196" s="7">
        <f>D196-D195</f>
        <v/>
      </c>
      <c r="O196" s="7">
        <f>LN(E196/E195)</f>
        <v/>
      </c>
      <c r="P196" s="7">
        <f>LN(F196/F195)</f>
        <v/>
      </c>
      <c r="Q196" s="7">
        <f>G196-G195</f>
        <v/>
      </c>
      <c r="R196" s="7">
        <f>H196-H195</f>
        <v/>
      </c>
      <c r="S196" s="7">
        <f>LN(I196/I195)</f>
        <v/>
      </c>
      <c r="T196" s="7">
        <f>LN(J196/J195)</f>
        <v/>
      </c>
    </row>
    <row r="197">
      <c r="L197" s="7">
        <f>LN(B197/B196)</f>
        <v/>
      </c>
      <c r="M197" s="7">
        <f>C197-C196</f>
        <v/>
      </c>
      <c r="N197" s="7">
        <f>D197-D196</f>
        <v/>
      </c>
      <c r="O197" s="7">
        <f>LN(E197/E196)</f>
        <v/>
      </c>
      <c r="P197" s="7">
        <f>LN(F197/F196)</f>
        <v/>
      </c>
      <c r="Q197" s="7">
        <f>G197-G196</f>
        <v/>
      </c>
      <c r="R197" s="7">
        <f>H197-H196</f>
        <v/>
      </c>
      <c r="S197" s="7">
        <f>LN(I197/I196)</f>
        <v/>
      </c>
      <c r="T197" s="7">
        <f>LN(J197/J196)</f>
        <v/>
      </c>
    </row>
    <row r="198">
      <c r="L198" s="7">
        <f>LN(B198/B197)</f>
        <v/>
      </c>
      <c r="M198" s="7">
        <f>C198-C197</f>
        <v/>
      </c>
      <c r="N198" s="7">
        <f>D198-D197</f>
        <v/>
      </c>
      <c r="O198" s="7">
        <f>LN(E198/E197)</f>
        <v/>
      </c>
      <c r="P198" s="7">
        <f>LN(F198/F197)</f>
        <v/>
      </c>
      <c r="Q198" s="7">
        <f>G198-G197</f>
        <v/>
      </c>
      <c r="R198" s="7">
        <f>H198-H197</f>
        <v/>
      </c>
      <c r="S198" s="7">
        <f>LN(I198/I197)</f>
        <v/>
      </c>
      <c r="T198" s="7">
        <f>LN(J198/J197)</f>
        <v/>
      </c>
    </row>
    <row r="199">
      <c r="L199" s="7">
        <f>LN(B199/B198)</f>
        <v/>
      </c>
      <c r="M199" s="7">
        <f>C199-C198</f>
        <v/>
      </c>
      <c r="N199" s="7">
        <f>D199-D198</f>
        <v/>
      </c>
      <c r="O199" s="7">
        <f>LN(E199/E198)</f>
        <v/>
      </c>
      <c r="P199" s="7">
        <f>LN(F199/F198)</f>
        <v/>
      </c>
      <c r="Q199" s="7">
        <f>G199-G198</f>
        <v/>
      </c>
      <c r="R199" s="7">
        <f>H199-H198</f>
        <v/>
      </c>
      <c r="S199" s="7">
        <f>LN(I199/I198)</f>
        <v/>
      </c>
      <c r="T199" s="7">
        <f>LN(J199/J198)</f>
        <v/>
      </c>
    </row>
    <row r="200">
      <c r="L200" s="7">
        <f>LN(B200/B199)</f>
        <v/>
      </c>
      <c r="M200" s="7">
        <f>C200-C199</f>
        <v/>
      </c>
      <c r="N200" s="7">
        <f>D200-D199</f>
        <v/>
      </c>
      <c r="O200" s="7">
        <f>LN(E200/E199)</f>
        <v/>
      </c>
      <c r="P200" s="7">
        <f>LN(F200/F199)</f>
        <v/>
      </c>
      <c r="Q200" s="7">
        <f>G200-G199</f>
        <v/>
      </c>
      <c r="R200" s="7">
        <f>H200-H199</f>
        <v/>
      </c>
      <c r="S200" s="7">
        <f>LN(I200/I199)</f>
        <v/>
      </c>
      <c r="T200" s="7">
        <f>LN(J200/J199)</f>
        <v/>
      </c>
    </row>
    <row r="201">
      <c r="L201" s="7">
        <f>LN(B201/B200)</f>
        <v/>
      </c>
      <c r="M201" s="7">
        <f>C201-C200</f>
        <v/>
      </c>
      <c r="N201" s="7">
        <f>D201-D200</f>
        <v/>
      </c>
      <c r="O201" s="7">
        <f>LN(E201/E200)</f>
        <v/>
      </c>
      <c r="P201" s="7">
        <f>LN(F201/F200)</f>
        <v/>
      </c>
      <c r="Q201" s="7">
        <f>G201-G200</f>
        <v/>
      </c>
      <c r="R201" s="7">
        <f>H201-H200</f>
        <v/>
      </c>
      <c r="S201" s="7">
        <f>LN(I201/I200)</f>
        <v/>
      </c>
      <c r="T201" s="7">
        <f>LN(J201/J200)</f>
        <v/>
      </c>
    </row>
    <row r="202">
      <c r="L202" s="7">
        <f>LN(B202/B201)</f>
        <v/>
      </c>
      <c r="M202" s="7">
        <f>C202-C201</f>
        <v/>
      </c>
      <c r="N202" s="7">
        <f>D202-D201</f>
        <v/>
      </c>
      <c r="O202" s="7">
        <f>LN(E202/E201)</f>
        <v/>
      </c>
      <c r="P202" s="7">
        <f>LN(F202/F201)</f>
        <v/>
      </c>
      <c r="Q202" s="7">
        <f>G202-G201</f>
        <v/>
      </c>
      <c r="R202" s="7">
        <f>H202-H201</f>
        <v/>
      </c>
      <c r="S202" s="7">
        <f>LN(I202/I201)</f>
        <v/>
      </c>
      <c r="T202" s="7">
        <f>LN(J202/J201)</f>
        <v/>
      </c>
    </row>
    <row r="203">
      <c r="L203" s="7">
        <f>LN(B203/B202)</f>
        <v/>
      </c>
      <c r="M203" s="7">
        <f>C203-C202</f>
        <v/>
      </c>
      <c r="N203" s="7">
        <f>D203-D202</f>
        <v/>
      </c>
      <c r="O203" s="7">
        <f>LN(E203/E202)</f>
        <v/>
      </c>
      <c r="P203" s="7">
        <f>LN(F203/F202)</f>
        <v/>
      </c>
      <c r="Q203" s="7">
        <f>G203-G202</f>
        <v/>
      </c>
      <c r="R203" s="7">
        <f>H203-H202</f>
        <v/>
      </c>
      <c r="S203" s="7">
        <f>LN(I203/I202)</f>
        <v/>
      </c>
      <c r="T203" s="7">
        <f>LN(J203/J202)</f>
        <v/>
      </c>
    </row>
    <row r="204">
      <c r="L204" s="7">
        <f>LN(B204/B203)</f>
        <v/>
      </c>
      <c r="M204" s="7">
        <f>C204-C203</f>
        <v/>
      </c>
      <c r="N204" s="7">
        <f>D204-D203</f>
        <v/>
      </c>
      <c r="O204" s="7">
        <f>LN(E204/E203)</f>
        <v/>
      </c>
      <c r="P204" s="7">
        <f>LN(F204/F203)</f>
        <v/>
      </c>
      <c r="Q204" s="7">
        <f>G204-G203</f>
        <v/>
      </c>
      <c r="R204" s="7">
        <f>H204-H203</f>
        <v/>
      </c>
      <c r="S204" s="7">
        <f>LN(I204/I203)</f>
        <v/>
      </c>
      <c r="T204" s="7">
        <f>LN(J204/J203)</f>
        <v/>
      </c>
    </row>
    <row r="205">
      <c r="L205" s="7">
        <f>LN(B205/B204)</f>
        <v/>
      </c>
      <c r="M205" s="7">
        <f>C205-C204</f>
        <v/>
      </c>
      <c r="N205" s="7">
        <f>D205-D204</f>
        <v/>
      </c>
      <c r="O205" s="7">
        <f>LN(E205/E204)</f>
        <v/>
      </c>
      <c r="P205" s="7">
        <f>LN(F205/F204)</f>
        <v/>
      </c>
      <c r="Q205" s="7">
        <f>G205-G204</f>
        <v/>
      </c>
      <c r="R205" s="7">
        <f>H205-H204</f>
        <v/>
      </c>
      <c r="S205" s="7">
        <f>LN(I205/I204)</f>
        <v/>
      </c>
      <c r="T205" s="7">
        <f>LN(J205/J204)</f>
        <v/>
      </c>
    </row>
    <row r="206">
      <c r="L206" s="7">
        <f>LN(B206/B205)</f>
        <v/>
      </c>
      <c r="M206" s="7">
        <f>C206-C205</f>
        <v/>
      </c>
      <c r="N206" s="7">
        <f>D206-D205</f>
        <v/>
      </c>
      <c r="O206" s="7">
        <f>LN(E206/E205)</f>
        <v/>
      </c>
      <c r="P206" s="7">
        <f>LN(F206/F205)</f>
        <v/>
      </c>
      <c r="Q206" s="7">
        <f>G206-G205</f>
        <v/>
      </c>
      <c r="R206" s="7">
        <f>H206-H205</f>
        <v/>
      </c>
      <c r="S206" s="7">
        <f>LN(I206/I205)</f>
        <v/>
      </c>
      <c r="T206" s="7">
        <f>LN(J206/J205)</f>
        <v/>
      </c>
    </row>
    <row r="207">
      <c r="L207" s="7">
        <f>LN(B207/B206)</f>
        <v/>
      </c>
      <c r="M207" s="7">
        <f>C207-C206</f>
        <v/>
      </c>
      <c r="N207" s="7">
        <f>D207-D206</f>
        <v/>
      </c>
      <c r="O207" s="7">
        <f>LN(E207/E206)</f>
        <v/>
      </c>
      <c r="P207" s="7">
        <f>LN(F207/F206)</f>
        <v/>
      </c>
      <c r="Q207" s="7">
        <f>G207-G206</f>
        <v/>
      </c>
      <c r="R207" s="7">
        <f>H207-H206</f>
        <v/>
      </c>
      <c r="S207" s="7">
        <f>LN(I207/I206)</f>
        <v/>
      </c>
      <c r="T207" s="7">
        <f>LN(J207/J206)</f>
        <v/>
      </c>
    </row>
    <row r="208">
      <c r="L208" s="7">
        <f>LN(B208/B207)</f>
        <v/>
      </c>
      <c r="M208" s="7">
        <f>C208-C207</f>
        <v/>
      </c>
      <c r="N208" s="7">
        <f>D208-D207</f>
        <v/>
      </c>
      <c r="O208" s="7">
        <f>LN(E208/E207)</f>
        <v/>
      </c>
      <c r="P208" s="7">
        <f>LN(F208/F207)</f>
        <v/>
      </c>
      <c r="Q208" s="7">
        <f>G208-G207</f>
        <v/>
      </c>
      <c r="R208" s="7">
        <f>H208-H207</f>
        <v/>
      </c>
      <c r="S208" s="7">
        <f>LN(I208/I207)</f>
        <v/>
      </c>
      <c r="T208" s="7">
        <f>LN(J208/J207)</f>
        <v/>
      </c>
    </row>
    <row r="209">
      <c r="L209" s="7">
        <f>LN(B209/B208)</f>
        <v/>
      </c>
      <c r="M209" s="7">
        <f>C209-C208</f>
        <v/>
      </c>
      <c r="N209" s="7">
        <f>D209-D208</f>
        <v/>
      </c>
      <c r="O209" s="7">
        <f>LN(E209/E208)</f>
        <v/>
      </c>
      <c r="P209" s="7">
        <f>LN(F209/F208)</f>
        <v/>
      </c>
      <c r="Q209" s="7">
        <f>G209-G208</f>
        <v/>
      </c>
      <c r="R209" s="7">
        <f>H209-H208</f>
        <v/>
      </c>
      <c r="S209" s="7">
        <f>LN(I209/I208)</f>
        <v/>
      </c>
      <c r="T209" s="7">
        <f>LN(J209/J208)</f>
        <v/>
      </c>
    </row>
    <row r="210">
      <c r="L210" s="7">
        <f>LN(B210/B209)</f>
        <v/>
      </c>
      <c r="M210" s="7">
        <f>C210-C209</f>
        <v/>
      </c>
      <c r="N210" s="7">
        <f>D210-D209</f>
        <v/>
      </c>
      <c r="O210" s="7">
        <f>LN(E210/E209)</f>
        <v/>
      </c>
      <c r="P210" s="7">
        <f>LN(F210/F209)</f>
        <v/>
      </c>
      <c r="Q210" s="7">
        <f>G210-G209</f>
        <v/>
      </c>
      <c r="R210" s="7">
        <f>H210-H209</f>
        <v/>
      </c>
      <c r="S210" s="7">
        <f>LN(I210/I209)</f>
        <v/>
      </c>
      <c r="T210" s="7">
        <f>LN(J210/J209)</f>
        <v/>
      </c>
    </row>
    <row r="211">
      <c r="L211" s="7">
        <f>LN(B211/B210)</f>
        <v/>
      </c>
      <c r="M211" s="7">
        <f>C211-C210</f>
        <v/>
      </c>
      <c r="N211" s="7">
        <f>D211-D210</f>
        <v/>
      </c>
      <c r="O211" s="7">
        <f>LN(E211/E210)</f>
        <v/>
      </c>
      <c r="P211" s="7">
        <f>LN(F211/F210)</f>
        <v/>
      </c>
      <c r="Q211" s="7">
        <f>G211-G210</f>
        <v/>
      </c>
      <c r="R211" s="7">
        <f>H211-H210</f>
        <v/>
      </c>
      <c r="S211" s="7">
        <f>LN(I211/I210)</f>
        <v/>
      </c>
      <c r="T211" s="7">
        <f>LN(J211/J210)</f>
        <v/>
      </c>
    </row>
    <row r="212">
      <c r="L212" s="7">
        <f>LN(B212/B211)</f>
        <v/>
      </c>
      <c r="M212" s="7">
        <f>C212-C211</f>
        <v/>
      </c>
      <c r="N212" s="7">
        <f>D212-D211</f>
        <v/>
      </c>
      <c r="O212" s="7">
        <f>LN(E212/E211)</f>
        <v/>
      </c>
      <c r="P212" s="7">
        <f>LN(F212/F211)</f>
        <v/>
      </c>
      <c r="Q212" s="7">
        <f>G212-G211</f>
        <v/>
      </c>
      <c r="R212" s="7">
        <f>H212-H211</f>
        <v/>
      </c>
      <c r="S212" s="7">
        <f>LN(I212/I211)</f>
        <v/>
      </c>
      <c r="T212" s="7">
        <f>LN(J212/J211)</f>
        <v/>
      </c>
    </row>
    <row r="213">
      <c r="L213" s="7">
        <f>LN(B213/B212)</f>
        <v/>
      </c>
      <c r="M213" s="7">
        <f>C213-C212</f>
        <v/>
      </c>
      <c r="N213" s="7">
        <f>D213-D212</f>
        <v/>
      </c>
      <c r="O213" s="7">
        <f>LN(E213/E212)</f>
        <v/>
      </c>
      <c r="P213" s="7">
        <f>LN(F213/F212)</f>
        <v/>
      </c>
      <c r="Q213" s="7">
        <f>G213-G212</f>
        <v/>
      </c>
      <c r="R213" s="7">
        <f>H213-H212</f>
        <v/>
      </c>
      <c r="S213" s="7">
        <f>LN(I213/I212)</f>
        <v/>
      </c>
      <c r="T213" s="7">
        <f>LN(J213/J212)</f>
        <v/>
      </c>
    </row>
    <row r="214">
      <c r="L214" s="7">
        <f>LN(B214/B213)</f>
        <v/>
      </c>
      <c r="M214" s="7">
        <f>C214-C213</f>
        <v/>
      </c>
      <c r="N214" s="7">
        <f>D214-D213</f>
        <v/>
      </c>
      <c r="O214" s="7">
        <f>LN(E214/E213)</f>
        <v/>
      </c>
      <c r="P214" s="7">
        <f>LN(F214/F213)</f>
        <v/>
      </c>
      <c r="Q214" s="7">
        <f>G214-G213</f>
        <v/>
      </c>
      <c r="R214" s="7">
        <f>H214-H213</f>
        <v/>
      </c>
      <c r="S214" s="7">
        <f>LN(I214/I213)</f>
        <v/>
      </c>
      <c r="T214" s="7">
        <f>LN(J214/J213)</f>
        <v/>
      </c>
    </row>
    <row r="215">
      <c r="L215" s="7">
        <f>LN(B215/B214)</f>
        <v/>
      </c>
      <c r="M215" s="7">
        <f>C215-C214</f>
        <v/>
      </c>
      <c r="N215" s="7">
        <f>D215-D214</f>
        <v/>
      </c>
      <c r="O215" s="7">
        <f>LN(E215/E214)</f>
        <v/>
      </c>
      <c r="P215" s="7">
        <f>LN(F215/F214)</f>
        <v/>
      </c>
      <c r="Q215" s="7">
        <f>G215-G214</f>
        <v/>
      </c>
      <c r="R215" s="7">
        <f>H215-H214</f>
        <v/>
      </c>
      <c r="S215" s="7">
        <f>LN(I215/I214)</f>
        <v/>
      </c>
      <c r="T215" s="7">
        <f>LN(J215/J214)</f>
        <v/>
      </c>
    </row>
    <row r="216">
      <c r="L216" s="7">
        <f>LN(B216/B215)</f>
        <v/>
      </c>
      <c r="M216" s="7">
        <f>C216-C215</f>
        <v/>
      </c>
      <c r="N216" s="7">
        <f>D216-D215</f>
        <v/>
      </c>
      <c r="O216" s="7">
        <f>LN(E216/E215)</f>
        <v/>
      </c>
      <c r="P216" s="7">
        <f>LN(F216/F215)</f>
        <v/>
      </c>
      <c r="Q216" s="7">
        <f>G216-G215</f>
        <v/>
      </c>
      <c r="R216" s="7">
        <f>H216-H215</f>
        <v/>
      </c>
      <c r="S216" s="7">
        <f>LN(I216/I215)</f>
        <v/>
      </c>
      <c r="T216" s="7">
        <f>LN(J216/J215)</f>
        <v/>
      </c>
    </row>
    <row r="217">
      <c r="L217" s="7">
        <f>LN(B217/B216)</f>
        <v/>
      </c>
      <c r="M217" s="7">
        <f>C217-C216</f>
        <v/>
      </c>
      <c r="N217" s="7">
        <f>D217-D216</f>
        <v/>
      </c>
      <c r="O217" s="7">
        <f>LN(E217/E216)</f>
        <v/>
      </c>
      <c r="P217" s="7">
        <f>LN(F217/F216)</f>
        <v/>
      </c>
      <c r="Q217" s="7">
        <f>G217-G216</f>
        <v/>
      </c>
      <c r="R217" s="7">
        <f>H217-H216</f>
        <v/>
      </c>
      <c r="S217" s="7">
        <f>LN(I217/I216)</f>
        <v/>
      </c>
      <c r="T217" s="7">
        <f>LN(J217/J216)</f>
        <v/>
      </c>
    </row>
    <row r="218">
      <c r="L218" s="7">
        <f>LN(B218/B217)</f>
        <v/>
      </c>
      <c r="M218" s="7">
        <f>C218-C217</f>
        <v/>
      </c>
      <c r="N218" s="7">
        <f>D218-D217</f>
        <v/>
      </c>
      <c r="O218" s="7">
        <f>LN(E218/E217)</f>
        <v/>
      </c>
      <c r="P218" s="7">
        <f>LN(F218/F217)</f>
        <v/>
      </c>
      <c r="Q218" s="7">
        <f>G218-G217</f>
        <v/>
      </c>
      <c r="R218" s="7">
        <f>H218-H217</f>
        <v/>
      </c>
      <c r="S218" s="7">
        <f>LN(I218/I217)</f>
        <v/>
      </c>
      <c r="T218" s="7">
        <f>LN(J218/J217)</f>
        <v/>
      </c>
    </row>
    <row r="219">
      <c r="L219" s="7">
        <f>LN(B219/B218)</f>
        <v/>
      </c>
      <c r="M219" s="7">
        <f>C219-C218</f>
        <v/>
      </c>
      <c r="N219" s="7">
        <f>D219-D218</f>
        <v/>
      </c>
      <c r="O219" s="7">
        <f>LN(E219/E218)</f>
        <v/>
      </c>
      <c r="P219" s="7">
        <f>LN(F219/F218)</f>
        <v/>
      </c>
      <c r="Q219" s="7">
        <f>G219-G218</f>
        <v/>
      </c>
      <c r="R219" s="7">
        <f>H219-H218</f>
        <v/>
      </c>
      <c r="S219" s="7">
        <f>LN(I219/I218)</f>
        <v/>
      </c>
      <c r="T219" s="7">
        <f>LN(J219/J218)</f>
        <v/>
      </c>
    </row>
    <row r="220">
      <c r="L220" s="7">
        <f>LN(B220/B219)</f>
        <v/>
      </c>
      <c r="M220" s="7">
        <f>C220-C219</f>
        <v/>
      </c>
      <c r="N220" s="7">
        <f>D220-D219</f>
        <v/>
      </c>
      <c r="O220" s="7">
        <f>LN(E220/E219)</f>
        <v/>
      </c>
      <c r="P220" s="7">
        <f>LN(F220/F219)</f>
        <v/>
      </c>
      <c r="Q220" s="7">
        <f>G220-G219</f>
        <v/>
      </c>
      <c r="R220" s="7">
        <f>H220-H219</f>
        <v/>
      </c>
      <c r="S220" s="7">
        <f>LN(I220/I219)</f>
        <v/>
      </c>
      <c r="T220" s="7">
        <f>LN(J220/J219)</f>
        <v/>
      </c>
    </row>
    <row r="221">
      <c r="L221" s="7">
        <f>LN(B221/B220)</f>
        <v/>
      </c>
      <c r="M221" s="7">
        <f>C221-C220</f>
        <v/>
      </c>
      <c r="N221" s="7">
        <f>D221-D220</f>
        <v/>
      </c>
      <c r="O221" s="7">
        <f>LN(E221/E220)</f>
        <v/>
      </c>
      <c r="P221" s="7">
        <f>LN(F221/F220)</f>
        <v/>
      </c>
      <c r="Q221" s="7">
        <f>G221-G220</f>
        <v/>
      </c>
      <c r="R221" s="7">
        <f>H221-H220</f>
        <v/>
      </c>
      <c r="S221" s="7">
        <f>LN(I221/I220)</f>
        <v/>
      </c>
      <c r="T221" s="7">
        <f>LN(J221/J220)</f>
        <v/>
      </c>
    </row>
    <row r="222">
      <c r="L222" s="7">
        <f>LN(B222/B221)</f>
        <v/>
      </c>
      <c r="M222" s="7">
        <f>C222-C221</f>
        <v/>
      </c>
      <c r="N222" s="7">
        <f>D222-D221</f>
        <v/>
      </c>
      <c r="O222" s="7">
        <f>LN(E222/E221)</f>
        <v/>
      </c>
      <c r="P222" s="7">
        <f>LN(F222/F221)</f>
        <v/>
      </c>
      <c r="Q222" s="7">
        <f>G222-G221</f>
        <v/>
      </c>
      <c r="R222" s="7">
        <f>H222-H221</f>
        <v/>
      </c>
      <c r="S222" s="7">
        <f>LN(I222/I221)</f>
        <v/>
      </c>
      <c r="T222" s="7">
        <f>LN(J222/J221)</f>
        <v/>
      </c>
    </row>
    <row r="223">
      <c r="L223" s="7">
        <f>LN(B223/B222)</f>
        <v/>
      </c>
      <c r="M223" s="7">
        <f>C223-C222</f>
        <v/>
      </c>
      <c r="N223" s="7">
        <f>D223-D222</f>
        <v/>
      </c>
      <c r="O223" s="7">
        <f>LN(E223/E222)</f>
        <v/>
      </c>
      <c r="P223" s="7">
        <f>LN(F223/F222)</f>
        <v/>
      </c>
      <c r="Q223" s="7">
        <f>G223-G222</f>
        <v/>
      </c>
      <c r="R223" s="7">
        <f>H223-H222</f>
        <v/>
      </c>
      <c r="S223" s="7">
        <f>LN(I223/I222)</f>
        <v/>
      </c>
      <c r="T223" s="7">
        <f>LN(J223/J222)</f>
        <v/>
      </c>
    </row>
    <row r="224">
      <c r="L224" s="7">
        <f>LN(B224/B223)</f>
        <v/>
      </c>
      <c r="M224" s="7">
        <f>C224-C223</f>
        <v/>
      </c>
      <c r="N224" s="7">
        <f>D224-D223</f>
        <v/>
      </c>
      <c r="O224" s="7">
        <f>LN(E224/E223)</f>
        <v/>
      </c>
      <c r="P224" s="7">
        <f>LN(F224/F223)</f>
        <v/>
      </c>
      <c r="Q224" s="7">
        <f>G224-G223</f>
        <v/>
      </c>
      <c r="R224" s="7">
        <f>H224-H223</f>
        <v/>
      </c>
      <c r="S224" s="7">
        <f>LN(I224/I223)</f>
        <v/>
      </c>
      <c r="T224" s="7">
        <f>LN(J224/J223)</f>
        <v/>
      </c>
    </row>
    <row r="225">
      <c r="L225" s="7">
        <f>LN(B225/B224)</f>
        <v/>
      </c>
      <c r="M225" s="7">
        <f>C225-C224</f>
        <v/>
      </c>
      <c r="N225" s="7">
        <f>D225-D224</f>
        <v/>
      </c>
      <c r="O225" s="7">
        <f>LN(E225/E224)</f>
        <v/>
      </c>
      <c r="P225" s="7">
        <f>LN(F225/F224)</f>
        <v/>
      </c>
      <c r="Q225" s="7">
        <f>G225-G224</f>
        <v/>
      </c>
      <c r="R225" s="7">
        <f>H225-H224</f>
        <v/>
      </c>
      <c r="S225" s="7">
        <f>LN(I225/I224)</f>
        <v/>
      </c>
      <c r="T225" s="7">
        <f>LN(J225/J224)</f>
        <v/>
      </c>
    </row>
    <row r="226">
      <c r="L226" s="7">
        <f>LN(B226/B225)</f>
        <v/>
      </c>
      <c r="M226" s="7">
        <f>C226-C225</f>
        <v/>
      </c>
      <c r="N226" s="7">
        <f>D226-D225</f>
        <v/>
      </c>
      <c r="O226" s="7">
        <f>LN(E226/E225)</f>
        <v/>
      </c>
      <c r="P226" s="7">
        <f>LN(F226/F225)</f>
        <v/>
      </c>
      <c r="Q226" s="7">
        <f>G226-G225</f>
        <v/>
      </c>
      <c r="R226" s="7">
        <f>H226-H225</f>
        <v/>
      </c>
      <c r="S226" s="7">
        <f>LN(I226/I225)</f>
        <v/>
      </c>
      <c r="T226" s="7">
        <f>LN(J226/J225)</f>
        <v/>
      </c>
    </row>
    <row r="227">
      <c r="L227" s="7">
        <f>LN(B227/B226)</f>
        <v/>
      </c>
      <c r="M227" s="7">
        <f>C227-C226</f>
        <v/>
      </c>
      <c r="N227" s="7">
        <f>D227-D226</f>
        <v/>
      </c>
      <c r="O227" s="7">
        <f>LN(E227/E226)</f>
        <v/>
      </c>
      <c r="P227" s="7">
        <f>LN(F227/F226)</f>
        <v/>
      </c>
      <c r="Q227" s="7">
        <f>G227-G226</f>
        <v/>
      </c>
      <c r="R227" s="7">
        <f>H227-H226</f>
        <v/>
      </c>
      <c r="S227" s="7">
        <f>LN(I227/I226)</f>
        <v/>
      </c>
      <c r="T227" s="7">
        <f>LN(J227/J226)</f>
        <v/>
      </c>
    </row>
    <row r="228">
      <c r="L228" s="7">
        <f>LN(B228/B227)</f>
        <v/>
      </c>
      <c r="M228" s="7">
        <f>C228-C227</f>
        <v/>
      </c>
      <c r="N228" s="7">
        <f>D228-D227</f>
        <v/>
      </c>
      <c r="O228" s="7">
        <f>LN(E228/E227)</f>
        <v/>
      </c>
      <c r="P228" s="7">
        <f>LN(F228/F227)</f>
        <v/>
      </c>
      <c r="Q228" s="7">
        <f>G228-G227</f>
        <v/>
      </c>
      <c r="R228" s="7">
        <f>H228-H227</f>
        <v/>
      </c>
      <c r="S228" s="7">
        <f>LN(I228/I227)</f>
        <v/>
      </c>
      <c r="T228" s="7">
        <f>LN(J228/J227)</f>
        <v/>
      </c>
    </row>
    <row r="229">
      <c r="L229" s="7">
        <f>LN(B229/B228)</f>
        <v/>
      </c>
      <c r="M229" s="7">
        <f>C229-C228</f>
        <v/>
      </c>
      <c r="N229" s="7">
        <f>D229-D228</f>
        <v/>
      </c>
      <c r="O229" s="7">
        <f>LN(E229/E228)</f>
        <v/>
      </c>
      <c r="P229" s="7">
        <f>LN(F229/F228)</f>
        <v/>
      </c>
      <c r="Q229" s="7">
        <f>G229-G228</f>
        <v/>
      </c>
      <c r="R229" s="7">
        <f>H229-H228</f>
        <v/>
      </c>
      <c r="S229" s="7">
        <f>LN(I229/I228)</f>
        <v/>
      </c>
      <c r="T229" s="7">
        <f>LN(J229/J228)</f>
        <v/>
      </c>
    </row>
    <row r="230">
      <c r="L230" s="7">
        <f>LN(B230/B229)</f>
        <v/>
      </c>
      <c r="M230" s="7">
        <f>C230-C229</f>
        <v/>
      </c>
      <c r="N230" s="7">
        <f>D230-D229</f>
        <v/>
      </c>
      <c r="O230" s="7">
        <f>LN(E230/E229)</f>
        <v/>
      </c>
      <c r="P230" s="7">
        <f>LN(F230/F229)</f>
        <v/>
      </c>
      <c r="Q230" s="7">
        <f>G230-G229</f>
        <v/>
      </c>
      <c r="R230" s="7">
        <f>H230-H229</f>
        <v/>
      </c>
      <c r="S230" s="7">
        <f>LN(I230/I229)</f>
        <v/>
      </c>
      <c r="T230" s="7">
        <f>LN(J230/J229)</f>
        <v/>
      </c>
    </row>
    <row r="231">
      <c r="L231" s="7">
        <f>LN(B231/B230)</f>
        <v/>
      </c>
      <c r="M231" s="7">
        <f>C231-C230</f>
        <v/>
      </c>
      <c r="N231" s="7">
        <f>D231-D230</f>
        <v/>
      </c>
      <c r="O231" s="7">
        <f>LN(E231/E230)</f>
        <v/>
      </c>
      <c r="P231" s="7">
        <f>LN(F231/F230)</f>
        <v/>
      </c>
      <c r="Q231" s="7">
        <f>G231-G230</f>
        <v/>
      </c>
      <c r="R231" s="7">
        <f>H231-H230</f>
        <v/>
      </c>
      <c r="S231" s="7">
        <f>LN(I231/I230)</f>
        <v/>
      </c>
      <c r="T231" s="7">
        <f>LN(J231/J230)</f>
        <v/>
      </c>
    </row>
    <row r="232">
      <c r="L232" s="7">
        <f>LN(B232/B231)</f>
        <v/>
      </c>
      <c r="M232" s="7">
        <f>C232-C231</f>
        <v/>
      </c>
      <c r="N232" s="7">
        <f>D232-D231</f>
        <v/>
      </c>
      <c r="O232" s="7">
        <f>LN(E232/E231)</f>
        <v/>
      </c>
      <c r="P232" s="7">
        <f>LN(F232/F231)</f>
        <v/>
      </c>
      <c r="Q232" s="7">
        <f>G232-G231</f>
        <v/>
      </c>
      <c r="R232" s="7">
        <f>H232-H231</f>
        <v/>
      </c>
      <c r="S232" s="7">
        <f>LN(I232/I231)</f>
        <v/>
      </c>
      <c r="T232" s="7">
        <f>LN(J232/J231)</f>
        <v/>
      </c>
    </row>
    <row r="233">
      <c r="L233" s="7">
        <f>LN(B233/B232)</f>
        <v/>
      </c>
      <c r="M233" s="7">
        <f>C233-C232</f>
        <v/>
      </c>
      <c r="N233" s="7">
        <f>D233-D232</f>
        <v/>
      </c>
      <c r="O233" s="7">
        <f>LN(E233/E232)</f>
        <v/>
      </c>
      <c r="P233" s="7">
        <f>LN(F233/F232)</f>
        <v/>
      </c>
      <c r="Q233" s="7">
        <f>G233-G232</f>
        <v/>
      </c>
      <c r="R233" s="7">
        <f>H233-H232</f>
        <v/>
      </c>
      <c r="S233" s="7">
        <f>LN(I233/I232)</f>
        <v/>
      </c>
      <c r="T233" s="7">
        <f>LN(J233/J232)</f>
        <v/>
      </c>
    </row>
    <row r="234">
      <c r="L234" s="7">
        <f>LN(B234/B233)</f>
        <v/>
      </c>
      <c r="M234" s="7">
        <f>C234-C233</f>
        <v/>
      </c>
      <c r="N234" s="7">
        <f>D234-D233</f>
        <v/>
      </c>
      <c r="O234" s="7">
        <f>LN(E234/E233)</f>
        <v/>
      </c>
      <c r="P234" s="7">
        <f>LN(F234/F233)</f>
        <v/>
      </c>
      <c r="Q234" s="7">
        <f>G234-G233</f>
        <v/>
      </c>
      <c r="R234" s="7">
        <f>H234-H233</f>
        <v/>
      </c>
      <c r="S234" s="7">
        <f>LN(I234/I233)</f>
        <v/>
      </c>
      <c r="T234" s="7">
        <f>LN(J234/J233)</f>
        <v/>
      </c>
    </row>
    <row r="235">
      <c r="L235" s="7">
        <f>LN(B235/B234)</f>
        <v/>
      </c>
      <c r="M235" s="7">
        <f>C235-C234</f>
        <v/>
      </c>
      <c r="N235" s="7">
        <f>D235-D234</f>
        <v/>
      </c>
      <c r="O235" s="7">
        <f>LN(E235/E234)</f>
        <v/>
      </c>
      <c r="P235" s="7">
        <f>LN(F235/F234)</f>
        <v/>
      </c>
      <c r="Q235" s="7">
        <f>G235-G234</f>
        <v/>
      </c>
      <c r="R235" s="7">
        <f>H235-H234</f>
        <v/>
      </c>
      <c r="S235" s="7">
        <f>LN(I235/I234)</f>
        <v/>
      </c>
      <c r="T235" s="7">
        <f>LN(J235/J234)</f>
        <v/>
      </c>
    </row>
    <row r="236">
      <c r="L236" s="7">
        <f>LN(B236/B235)</f>
        <v/>
      </c>
      <c r="M236" s="7">
        <f>C236-C235</f>
        <v/>
      </c>
      <c r="N236" s="7">
        <f>D236-D235</f>
        <v/>
      </c>
      <c r="O236" s="7">
        <f>LN(E236/E235)</f>
        <v/>
      </c>
      <c r="P236" s="7">
        <f>LN(F236/F235)</f>
        <v/>
      </c>
      <c r="Q236" s="7">
        <f>G236-G235</f>
        <v/>
      </c>
      <c r="R236" s="7">
        <f>H236-H235</f>
        <v/>
      </c>
      <c r="S236" s="7">
        <f>LN(I236/I235)</f>
        <v/>
      </c>
      <c r="T236" s="7">
        <f>LN(J236/J235)</f>
        <v/>
      </c>
    </row>
    <row r="237">
      <c r="L237" s="7">
        <f>LN(B237/B236)</f>
        <v/>
      </c>
      <c r="M237" s="7">
        <f>C237-C236</f>
        <v/>
      </c>
      <c r="N237" s="7">
        <f>D237-D236</f>
        <v/>
      </c>
      <c r="O237" s="7">
        <f>LN(E237/E236)</f>
        <v/>
      </c>
      <c r="P237" s="7">
        <f>LN(F237/F236)</f>
        <v/>
      </c>
      <c r="Q237" s="7">
        <f>G237-G236</f>
        <v/>
      </c>
      <c r="R237" s="7">
        <f>H237-H236</f>
        <v/>
      </c>
      <c r="S237" s="7">
        <f>LN(I237/I236)</f>
        <v/>
      </c>
      <c r="T237" s="7">
        <f>LN(J237/J236)</f>
        <v/>
      </c>
    </row>
    <row r="238">
      <c r="L238" s="7">
        <f>LN(B238/B237)</f>
        <v/>
      </c>
      <c r="M238" s="7">
        <f>C238-C237</f>
        <v/>
      </c>
      <c r="N238" s="7">
        <f>D238-D237</f>
        <v/>
      </c>
      <c r="O238" s="7">
        <f>LN(E238/E237)</f>
        <v/>
      </c>
      <c r="P238" s="7">
        <f>LN(F238/F237)</f>
        <v/>
      </c>
      <c r="Q238" s="7">
        <f>G238-G237</f>
        <v/>
      </c>
      <c r="R238" s="7">
        <f>H238-H237</f>
        <v/>
      </c>
      <c r="S238" s="7">
        <f>LN(I238/I237)</f>
        <v/>
      </c>
      <c r="T238" s="7">
        <f>LN(J238/J237)</f>
        <v/>
      </c>
    </row>
    <row r="239">
      <c r="L239" s="7">
        <f>LN(B239/B238)</f>
        <v/>
      </c>
      <c r="M239" s="7">
        <f>C239-C238</f>
        <v/>
      </c>
      <c r="N239" s="7">
        <f>D239-D238</f>
        <v/>
      </c>
      <c r="O239" s="7">
        <f>LN(E239/E238)</f>
        <v/>
      </c>
      <c r="P239" s="7">
        <f>LN(F239/F238)</f>
        <v/>
      </c>
      <c r="Q239" s="7">
        <f>G239-G238</f>
        <v/>
      </c>
      <c r="R239" s="7">
        <f>H239-H238</f>
        <v/>
      </c>
      <c r="S239" s="7">
        <f>LN(I239/I238)</f>
        <v/>
      </c>
      <c r="T239" s="7">
        <f>LN(J239/J238)</f>
        <v/>
      </c>
    </row>
    <row r="240">
      <c r="L240" s="7">
        <f>LN(B240/B239)</f>
        <v/>
      </c>
      <c r="M240" s="7">
        <f>C240-C239</f>
        <v/>
      </c>
      <c r="N240" s="7">
        <f>D240-D239</f>
        <v/>
      </c>
      <c r="O240" s="7">
        <f>LN(E240/E239)</f>
        <v/>
      </c>
      <c r="P240" s="7">
        <f>LN(F240/F239)</f>
        <v/>
      </c>
      <c r="Q240" s="7">
        <f>G240-G239</f>
        <v/>
      </c>
      <c r="R240" s="7">
        <f>H240-H239</f>
        <v/>
      </c>
      <c r="S240" s="7">
        <f>LN(I240/I239)</f>
        <v/>
      </c>
      <c r="T240" s="7">
        <f>LN(J240/J239)</f>
        <v/>
      </c>
    </row>
    <row r="241">
      <c r="L241" s="7">
        <f>LN(B241/B240)</f>
        <v/>
      </c>
      <c r="M241" s="7">
        <f>C241-C240</f>
        <v/>
      </c>
      <c r="N241" s="7">
        <f>D241-D240</f>
        <v/>
      </c>
      <c r="O241" s="7">
        <f>LN(E241/E240)</f>
        <v/>
      </c>
      <c r="P241" s="7">
        <f>LN(F241/F240)</f>
        <v/>
      </c>
      <c r="Q241" s="7">
        <f>G241-G240</f>
        <v/>
      </c>
      <c r="R241" s="7">
        <f>H241-H240</f>
        <v/>
      </c>
      <c r="S241" s="7">
        <f>LN(I241/I240)</f>
        <v/>
      </c>
      <c r="T241" s="7">
        <f>LN(J241/J240)</f>
        <v/>
      </c>
    </row>
    <row r="242">
      <c r="L242" s="7">
        <f>LN(B242/B241)</f>
        <v/>
      </c>
      <c r="M242" s="7">
        <f>C242-C241</f>
        <v/>
      </c>
      <c r="N242" s="7">
        <f>D242-D241</f>
        <v/>
      </c>
      <c r="O242" s="7">
        <f>LN(E242/E241)</f>
        <v/>
      </c>
      <c r="P242" s="7">
        <f>LN(F242/F241)</f>
        <v/>
      </c>
      <c r="Q242" s="7">
        <f>G242-G241</f>
        <v/>
      </c>
      <c r="R242" s="7">
        <f>H242-H241</f>
        <v/>
      </c>
      <c r="S242" s="7">
        <f>LN(I242/I241)</f>
        <v/>
      </c>
      <c r="T242" s="7">
        <f>LN(J242/J241)</f>
        <v/>
      </c>
    </row>
    <row r="243">
      <c r="L243" s="7">
        <f>LN(B243/B242)</f>
        <v/>
      </c>
      <c r="M243" s="7">
        <f>C243-C242</f>
        <v/>
      </c>
      <c r="N243" s="7">
        <f>D243-D242</f>
        <v/>
      </c>
      <c r="O243" s="7">
        <f>LN(E243/E242)</f>
        <v/>
      </c>
      <c r="P243" s="7">
        <f>LN(F243/F242)</f>
        <v/>
      </c>
      <c r="Q243" s="7">
        <f>G243-G242</f>
        <v/>
      </c>
      <c r="R243" s="7">
        <f>H243-H242</f>
        <v/>
      </c>
      <c r="S243" s="7">
        <f>LN(I243/I242)</f>
        <v/>
      </c>
      <c r="T243" s="7">
        <f>LN(J243/J242)</f>
        <v/>
      </c>
    </row>
    <row r="244">
      <c r="L244" s="7">
        <f>LN(B244/B243)</f>
        <v/>
      </c>
      <c r="M244" s="7">
        <f>C244-C243</f>
        <v/>
      </c>
      <c r="N244" s="7">
        <f>D244-D243</f>
        <v/>
      </c>
      <c r="O244" s="7">
        <f>LN(E244/E243)</f>
        <v/>
      </c>
      <c r="P244" s="7">
        <f>LN(F244/F243)</f>
        <v/>
      </c>
      <c r="Q244" s="7">
        <f>G244-G243</f>
        <v/>
      </c>
      <c r="R244" s="7">
        <f>H244-H243</f>
        <v/>
      </c>
      <c r="S244" s="7">
        <f>LN(I244/I243)</f>
        <v/>
      </c>
      <c r="T244" s="7">
        <f>LN(J244/J243)</f>
        <v/>
      </c>
    </row>
    <row r="245">
      <c r="L245" s="7">
        <f>LN(B245/B244)</f>
        <v/>
      </c>
      <c r="M245" s="7">
        <f>C245-C244</f>
        <v/>
      </c>
      <c r="N245" s="7">
        <f>D245-D244</f>
        <v/>
      </c>
      <c r="O245" s="7">
        <f>LN(E245/E244)</f>
        <v/>
      </c>
      <c r="P245" s="7">
        <f>LN(F245/F244)</f>
        <v/>
      </c>
      <c r="Q245" s="7">
        <f>G245-G244</f>
        <v/>
      </c>
      <c r="R245" s="7">
        <f>H245-H244</f>
        <v/>
      </c>
      <c r="S245" s="7">
        <f>LN(I245/I244)</f>
        <v/>
      </c>
      <c r="T245" s="7">
        <f>LN(J245/J244)</f>
        <v/>
      </c>
    </row>
    <row r="246">
      <c r="L246" s="7">
        <f>LN(B246/B245)</f>
        <v/>
      </c>
      <c r="M246" s="7">
        <f>C246-C245</f>
        <v/>
      </c>
      <c r="N246" s="7">
        <f>D246-D245</f>
        <v/>
      </c>
      <c r="O246" s="7">
        <f>LN(E246/E245)</f>
        <v/>
      </c>
      <c r="P246" s="7">
        <f>LN(F246/F245)</f>
        <v/>
      </c>
      <c r="Q246" s="7">
        <f>G246-G245</f>
        <v/>
      </c>
      <c r="R246" s="7">
        <f>H246-H245</f>
        <v/>
      </c>
      <c r="S246" s="7">
        <f>LN(I246/I245)</f>
        <v/>
      </c>
      <c r="T246" s="7">
        <f>LN(J246/J245)</f>
        <v/>
      </c>
    </row>
    <row r="247">
      <c r="L247" s="7">
        <f>LN(B247/B246)</f>
        <v/>
      </c>
      <c r="M247" s="7">
        <f>C247-C246</f>
        <v/>
      </c>
      <c r="N247" s="7">
        <f>D247-D246</f>
        <v/>
      </c>
      <c r="O247" s="7">
        <f>LN(E247/E246)</f>
        <v/>
      </c>
      <c r="P247" s="7">
        <f>LN(F247/F246)</f>
        <v/>
      </c>
      <c r="Q247" s="7">
        <f>G247-G246</f>
        <v/>
      </c>
      <c r="R247" s="7">
        <f>H247-H246</f>
        <v/>
      </c>
      <c r="S247" s="7">
        <f>LN(I247/I246)</f>
        <v/>
      </c>
      <c r="T247" s="7">
        <f>LN(J247/J246)</f>
        <v/>
      </c>
    </row>
    <row r="248">
      <c r="L248" s="7">
        <f>LN(B248/B247)</f>
        <v/>
      </c>
      <c r="M248" s="7">
        <f>C248-C247</f>
        <v/>
      </c>
      <c r="N248" s="7">
        <f>D248-D247</f>
        <v/>
      </c>
      <c r="O248" s="7">
        <f>LN(E248/E247)</f>
        <v/>
      </c>
      <c r="P248" s="7">
        <f>LN(F248/F247)</f>
        <v/>
      </c>
      <c r="Q248" s="7">
        <f>G248-G247</f>
        <v/>
      </c>
      <c r="R248" s="7">
        <f>H248-H247</f>
        <v/>
      </c>
      <c r="S248" s="7">
        <f>LN(I248/I247)</f>
        <v/>
      </c>
      <c r="T248" s="7">
        <f>LN(J248/J247)</f>
        <v/>
      </c>
    </row>
    <row r="249">
      <c r="L249" s="7">
        <f>LN(B249/B248)</f>
        <v/>
      </c>
      <c r="M249" s="7">
        <f>C249-C248</f>
        <v/>
      </c>
      <c r="N249" s="7">
        <f>D249-D248</f>
        <v/>
      </c>
      <c r="O249" s="7">
        <f>LN(E249/E248)</f>
        <v/>
      </c>
      <c r="P249" s="7">
        <f>LN(F249/F248)</f>
        <v/>
      </c>
      <c r="Q249" s="7">
        <f>G249-G248</f>
        <v/>
      </c>
      <c r="R249" s="7">
        <f>H249-H248</f>
        <v/>
      </c>
      <c r="S249" s="7">
        <f>LN(I249/I248)</f>
        <v/>
      </c>
      <c r="T249" s="7">
        <f>LN(J249/J248)</f>
        <v/>
      </c>
    </row>
    <row r="250">
      <c r="L250" s="7">
        <f>LN(B250/B249)</f>
        <v/>
      </c>
      <c r="M250" s="7">
        <f>C250-C249</f>
        <v/>
      </c>
      <c r="N250" s="7">
        <f>D250-D249</f>
        <v/>
      </c>
      <c r="O250" s="7">
        <f>LN(E250/E249)</f>
        <v/>
      </c>
      <c r="P250" s="7">
        <f>LN(F250/F249)</f>
        <v/>
      </c>
      <c r="Q250" s="7">
        <f>G250-G249</f>
        <v/>
      </c>
      <c r="R250" s="7">
        <f>H250-H249</f>
        <v/>
      </c>
      <c r="S250" s="7">
        <f>LN(I250/I249)</f>
        <v/>
      </c>
      <c r="T250" s="7">
        <f>LN(J250/J249)</f>
        <v/>
      </c>
    </row>
    <row r="251">
      <c r="L251" s="7">
        <f>LN(B251/B250)</f>
        <v/>
      </c>
      <c r="M251" s="7">
        <f>C251-C250</f>
        <v/>
      </c>
      <c r="N251" s="7">
        <f>D251-D250</f>
        <v/>
      </c>
      <c r="O251" s="7">
        <f>LN(E251/E250)</f>
        <v/>
      </c>
      <c r="P251" s="7">
        <f>LN(F251/F250)</f>
        <v/>
      </c>
      <c r="Q251" s="7">
        <f>G251-G250</f>
        <v/>
      </c>
      <c r="R251" s="7">
        <f>H251-H250</f>
        <v/>
      </c>
      <c r="S251" s="7">
        <f>LN(I251/I250)</f>
        <v/>
      </c>
      <c r="T251" s="7">
        <f>LN(J251/J250)</f>
        <v/>
      </c>
    </row>
    <row r="252">
      <c r="L252" s="7">
        <f>LN(B252/B251)</f>
        <v/>
      </c>
      <c r="M252" s="7">
        <f>C252-C251</f>
        <v/>
      </c>
      <c r="N252" s="7">
        <f>D252-D251</f>
        <v/>
      </c>
      <c r="O252" s="7">
        <f>LN(E252/E251)</f>
        <v/>
      </c>
      <c r="P252" s="7">
        <f>LN(F252/F251)</f>
        <v/>
      </c>
      <c r="Q252" s="7">
        <f>G252-G251</f>
        <v/>
      </c>
      <c r="R252" s="7">
        <f>H252-H251</f>
        <v/>
      </c>
      <c r="S252" s="7">
        <f>LN(I252/I251)</f>
        <v/>
      </c>
      <c r="T252" s="7">
        <f>LN(J252/J251)</f>
        <v/>
      </c>
    </row>
    <row r="253">
      <c r="L253" s="7">
        <f>LN(B253/B252)</f>
        <v/>
      </c>
      <c r="M253" s="7">
        <f>C253-C252</f>
        <v/>
      </c>
      <c r="N253" s="7">
        <f>D253-D252</f>
        <v/>
      </c>
      <c r="O253" s="7">
        <f>LN(E253/E252)</f>
        <v/>
      </c>
      <c r="P253" s="7">
        <f>LN(F253/F252)</f>
        <v/>
      </c>
      <c r="Q253" s="7">
        <f>G253-G252</f>
        <v/>
      </c>
      <c r="R253" s="7">
        <f>H253-H252</f>
        <v/>
      </c>
      <c r="S253" s="7">
        <f>LN(I253/I252)</f>
        <v/>
      </c>
      <c r="T253" s="7">
        <f>LN(J253/J252)</f>
        <v/>
      </c>
    </row>
    <row r="254">
      <c r="L254" s="7">
        <f>LN(B254/B253)</f>
        <v/>
      </c>
      <c r="M254" s="7">
        <f>C254-C253</f>
        <v/>
      </c>
      <c r="N254" s="7">
        <f>D254-D253</f>
        <v/>
      </c>
      <c r="O254" s="7">
        <f>LN(E254/E253)</f>
        <v/>
      </c>
      <c r="P254" s="7">
        <f>LN(F254/F253)</f>
        <v/>
      </c>
      <c r="Q254" s="7">
        <f>G254-G253</f>
        <v/>
      </c>
      <c r="R254" s="7">
        <f>H254-H253</f>
        <v/>
      </c>
      <c r="S254" s="7">
        <f>LN(I254/I253)</f>
        <v/>
      </c>
      <c r="T254" s="7">
        <f>LN(J254/J253)</f>
        <v/>
      </c>
    </row>
    <row r="255">
      <c r="L255" s="7">
        <f>LN(B255/B254)</f>
        <v/>
      </c>
      <c r="M255" s="7">
        <f>C255-C254</f>
        <v/>
      </c>
      <c r="N255" s="7">
        <f>D255-D254</f>
        <v/>
      </c>
      <c r="O255" s="7">
        <f>LN(E255/E254)</f>
        <v/>
      </c>
      <c r="P255" s="7">
        <f>LN(F255/F254)</f>
        <v/>
      </c>
      <c r="Q255" s="7">
        <f>G255-G254</f>
        <v/>
      </c>
      <c r="R255" s="7">
        <f>H255-H254</f>
        <v/>
      </c>
      <c r="S255" s="7">
        <f>LN(I255/I254)</f>
        <v/>
      </c>
      <c r="T255" s="7">
        <f>LN(J255/J254)</f>
        <v/>
      </c>
    </row>
    <row r="256">
      <c r="L256" s="7">
        <f>LN(B256/B255)</f>
        <v/>
      </c>
      <c r="M256" s="7">
        <f>C256-C255</f>
        <v/>
      </c>
      <c r="N256" s="7">
        <f>D256-D255</f>
        <v/>
      </c>
      <c r="O256" s="7">
        <f>LN(E256/E255)</f>
        <v/>
      </c>
      <c r="P256" s="7">
        <f>LN(F256/F255)</f>
        <v/>
      </c>
      <c r="Q256" s="7">
        <f>G256-G255</f>
        <v/>
      </c>
      <c r="R256" s="7">
        <f>H256-H255</f>
        <v/>
      </c>
      <c r="S256" s="7">
        <f>LN(I256/I255)</f>
        <v/>
      </c>
      <c r="T256" s="7">
        <f>LN(J256/J255)</f>
        <v/>
      </c>
    </row>
    <row r="257">
      <c r="L257" s="7">
        <f>LN(B257/B256)</f>
        <v/>
      </c>
      <c r="M257" s="7">
        <f>C257-C256</f>
        <v/>
      </c>
      <c r="N257" s="7">
        <f>D257-D256</f>
        <v/>
      </c>
      <c r="O257" s="7">
        <f>LN(E257/E256)</f>
        <v/>
      </c>
      <c r="P257" s="7">
        <f>LN(F257/F256)</f>
        <v/>
      </c>
      <c r="Q257" s="7">
        <f>G257-G256</f>
        <v/>
      </c>
      <c r="R257" s="7">
        <f>H257-H256</f>
        <v/>
      </c>
      <c r="S257" s="7">
        <f>LN(I257/I256)</f>
        <v/>
      </c>
      <c r="T257" s="7">
        <f>LN(J257/J256)</f>
        <v/>
      </c>
    </row>
    <row r="258">
      <c r="L258" s="7">
        <f>LN(B258/B257)</f>
        <v/>
      </c>
      <c r="M258" s="7">
        <f>C258-C257</f>
        <v/>
      </c>
      <c r="N258" s="7">
        <f>D258-D257</f>
        <v/>
      </c>
      <c r="O258" s="7">
        <f>LN(E258/E257)</f>
        <v/>
      </c>
      <c r="P258" s="7">
        <f>LN(F258/F257)</f>
        <v/>
      </c>
      <c r="Q258" s="7">
        <f>G258-G257</f>
        <v/>
      </c>
      <c r="R258" s="7">
        <f>H258-H257</f>
        <v/>
      </c>
      <c r="S258" s="7">
        <f>LN(I258/I257)</f>
        <v/>
      </c>
      <c r="T258" s="7">
        <f>LN(J258/J257)</f>
        <v/>
      </c>
    </row>
    <row r="259">
      <c r="L259" s="7">
        <f>LN(B259/B258)</f>
        <v/>
      </c>
      <c r="M259" s="7">
        <f>C259-C258</f>
        <v/>
      </c>
      <c r="N259" s="7">
        <f>D259-D258</f>
        <v/>
      </c>
      <c r="O259" s="7">
        <f>LN(E259/E258)</f>
        <v/>
      </c>
      <c r="P259" s="7">
        <f>LN(F259/F258)</f>
        <v/>
      </c>
      <c r="Q259" s="7">
        <f>G259-G258</f>
        <v/>
      </c>
      <c r="R259" s="7">
        <f>H259-H258</f>
        <v/>
      </c>
      <c r="S259" s="7">
        <f>LN(I259/I258)</f>
        <v/>
      </c>
      <c r="T259" s="7">
        <f>LN(J259/J258)</f>
        <v/>
      </c>
    </row>
    <row r="260">
      <c r="L260" s="7">
        <f>LN(B260/B259)</f>
        <v/>
      </c>
      <c r="M260" s="7">
        <f>C260-C259</f>
        <v/>
      </c>
      <c r="N260" s="7">
        <f>D260-D259</f>
        <v/>
      </c>
      <c r="O260" s="7">
        <f>LN(E260/E259)</f>
        <v/>
      </c>
      <c r="P260" s="7">
        <f>LN(F260/F259)</f>
        <v/>
      </c>
      <c r="Q260" s="7">
        <f>G260-G259</f>
        <v/>
      </c>
      <c r="R260" s="7">
        <f>H260-H259</f>
        <v/>
      </c>
      <c r="S260" s="7">
        <f>LN(I260/I259)</f>
        <v/>
      </c>
      <c r="T260" s="7">
        <f>LN(J260/J259)</f>
        <v/>
      </c>
    </row>
    <row r="261">
      <c r="L261" s="7">
        <f>LN(B261/B260)</f>
        <v/>
      </c>
      <c r="M261" s="7">
        <f>C261-C260</f>
        <v/>
      </c>
      <c r="N261" s="7">
        <f>D261-D260</f>
        <v/>
      </c>
      <c r="O261" s="7">
        <f>LN(E261/E260)</f>
        <v/>
      </c>
      <c r="P261" s="7">
        <f>LN(F261/F260)</f>
        <v/>
      </c>
      <c r="Q261" s="7">
        <f>G261-G260</f>
        <v/>
      </c>
      <c r="R261" s="7">
        <f>H261-H260</f>
        <v/>
      </c>
      <c r="S261" s="7">
        <f>LN(I261/I260)</f>
        <v/>
      </c>
      <c r="T261" s="7">
        <f>LN(J261/J260)</f>
        <v/>
      </c>
    </row>
    <row r="262">
      <c r="L262" s="7">
        <f>LN(B262/B261)</f>
        <v/>
      </c>
      <c r="M262" s="7">
        <f>C262-C261</f>
        <v/>
      </c>
      <c r="N262" s="7">
        <f>D262-D261</f>
        <v/>
      </c>
      <c r="O262" s="7">
        <f>LN(E262/E261)</f>
        <v/>
      </c>
      <c r="P262" s="7">
        <f>LN(F262/F261)</f>
        <v/>
      </c>
      <c r="Q262" s="7">
        <f>G262-G261</f>
        <v/>
      </c>
      <c r="R262" s="7">
        <f>H262-H261</f>
        <v/>
      </c>
      <c r="S262" s="7">
        <f>LN(I262/I261)</f>
        <v/>
      </c>
      <c r="T262" s="7">
        <f>LN(J262/J261)</f>
        <v/>
      </c>
    </row>
    <row r="263">
      <c r="L263" s="7">
        <f>LN(B263/B262)</f>
        <v/>
      </c>
      <c r="M263" s="7">
        <f>C263-C262</f>
        <v/>
      </c>
      <c r="N263" s="7">
        <f>D263-D262</f>
        <v/>
      </c>
      <c r="O263" s="7">
        <f>LN(E263/E262)</f>
        <v/>
      </c>
      <c r="P263" s="7">
        <f>LN(F263/F262)</f>
        <v/>
      </c>
      <c r="Q263" s="7">
        <f>G263-G262</f>
        <v/>
      </c>
      <c r="R263" s="7">
        <f>H263-H262</f>
        <v/>
      </c>
      <c r="S263" s="7">
        <f>LN(I263/I262)</f>
        <v/>
      </c>
      <c r="T263" s="7">
        <f>LN(J263/J262)</f>
        <v/>
      </c>
    </row>
    <row r="264">
      <c r="L264" s="7">
        <f>LN(B264/B263)</f>
        <v/>
      </c>
      <c r="M264" s="7">
        <f>C264-C263</f>
        <v/>
      </c>
      <c r="N264" s="7">
        <f>D264-D263</f>
        <v/>
      </c>
      <c r="O264" s="7">
        <f>LN(E264/E263)</f>
        <v/>
      </c>
      <c r="P264" s="7">
        <f>LN(F264/F263)</f>
        <v/>
      </c>
      <c r="Q264" s="7">
        <f>G264-G263</f>
        <v/>
      </c>
      <c r="R264" s="7">
        <f>H264-H263</f>
        <v/>
      </c>
      <c r="S264" s="7">
        <f>LN(I264/I263)</f>
        <v/>
      </c>
      <c r="T264" s="7">
        <f>LN(J264/J263)</f>
        <v/>
      </c>
    </row>
    <row r="265">
      <c r="L265" s="7">
        <f>LN(B265/B264)</f>
        <v/>
      </c>
      <c r="M265" s="7">
        <f>C265-C264</f>
        <v/>
      </c>
      <c r="N265" s="7">
        <f>D265-D264</f>
        <v/>
      </c>
      <c r="O265" s="7">
        <f>LN(E265/E264)</f>
        <v/>
      </c>
      <c r="P265" s="7">
        <f>LN(F265/F264)</f>
        <v/>
      </c>
      <c r="Q265" s="7">
        <f>G265-G264</f>
        <v/>
      </c>
      <c r="R265" s="7">
        <f>H265-H264</f>
        <v/>
      </c>
      <c r="S265" s="7">
        <f>LN(I265/I264)</f>
        <v/>
      </c>
      <c r="T265" s="7">
        <f>LN(J265/J264)</f>
        <v/>
      </c>
    </row>
    <row r="266">
      <c r="L266" s="7">
        <f>LN(B266/B265)</f>
        <v/>
      </c>
      <c r="M266" s="7">
        <f>C266-C265</f>
        <v/>
      </c>
      <c r="N266" s="7">
        <f>D266-D265</f>
        <v/>
      </c>
      <c r="O266" s="7">
        <f>LN(E266/E265)</f>
        <v/>
      </c>
      <c r="P266" s="7">
        <f>LN(F266/F265)</f>
        <v/>
      </c>
      <c r="Q266" s="7">
        <f>G266-G265</f>
        <v/>
      </c>
      <c r="R266" s="7">
        <f>H266-H265</f>
        <v/>
      </c>
      <c r="S266" s="7">
        <f>LN(I266/I265)</f>
        <v/>
      </c>
      <c r="T266" s="7">
        <f>LN(J266/J265)</f>
        <v/>
      </c>
    </row>
    <row r="267">
      <c r="L267" s="7">
        <f>LN(B267/B266)</f>
        <v/>
      </c>
      <c r="M267" s="7">
        <f>C267-C266</f>
        <v/>
      </c>
      <c r="N267" s="7">
        <f>D267-D266</f>
        <v/>
      </c>
      <c r="O267" s="7">
        <f>LN(E267/E266)</f>
        <v/>
      </c>
      <c r="P267" s="7">
        <f>LN(F267/F266)</f>
        <v/>
      </c>
      <c r="Q267" s="7">
        <f>G267-G266</f>
        <v/>
      </c>
      <c r="R267" s="7">
        <f>H267-H266</f>
        <v/>
      </c>
      <c r="S267" s="7">
        <f>LN(I267/I266)</f>
        <v/>
      </c>
      <c r="T267" s="7">
        <f>LN(J267/J266)</f>
        <v/>
      </c>
    </row>
    <row r="268">
      <c r="L268" s="7">
        <f>LN(B268/B267)</f>
        <v/>
      </c>
      <c r="M268" s="7">
        <f>C268-C267</f>
        <v/>
      </c>
      <c r="N268" s="7">
        <f>D268-D267</f>
        <v/>
      </c>
      <c r="O268" s="7">
        <f>LN(E268/E267)</f>
        <v/>
      </c>
      <c r="P268" s="7">
        <f>LN(F268/F267)</f>
        <v/>
      </c>
      <c r="Q268" s="7">
        <f>G268-G267</f>
        <v/>
      </c>
      <c r="R268" s="7">
        <f>H268-H267</f>
        <v/>
      </c>
      <c r="S268" s="7">
        <f>LN(I268/I267)</f>
        <v/>
      </c>
      <c r="T268" s="7">
        <f>LN(J268/J267)</f>
        <v/>
      </c>
    </row>
    <row r="269">
      <c r="L269" s="7">
        <f>LN(B269/B268)</f>
        <v/>
      </c>
      <c r="M269" s="7">
        <f>C269-C268</f>
        <v/>
      </c>
      <c r="N269" s="7">
        <f>D269-D268</f>
        <v/>
      </c>
      <c r="O269" s="7">
        <f>LN(E269/E268)</f>
        <v/>
      </c>
      <c r="P269" s="7">
        <f>LN(F269/F268)</f>
        <v/>
      </c>
      <c r="Q269" s="7">
        <f>G269-G268</f>
        <v/>
      </c>
      <c r="R269" s="7">
        <f>H269-H268</f>
        <v/>
      </c>
      <c r="S269" s="7">
        <f>LN(I269/I268)</f>
        <v/>
      </c>
      <c r="T269" s="7">
        <f>LN(J269/J268)</f>
        <v/>
      </c>
    </row>
    <row r="270">
      <c r="L270" s="7">
        <f>LN(B270/B269)</f>
        <v/>
      </c>
      <c r="M270" s="7">
        <f>C270-C269</f>
        <v/>
      </c>
      <c r="N270" s="7">
        <f>D270-D269</f>
        <v/>
      </c>
      <c r="O270" s="7">
        <f>LN(E270/E269)</f>
        <v/>
      </c>
      <c r="P270" s="7">
        <f>LN(F270/F269)</f>
        <v/>
      </c>
      <c r="Q270" s="7">
        <f>G270-G269</f>
        <v/>
      </c>
      <c r="R270" s="7">
        <f>H270-H269</f>
        <v/>
      </c>
      <c r="S270" s="7">
        <f>LN(I270/I269)</f>
        <v/>
      </c>
      <c r="T270" s="7">
        <f>LN(J270/J269)</f>
        <v/>
      </c>
    </row>
    <row r="271">
      <c r="L271" s="7">
        <f>LN(B271/B270)</f>
        <v/>
      </c>
      <c r="M271" s="7">
        <f>C271-C270</f>
        <v/>
      </c>
      <c r="N271" s="7">
        <f>D271-D270</f>
        <v/>
      </c>
      <c r="O271" s="7">
        <f>LN(E271/E270)</f>
        <v/>
      </c>
      <c r="P271" s="7">
        <f>LN(F271/F270)</f>
        <v/>
      </c>
      <c r="Q271" s="7">
        <f>G271-G270</f>
        <v/>
      </c>
      <c r="R271" s="7">
        <f>H271-H270</f>
        <v/>
      </c>
      <c r="S271" s="7">
        <f>LN(I271/I270)</f>
        <v/>
      </c>
      <c r="T271" s="7">
        <f>LN(J271/J270)</f>
        <v/>
      </c>
    </row>
    <row r="272">
      <c r="L272" s="7">
        <f>LN(B272/B271)</f>
        <v/>
      </c>
      <c r="M272" s="7">
        <f>C272-C271</f>
        <v/>
      </c>
      <c r="N272" s="7">
        <f>D272-D271</f>
        <v/>
      </c>
      <c r="O272" s="7">
        <f>LN(E272/E271)</f>
        <v/>
      </c>
      <c r="P272" s="7">
        <f>LN(F272/F271)</f>
        <v/>
      </c>
      <c r="Q272" s="7">
        <f>G272-G271</f>
        <v/>
      </c>
      <c r="R272" s="7">
        <f>H272-H271</f>
        <v/>
      </c>
      <c r="S272" s="7">
        <f>LN(I272/I271)</f>
        <v/>
      </c>
      <c r="T272" s="7">
        <f>LN(J272/J271)</f>
        <v/>
      </c>
    </row>
    <row r="273">
      <c r="L273" s="7">
        <f>LN(B273/B272)</f>
        <v/>
      </c>
      <c r="M273" s="7">
        <f>C273-C272</f>
        <v/>
      </c>
      <c r="N273" s="7">
        <f>D273-D272</f>
        <v/>
      </c>
      <c r="O273" s="7">
        <f>LN(E273/E272)</f>
        <v/>
      </c>
      <c r="P273" s="7">
        <f>LN(F273/F272)</f>
        <v/>
      </c>
      <c r="Q273" s="7">
        <f>G273-G272</f>
        <v/>
      </c>
      <c r="R273" s="7">
        <f>H273-H272</f>
        <v/>
      </c>
      <c r="S273" s="7">
        <f>LN(I273/I272)</f>
        <v/>
      </c>
      <c r="T273" s="7">
        <f>LN(J273/J272)</f>
        <v/>
      </c>
    </row>
    <row r="274">
      <c r="L274" s="7">
        <f>LN(B274/B273)</f>
        <v/>
      </c>
      <c r="M274" s="7">
        <f>C274-C273</f>
        <v/>
      </c>
      <c r="N274" s="7">
        <f>D274-D273</f>
        <v/>
      </c>
      <c r="O274" s="7">
        <f>LN(E274/E273)</f>
        <v/>
      </c>
      <c r="P274" s="7">
        <f>LN(F274/F273)</f>
        <v/>
      </c>
      <c r="Q274" s="7">
        <f>G274-G273</f>
        <v/>
      </c>
      <c r="R274" s="7">
        <f>H274-H273</f>
        <v/>
      </c>
      <c r="S274" s="7">
        <f>LN(I274/I273)</f>
        <v/>
      </c>
      <c r="T274" s="7">
        <f>LN(J274/J273)</f>
        <v/>
      </c>
    </row>
    <row r="275">
      <c r="L275" s="7">
        <f>LN(B275/B274)</f>
        <v/>
      </c>
      <c r="M275" s="7">
        <f>C275-C274</f>
        <v/>
      </c>
      <c r="N275" s="7">
        <f>D275-D274</f>
        <v/>
      </c>
      <c r="O275" s="7">
        <f>LN(E275/E274)</f>
        <v/>
      </c>
      <c r="P275" s="7">
        <f>LN(F275/F274)</f>
        <v/>
      </c>
      <c r="Q275" s="7">
        <f>G275-G274</f>
        <v/>
      </c>
      <c r="R275" s="7">
        <f>H275-H274</f>
        <v/>
      </c>
      <c r="S275" s="7">
        <f>LN(I275/I274)</f>
        <v/>
      </c>
      <c r="T275" s="7">
        <f>LN(J275/J274)</f>
        <v/>
      </c>
    </row>
    <row r="276">
      <c r="L276" s="7">
        <f>LN(B276/B275)</f>
        <v/>
      </c>
      <c r="M276" s="7">
        <f>C276-C275</f>
        <v/>
      </c>
      <c r="N276" s="7">
        <f>D276-D275</f>
        <v/>
      </c>
      <c r="O276" s="7">
        <f>LN(E276/E275)</f>
        <v/>
      </c>
      <c r="P276" s="7">
        <f>LN(F276/F275)</f>
        <v/>
      </c>
      <c r="Q276" s="7">
        <f>G276-G275</f>
        <v/>
      </c>
      <c r="R276" s="7">
        <f>H276-H275</f>
        <v/>
      </c>
      <c r="S276" s="7">
        <f>LN(I276/I275)</f>
        <v/>
      </c>
      <c r="T276" s="7">
        <f>LN(J276/J275)</f>
        <v/>
      </c>
    </row>
    <row r="277">
      <c r="L277" s="7">
        <f>LN(B277/B276)</f>
        <v/>
      </c>
      <c r="M277" s="7">
        <f>C277-C276</f>
        <v/>
      </c>
      <c r="N277" s="7">
        <f>D277-D276</f>
        <v/>
      </c>
      <c r="O277" s="7">
        <f>LN(E277/E276)</f>
        <v/>
      </c>
      <c r="P277" s="7">
        <f>LN(F277/F276)</f>
        <v/>
      </c>
      <c r="Q277" s="7">
        <f>G277-G276</f>
        <v/>
      </c>
      <c r="R277" s="7">
        <f>H277-H276</f>
        <v/>
      </c>
      <c r="S277" s="7">
        <f>LN(I277/I276)</f>
        <v/>
      </c>
      <c r="T277" s="7">
        <f>LN(J277/J276)</f>
        <v/>
      </c>
    </row>
    <row r="278">
      <c r="L278" s="7">
        <f>LN(B278/B277)</f>
        <v/>
      </c>
      <c r="M278" s="7">
        <f>C278-C277</f>
        <v/>
      </c>
      <c r="N278" s="7">
        <f>D278-D277</f>
        <v/>
      </c>
      <c r="O278" s="7">
        <f>LN(E278/E277)</f>
        <v/>
      </c>
      <c r="P278" s="7">
        <f>LN(F278/F277)</f>
        <v/>
      </c>
      <c r="Q278" s="7">
        <f>G278-G277</f>
        <v/>
      </c>
      <c r="R278" s="7">
        <f>H278-H277</f>
        <v/>
      </c>
      <c r="S278" s="7">
        <f>LN(I278/I277)</f>
        <v/>
      </c>
      <c r="T278" s="7">
        <f>LN(J278/J277)</f>
        <v/>
      </c>
    </row>
    <row r="279">
      <c r="L279" s="7">
        <f>LN(B279/B278)</f>
        <v/>
      </c>
      <c r="M279" s="7">
        <f>C279-C278</f>
        <v/>
      </c>
      <c r="N279" s="7">
        <f>D279-D278</f>
        <v/>
      </c>
      <c r="O279" s="7">
        <f>LN(E279/E278)</f>
        <v/>
      </c>
      <c r="P279" s="7">
        <f>LN(F279/F278)</f>
        <v/>
      </c>
      <c r="Q279" s="7">
        <f>G279-G278</f>
        <v/>
      </c>
      <c r="R279" s="7">
        <f>H279-H278</f>
        <v/>
      </c>
      <c r="S279" s="7">
        <f>LN(I279/I278)</f>
        <v/>
      </c>
      <c r="T279" s="7">
        <f>LN(J279/J278)</f>
        <v/>
      </c>
    </row>
    <row r="280">
      <c r="L280" s="7">
        <f>LN(B280/B279)</f>
        <v/>
      </c>
      <c r="M280" s="7">
        <f>C280-C279</f>
        <v/>
      </c>
      <c r="N280" s="7">
        <f>D280-D279</f>
        <v/>
      </c>
      <c r="O280" s="7">
        <f>LN(E280/E279)</f>
        <v/>
      </c>
      <c r="P280" s="7">
        <f>LN(F280/F279)</f>
        <v/>
      </c>
      <c r="Q280" s="7">
        <f>G280-G279</f>
        <v/>
      </c>
      <c r="R280" s="7">
        <f>H280-H279</f>
        <v/>
      </c>
      <c r="S280" s="7">
        <f>LN(I280/I279)</f>
        <v/>
      </c>
      <c r="T280" s="7">
        <f>LN(J280/J279)</f>
        <v/>
      </c>
    </row>
    <row r="281">
      <c r="L281" s="7">
        <f>LN(B281/B280)</f>
        <v/>
      </c>
      <c r="M281" s="7">
        <f>C281-C280</f>
        <v/>
      </c>
      <c r="N281" s="7">
        <f>D281-D280</f>
        <v/>
      </c>
      <c r="O281" s="7">
        <f>LN(E281/E280)</f>
        <v/>
      </c>
      <c r="P281" s="7">
        <f>LN(F281/F280)</f>
        <v/>
      </c>
      <c r="Q281" s="7">
        <f>G281-G280</f>
        <v/>
      </c>
      <c r="R281" s="7">
        <f>H281-H280</f>
        <v/>
      </c>
      <c r="S281" s="7">
        <f>LN(I281/I280)</f>
        <v/>
      </c>
      <c r="T281" s="7">
        <f>LN(J281/J280)</f>
        <v/>
      </c>
    </row>
    <row r="282">
      <c r="L282" s="7">
        <f>LN(B282/B281)</f>
        <v/>
      </c>
      <c r="M282" s="7">
        <f>C282-C281</f>
        <v/>
      </c>
      <c r="N282" s="7">
        <f>D282-D281</f>
        <v/>
      </c>
      <c r="O282" s="7">
        <f>LN(E282/E281)</f>
        <v/>
      </c>
      <c r="P282" s="7">
        <f>LN(F282/F281)</f>
        <v/>
      </c>
      <c r="Q282" s="7">
        <f>G282-G281</f>
        <v/>
      </c>
      <c r="R282" s="7">
        <f>H282-H281</f>
        <v/>
      </c>
      <c r="S282" s="7">
        <f>LN(I282/I281)</f>
        <v/>
      </c>
      <c r="T282" s="7">
        <f>LN(J282/J281)</f>
        <v/>
      </c>
    </row>
    <row r="283">
      <c r="L283" s="7">
        <f>LN(B283/B282)</f>
        <v/>
      </c>
      <c r="M283" s="7">
        <f>C283-C282</f>
        <v/>
      </c>
      <c r="N283" s="7">
        <f>D283-D282</f>
        <v/>
      </c>
      <c r="O283" s="7">
        <f>LN(E283/E282)</f>
        <v/>
      </c>
      <c r="P283" s="7">
        <f>LN(F283/F282)</f>
        <v/>
      </c>
      <c r="Q283" s="7">
        <f>G283-G282</f>
        <v/>
      </c>
      <c r="R283" s="7">
        <f>H283-H282</f>
        <v/>
      </c>
      <c r="S283" s="7">
        <f>LN(I283/I282)</f>
        <v/>
      </c>
      <c r="T283" s="7">
        <f>LN(J283/J282)</f>
        <v/>
      </c>
    </row>
    <row r="284">
      <c r="L284" s="7">
        <f>LN(B284/B283)</f>
        <v/>
      </c>
      <c r="M284" s="7">
        <f>C284-C283</f>
        <v/>
      </c>
      <c r="N284" s="7">
        <f>D284-D283</f>
        <v/>
      </c>
      <c r="O284" s="7">
        <f>LN(E284/E283)</f>
        <v/>
      </c>
      <c r="P284" s="7">
        <f>LN(F284/F283)</f>
        <v/>
      </c>
      <c r="Q284" s="7">
        <f>G284-G283</f>
        <v/>
      </c>
      <c r="R284" s="7">
        <f>H284-H283</f>
        <v/>
      </c>
      <c r="S284" s="7">
        <f>LN(I284/I283)</f>
        <v/>
      </c>
      <c r="T284" s="7">
        <f>LN(J284/J283)</f>
        <v/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4" customWidth="1" min="3" max="3"/>
    <col width="52" customWidth="1" min="4" max="4"/>
  </cols>
  <sheetData>
    <row r="1">
      <c r="A1" s="1" t="inlineStr">
        <is>
          <t>Gold factor regression — Excel</t>
        </is>
      </c>
      <c r="B1" s="1" t="inlineStr"/>
      <c r="C1" s="1" t="inlineStr"/>
      <c r="D1" s="1" t="inlineStr"/>
    </row>
    <row r="2">
      <c r="A2" t="inlineStr"/>
      <c r="B2" t="inlineStr"/>
      <c r="C2" t="inlineStr"/>
      <c r="D2" t="inlineStr"/>
    </row>
    <row r="3">
      <c r="A3" t="inlineStr">
        <is>
          <t>Dependent: gold (LBMA PM) log return. Regressors: macro factor changes.</t>
        </is>
      </c>
      <c r="B3" t="inlineStr"/>
      <c r="C3" t="inlineStr"/>
      <c r="D3" t="inlineStr"/>
    </row>
    <row r="4">
      <c r="A4" t="inlineStr">
        <is>
          <t>Transform: price/index → LN(t/t-1); yield/vol → first difference (level units).</t>
        </is>
      </c>
      <c r="B4" t="inlineStr"/>
      <c r="C4" t="inlineStr"/>
      <c r="D4" t="inlineStr"/>
    </row>
    <row r="5">
      <c r="A5" t="inlineStr">
        <is>
          <t>Sample: monthly, 2003-01-31 → 2026-06-30 (282 months). Blue = inputs.</t>
        </is>
      </c>
      <c r="B5" t="inlineStr"/>
      <c r="C5" t="inlineStr"/>
      <c r="D5" t="inlineStr"/>
    </row>
    <row r="6">
      <c r="A6" t="inlineStr">
        <is>
          <t>Regression is INDEX(LINEST(gold_ret, factor_rets, TRUE, TRUE)) — live, no array entry.</t>
        </is>
      </c>
      <c r="B6" t="inlineStr"/>
      <c r="C6" t="inlineStr"/>
      <c r="D6" t="inlineStr"/>
    </row>
    <row r="7">
      <c r="A7" t="inlineStr"/>
      <c r="B7" t="inlineStr"/>
      <c r="C7" t="inlineStr"/>
      <c r="D7" t="inlineStr"/>
    </row>
    <row r="8">
      <c r="A8" s="6" t="inlineStr">
        <is>
          <t>Factor</t>
        </is>
      </c>
      <c r="B8" s="6" t="inlineStr">
        <is>
          <t>Bloomberg ticker</t>
        </is>
      </c>
      <c r="C8" s="6" t="inlineStr">
        <is>
          <t>Transform</t>
        </is>
      </c>
      <c r="D8" s="6" t="inlineStr">
        <is>
          <t>Expected β (cross-check vs LINEST)</t>
        </is>
      </c>
    </row>
    <row r="9">
      <c r="A9" t="inlineStr">
        <is>
          <t>10Y breakeven</t>
        </is>
      </c>
      <c r="B9" t="inlineStr">
        <is>
          <t>USGGBE10 Index</t>
        </is>
      </c>
      <c r="C9" t="inlineStr">
        <is>
          <t>Δ</t>
        </is>
      </c>
      <c r="D9" t="n">
        <v>0.0268</v>
      </c>
    </row>
    <row r="10">
      <c r="A10" t="inlineStr">
        <is>
          <t>10Y TIPS real</t>
        </is>
      </c>
      <c r="B10" t="inlineStr">
        <is>
          <t>USGGT10Y Index</t>
        </is>
      </c>
      <c r="C10" t="inlineStr">
        <is>
          <t>Δ</t>
        </is>
      </c>
      <c r="D10" t="n">
        <v>-0.0837</v>
      </c>
    </row>
    <row r="11">
      <c r="A11" t="inlineStr">
        <is>
          <t>US Dollar Index DXY</t>
        </is>
      </c>
      <c r="B11" t="inlineStr">
        <is>
          <t>DXY Curncy</t>
        </is>
      </c>
      <c r="C11" t="inlineStr">
        <is>
          <t>log ret</t>
        </is>
      </c>
      <c r="D11" t="n">
        <v>-0.898</v>
      </c>
    </row>
    <row r="12">
      <c r="A12" t="inlineStr">
        <is>
          <t>WTI crude oil</t>
        </is>
      </c>
      <c r="B12" t="inlineStr">
        <is>
          <t>CL1 Comdty</t>
        </is>
      </c>
      <c r="C12" t="inlineStr">
        <is>
          <t>log ret</t>
        </is>
      </c>
      <c r="D12" t="n">
        <v>-0.0191</v>
      </c>
    </row>
    <row r="13">
      <c r="A13" t="inlineStr">
        <is>
          <t>Equity vol VIX</t>
        </is>
      </c>
      <c r="B13" t="inlineStr">
        <is>
          <t>VIX Index</t>
        </is>
      </c>
      <c r="C13" t="inlineStr">
        <is>
          <t>Δ</t>
        </is>
      </c>
      <c r="D13" t="n">
        <v>0.0001</v>
      </c>
    </row>
    <row r="14">
      <c r="A14" t="inlineStr">
        <is>
          <t>Rate vol MOVE</t>
        </is>
      </c>
      <c r="B14" t="inlineStr">
        <is>
          <t>MOVE Index</t>
        </is>
      </c>
      <c r="C14" t="inlineStr">
        <is>
          <t>Δ</t>
        </is>
      </c>
      <c r="D14" t="n">
        <v>0.0005999999999999999</v>
      </c>
    </row>
    <row r="15">
      <c r="A15" t="inlineStr">
        <is>
          <t>S&amp;P 500 (price)</t>
        </is>
      </c>
      <c r="B15" t="inlineStr">
        <is>
          <t>SPX Index</t>
        </is>
      </c>
      <c r="C15" t="inlineStr">
        <is>
          <t>log ret</t>
        </is>
      </c>
      <c r="D15" t="n">
        <v>-0.1455</v>
      </c>
    </row>
    <row r="16">
      <c r="A16" t="inlineStr">
        <is>
          <t>US Agg bonds TR</t>
        </is>
      </c>
      <c r="B16" t="inlineStr">
        <is>
          <t>LBUSTRUU Index</t>
        </is>
      </c>
      <c r="C16" t="inlineStr">
        <is>
          <t>log ret</t>
        </is>
      </c>
      <c r="D16" t="n">
        <v>-0.1548</v>
      </c>
    </row>
    <row r="17">
      <c r="A17" t="inlineStr">
        <is>
          <t>Intercept α (monthly)</t>
        </is>
      </c>
      <c r="D17" t="n">
        <v>0.01031</v>
      </c>
    </row>
    <row r="18">
      <c r="A18" t="inlineStr">
        <is>
          <t>R²</t>
        </is>
      </c>
      <c r="D18" t="n">
        <v>0.3264</v>
      </c>
    </row>
    <row r="20">
      <c r="A20" t="inlineStr">
        <is>
          <t>Bloomberg tickers are best-guesses — verify on your terminal (esp. USGGT10Y for 10Y real yield, LBUSTRUU for US Agg TR).</t>
        </is>
      </c>
    </row>
    <row r="21">
      <c r="A21" t="inlineStr">
        <is>
          <t>Daily/weekly: change the BDH 'Per=cm' to 'Per=cd'/'Per=cw' and extend the row range; transforms unchanged.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2026-06-24T15:57:01Z</dcterms:created>
  <dcterms:modified xmlns:dcterms="http://purl.org/dc/terms/" xmlns:xsi="http://www.w3.org/2001/XMLSchema-instance" xsi:type="dcterms:W3CDTF">2026-06-24T15:57:01Z</dcterms:modified>
</cp:coreProperties>
</file>
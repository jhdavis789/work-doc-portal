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(data)" sheetId="1" state="visible" r:id="rId1"/>
    <sheet xmlns:r="http://schemas.openxmlformats.org/officeDocument/2006/relationships" name="Model (Bloomberg)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0####"/>
    <numFmt numFmtId="167" formatCode="0.0000"/>
    <numFmt numFmtId="168" formatCode="0.0%"/>
  </numFmts>
  <fonts count="5">
    <font>
      <name val="Calibri"/>
      <family val="2"/>
      <color theme="1"/>
      <sz val="11"/>
      <scheme val="minor"/>
    </font>
    <font>
      <b val="1"/>
      <color rgb="0000294B"/>
      <sz val="13"/>
    </font>
    <font>
      <b val="1"/>
      <color rgb="00FFFFFF"/>
    </font>
    <font>
      <color rgb="000000CC"/>
    </font>
    <font>
      <b val="1"/>
    </font>
  </fonts>
  <fills count="3">
    <fill>
      <patternFill/>
    </fill>
    <fill>
      <patternFill patternType="gray125"/>
    </fill>
    <fill>
      <patternFill patternType="solid">
        <fgColor rgb="0000294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4" fillId="0" borderId="0" pivotButton="0" quotePrefix="0" xfId="0"/>
    <xf numFmtId="165" fontId="0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— gold return each period</a:t>
            </a:r>
          </a:p>
        </rich>
      </tx>
    </title>
    <plotArea>
      <lineChart>
        <grouping val="standard"/>
        <ser>
          <idx val="0"/>
          <order val="0"/>
          <tx>
            <v>Actual gold return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(data)'!$A$4:$A$284</f>
            </numRef>
          </cat>
          <val>
            <numRef>
              <f>'Model (data)'!$L$4:$L$284</f>
            </numRef>
          </val>
          <smooth val="0"/>
        </ser>
        <ser>
          <idx val="1"/>
          <order val="1"/>
          <tx>
            <v>Model-fitted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(data)'!$A$4:$A$284</f>
            </numRef>
          </cat>
          <val>
            <numRef>
              <f>'Model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(β, full sample)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'Model (data)'!$V$4:$V$11</f>
            </numRef>
          </cat>
          <val>
            <numRef>
              <f>'Model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60-month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 (trailing 5y)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magnitude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annualized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rolling 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— gold return each period</a:t>
            </a:r>
          </a:p>
        </rich>
      </tx>
    </title>
    <plotArea>
      <lineChart>
        <grouping val="standard"/>
        <ser>
          <idx val="0"/>
          <order val="0"/>
          <tx>
            <v>Actual gold return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(Bloomberg)'!$A$4:$A$284</f>
            </numRef>
          </cat>
          <val>
            <numRef>
              <f>'Model (Bloomberg)'!$L$4:$L$284</f>
            </numRef>
          </val>
          <smooth val="0"/>
        </ser>
        <ser>
          <idx val="1"/>
          <order val="1"/>
          <tx>
            <v>Model-fitted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(Bloomberg)'!$A$4:$A$284</f>
            </numRef>
          </cat>
          <val>
            <numRef>
              <f>'Model (Bloomberg)'!$U$4:$U$284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(β, full sample)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'Model (Bloomberg)'!$V$4:$V$11</f>
            </numRef>
          </cat>
          <val>
            <numRef>
              <f>'Model (Bloomberg)'!$W$4:$W$11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60-month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 (trailing 5y)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magnitude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annualized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rolling 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/Relationships>
</file>

<file path=xl/drawings/drawing1.xml><?xml version="1.0" encoding="utf-8"?>
<wsDr xmlns="http://schemas.openxmlformats.org/drawingml/2006/spreadsheetDrawing">
  <oneCellAnchor>
    <from>
      <col>37</col>
      <colOff>0</colOff>
      <row>1</row>
      <rowOff>0</rowOff>
    </from>
    <ext cx="63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37</col>
      <colOff>0</colOff>
      <row>16</row>
      <rowOff>0</rowOff>
    </from>
    <ext cx="63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37</col>
      <colOff>0</colOff>
      <row>31</row>
      <rowOff>0</rowOff>
    </from>
    <ext cx="63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37</col>
      <colOff>0</colOff>
      <row>46</row>
      <rowOff>0</rowOff>
    </from>
    <ext cx="63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37</col>
      <colOff>0</colOff>
      <row>61</row>
      <rowOff>0</rowOff>
    </from>
    <ext cx="63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37</col>
      <colOff>0</colOff>
      <row>1</row>
      <rowOff>0</rowOff>
    </from>
    <ext cx="63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37</col>
      <colOff>0</colOff>
      <row>16</row>
      <rowOff>0</rowOff>
    </from>
    <ext cx="63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37</col>
      <colOff>0</colOff>
      <row>31</row>
      <rowOff>0</rowOff>
    </from>
    <ext cx="63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37</col>
      <colOff>0</colOff>
      <row>46</row>
      <rowOff>0</rowOff>
    </from>
    <ext cx="63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37</col>
      <colOff>0</colOff>
      <row>61</row>
      <rowOff>0</rowOff>
    </from>
    <ext cx="63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0" customWidth="1" min="22" max="22"/>
  </cols>
  <sheetData>
    <row r="1">
      <c r="A1" s="1" t="inlineStr">
        <is>
          <t>Gold factor regression — monthly, data embedded (blue = inputs)</t>
        </is>
      </c>
    </row>
    <row r="2">
      <c r="A2" s="2" t="inlineStr">
        <is>
          <t>Date</t>
        </is>
      </c>
      <c r="B2" s="2" t="inlineStr">
        <is>
          <t>Gold (LBMA PM)</t>
        </is>
      </c>
      <c r="C2" s="2" t="inlineStr">
        <is>
          <t>10Y breakeven</t>
        </is>
      </c>
      <c r="D2" s="2" t="inlineStr">
        <is>
          <t>10Y TIPS real</t>
        </is>
      </c>
      <c r="E2" s="2" t="inlineStr">
        <is>
          <t>US Dollar Index DXY</t>
        </is>
      </c>
      <c r="F2" s="2" t="inlineStr">
        <is>
          <t>WTI crude oil</t>
        </is>
      </c>
      <c r="G2" s="2" t="inlineStr">
        <is>
          <t>Equity vol VIX</t>
        </is>
      </c>
      <c r="H2" s="2" t="inlineStr">
        <is>
          <t>Rate vol MOVE</t>
        </is>
      </c>
      <c r="I2" s="2" t="inlineStr">
        <is>
          <t>S&amp;P 500 (price)</t>
        </is>
      </c>
      <c r="J2" s="2" t="inlineStr">
        <is>
          <t>US Agg bonds TR</t>
        </is>
      </c>
      <c r="L2" s="2" t="inlineStr">
        <is>
          <t>Gold ret</t>
        </is>
      </c>
      <c r="M2" s="2" t="inlineStr">
        <is>
          <t>Δ 10Y BE</t>
        </is>
      </c>
      <c r="N2" s="2" t="inlineStr">
        <is>
          <t>Δ 10Y real</t>
        </is>
      </c>
      <c r="O2" s="2" t="inlineStr">
        <is>
          <t>DXY ret</t>
        </is>
      </c>
      <c r="P2" s="2" t="inlineStr">
        <is>
          <t>Oil ret</t>
        </is>
      </c>
      <c r="Q2" s="2" t="inlineStr">
        <is>
          <t>Δ VIX</t>
        </is>
      </c>
      <c r="R2" s="2" t="inlineStr">
        <is>
          <t>Δ MOVE</t>
        </is>
      </c>
      <c r="S2" s="2" t="inlineStr">
        <is>
          <t>S&amp;P ret</t>
        </is>
      </c>
      <c r="T2" s="2" t="inlineStr">
        <is>
          <t>Agg ret</t>
        </is>
      </c>
      <c r="U2" s="3" t="inlineStr">
        <is>
          <t>Fitted</t>
        </is>
      </c>
      <c r="V2" s="4" t="inlineStr">
        <is>
          <t>Regression (monthly, full sample)</t>
        </is>
      </c>
    </row>
    <row r="3">
      <c r="A3" s="5" t="n">
        <v>37652</v>
      </c>
      <c r="B3" s="6" t="n">
        <v>367.5</v>
      </c>
      <c r="C3" s="6" t="n">
        <v>1.81</v>
      </c>
      <c r="D3" s="6" t="n">
        <v>2.19</v>
      </c>
      <c r="E3" s="6" t="n">
        <v>99.910004</v>
      </c>
      <c r="F3" s="6" t="n">
        <v>33.51</v>
      </c>
      <c r="G3" s="6" t="n">
        <v>31.17</v>
      </c>
      <c r="H3" s="6" t="n">
        <v>110.889999</v>
      </c>
      <c r="I3" s="6" t="n">
        <v>855.700012</v>
      </c>
      <c r="J3" s="6" t="n">
        <v>48.026736</v>
      </c>
      <c r="V3" s="3" t="inlineStr">
        <is>
          <t>Factor</t>
        </is>
      </c>
      <c r="W3" s="3" t="inlineStr">
        <is>
          <t>β</t>
        </is>
      </c>
      <c r="X3" s="3" t="inlineStr">
        <is>
          <t>std err</t>
        </is>
      </c>
      <c r="Y3" s="3" t="inlineStr">
        <is>
          <t>t-stat</t>
        </is>
      </c>
    </row>
    <row r="4">
      <c r="A4" s="5" t="n">
        <v>37680</v>
      </c>
      <c r="B4" s="6" t="n">
        <v>347.45</v>
      </c>
      <c r="C4" s="6" t="n">
        <v>1.94</v>
      </c>
      <c r="D4" s="6" t="n">
        <v>1.77</v>
      </c>
      <c r="E4" s="6" t="n">
        <v>99.709999</v>
      </c>
      <c r="F4" s="6" t="n">
        <v>36.76</v>
      </c>
      <c r="G4" s="6" t="n">
        <v>29.63</v>
      </c>
      <c r="H4" s="6" t="n">
        <v>105.360001</v>
      </c>
      <c r="I4" s="6" t="n">
        <v>841.150024</v>
      </c>
      <c r="J4" s="6" t="n">
        <v>48.692169</v>
      </c>
      <c r="L4" s="7">
        <f>LN(B4/B3)</f>
        <v/>
      </c>
      <c r="M4" s="7">
        <f>C4-C3</f>
        <v/>
      </c>
      <c r="N4" s="7">
        <f>D4-D3</f>
        <v/>
      </c>
      <c r="O4" s="7">
        <f>LN(E4/E3)</f>
        <v/>
      </c>
      <c r="P4" s="7">
        <f>LN(F4/F3)</f>
        <v/>
      </c>
      <c r="Q4" s="7">
        <f>G4-G3</f>
        <v/>
      </c>
      <c r="R4" s="7">
        <f>H4-H3</f>
        <v/>
      </c>
      <c r="S4" s="7">
        <f>LN(I4/I3)</f>
        <v/>
      </c>
      <c r="T4" s="7">
        <f>LN(J4/J3)</f>
        <v/>
      </c>
      <c r="U4" s="7">
        <f>$W$12+$W$4*M4+$W$5*N4+$W$6*O4+$W$7*P4+$W$8*Q4+$W$9*R4+$W$10*S4+$W$11*T4</f>
        <v/>
      </c>
      <c r="V4" t="inlineStr">
        <is>
          <t>10Y breakeven</t>
        </is>
      </c>
      <c r="W4" s="7">
        <f>INDEX(LINEST($L$4:$L$284,$M$4:$T$284,TRUE,TRUE),1,8)</f>
        <v/>
      </c>
      <c r="X4" s="7">
        <f>INDEX(LINEST($L$4:$L$284,$M$4:$T$284,TRUE,TRUE),2,8)</f>
        <v/>
      </c>
      <c r="Y4" s="7">
        <f>W4/X4</f>
        <v/>
      </c>
    </row>
    <row r="5">
      <c r="A5" s="5" t="n">
        <v>37711</v>
      </c>
      <c r="B5" s="6" t="n">
        <v>334.85</v>
      </c>
      <c r="C5" s="6" t="n">
        <v>1.8</v>
      </c>
      <c r="D5" s="6" t="n">
        <v>2.03</v>
      </c>
      <c r="E5" s="6" t="n">
        <v>99.05999799999999</v>
      </c>
      <c r="F5" s="6" t="n">
        <v>31.14</v>
      </c>
      <c r="G5" s="6" t="n">
        <v>29.15</v>
      </c>
      <c r="H5" s="6" t="n">
        <v>112.089996</v>
      </c>
      <c r="I5" s="6" t="n">
        <v>848.179993</v>
      </c>
      <c r="J5" s="6" t="n">
        <v>48.633196</v>
      </c>
      <c r="L5" s="7">
        <f>LN(B5/B4)</f>
        <v/>
      </c>
      <c r="M5" s="7">
        <f>C5-C4</f>
        <v/>
      </c>
      <c r="N5" s="7">
        <f>D5-D4</f>
        <v/>
      </c>
      <c r="O5" s="7">
        <f>LN(E5/E4)</f>
        <v/>
      </c>
      <c r="P5" s="7">
        <f>LN(F5/F4)</f>
        <v/>
      </c>
      <c r="Q5" s="7">
        <f>G5-G4</f>
        <v/>
      </c>
      <c r="R5" s="7">
        <f>H5-H4</f>
        <v/>
      </c>
      <c r="S5" s="7">
        <f>LN(I5/I4)</f>
        <v/>
      </c>
      <c r="T5" s="7">
        <f>LN(J5/J4)</f>
        <v/>
      </c>
      <c r="U5" s="7">
        <f>$W$12+$W$4*M5+$W$5*N5+$W$6*O5+$W$7*P5+$W$8*Q5+$W$9*R5+$W$10*S5+$W$11*T5</f>
        <v/>
      </c>
      <c r="V5" t="inlineStr">
        <is>
          <t>10Y TIPS real</t>
        </is>
      </c>
      <c r="W5" s="7">
        <f>INDEX(LINEST($L$4:$L$284,$M$4:$T$284,TRUE,TRUE),1,7)</f>
        <v/>
      </c>
      <c r="X5" s="7">
        <f>INDEX(LINEST($L$4:$L$284,$M$4:$T$284,TRUE,TRUE),2,7)</f>
        <v/>
      </c>
      <c r="Y5" s="7">
        <f>W5/X5</f>
        <v/>
      </c>
    </row>
    <row r="6">
      <c r="A6" s="5" t="n">
        <v>37741</v>
      </c>
      <c r="B6" s="6" t="n">
        <v>336.75</v>
      </c>
      <c r="C6" s="6" t="n">
        <v>1.73</v>
      </c>
      <c r="D6" s="6" t="n">
        <v>2.16</v>
      </c>
      <c r="E6" s="6" t="n">
        <v>97.19000200000001</v>
      </c>
      <c r="F6" s="6" t="n">
        <v>26.09</v>
      </c>
      <c r="G6" s="6" t="n">
        <v>21.21</v>
      </c>
      <c r="H6" s="6" t="n">
        <v>89.269997</v>
      </c>
      <c r="I6" s="6" t="n">
        <v>916.919983</v>
      </c>
      <c r="J6" s="6" t="n">
        <v>49.056113</v>
      </c>
      <c r="L6" s="7">
        <f>LN(B6/B5)</f>
        <v/>
      </c>
      <c r="M6" s="7">
        <f>C6-C5</f>
        <v/>
      </c>
      <c r="N6" s="7">
        <f>D6-D5</f>
        <v/>
      </c>
      <c r="O6" s="7">
        <f>LN(E6/E5)</f>
        <v/>
      </c>
      <c r="P6" s="7">
        <f>LN(F6/F5)</f>
        <v/>
      </c>
      <c r="Q6" s="7">
        <f>G6-G5</f>
        <v/>
      </c>
      <c r="R6" s="7">
        <f>H6-H5</f>
        <v/>
      </c>
      <c r="S6" s="7">
        <f>LN(I6/I5)</f>
        <v/>
      </c>
      <c r="T6" s="7">
        <f>LN(J6/J5)</f>
        <v/>
      </c>
      <c r="U6" s="7">
        <f>$W$12+$W$4*M6+$W$5*N6+$W$6*O6+$W$7*P6+$W$8*Q6+$W$9*R6+$W$10*S6+$W$11*T6</f>
        <v/>
      </c>
      <c r="V6" t="inlineStr">
        <is>
          <t>US Dollar Index DXY</t>
        </is>
      </c>
      <c r="W6" s="7">
        <f>INDEX(LINEST($L$4:$L$284,$M$4:$T$284,TRUE,TRUE),1,6)</f>
        <v/>
      </c>
      <c r="X6" s="7">
        <f>INDEX(LINEST($L$4:$L$284,$M$4:$T$284,TRUE,TRUE),2,6)</f>
        <v/>
      </c>
      <c r="Y6" s="7">
        <f>W6/X6</f>
        <v/>
      </c>
    </row>
    <row r="7">
      <c r="A7" s="5" t="n">
        <v>37772</v>
      </c>
      <c r="B7" s="6" t="n">
        <v>361.4</v>
      </c>
      <c r="C7" s="6" t="n">
        <v>1.6</v>
      </c>
      <c r="D7" s="6" t="n">
        <v>1.77</v>
      </c>
      <c r="E7" s="6" t="n">
        <v>93.269997</v>
      </c>
      <c r="F7" s="6" t="n">
        <v>29.56</v>
      </c>
      <c r="G7" s="6" t="n">
        <v>19.47</v>
      </c>
      <c r="H7" s="6" t="n">
        <v>99.80999799999999</v>
      </c>
      <c r="I7" s="6" t="n">
        <v>963.590027</v>
      </c>
      <c r="J7" s="6" t="n">
        <v>49.950304</v>
      </c>
      <c r="L7" s="7">
        <f>LN(B7/B6)</f>
        <v/>
      </c>
      <c r="M7" s="7">
        <f>C7-C6</f>
        <v/>
      </c>
      <c r="N7" s="7">
        <f>D7-D6</f>
        <v/>
      </c>
      <c r="O7" s="7">
        <f>LN(E7/E6)</f>
        <v/>
      </c>
      <c r="P7" s="7">
        <f>LN(F7/F6)</f>
        <v/>
      </c>
      <c r="Q7" s="7">
        <f>G7-G6</f>
        <v/>
      </c>
      <c r="R7" s="7">
        <f>H7-H6</f>
        <v/>
      </c>
      <c r="S7" s="7">
        <f>LN(I7/I6)</f>
        <v/>
      </c>
      <c r="T7" s="7">
        <f>LN(J7/J6)</f>
        <v/>
      </c>
      <c r="U7" s="7">
        <f>$W$12+$W$4*M7+$W$5*N7+$W$6*O7+$W$7*P7+$W$8*Q7+$W$9*R7+$W$10*S7+$W$11*T7</f>
        <v/>
      </c>
      <c r="V7" t="inlineStr">
        <is>
          <t>WTI crude oil</t>
        </is>
      </c>
      <c r="W7" s="7">
        <f>INDEX(LINEST($L$4:$L$284,$M$4:$T$284,TRUE,TRUE),1,5)</f>
        <v/>
      </c>
      <c r="X7" s="7">
        <f>INDEX(LINEST($L$4:$L$284,$M$4:$T$284,TRUE,TRUE),2,5)</f>
        <v/>
      </c>
      <c r="Y7" s="7">
        <f>W7/X7</f>
        <v/>
      </c>
    </row>
    <row r="8">
      <c r="A8" s="5" t="n">
        <v>37802</v>
      </c>
      <c r="B8" s="6" t="n">
        <v>346</v>
      </c>
      <c r="C8" s="6" t="n">
        <v>1.64</v>
      </c>
      <c r="D8" s="6" t="n">
        <v>1.9</v>
      </c>
      <c r="E8" s="6" t="n">
        <v>94.730003</v>
      </c>
      <c r="F8" s="6" t="n">
        <v>30.15</v>
      </c>
      <c r="G8" s="6" t="n">
        <v>19.52</v>
      </c>
      <c r="H8" s="6" t="n">
        <v>103.599998</v>
      </c>
      <c r="I8" s="6" t="n">
        <v>974.5</v>
      </c>
      <c r="J8" s="6" t="n">
        <v>49.885572</v>
      </c>
      <c r="L8" s="7">
        <f>LN(B8/B7)</f>
        <v/>
      </c>
      <c r="M8" s="7">
        <f>C8-C7</f>
        <v/>
      </c>
      <c r="N8" s="7">
        <f>D8-D7</f>
        <v/>
      </c>
      <c r="O8" s="7">
        <f>LN(E8/E7)</f>
        <v/>
      </c>
      <c r="P8" s="7">
        <f>LN(F8/F7)</f>
        <v/>
      </c>
      <c r="Q8" s="7">
        <f>G8-G7</f>
        <v/>
      </c>
      <c r="R8" s="7">
        <f>H8-H7</f>
        <v/>
      </c>
      <c r="S8" s="7">
        <f>LN(I8/I7)</f>
        <v/>
      </c>
      <c r="T8" s="7">
        <f>LN(J8/J7)</f>
        <v/>
      </c>
      <c r="U8" s="7">
        <f>$W$12+$W$4*M8+$W$5*N8+$W$6*O8+$W$7*P8+$W$8*Q8+$W$9*R8+$W$10*S8+$W$11*T8</f>
        <v/>
      </c>
      <c r="V8" t="inlineStr">
        <is>
          <t>Equity vol VIX</t>
        </is>
      </c>
      <c r="W8" s="7">
        <f>INDEX(LINEST($L$4:$L$284,$M$4:$T$284,TRUE,TRUE),1,4)</f>
        <v/>
      </c>
      <c r="X8" s="7">
        <f>INDEX(LINEST($L$4:$L$284,$M$4:$T$284,TRUE,TRUE),2,4)</f>
        <v/>
      </c>
      <c r="Y8" s="7">
        <f>W8/X8</f>
        <v/>
      </c>
    </row>
    <row r="9">
      <c r="A9" s="5" t="n">
        <v>37833</v>
      </c>
      <c r="B9" s="6" t="n">
        <v>354.75</v>
      </c>
      <c r="C9" s="6" t="n">
        <v>2.08</v>
      </c>
      <c r="D9" s="6" t="n">
        <v>2.41</v>
      </c>
      <c r="E9" s="6" t="n">
        <v>96.889999</v>
      </c>
      <c r="F9" s="6" t="n">
        <v>30.56</v>
      </c>
      <c r="G9" s="6" t="n">
        <v>19.49</v>
      </c>
      <c r="H9" s="6" t="n">
        <v>160.860001</v>
      </c>
      <c r="I9" s="6" t="n">
        <v>990.309998</v>
      </c>
      <c r="J9" s="6" t="n">
        <v>48.220414</v>
      </c>
      <c r="L9" s="7">
        <f>LN(B9/B8)</f>
        <v/>
      </c>
      <c r="M9" s="7">
        <f>C9-C8</f>
        <v/>
      </c>
      <c r="N9" s="7">
        <f>D9-D8</f>
        <v/>
      </c>
      <c r="O9" s="7">
        <f>LN(E9/E8)</f>
        <v/>
      </c>
      <c r="P9" s="7">
        <f>LN(F9/F8)</f>
        <v/>
      </c>
      <c r="Q9" s="7">
        <f>G9-G8</f>
        <v/>
      </c>
      <c r="R9" s="7">
        <f>H9-H8</f>
        <v/>
      </c>
      <c r="S9" s="7">
        <f>LN(I9/I8)</f>
        <v/>
      </c>
      <c r="T9" s="7">
        <f>LN(J9/J8)</f>
        <v/>
      </c>
      <c r="U9" s="7">
        <f>$W$12+$W$4*M9+$W$5*N9+$W$6*O9+$W$7*P9+$W$8*Q9+$W$9*R9+$W$10*S9+$W$11*T9</f>
        <v/>
      </c>
      <c r="V9" t="inlineStr">
        <is>
          <t>Rate vol MOVE</t>
        </is>
      </c>
      <c r="W9" s="7">
        <f>INDEX(LINEST($L$4:$L$284,$M$4:$T$284,TRUE,TRUE),1,3)</f>
        <v/>
      </c>
      <c r="X9" s="7">
        <f>INDEX(LINEST($L$4:$L$284,$M$4:$T$284,TRUE,TRUE),2,3)</f>
        <v/>
      </c>
      <c r="Y9" s="7">
        <f>W9/X9</f>
        <v/>
      </c>
    </row>
    <row r="10">
      <c r="A10" s="5" t="n">
        <v>37864</v>
      </c>
      <c r="B10" s="6" t="n">
        <v>375.6</v>
      </c>
      <c r="C10" s="6" t="n">
        <v>2.16</v>
      </c>
      <c r="D10" s="6" t="n">
        <v>2.29</v>
      </c>
      <c r="E10" s="6" t="n">
        <v>98.099998</v>
      </c>
      <c r="F10" s="6" t="n">
        <v>31.76</v>
      </c>
      <c r="G10" s="6" t="n">
        <v>18.63</v>
      </c>
      <c r="H10" s="6" t="n">
        <v>126.550003</v>
      </c>
      <c r="I10" s="6" t="n">
        <v>1008.01001</v>
      </c>
      <c r="J10" s="6" t="n">
        <v>48.515624</v>
      </c>
      <c r="L10" s="7">
        <f>LN(B10/B9)</f>
        <v/>
      </c>
      <c r="M10" s="7">
        <f>C10-C9</f>
        <v/>
      </c>
      <c r="N10" s="7">
        <f>D10-D9</f>
        <v/>
      </c>
      <c r="O10" s="7">
        <f>LN(E10/E9)</f>
        <v/>
      </c>
      <c r="P10" s="7">
        <f>LN(F10/F9)</f>
        <v/>
      </c>
      <c r="Q10" s="7">
        <f>G10-G9</f>
        <v/>
      </c>
      <c r="R10" s="7">
        <f>H10-H9</f>
        <v/>
      </c>
      <c r="S10" s="7">
        <f>LN(I10/I9)</f>
        <v/>
      </c>
      <c r="T10" s="7">
        <f>LN(J10/J9)</f>
        <v/>
      </c>
      <c r="U10" s="7">
        <f>$W$12+$W$4*M10+$W$5*N10+$W$6*O10+$W$7*P10+$W$8*Q10+$W$9*R10+$W$10*S10+$W$11*T10</f>
        <v/>
      </c>
      <c r="V10" t="inlineStr">
        <is>
          <t>S&amp;P 500 (price)</t>
        </is>
      </c>
      <c r="W10" s="7">
        <f>INDEX(LINEST($L$4:$L$284,$M$4:$T$284,TRUE,TRUE),1,2)</f>
        <v/>
      </c>
      <c r="X10" s="7">
        <f>INDEX(LINEST($L$4:$L$284,$M$4:$T$284,TRUE,TRUE),2,2)</f>
        <v/>
      </c>
      <c r="Y10" s="7">
        <f>W10/X10</f>
        <v/>
      </c>
    </row>
    <row r="11">
      <c r="A11" s="5" t="n">
        <v>37894</v>
      </c>
      <c r="B11" s="6" t="n">
        <v>388</v>
      </c>
      <c r="C11" s="6" t="n">
        <v>2.01</v>
      </c>
      <c r="D11" s="6" t="n">
        <v>1.95</v>
      </c>
      <c r="E11" s="6" t="n">
        <v>92.849998</v>
      </c>
      <c r="F11" s="6" t="n">
        <v>29.19</v>
      </c>
      <c r="G11" s="6" t="n">
        <v>22.72</v>
      </c>
      <c r="H11" s="6" t="n">
        <v>116.690002</v>
      </c>
      <c r="I11" s="6" t="n">
        <v>995.969971</v>
      </c>
      <c r="J11" s="6" t="n">
        <v>49.678352</v>
      </c>
      <c r="L11" s="7">
        <f>LN(B11/B10)</f>
        <v/>
      </c>
      <c r="M11" s="7">
        <f>C11-C10</f>
        <v/>
      </c>
      <c r="N11" s="7">
        <f>D11-D10</f>
        <v/>
      </c>
      <c r="O11" s="7">
        <f>LN(E11/E10)</f>
        <v/>
      </c>
      <c r="P11" s="7">
        <f>LN(F11/F10)</f>
        <v/>
      </c>
      <c r="Q11" s="7">
        <f>G11-G10</f>
        <v/>
      </c>
      <c r="R11" s="7">
        <f>H11-H10</f>
        <v/>
      </c>
      <c r="S11" s="7">
        <f>LN(I11/I10)</f>
        <v/>
      </c>
      <c r="T11" s="7">
        <f>LN(J11/J10)</f>
        <v/>
      </c>
      <c r="U11" s="7">
        <f>$W$12+$W$4*M11+$W$5*N11+$W$6*O11+$W$7*P11+$W$8*Q11+$W$9*R11+$W$10*S11+$W$11*T11</f>
        <v/>
      </c>
      <c r="V11" t="inlineStr">
        <is>
          <t>US Agg bonds TR</t>
        </is>
      </c>
      <c r="W11" s="7">
        <f>INDEX(LINEST($L$4:$L$284,$M$4:$T$284,TRUE,TRUE),1,1)</f>
        <v/>
      </c>
      <c r="X11" s="7">
        <f>INDEX(LINEST($L$4:$L$284,$M$4:$T$284,TRUE,TRUE),2,1)</f>
        <v/>
      </c>
      <c r="Y11" s="7">
        <f>W11/X11</f>
        <v/>
      </c>
    </row>
    <row r="12">
      <c r="A12" s="5" t="n">
        <v>37925</v>
      </c>
      <c r="B12" s="6" t="n">
        <v>386.25</v>
      </c>
      <c r="C12" s="6" t="n">
        <v>2.4</v>
      </c>
      <c r="D12" s="6" t="n">
        <v>1.93</v>
      </c>
      <c r="E12" s="6" t="n">
        <v>92.730003</v>
      </c>
      <c r="F12" s="6" t="n">
        <v>29.24</v>
      </c>
      <c r="G12" s="6" t="n">
        <v>16.1</v>
      </c>
      <c r="H12" s="6" t="n">
        <v>118.760002</v>
      </c>
      <c r="I12" s="6" t="n">
        <v>1050.709961</v>
      </c>
      <c r="J12" s="6" t="n">
        <v>49.21402</v>
      </c>
      <c r="L12" s="7">
        <f>LN(B12/B11)</f>
        <v/>
      </c>
      <c r="M12" s="7">
        <f>C12-C11</f>
        <v/>
      </c>
      <c r="N12" s="7">
        <f>D12-D11</f>
        <v/>
      </c>
      <c r="O12" s="7">
        <f>LN(E12/E11)</f>
        <v/>
      </c>
      <c r="P12" s="7">
        <f>LN(F12/F11)</f>
        <v/>
      </c>
      <c r="Q12" s="7">
        <f>G12-G11</f>
        <v/>
      </c>
      <c r="R12" s="7">
        <f>H12-H11</f>
        <v/>
      </c>
      <c r="S12" s="7">
        <f>LN(I12/I11)</f>
        <v/>
      </c>
      <c r="T12" s="7">
        <f>LN(J12/J11)</f>
        <v/>
      </c>
      <c r="U12" s="7">
        <f>$W$12+$W$4*M12+$W$5*N12+$W$6*O12+$W$7*P12+$W$8*Q12+$W$9*R12+$W$10*S12+$W$11*T12</f>
        <v/>
      </c>
      <c r="V12" t="inlineStr">
        <is>
          <t>Intercept α</t>
        </is>
      </c>
      <c r="W12" s="7">
        <f>INDEX(LINEST($L$4:$L$284,$M$4:$T$284,TRUE,TRUE),1,9)</f>
        <v/>
      </c>
      <c r="X12" s="7">
        <f>INDEX(LINEST($L$4:$L$284,$M$4:$T$284,TRUE,TRUE),2,9)</f>
        <v/>
      </c>
      <c r="Y12" s="7">
        <f>W12/X12</f>
        <v/>
      </c>
    </row>
    <row r="13">
      <c r="A13" s="5" t="n">
        <v>37955</v>
      </c>
      <c r="B13" s="6" t="n">
        <v>398.35</v>
      </c>
      <c r="C13" s="6" t="n">
        <v>2.31</v>
      </c>
      <c r="D13" s="6" t="n">
        <v>2.03</v>
      </c>
      <c r="E13" s="6" t="n">
        <v>90.209999</v>
      </c>
      <c r="F13" s="6" t="n">
        <v>30.33</v>
      </c>
      <c r="G13" s="6" t="n">
        <v>16.32</v>
      </c>
      <c r="H13" s="6" t="n">
        <v>104.910004</v>
      </c>
      <c r="I13" s="6" t="n">
        <v>1058.199951</v>
      </c>
      <c r="J13" s="6" t="n">
        <v>49.378567</v>
      </c>
      <c r="L13" s="7">
        <f>LN(B13/B12)</f>
        <v/>
      </c>
      <c r="M13" s="7">
        <f>C13-C12</f>
        <v/>
      </c>
      <c r="N13" s="7">
        <f>D13-D12</f>
        <v/>
      </c>
      <c r="O13" s="7">
        <f>LN(E13/E12)</f>
        <v/>
      </c>
      <c r="P13" s="7">
        <f>LN(F13/F12)</f>
        <v/>
      </c>
      <c r="Q13" s="7">
        <f>G13-G12</f>
        <v/>
      </c>
      <c r="R13" s="7">
        <f>H13-H12</f>
        <v/>
      </c>
      <c r="S13" s="7">
        <f>LN(I13/I12)</f>
        <v/>
      </c>
      <c r="T13" s="7">
        <f>LN(J13/J12)</f>
        <v/>
      </c>
      <c r="U13" s="7">
        <f>$W$12+$W$4*M13+$W$5*N13+$W$6*O13+$W$7*P13+$W$8*Q13+$W$9*R13+$W$10*S13+$W$11*T13</f>
        <v/>
      </c>
    </row>
    <row r="14">
      <c r="A14" s="5" t="n">
        <v>37986</v>
      </c>
      <c r="B14" s="6" t="n">
        <v>416.25</v>
      </c>
      <c r="C14" s="6" t="n">
        <v>2.27</v>
      </c>
      <c r="D14" s="6" t="n">
        <v>2</v>
      </c>
      <c r="E14" s="6" t="n">
        <v>86.91999800000001</v>
      </c>
      <c r="F14" s="6" t="n">
        <v>32.51</v>
      </c>
      <c r="G14" s="6" t="n">
        <v>18.31</v>
      </c>
      <c r="H14" s="6" t="n">
        <v>117.910004</v>
      </c>
      <c r="I14" s="6" t="n">
        <v>1111.920044</v>
      </c>
      <c r="J14" s="6" t="n">
        <v>49.86211</v>
      </c>
      <c r="L14" s="7">
        <f>LN(B14/B13)</f>
        <v/>
      </c>
      <c r="M14" s="7">
        <f>C14-C13</f>
        <v/>
      </c>
      <c r="N14" s="7">
        <f>D14-D13</f>
        <v/>
      </c>
      <c r="O14" s="7">
        <f>LN(E14/E13)</f>
        <v/>
      </c>
      <c r="P14" s="7">
        <f>LN(F14/F13)</f>
        <v/>
      </c>
      <c r="Q14" s="7">
        <f>G14-G13</f>
        <v/>
      </c>
      <c r="R14" s="7">
        <f>H14-H13</f>
        <v/>
      </c>
      <c r="S14" s="7">
        <f>LN(I14/I13)</f>
        <v/>
      </c>
      <c r="T14" s="7">
        <f>LN(J14/J13)</f>
        <v/>
      </c>
      <c r="U14" s="7">
        <f>$W$12+$W$4*M14+$W$5*N14+$W$6*O14+$W$7*P14+$W$8*Q14+$W$9*R14+$W$10*S14+$W$11*T14</f>
        <v/>
      </c>
      <c r="V14" t="inlineStr">
        <is>
          <t>R²</t>
        </is>
      </c>
      <c r="W14" s="8">
        <f>INDEX(LINEST($L$4:$L$284,$M$4:$T$284,TRUE,TRUE),3,1)</f>
        <v/>
      </c>
    </row>
    <row r="15">
      <c r="A15" s="5" t="n">
        <v>38017</v>
      </c>
      <c r="B15" s="6" t="n">
        <v>399.75</v>
      </c>
      <c r="C15" s="6" t="n">
        <v>2.31</v>
      </c>
      <c r="D15" s="6" t="n">
        <v>1.85</v>
      </c>
      <c r="E15" s="6" t="n">
        <v>87.199997</v>
      </c>
      <c r="F15" s="6" t="n">
        <v>33.16</v>
      </c>
      <c r="G15" s="6" t="n">
        <v>16.63</v>
      </c>
      <c r="H15" s="6" t="n">
        <v>116.75</v>
      </c>
      <c r="I15" s="6" t="n">
        <v>1131.130005</v>
      </c>
      <c r="J15" s="6" t="n">
        <v>50.081753</v>
      </c>
      <c r="L15" s="7">
        <f>LN(B15/B14)</f>
        <v/>
      </c>
      <c r="M15" s="7">
        <f>C15-C14</f>
        <v/>
      </c>
      <c r="N15" s="7">
        <f>D15-D14</f>
        <v/>
      </c>
      <c r="O15" s="7">
        <f>LN(E15/E14)</f>
        <v/>
      </c>
      <c r="P15" s="7">
        <f>LN(F15/F14)</f>
        <v/>
      </c>
      <c r="Q15" s="7">
        <f>G15-G14</f>
        <v/>
      </c>
      <c r="R15" s="7">
        <f>H15-H14</f>
        <v/>
      </c>
      <c r="S15" s="7">
        <f>LN(I15/I14)</f>
        <v/>
      </c>
      <c r="T15" s="7">
        <f>LN(J15/J14)</f>
        <v/>
      </c>
      <c r="U15" s="7">
        <f>$W$12+$W$4*M15+$W$5*N15+$W$6*O15+$W$7*P15+$W$8*Q15+$W$9*R15+$W$10*S15+$W$11*T15</f>
        <v/>
      </c>
      <c r="V15" t="inlineStr">
        <is>
          <t>α annualized</t>
        </is>
      </c>
      <c r="W15" s="8">
        <f>W12*12</f>
        <v/>
      </c>
    </row>
    <row r="16">
      <c r="A16" s="5" t="n">
        <v>38046</v>
      </c>
      <c r="B16" s="6" t="n">
        <v>395.85</v>
      </c>
      <c r="C16" s="6" t="n">
        <v>2.38</v>
      </c>
      <c r="D16" s="6" t="n">
        <v>1.61</v>
      </c>
      <c r="E16" s="6" t="n">
        <v>87.30999799999999</v>
      </c>
      <c r="F16" s="6" t="n">
        <v>36.08</v>
      </c>
      <c r="G16" s="6" t="n">
        <v>14.55</v>
      </c>
      <c r="H16" s="6" t="n">
        <v>90.139999</v>
      </c>
      <c r="I16" s="6" t="n">
        <v>1144.939941</v>
      </c>
      <c r="J16" s="6" t="n">
        <v>50.653458</v>
      </c>
      <c r="L16" s="7">
        <f>LN(B16/B15)</f>
        <v/>
      </c>
      <c r="M16" s="7">
        <f>C16-C15</f>
        <v/>
      </c>
      <c r="N16" s="7">
        <f>D16-D15</f>
        <v/>
      </c>
      <c r="O16" s="7">
        <f>LN(E16/E15)</f>
        <v/>
      </c>
      <c r="P16" s="7">
        <f>LN(F16/F15)</f>
        <v/>
      </c>
      <c r="Q16" s="7">
        <f>G16-G15</f>
        <v/>
      </c>
      <c r="R16" s="7">
        <f>H16-H15</f>
        <v/>
      </c>
      <c r="S16" s="7">
        <f>LN(I16/I15)</f>
        <v/>
      </c>
      <c r="T16" s="7">
        <f>LN(J16/J15)</f>
        <v/>
      </c>
      <c r="U16" s="7">
        <f>$W$12+$W$4*M16+$W$5*N16+$W$6*O16+$W$7*P16+$W$8*Q16+$W$9*R16+$W$10*S16+$W$11*T16</f>
        <v/>
      </c>
    </row>
    <row r="17">
      <c r="A17" s="5" t="n">
        <v>38077</v>
      </c>
      <c r="B17" s="6" t="n">
        <v>423.7</v>
      </c>
      <c r="C17" s="6" t="n">
        <v>2.38</v>
      </c>
      <c r="D17" s="6" t="n">
        <v>1.48</v>
      </c>
      <c r="E17" s="6" t="n">
        <v>87.610001</v>
      </c>
      <c r="F17" s="6" t="n">
        <v>35.75</v>
      </c>
      <c r="G17" s="6" t="n">
        <v>16.74</v>
      </c>
      <c r="H17" s="6" t="n">
        <v>105.919998</v>
      </c>
      <c r="I17" s="6" t="n">
        <v>1126.209961</v>
      </c>
      <c r="J17" s="6" t="n">
        <v>50.999817</v>
      </c>
      <c r="L17" s="7">
        <f>LN(B17/B16)</f>
        <v/>
      </c>
      <c r="M17" s="7">
        <f>C17-C16</f>
        <v/>
      </c>
      <c r="N17" s="7">
        <f>D17-D16</f>
        <v/>
      </c>
      <c r="O17" s="7">
        <f>LN(E17/E16)</f>
        <v/>
      </c>
      <c r="P17" s="7">
        <f>LN(F17/F16)</f>
        <v/>
      </c>
      <c r="Q17" s="7">
        <f>G17-G16</f>
        <v/>
      </c>
      <c r="R17" s="7">
        <f>H17-H16</f>
        <v/>
      </c>
      <c r="S17" s="7">
        <f>LN(I17/I16)</f>
        <v/>
      </c>
      <c r="T17" s="7">
        <f>LN(J17/J16)</f>
        <v/>
      </c>
      <c r="U17" s="7">
        <f>$W$12+$W$4*M17+$W$5*N17+$W$6*O17+$W$7*P17+$W$8*Q17+$W$9*R17+$W$10*S17+$W$11*T17</f>
        <v/>
      </c>
    </row>
    <row r="18">
      <c r="A18" s="5" t="n">
        <v>38107</v>
      </c>
      <c r="B18" s="6" t="n">
        <v>388.5</v>
      </c>
      <c r="C18" s="6" t="n">
        <v>2.42</v>
      </c>
      <c r="D18" s="6" t="n">
        <v>2.11</v>
      </c>
      <c r="E18" s="6" t="n">
        <v>90.480003</v>
      </c>
      <c r="F18" s="6" t="n">
        <v>37.31</v>
      </c>
      <c r="G18" s="6" t="n">
        <v>17.19</v>
      </c>
      <c r="H18" s="6" t="n">
        <v>122.93</v>
      </c>
      <c r="I18" s="6" t="n">
        <v>1107.300049</v>
      </c>
      <c r="J18" s="6" t="n">
        <v>49.568539</v>
      </c>
      <c r="L18" s="7">
        <f>LN(B18/B17)</f>
        <v/>
      </c>
      <c r="M18" s="7">
        <f>C18-C17</f>
        <v/>
      </c>
      <c r="N18" s="7">
        <f>D18-D17</f>
        <v/>
      </c>
      <c r="O18" s="7">
        <f>LN(E18/E17)</f>
        <v/>
      </c>
      <c r="P18" s="7">
        <f>LN(F18/F17)</f>
        <v/>
      </c>
      <c r="Q18" s="7">
        <f>G18-G17</f>
        <v/>
      </c>
      <c r="R18" s="7">
        <f>H18-H17</f>
        <v/>
      </c>
      <c r="S18" s="7">
        <f>LN(I18/I17)</f>
        <v/>
      </c>
      <c r="T18" s="7">
        <f>LN(J18/J17)</f>
        <v/>
      </c>
      <c r="U18" s="7">
        <f>$W$12+$W$4*M18+$W$5*N18+$W$6*O18+$W$7*P18+$W$8*Q18+$W$9*R18+$W$10*S18+$W$11*T18</f>
        <v/>
      </c>
    </row>
    <row r="19">
      <c r="A19" s="5" t="n">
        <v>38138</v>
      </c>
      <c r="B19" s="6" t="n">
        <v>393.25</v>
      </c>
      <c r="C19" s="6" t="n">
        <v>2.66</v>
      </c>
      <c r="D19" s="6" t="n">
        <v>2</v>
      </c>
      <c r="E19" s="6" t="n">
        <v>88.949997</v>
      </c>
      <c r="F19" s="6" t="n">
        <v>39.9</v>
      </c>
      <c r="G19" s="6" t="n">
        <v>15.5</v>
      </c>
      <c r="H19" s="6" t="n">
        <v>106.120003</v>
      </c>
      <c r="I19" s="6" t="n">
        <v>1120.680054</v>
      </c>
      <c r="J19" s="6" t="n">
        <v>49.381126</v>
      </c>
      <c r="L19" s="7">
        <f>LN(B19/B18)</f>
        <v/>
      </c>
      <c r="M19" s="7">
        <f>C19-C18</f>
        <v/>
      </c>
      <c r="N19" s="7">
        <f>D19-D18</f>
        <v/>
      </c>
      <c r="O19" s="7">
        <f>LN(E19/E18)</f>
        <v/>
      </c>
      <c r="P19" s="7">
        <f>LN(F19/F18)</f>
        <v/>
      </c>
      <c r="Q19" s="7">
        <f>G19-G18</f>
        <v/>
      </c>
      <c r="R19" s="7">
        <f>H19-H18</f>
        <v/>
      </c>
      <c r="S19" s="7">
        <f>LN(I19/I18)</f>
        <v/>
      </c>
      <c r="T19" s="7">
        <f>LN(J19/J18)</f>
        <v/>
      </c>
      <c r="U19" s="7">
        <f>$W$12+$W$4*M19+$W$5*N19+$W$6*O19+$W$7*P19+$W$8*Q19+$W$9*R19+$W$10*S19+$W$11*T19</f>
        <v/>
      </c>
    </row>
    <row r="20">
      <c r="A20" s="5" t="n">
        <v>38168</v>
      </c>
      <c r="B20" s="6" t="n">
        <v>395.8</v>
      </c>
      <c r="C20" s="6" t="n">
        <v>2.52</v>
      </c>
      <c r="D20" s="6" t="n">
        <v>2.1</v>
      </c>
      <c r="E20" s="6" t="n">
        <v>88.800003</v>
      </c>
      <c r="F20" s="6" t="n">
        <v>36.92</v>
      </c>
      <c r="G20" s="6" t="n">
        <v>14.34</v>
      </c>
      <c r="H20" s="6" t="n">
        <v>93.910004</v>
      </c>
      <c r="I20" s="6" t="n">
        <v>1140.839966</v>
      </c>
      <c r="J20" s="6" t="n">
        <v>49.74081</v>
      </c>
      <c r="L20" s="7">
        <f>LN(B20/B19)</f>
        <v/>
      </c>
      <c r="M20" s="7">
        <f>C20-C19</f>
        <v/>
      </c>
      <c r="N20" s="7">
        <f>D20-D19</f>
        <v/>
      </c>
      <c r="O20" s="7">
        <f>LN(E20/E19)</f>
        <v/>
      </c>
      <c r="P20" s="7">
        <f>LN(F20/F19)</f>
        <v/>
      </c>
      <c r="Q20" s="7">
        <f>G20-G19</f>
        <v/>
      </c>
      <c r="R20" s="7">
        <f>H20-H19</f>
        <v/>
      </c>
      <c r="S20" s="7">
        <f>LN(I20/I19)</f>
        <v/>
      </c>
      <c r="T20" s="7">
        <f>LN(J20/J19)</f>
        <v/>
      </c>
      <c r="U20" s="7">
        <f>$W$12+$W$4*M20+$W$5*N20+$W$6*O20+$W$7*P20+$W$8*Q20+$W$9*R20+$W$10*S20+$W$11*T20</f>
        <v/>
      </c>
    </row>
    <row r="21">
      <c r="A21" s="5" t="n">
        <v>38199</v>
      </c>
      <c r="B21" s="6" t="n">
        <v>391.4</v>
      </c>
      <c r="C21" s="6" t="n">
        <v>2.49</v>
      </c>
      <c r="D21" s="6" t="n">
        <v>2.01</v>
      </c>
      <c r="E21" s="6" t="n">
        <v>89.959999</v>
      </c>
      <c r="F21" s="6" t="n">
        <v>43.72</v>
      </c>
      <c r="G21" s="6" t="n">
        <v>15.32</v>
      </c>
      <c r="H21" s="6" t="n">
        <v>97.209999</v>
      </c>
      <c r="I21" s="6" t="n">
        <v>1101.719971</v>
      </c>
      <c r="J21" s="6" t="n">
        <v>50.200871</v>
      </c>
      <c r="L21" s="7">
        <f>LN(B21/B20)</f>
        <v/>
      </c>
      <c r="M21" s="7">
        <f>C21-C20</f>
        <v/>
      </c>
      <c r="N21" s="7">
        <f>D21-D20</f>
        <v/>
      </c>
      <c r="O21" s="7">
        <f>LN(E21/E20)</f>
        <v/>
      </c>
      <c r="P21" s="7">
        <f>LN(F21/F20)</f>
        <v/>
      </c>
      <c r="Q21" s="7">
        <f>G21-G20</f>
        <v/>
      </c>
      <c r="R21" s="7">
        <f>H21-H20</f>
        <v/>
      </c>
      <c r="S21" s="7">
        <f>LN(I21/I20)</f>
        <v/>
      </c>
      <c r="T21" s="7">
        <f>LN(J21/J20)</f>
        <v/>
      </c>
      <c r="U21" s="7">
        <f>$W$12+$W$4*M21+$W$5*N21+$W$6*O21+$W$7*P21+$W$8*Q21+$W$9*R21+$W$10*S21+$W$11*T21</f>
        <v/>
      </c>
    </row>
    <row r="22">
      <c r="A22" s="5" t="n">
        <v>38230</v>
      </c>
      <c r="B22" s="6" t="n">
        <v>407.25</v>
      </c>
      <c r="C22" s="6" t="n">
        <v>2.35</v>
      </c>
      <c r="D22" s="6" t="n">
        <v>1.78</v>
      </c>
      <c r="E22" s="6" t="n">
        <v>88.94000200000001</v>
      </c>
      <c r="F22" s="6" t="n">
        <v>42.23</v>
      </c>
      <c r="G22" s="6" t="n">
        <v>15.29</v>
      </c>
      <c r="H22" s="6" t="n">
        <v>102.660004</v>
      </c>
      <c r="I22" s="6" t="n">
        <v>1104.23999</v>
      </c>
      <c r="J22" s="6" t="n">
        <v>51.013432</v>
      </c>
      <c r="L22" s="7">
        <f>LN(B22/B21)</f>
        <v/>
      </c>
      <c r="M22" s="7">
        <f>C22-C21</f>
        <v/>
      </c>
      <c r="N22" s="7">
        <f>D22-D21</f>
        <v/>
      </c>
      <c r="O22" s="7">
        <f>LN(E22/E21)</f>
        <v/>
      </c>
      <c r="P22" s="7">
        <f>LN(F22/F21)</f>
        <v/>
      </c>
      <c r="Q22" s="7">
        <f>G22-G21</f>
        <v/>
      </c>
      <c r="R22" s="7">
        <f>H22-H21</f>
        <v/>
      </c>
      <c r="S22" s="7">
        <f>LN(I22/I21)</f>
        <v/>
      </c>
      <c r="T22" s="7">
        <f>LN(J22/J21)</f>
        <v/>
      </c>
      <c r="U22" s="7">
        <f>$W$12+$W$4*M22+$W$5*N22+$W$6*O22+$W$7*P22+$W$8*Q22+$W$9*R22+$W$10*S22+$W$11*T22</f>
        <v/>
      </c>
    </row>
    <row r="23">
      <c r="A23" s="5" t="n">
        <v>38260</v>
      </c>
      <c r="B23" s="6" t="n">
        <v>415.65</v>
      </c>
      <c r="C23" s="6" t="n">
        <v>2.37</v>
      </c>
      <c r="D23" s="6" t="n">
        <v>1.77</v>
      </c>
      <c r="E23" s="6" t="n">
        <v>87.360001</v>
      </c>
      <c r="F23" s="6" t="n">
        <v>49.56</v>
      </c>
      <c r="G23" s="6" t="n">
        <v>13.34</v>
      </c>
      <c r="H23" s="6" t="n">
        <v>92.889999</v>
      </c>
      <c r="I23" s="6" t="n">
        <v>1114.579956</v>
      </c>
      <c r="J23" s="6" t="n">
        <v>51.277126</v>
      </c>
      <c r="L23" s="7">
        <f>LN(B23/B22)</f>
        <v/>
      </c>
      <c r="M23" s="7">
        <f>C23-C22</f>
        <v/>
      </c>
      <c r="N23" s="7">
        <f>D23-D22</f>
        <v/>
      </c>
      <c r="O23" s="7">
        <f>LN(E23/E22)</f>
        <v/>
      </c>
      <c r="P23" s="7">
        <f>LN(F23/F22)</f>
        <v/>
      </c>
      <c r="Q23" s="7">
        <f>G23-G22</f>
        <v/>
      </c>
      <c r="R23" s="7">
        <f>H23-H22</f>
        <v/>
      </c>
      <c r="S23" s="7">
        <f>LN(I23/I22)</f>
        <v/>
      </c>
      <c r="T23" s="7">
        <f>LN(J23/J22)</f>
        <v/>
      </c>
      <c r="U23" s="7">
        <f>$W$12+$W$4*M23+$W$5*N23+$W$6*O23+$W$7*P23+$W$8*Q23+$W$9*R23+$W$10*S23+$W$11*T23</f>
        <v/>
      </c>
    </row>
    <row r="24">
      <c r="A24" s="5" t="n">
        <v>38291</v>
      </c>
      <c r="B24" s="6" t="n">
        <v>425.55</v>
      </c>
      <c r="C24" s="6" t="n">
        <v>2.42</v>
      </c>
      <c r="D24" s="6" t="n">
        <v>1.63</v>
      </c>
      <c r="E24" s="6" t="n">
        <v>84.910004</v>
      </c>
      <c r="F24" s="6" t="n">
        <v>51.78</v>
      </c>
      <c r="G24" s="6" t="n">
        <v>16.27</v>
      </c>
      <c r="H24" s="6" t="n">
        <v>96.449997</v>
      </c>
      <c r="I24" s="6" t="n">
        <v>1130.199951</v>
      </c>
      <c r="J24" s="6" t="n">
        <v>51.721451</v>
      </c>
      <c r="L24" s="7">
        <f>LN(B24/B23)</f>
        <v/>
      </c>
      <c r="M24" s="7">
        <f>C24-C23</f>
        <v/>
      </c>
      <c r="N24" s="7">
        <f>D24-D23</f>
        <v/>
      </c>
      <c r="O24" s="7">
        <f>LN(E24/E23)</f>
        <v/>
      </c>
      <c r="P24" s="7">
        <f>LN(F24/F23)</f>
        <v/>
      </c>
      <c r="Q24" s="7">
        <f>G24-G23</f>
        <v/>
      </c>
      <c r="R24" s="7">
        <f>H24-H23</f>
        <v/>
      </c>
      <c r="S24" s="7">
        <f>LN(I24/I23)</f>
        <v/>
      </c>
      <c r="T24" s="7">
        <f>LN(J24/J23)</f>
        <v/>
      </c>
      <c r="U24" s="7">
        <f>$W$12+$W$4*M24+$W$5*N24+$W$6*O24+$W$7*P24+$W$8*Q24+$W$9*R24+$W$10*S24+$W$11*T24</f>
        <v/>
      </c>
    </row>
    <row r="25">
      <c r="A25" s="5" t="n">
        <v>38321</v>
      </c>
      <c r="B25" s="6" t="n">
        <v>453.4</v>
      </c>
      <c r="C25" s="6" t="n">
        <v>2.61</v>
      </c>
      <c r="D25" s="6" t="n">
        <v>1.75</v>
      </c>
      <c r="E25" s="6" t="n">
        <v>81.81999999999999</v>
      </c>
      <c r="F25" s="6" t="n">
        <v>49.16</v>
      </c>
      <c r="G25" s="6" t="n">
        <v>13.24</v>
      </c>
      <c r="H25" s="6" t="n">
        <v>89.55999799999999</v>
      </c>
      <c r="I25" s="6" t="n">
        <v>1173.819946</v>
      </c>
      <c r="J25" s="6" t="n">
        <v>51.339222</v>
      </c>
      <c r="L25" s="7">
        <f>LN(B25/B24)</f>
        <v/>
      </c>
      <c r="M25" s="7">
        <f>C25-C24</f>
        <v/>
      </c>
      <c r="N25" s="7">
        <f>D25-D24</f>
        <v/>
      </c>
      <c r="O25" s="7">
        <f>LN(E25/E24)</f>
        <v/>
      </c>
      <c r="P25" s="7">
        <f>LN(F25/F24)</f>
        <v/>
      </c>
      <c r="Q25" s="7">
        <f>G25-G24</f>
        <v/>
      </c>
      <c r="R25" s="7">
        <f>H25-H24</f>
        <v/>
      </c>
      <c r="S25" s="7">
        <f>LN(I25/I24)</f>
        <v/>
      </c>
      <c r="T25" s="7">
        <f>LN(J25/J24)</f>
        <v/>
      </c>
      <c r="U25" s="7">
        <f>$W$12+$W$4*M25+$W$5*N25+$W$6*O25+$W$7*P25+$W$8*Q25+$W$9*R25+$W$10*S25+$W$11*T25</f>
        <v/>
      </c>
    </row>
    <row r="26">
      <c r="A26" s="5" t="n">
        <v>38352</v>
      </c>
      <c r="B26" s="6" t="n">
        <v>435.6</v>
      </c>
      <c r="C26" s="6" t="n">
        <v>2.56</v>
      </c>
      <c r="D26" s="6" t="n">
        <v>1.68</v>
      </c>
      <c r="E26" s="6" t="n">
        <v>80.849998</v>
      </c>
      <c r="F26" s="6" t="n">
        <v>43.36</v>
      </c>
      <c r="G26" s="6" t="n">
        <v>13.29</v>
      </c>
      <c r="H26" s="6" t="n">
        <v>86.599998</v>
      </c>
      <c r="I26" s="6" t="n">
        <v>1211.920044</v>
      </c>
      <c r="J26" s="6" t="n">
        <v>51.748566</v>
      </c>
      <c r="L26" s="7">
        <f>LN(B26/B25)</f>
        <v/>
      </c>
      <c r="M26" s="7">
        <f>C26-C25</f>
        <v/>
      </c>
      <c r="N26" s="7">
        <f>D26-D25</f>
        <v/>
      </c>
      <c r="O26" s="7">
        <f>LN(E26/E25)</f>
        <v/>
      </c>
      <c r="P26" s="7">
        <f>LN(F26/F25)</f>
        <v/>
      </c>
      <c r="Q26" s="7">
        <f>G26-G25</f>
        <v/>
      </c>
      <c r="R26" s="7">
        <f>H26-H25</f>
        <v/>
      </c>
      <c r="S26" s="7">
        <f>LN(I26/I25)</f>
        <v/>
      </c>
      <c r="T26" s="7">
        <f>LN(J26/J25)</f>
        <v/>
      </c>
      <c r="U26" s="7">
        <f>$W$12+$W$4*M26+$W$5*N26+$W$6*O26+$W$7*P26+$W$8*Q26+$W$9*R26+$W$10*S26+$W$11*T26</f>
        <v/>
      </c>
    </row>
    <row r="27">
      <c r="A27" s="5" t="n">
        <v>38383</v>
      </c>
      <c r="B27" s="6" t="n">
        <v>422.15</v>
      </c>
      <c r="C27" s="6" t="n">
        <v>2.49</v>
      </c>
      <c r="D27" s="6" t="n">
        <v>1.65</v>
      </c>
      <c r="E27" s="6" t="n">
        <v>83.599998</v>
      </c>
      <c r="F27" s="6" t="n">
        <v>48.25</v>
      </c>
      <c r="G27" s="6" t="n">
        <v>12.82</v>
      </c>
      <c r="H27" s="6" t="n">
        <v>79.290001</v>
      </c>
      <c r="I27" s="6" t="n">
        <v>1181.27002</v>
      </c>
      <c r="J27" s="6" t="n">
        <v>52.001225</v>
      </c>
      <c r="L27" s="7">
        <f>LN(B27/B26)</f>
        <v/>
      </c>
      <c r="M27" s="7">
        <f>C27-C26</f>
        <v/>
      </c>
      <c r="N27" s="7">
        <f>D27-D26</f>
        <v/>
      </c>
      <c r="O27" s="7">
        <f>LN(E27/E26)</f>
        <v/>
      </c>
      <c r="P27" s="7">
        <f>LN(F27/F26)</f>
        <v/>
      </c>
      <c r="Q27" s="7">
        <f>G27-G26</f>
        <v/>
      </c>
      <c r="R27" s="7">
        <f>H27-H26</f>
        <v/>
      </c>
      <c r="S27" s="7">
        <f>LN(I27/I26)</f>
        <v/>
      </c>
      <c r="T27" s="7">
        <f>LN(J27/J26)</f>
        <v/>
      </c>
      <c r="U27" s="7">
        <f>$W$12+$W$4*M27+$W$5*N27+$W$6*O27+$W$7*P27+$W$8*Q27+$W$9*R27+$W$10*S27+$W$11*T27</f>
        <v/>
      </c>
    </row>
    <row r="28">
      <c r="A28" s="5" t="n">
        <v>38411</v>
      </c>
      <c r="B28" s="6" t="n">
        <v>435.45</v>
      </c>
      <c r="C28" s="6" t="n">
        <v>2.66</v>
      </c>
      <c r="D28" s="6" t="n">
        <v>1.7</v>
      </c>
      <c r="E28" s="6" t="n">
        <v>82.510002</v>
      </c>
      <c r="F28" s="6" t="n">
        <v>51.75</v>
      </c>
      <c r="G28" s="6" t="n">
        <v>12.08</v>
      </c>
      <c r="H28" s="6" t="n">
        <v>90.050003</v>
      </c>
      <c r="I28" s="6" t="n">
        <v>1203.599976</v>
      </c>
      <c r="J28" s="6" t="n">
        <v>51.808109</v>
      </c>
      <c r="L28" s="7">
        <f>LN(B28/B27)</f>
        <v/>
      </c>
      <c r="M28" s="7">
        <f>C28-C27</f>
        <v/>
      </c>
      <c r="N28" s="7">
        <f>D28-D27</f>
        <v/>
      </c>
      <c r="O28" s="7">
        <f>LN(E28/E27)</f>
        <v/>
      </c>
      <c r="P28" s="7">
        <f>LN(F28/F27)</f>
        <v/>
      </c>
      <c r="Q28" s="7">
        <f>G28-G27</f>
        <v/>
      </c>
      <c r="R28" s="7">
        <f>H28-H27</f>
        <v/>
      </c>
      <c r="S28" s="7">
        <f>LN(I28/I27)</f>
        <v/>
      </c>
      <c r="T28" s="7">
        <f>LN(J28/J27)</f>
        <v/>
      </c>
      <c r="U28" s="7">
        <f>$W$12+$W$4*M28+$W$5*N28+$W$6*O28+$W$7*P28+$W$8*Q28+$W$9*R28+$W$10*S28+$W$11*T28</f>
        <v/>
      </c>
    </row>
    <row r="29">
      <c r="A29" s="5" t="n">
        <v>38442</v>
      </c>
      <c r="B29" s="6" t="n">
        <v>427.5</v>
      </c>
      <c r="C29" s="6" t="n">
        <v>2.71</v>
      </c>
      <c r="D29" s="6" t="n">
        <v>1.79</v>
      </c>
      <c r="E29" s="6" t="n">
        <v>84.05999799999999</v>
      </c>
      <c r="F29" s="6" t="n">
        <v>55.31</v>
      </c>
      <c r="G29" s="6" t="n">
        <v>14.02</v>
      </c>
      <c r="H29" s="6" t="n">
        <v>87.699997</v>
      </c>
      <c r="I29" s="6" t="n">
        <v>1180.589966</v>
      </c>
      <c r="J29" s="6" t="n">
        <v>51.303345</v>
      </c>
      <c r="L29" s="7">
        <f>LN(B29/B28)</f>
        <v/>
      </c>
      <c r="M29" s="7">
        <f>C29-C28</f>
        <v/>
      </c>
      <c r="N29" s="7">
        <f>D29-D28</f>
        <v/>
      </c>
      <c r="O29" s="7">
        <f>LN(E29/E28)</f>
        <v/>
      </c>
      <c r="P29" s="7">
        <f>LN(F29/F28)</f>
        <v/>
      </c>
      <c r="Q29" s="7">
        <f>G29-G28</f>
        <v/>
      </c>
      <c r="R29" s="7">
        <f>H29-H28</f>
        <v/>
      </c>
      <c r="S29" s="7">
        <f>LN(I29/I28)</f>
        <v/>
      </c>
      <c r="T29" s="7">
        <f>LN(J29/J28)</f>
        <v/>
      </c>
      <c r="U29" s="7">
        <f>$W$12+$W$4*M29+$W$5*N29+$W$6*O29+$W$7*P29+$W$8*Q29+$W$9*R29+$W$10*S29+$W$11*T29</f>
        <v/>
      </c>
    </row>
    <row r="30">
      <c r="A30" s="5" t="n">
        <v>38472</v>
      </c>
      <c r="B30" s="6" t="n">
        <v>435.7</v>
      </c>
      <c r="C30" s="6" t="n">
        <v>2.6</v>
      </c>
      <c r="D30" s="6" t="n">
        <v>1.61</v>
      </c>
      <c r="E30" s="6" t="n">
        <v>84.43000000000001</v>
      </c>
      <c r="F30" s="6" t="n">
        <v>49.2</v>
      </c>
      <c r="G30" s="6" t="n">
        <v>15.31</v>
      </c>
      <c r="H30" s="6" t="n">
        <v>82.529999</v>
      </c>
      <c r="I30" s="6" t="n">
        <v>1156.849976</v>
      </c>
      <c r="J30" s="6" t="n">
        <v>52.187256</v>
      </c>
      <c r="L30" s="7">
        <f>LN(B30/B29)</f>
        <v/>
      </c>
      <c r="M30" s="7">
        <f>C30-C29</f>
        <v/>
      </c>
      <c r="N30" s="7">
        <f>D30-D29</f>
        <v/>
      </c>
      <c r="O30" s="7">
        <f>LN(E30/E29)</f>
        <v/>
      </c>
      <c r="P30" s="7">
        <f>LN(F30/F29)</f>
        <v/>
      </c>
      <c r="Q30" s="7">
        <f>G30-G29</f>
        <v/>
      </c>
      <c r="R30" s="7">
        <f>H30-H29</f>
        <v/>
      </c>
      <c r="S30" s="7">
        <f>LN(I30/I29)</f>
        <v/>
      </c>
      <c r="T30" s="7">
        <f>LN(J30/J29)</f>
        <v/>
      </c>
      <c r="U30" s="7">
        <f>$W$12+$W$4*M30+$W$5*N30+$W$6*O30+$W$7*P30+$W$8*Q30+$W$9*R30+$W$10*S30+$W$11*T30</f>
        <v/>
      </c>
    </row>
    <row r="31">
      <c r="A31" s="5" t="n">
        <v>38503</v>
      </c>
      <c r="B31" s="6" t="n">
        <v>414.45</v>
      </c>
      <c r="C31" s="6" t="n">
        <v>2.37</v>
      </c>
      <c r="D31" s="6" t="n">
        <v>1.63</v>
      </c>
      <c r="E31" s="6" t="n">
        <v>87.760002</v>
      </c>
      <c r="F31" s="6" t="n">
        <v>52.08</v>
      </c>
      <c r="G31" s="6" t="n">
        <v>13.29</v>
      </c>
      <c r="H31" s="6" t="n">
        <v>75</v>
      </c>
      <c r="I31" s="6" t="n">
        <v>1191.5</v>
      </c>
      <c r="J31" s="6" t="n">
        <v>52.619133</v>
      </c>
      <c r="L31" s="7">
        <f>LN(B31/B30)</f>
        <v/>
      </c>
      <c r="M31" s="7">
        <f>C31-C30</f>
        <v/>
      </c>
      <c r="N31" s="7">
        <f>D31-D30</f>
        <v/>
      </c>
      <c r="O31" s="7">
        <f>LN(E31/E30)</f>
        <v/>
      </c>
      <c r="P31" s="7">
        <f>LN(F31/F30)</f>
        <v/>
      </c>
      <c r="Q31" s="7">
        <f>G31-G30</f>
        <v/>
      </c>
      <c r="R31" s="7">
        <f>H31-H30</f>
        <v/>
      </c>
      <c r="S31" s="7">
        <f>LN(I31/I30)</f>
        <v/>
      </c>
      <c r="T31" s="7">
        <f>LN(J31/J30)</f>
        <v/>
      </c>
      <c r="U31" s="7">
        <f>$W$12+$W$4*M31+$W$5*N31+$W$6*O31+$W$7*P31+$W$8*Q31+$W$9*R31+$W$10*S31+$W$11*T31</f>
        <v/>
      </c>
    </row>
    <row r="32">
      <c r="A32" s="5" t="n">
        <v>38533</v>
      </c>
      <c r="B32" s="6" t="n">
        <v>437.1</v>
      </c>
      <c r="C32" s="6" t="n">
        <v>2.27</v>
      </c>
      <c r="D32" s="6" t="n">
        <v>1.67</v>
      </c>
      <c r="E32" s="6" t="n">
        <v>89.110001</v>
      </c>
      <c r="F32" s="6" t="n">
        <v>56.63</v>
      </c>
      <c r="G32" s="6" t="n">
        <v>12.04</v>
      </c>
      <c r="H32" s="6" t="n">
        <v>75.599998</v>
      </c>
      <c r="I32" s="6" t="n">
        <v>1191.329956</v>
      </c>
      <c r="J32" s="6" t="n">
        <v>53.080238</v>
      </c>
      <c r="L32" s="7">
        <f>LN(B32/B31)</f>
        <v/>
      </c>
      <c r="M32" s="7">
        <f>C32-C31</f>
        <v/>
      </c>
      <c r="N32" s="7">
        <f>D32-D31</f>
        <v/>
      </c>
      <c r="O32" s="7">
        <f>LN(E32/E31)</f>
        <v/>
      </c>
      <c r="P32" s="7">
        <f>LN(F32/F31)</f>
        <v/>
      </c>
      <c r="Q32" s="7">
        <f>G32-G31</f>
        <v/>
      </c>
      <c r="R32" s="7">
        <f>H32-H31</f>
        <v/>
      </c>
      <c r="S32" s="7">
        <f>LN(I32/I31)</f>
        <v/>
      </c>
      <c r="T32" s="7">
        <f>LN(J32/J31)</f>
        <v/>
      </c>
      <c r="U32" s="7">
        <f>$W$12+$W$4*M32+$W$5*N32+$W$6*O32+$W$7*P32+$W$8*Q32+$W$9*R32+$W$10*S32+$W$11*T32</f>
        <v/>
      </c>
    </row>
    <row r="33">
      <c r="A33" s="5" t="n">
        <v>38564</v>
      </c>
      <c r="B33" s="6" t="n">
        <v>429</v>
      </c>
      <c r="C33" s="6" t="n">
        <v>2.36</v>
      </c>
      <c r="D33" s="6" t="n">
        <v>1.92</v>
      </c>
      <c r="E33" s="6" t="n">
        <v>89.349998</v>
      </c>
      <c r="F33" s="6" t="n">
        <v>60.71</v>
      </c>
      <c r="G33" s="6" t="n">
        <v>11.57</v>
      </c>
      <c r="H33" s="6" t="n">
        <v>74.800003</v>
      </c>
      <c r="I33" s="6" t="n">
        <v>1234.180054</v>
      </c>
      <c r="J33" s="6" t="n">
        <v>52.530582</v>
      </c>
      <c r="L33" s="7">
        <f>LN(B33/B32)</f>
        <v/>
      </c>
      <c r="M33" s="7">
        <f>C33-C32</f>
        <v/>
      </c>
      <c r="N33" s="7">
        <f>D33-D32</f>
        <v/>
      </c>
      <c r="O33" s="7">
        <f>LN(E33/E32)</f>
        <v/>
      </c>
      <c r="P33" s="7">
        <f>LN(F33/F32)</f>
        <v/>
      </c>
      <c r="Q33" s="7">
        <f>G33-G32</f>
        <v/>
      </c>
      <c r="R33" s="7">
        <f>H33-H32</f>
        <v/>
      </c>
      <c r="S33" s="7">
        <f>LN(I33/I32)</f>
        <v/>
      </c>
      <c r="T33" s="7">
        <f>LN(J33/J32)</f>
        <v/>
      </c>
      <c r="U33" s="7">
        <f>$W$12+$W$4*M33+$W$5*N33+$W$6*O33+$W$7*P33+$W$8*Q33+$W$9*R33+$W$10*S33+$W$11*T33</f>
        <v/>
      </c>
    </row>
    <row r="34">
      <c r="A34" s="5" t="n">
        <v>38595</v>
      </c>
      <c r="B34" s="6" t="n">
        <v>433.25</v>
      </c>
      <c r="C34" s="6" t="n">
        <v>2.37</v>
      </c>
      <c r="D34" s="6" t="n">
        <v>1.65</v>
      </c>
      <c r="E34" s="6" t="n">
        <v>87.58000199999999</v>
      </c>
      <c r="F34" s="6" t="n">
        <v>68.63</v>
      </c>
      <c r="G34" s="6" t="n">
        <v>12.6</v>
      </c>
      <c r="H34" s="6" t="n">
        <v>78.199997</v>
      </c>
      <c r="I34" s="6" t="n">
        <v>1220.329956</v>
      </c>
      <c r="J34" s="6" t="n">
        <v>53.151249</v>
      </c>
      <c r="L34" s="7">
        <f>LN(B34/B33)</f>
        <v/>
      </c>
      <c r="M34" s="7">
        <f>C34-C33</f>
        <v/>
      </c>
      <c r="N34" s="7">
        <f>D34-D33</f>
        <v/>
      </c>
      <c r="O34" s="7">
        <f>LN(E34/E33)</f>
        <v/>
      </c>
      <c r="P34" s="7">
        <f>LN(F34/F33)</f>
        <v/>
      </c>
      <c r="Q34" s="7">
        <f>G34-G33</f>
        <v/>
      </c>
      <c r="R34" s="7">
        <f>H34-H33</f>
        <v/>
      </c>
      <c r="S34" s="7">
        <f>LN(I34/I33)</f>
        <v/>
      </c>
      <c r="T34" s="7">
        <f>LN(J34/J33)</f>
        <v/>
      </c>
      <c r="U34" s="7">
        <f>$W$12+$W$4*M34+$W$5*N34+$W$6*O34+$W$7*P34+$W$8*Q34+$W$9*R34+$W$10*S34+$W$11*T34</f>
        <v/>
      </c>
    </row>
    <row r="35">
      <c r="A35" s="5" t="n">
        <v>38625</v>
      </c>
      <c r="B35" s="6" t="n">
        <v>473.25</v>
      </c>
      <c r="C35" s="6" t="n">
        <v>2.56</v>
      </c>
      <c r="D35" s="6" t="n">
        <v>1.78</v>
      </c>
      <c r="E35" s="6" t="n">
        <v>89.519997</v>
      </c>
      <c r="F35" s="6" t="n">
        <v>66.20999999999999</v>
      </c>
      <c r="G35" s="6" t="n">
        <v>11.92</v>
      </c>
      <c r="H35" s="6" t="n">
        <v>76.709999</v>
      </c>
      <c r="I35" s="6" t="n">
        <v>1228.810059</v>
      </c>
      <c r="J35" s="6" t="n">
        <v>52.653507</v>
      </c>
      <c r="L35" s="7">
        <f>LN(B35/B34)</f>
        <v/>
      </c>
      <c r="M35" s="7">
        <f>C35-C34</f>
        <v/>
      </c>
      <c r="N35" s="7">
        <f>D35-D34</f>
        <v/>
      </c>
      <c r="O35" s="7">
        <f>LN(E35/E34)</f>
        <v/>
      </c>
      <c r="P35" s="7">
        <f>LN(F35/F34)</f>
        <v/>
      </c>
      <c r="Q35" s="7">
        <f>G35-G34</f>
        <v/>
      </c>
      <c r="R35" s="7">
        <f>H35-H34</f>
        <v/>
      </c>
      <c r="S35" s="7">
        <f>LN(I35/I34)</f>
        <v/>
      </c>
      <c r="T35" s="7">
        <f>LN(J35/J34)</f>
        <v/>
      </c>
      <c r="U35" s="7">
        <f>$W$12+$W$4*M35+$W$5*N35+$W$6*O35+$W$7*P35+$W$8*Q35+$W$9*R35+$W$10*S35+$W$11*T35</f>
        <v/>
      </c>
    </row>
    <row r="36">
      <c r="A36" s="5" t="n">
        <v>38656</v>
      </c>
      <c r="B36" s="6" t="n">
        <v>470.75</v>
      </c>
      <c r="C36" s="6" t="n">
        <v>2.57</v>
      </c>
      <c r="D36" s="6" t="n">
        <v>2</v>
      </c>
      <c r="E36" s="6" t="n">
        <v>90.06999999999999</v>
      </c>
      <c r="F36" s="6" t="n">
        <v>59.8</v>
      </c>
      <c r="G36" s="6" t="n">
        <v>15.32</v>
      </c>
      <c r="H36" s="6" t="n">
        <v>80.08000199999999</v>
      </c>
      <c r="I36" s="6" t="n">
        <v>1207.01001</v>
      </c>
      <c r="J36" s="6" t="n">
        <v>52.131744</v>
      </c>
      <c r="L36" s="7">
        <f>LN(B36/B35)</f>
        <v/>
      </c>
      <c r="M36" s="7">
        <f>C36-C35</f>
        <v/>
      </c>
      <c r="N36" s="7">
        <f>D36-D35</f>
        <v/>
      </c>
      <c r="O36" s="7">
        <f>LN(E36/E35)</f>
        <v/>
      </c>
      <c r="P36" s="7">
        <f>LN(F36/F35)</f>
        <v/>
      </c>
      <c r="Q36" s="7">
        <f>G36-G35</f>
        <v/>
      </c>
      <c r="R36" s="7">
        <f>H36-H35</f>
        <v/>
      </c>
      <c r="S36" s="7">
        <f>LN(I36/I35)</f>
        <v/>
      </c>
      <c r="T36" s="7">
        <f>LN(J36/J35)</f>
        <v/>
      </c>
      <c r="U36" s="7">
        <f>$W$12+$W$4*M36+$W$5*N36+$W$6*O36+$W$7*P36+$W$8*Q36+$W$9*R36+$W$10*S36+$W$11*T36</f>
        <v/>
      </c>
    </row>
    <row r="37">
      <c r="A37" s="5" t="n">
        <v>38686</v>
      </c>
      <c r="B37" s="6" t="n">
        <v>495.65</v>
      </c>
      <c r="C37" s="6" t="n">
        <v>2.37</v>
      </c>
      <c r="D37" s="6" t="n">
        <v>2.12</v>
      </c>
      <c r="E37" s="6" t="n">
        <v>91.56999999999999</v>
      </c>
      <c r="F37" s="6" t="n">
        <v>57.33</v>
      </c>
      <c r="G37" s="6" t="n">
        <v>12.06</v>
      </c>
      <c r="H37" s="6" t="n">
        <v>73.5</v>
      </c>
      <c r="I37" s="6" t="n">
        <v>1249.47998</v>
      </c>
      <c r="J37" s="6" t="n">
        <v>52.327057</v>
      </c>
      <c r="L37" s="7">
        <f>LN(B37/B36)</f>
        <v/>
      </c>
      <c r="M37" s="7">
        <f>C37-C36</f>
        <v/>
      </c>
      <c r="N37" s="7">
        <f>D37-D36</f>
        <v/>
      </c>
      <c r="O37" s="7">
        <f>LN(E37/E36)</f>
        <v/>
      </c>
      <c r="P37" s="7">
        <f>LN(F37/F36)</f>
        <v/>
      </c>
      <c r="Q37" s="7">
        <f>G37-G36</f>
        <v/>
      </c>
      <c r="R37" s="7">
        <f>H37-H36</f>
        <v/>
      </c>
      <c r="S37" s="7">
        <f>LN(I37/I36)</f>
        <v/>
      </c>
      <c r="T37" s="7">
        <f>LN(J37/J36)</f>
        <v/>
      </c>
      <c r="U37" s="7">
        <f>$W$12+$W$4*M37+$W$5*N37+$W$6*O37+$W$7*P37+$W$8*Q37+$W$9*R37+$W$10*S37+$W$11*T37</f>
        <v/>
      </c>
    </row>
    <row r="38">
      <c r="A38" s="5" t="n">
        <v>38717</v>
      </c>
      <c r="B38" s="6" t="n">
        <v>513</v>
      </c>
      <c r="C38" s="6" t="n">
        <v>2.33</v>
      </c>
      <c r="D38" s="6" t="n">
        <v>2.06</v>
      </c>
      <c r="E38" s="6" t="n">
        <v>91.16999800000001</v>
      </c>
      <c r="F38" s="6" t="n">
        <v>61.06</v>
      </c>
      <c r="G38" s="6" t="n">
        <v>12.07</v>
      </c>
      <c r="H38" s="6" t="n">
        <v>72.089996</v>
      </c>
      <c r="I38" s="6" t="n">
        <v>1248.290039</v>
      </c>
      <c r="J38" s="6" t="n">
        <v>52.92046</v>
      </c>
      <c r="L38" s="7">
        <f>LN(B38/B37)</f>
        <v/>
      </c>
      <c r="M38" s="7">
        <f>C38-C37</f>
        <v/>
      </c>
      <c r="N38" s="7">
        <f>D38-D37</f>
        <v/>
      </c>
      <c r="O38" s="7">
        <f>LN(E38/E37)</f>
        <v/>
      </c>
      <c r="P38" s="7">
        <f>LN(F38/F37)</f>
        <v/>
      </c>
      <c r="Q38" s="7">
        <f>G38-G37</f>
        <v/>
      </c>
      <c r="R38" s="7">
        <f>H38-H37</f>
        <v/>
      </c>
      <c r="S38" s="7">
        <f>LN(I38/I37)</f>
        <v/>
      </c>
      <c r="T38" s="7">
        <f>LN(J38/J37)</f>
        <v/>
      </c>
      <c r="U38" s="7">
        <f>$W$12+$W$4*M38+$W$5*N38+$W$6*O38+$W$7*P38+$W$8*Q38+$W$9*R38+$W$10*S38+$W$11*T38</f>
        <v/>
      </c>
    </row>
    <row r="39">
      <c r="A39" s="5" t="n">
        <v>38748</v>
      </c>
      <c r="B39" s="6" t="n">
        <v>568.75</v>
      </c>
      <c r="C39" s="6" t="n">
        <v>2.53</v>
      </c>
      <c r="D39" s="6" t="n">
        <v>2</v>
      </c>
      <c r="E39" s="6" t="n">
        <v>88.959999</v>
      </c>
      <c r="F39" s="6" t="n">
        <v>67.86</v>
      </c>
      <c r="G39" s="6" t="n">
        <v>12.95</v>
      </c>
      <c r="H39" s="6" t="n">
        <v>73.699997</v>
      </c>
      <c r="I39" s="6" t="n">
        <v>1280.079956</v>
      </c>
      <c r="J39" s="6" t="n">
        <v>52.888916</v>
      </c>
      <c r="L39" s="7">
        <f>LN(B39/B38)</f>
        <v/>
      </c>
      <c r="M39" s="7">
        <f>C39-C38</f>
        <v/>
      </c>
      <c r="N39" s="7">
        <f>D39-D38</f>
        <v/>
      </c>
      <c r="O39" s="7">
        <f>LN(E39/E38)</f>
        <v/>
      </c>
      <c r="P39" s="7">
        <f>LN(F39/F38)</f>
        <v/>
      </c>
      <c r="Q39" s="7">
        <f>G39-G38</f>
        <v/>
      </c>
      <c r="R39" s="7">
        <f>H39-H38</f>
        <v/>
      </c>
      <c r="S39" s="7">
        <f>LN(I39/I38)</f>
        <v/>
      </c>
      <c r="T39" s="7">
        <f>LN(J39/J38)</f>
        <v/>
      </c>
      <c r="U39" s="7">
        <f>$W$12+$W$4*M39+$W$5*N39+$W$6*O39+$W$7*P39+$W$8*Q39+$W$9*R39+$W$10*S39+$W$11*T39</f>
        <v/>
      </c>
    </row>
    <row r="40">
      <c r="A40" s="5" t="n">
        <v>38776</v>
      </c>
      <c r="B40" s="6" t="n">
        <v>556</v>
      </c>
      <c r="C40" s="6" t="n">
        <v>2.53</v>
      </c>
      <c r="D40" s="6" t="n">
        <v>2.02</v>
      </c>
      <c r="E40" s="6" t="n">
        <v>90.110001</v>
      </c>
      <c r="F40" s="6" t="n">
        <v>61.37</v>
      </c>
      <c r="G40" s="6" t="n">
        <v>12.34</v>
      </c>
      <c r="H40" s="6" t="n">
        <v>56.860001</v>
      </c>
      <c r="I40" s="6" t="n">
        <v>1280.660034</v>
      </c>
      <c r="J40" s="6" t="n">
        <v>52.973904</v>
      </c>
      <c r="L40" s="7">
        <f>LN(B40/B39)</f>
        <v/>
      </c>
      <c r="M40" s="7">
        <f>C40-C39</f>
        <v/>
      </c>
      <c r="N40" s="7">
        <f>D40-D39</f>
        <v/>
      </c>
      <c r="O40" s="7">
        <f>LN(E40/E39)</f>
        <v/>
      </c>
      <c r="P40" s="7">
        <f>LN(F40/F39)</f>
        <v/>
      </c>
      <c r="Q40" s="7">
        <f>G40-G39</f>
        <v/>
      </c>
      <c r="R40" s="7">
        <f>H40-H39</f>
        <v/>
      </c>
      <c r="S40" s="7">
        <f>LN(I40/I39)</f>
        <v/>
      </c>
      <c r="T40" s="7">
        <f>LN(J40/J39)</f>
        <v/>
      </c>
      <c r="U40" s="7">
        <f>$W$12+$W$4*M40+$W$5*N40+$W$6*O40+$W$7*P40+$W$8*Q40+$W$9*R40+$W$10*S40+$W$11*T40</f>
        <v/>
      </c>
    </row>
    <row r="41">
      <c r="A41" s="5" t="n">
        <v>38807</v>
      </c>
      <c r="B41" s="6" t="n">
        <v>582</v>
      </c>
      <c r="C41" s="6" t="n">
        <v>2.51</v>
      </c>
      <c r="D41" s="6" t="n">
        <v>2.35</v>
      </c>
      <c r="E41" s="6" t="n">
        <v>89.730003</v>
      </c>
      <c r="F41" s="6" t="n">
        <v>66.25</v>
      </c>
      <c r="G41" s="6" t="n">
        <v>11.39</v>
      </c>
      <c r="H41" s="6" t="n">
        <v>68.599998</v>
      </c>
      <c r="I41" s="6" t="n">
        <v>1294.869995</v>
      </c>
      <c r="J41" s="6" t="n">
        <v>52.514412</v>
      </c>
      <c r="L41" s="7">
        <f>LN(B41/B40)</f>
        <v/>
      </c>
      <c r="M41" s="7">
        <f>C41-C40</f>
        <v/>
      </c>
      <c r="N41" s="7">
        <f>D41-D40</f>
        <v/>
      </c>
      <c r="O41" s="7">
        <f>LN(E41/E40)</f>
        <v/>
      </c>
      <c r="P41" s="7">
        <f>LN(F41/F40)</f>
        <v/>
      </c>
      <c r="Q41" s="7">
        <f>G41-G40</f>
        <v/>
      </c>
      <c r="R41" s="7">
        <f>H41-H40</f>
        <v/>
      </c>
      <c r="S41" s="7">
        <f>LN(I41/I40)</f>
        <v/>
      </c>
      <c r="T41" s="7">
        <f>LN(J41/J40)</f>
        <v/>
      </c>
      <c r="U41" s="7">
        <f>$W$12+$W$4*M41+$W$5*N41+$W$6*O41+$W$7*P41+$W$8*Q41+$W$9*R41+$W$10*S41+$W$11*T41</f>
        <v/>
      </c>
    </row>
    <row r="42">
      <c r="A42" s="5" t="n">
        <v>38837</v>
      </c>
      <c r="B42" s="6" t="n">
        <v>644</v>
      </c>
      <c r="C42" s="6" t="n">
        <v>2.68</v>
      </c>
      <c r="D42" s="6" t="n">
        <v>2.39</v>
      </c>
      <c r="E42" s="6" t="n">
        <v>86.110001</v>
      </c>
      <c r="F42" s="6" t="n">
        <v>71.8</v>
      </c>
      <c r="G42" s="6" t="n">
        <v>11.59</v>
      </c>
      <c r="H42" s="6" t="n">
        <v>63</v>
      </c>
      <c r="I42" s="6" t="n">
        <v>1310.609985</v>
      </c>
      <c r="J42" s="6" t="n">
        <v>52.436146</v>
      </c>
      <c r="L42" s="7">
        <f>LN(B42/B41)</f>
        <v/>
      </c>
      <c r="M42" s="7">
        <f>C42-C41</f>
        <v/>
      </c>
      <c r="N42" s="7">
        <f>D42-D41</f>
        <v/>
      </c>
      <c r="O42" s="7">
        <f>LN(E42/E41)</f>
        <v/>
      </c>
      <c r="P42" s="7">
        <f>LN(F42/F41)</f>
        <v/>
      </c>
      <c r="Q42" s="7">
        <f>G42-G41</f>
        <v/>
      </c>
      <c r="R42" s="7">
        <f>H42-H41</f>
        <v/>
      </c>
      <c r="S42" s="7">
        <f>LN(I42/I41)</f>
        <v/>
      </c>
      <c r="T42" s="7">
        <f>LN(J42/J41)</f>
        <v/>
      </c>
      <c r="U42" s="7">
        <f>$W$12+$W$4*M42+$W$5*N42+$W$6*O42+$W$7*P42+$W$8*Q42+$W$9*R42+$W$10*S42+$W$11*T42</f>
        <v/>
      </c>
    </row>
    <row r="43">
      <c r="A43" s="5" t="n">
        <v>38868</v>
      </c>
      <c r="B43" s="6" t="n">
        <v>653</v>
      </c>
      <c r="C43" s="6" t="n">
        <v>2.64</v>
      </c>
      <c r="D43" s="6" t="n">
        <v>2.48</v>
      </c>
      <c r="E43" s="6" t="n">
        <v>84.720001</v>
      </c>
      <c r="F43" s="6" t="n">
        <v>71.42</v>
      </c>
      <c r="G43" s="6" t="n">
        <v>16.44</v>
      </c>
      <c r="H43" s="6" t="n">
        <v>67.099998</v>
      </c>
      <c r="I43" s="6" t="n">
        <v>1270.089966</v>
      </c>
      <c r="J43" s="6" t="n">
        <v>52.33202</v>
      </c>
      <c r="L43" s="7">
        <f>LN(B43/B42)</f>
        <v/>
      </c>
      <c r="M43" s="7">
        <f>C43-C42</f>
        <v/>
      </c>
      <c r="N43" s="7">
        <f>D43-D42</f>
        <v/>
      </c>
      <c r="O43" s="7">
        <f>LN(E43/E42)</f>
        <v/>
      </c>
      <c r="P43" s="7">
        <f>LN(F43/F42)</f>
        <v/>
      </c>
      <c r="Q43" s="7">
        <f>G43-G42</f>
        <v/>
      </c>
      <c r="R43" s="7">
        <f>H43-H42</f>
        <v/>
      </c>
      <c r="S43" s="7">
        <f>LN(I43/I42)</f>
        <v/>
      </c>
      <c r="T43" s="7">
        <f>LN(J43/J42)</f>
        <v/>
      </c>
      <c r="U43" s="7">
        <f>$W$12+$W$4*M43+$W$5*N43+$W$6*O43+$W$7*P43+$W$8*Q43+$W$9*R43+$W$10*S43+$W$11*T43</f>
        <v/>
      </c>
    </row>
    <row r="44">
      <c r="A44" s="5" t="n">
        <v>38898</v>
      </c>
      <c r="B44" s="6" t="n">
        <v>613.5</v>
      </c>
      <c r="C44" s="6" t="n">
        <v>2.61</v>
      </c>
      <c r="D44" s="6" t="n">
        <v>2.54</v>
      </c>
      <c r="E44" s="6" t="n">
        <v>85.220001</v>
      </c>
      <c r="F44" s="6" t="n">
        <v>73.94</v>
      </c>
      <c r="G44" s="6" t="n">
        <v>13.08</v>
      </c>
      <c r="H44" s="6" t="n">
        <v>65.5</v>
      </c>
      <c r="I44" s="6" t="n">
        <v>1270.199951</v>
      </c>
      <c r="J44" s="6" t="n">
        <v>52.247799</v>
      </c>
      <c r="L44" s="7">
        <f>LN(B44/B43)</f>
        <v/>
      </c>
      <c r="M44" s="7">
        <f>C44-C43</f>
        <v/>
      </c>
      <c r="N44" s="7">
        <f>D44-D43</f>
        <v/>
      </c>
      <c r="O44" s="7">
        <f>LN(E44/E43)</f>
        <v/>
      </c>
      <c r="P44" s="7">
        <f>LN(F44/F43)</f>
        <v/>
      </c>
      <c r="Q44" s="7">
        <f>G44-G43</f>
        <v/>
      </c>
      <c r="R44" s="7">
        <f>H44-H43</f>
        <v/>
      </c>
      <c r="S44" s="7">
        <f>LN(I44/I43)</f>
        <v/>
      </c>
      <c r="T44" s="7">
        <f>LN(J44/J43)</f>
        <v/>
      </c>
      <c r="U44" s="7">
        <f>$W$12+$W$4*M44+$W$5*N44+$W$6*O44+$W$7*P44+$W$8*Q44+$W$9*R44+$W$10*S44+$W$11*T44</f>
        <v/>
      </c>
    </row>
    <row r="45">
      <c r="A45" s="5" t="n">
        <v>38929</v>
      </c>
      <c r="B45" s="6" t="n">
        <v>632.5</v>
      </c>
      <c r="C45" s="6" t="n">
        <v>2.58</v>
      </c>
      <c r="D45" s="6" t="n">
        <v>2.41</v>
      </c>
      <c r="E45" s="6" t="n">
        <v>85.300003</v>
      </c>
      <c r="F45" s="6" t="n">
        <v>74.56</v>
      </c>
      <c r="G45" s="6" t="n">
        <v>14.95</v>
      </c>
      <c r="H45" s="6" t="n">
        <v>63.400002</v>
      </c>
      <c r="I45" s="6" t="n">
        <v>1276.660034</v>
      </c>
      <c r="J45" s="6" t="n">
        <v>52.973507</v>
      </c>
      <c r="L45" s="7">
        <f>LN(B45/B44)</f>
        <v/>
      </c>
      <c r="M45" s="7">
        <f>C45-C44</f>
        <v/>
      </c>
      <c r="N45" s="7">
        <f>D45-D44</f>
        <v/>
      </c>
      <c r="O45" s="7">
        <f>LN(E45/E44)</f>
        <v/>
      </c>
      <c r="P45" s="7">
        <f>LN(F45/F44)</f>
        <v/>
      </c>
      <c r="Q45" s="7">
        <f>G45-G44</f>
        <v/>
      </c>
      <c r="R45" s="7">
        <f>H45-H44</f>
        <v/>
      </c>
      <c r="S45" s="7">
        <f>LN(I45/I44)</f>
        <v/>
      </c>
      <c r="T45" s="7">
        <f>LN(J45/J44)</f>
        <v/>
      </c>
      <c r="U45" s="7">
        <f>$W$12+$W$4*M45+$W$5*N45+$W$6*O45+$W$7*P45+$W$8*Q45+$W$9*R45+$W$10*S45+$W$11*T45</f>
        <v/>
      </c>
    </row>
    <row r="46">
      <c r="A46" s="5" t="n">
        <v>38960</v>
      </c>
      <c r="B46" s="6" t="n">
        <v>623.5</v>
      </c>
      <c r="C46" s="6" t="n">
        <v>2.5</v>
      </c>
      <c r="D46" s="6" t="n">
        <v>2.24</v>
      </c>
      <c r="E46" s="6" t="n">
        <v>85.050003</v>
      </c>
      <c r="F46" s="6" t="n">
        <v>70.38</v>
      </c>
      <c r="G46" s="6" t="n">
        <v>12.31</v>
      </c>
      <c r="H46" s="6" t="n">
        <v>59.799999</v>
      </c>
      <c r="I46" s="6" t="n">
        <v>1303.819946</v>
      </c>
      <c r="J46" s="6" t="n">
        <v>53.816322</v>
      </c>
      <c r="L46" s="7">
        <f>LN(B46/B45)</f>
        <v/>
      </c>
      <c r="M46" s="7">
        <f>C46-C45</f>
        <v/>
      </c>
      <c r="N46" s="7">
        <f>D46-D45</f>
        <v/>
      </c>
      <c r="O46" s="7">
        <f>LN(E46/E45)</f>
        <v/>
      </c>
      <c r="P46" s="7">
        <f>LN(F46/F45)</f>
        <v/>
      </c>
      <c r="Q46" s="7">
        <f>G46-G45</f>
        <v/>
      </c>
      <c r="R46" s="7">
        <f>H46-H45</f>
        <v/>
      </c>
      <c r="S46" s="7">
        <f>LN(I46/I45)</f>
        <v/>
      </c>
      <c r="T46" s="7">
        <f>LN(J46/J45)</f>
        <v/>
      </c>
      <c r="U46" s="7">
        <f>$W$12+$W$4*M46+$W$5*N46+$W$6*O46+$W$7*P46+$W$8*Q46+$W$9*R46+$W$10*S46+$W$11*T46</f>
        <v/>
      </c>
    </row>
    <row r="47">
      <c r="A47" s="5" t="n">
        <v>38990</v>
      </c>
      <c r="B47" s="6" t="n">
        <v>599.25</v>
      </c>
      <c r="C47" s="6" t="n">
        <v>2.37</v>
      </c>
      <c r="D47" s="6" t="n">
        <v>2.27</v>
      </c>
      <c r="E47" s="6" t="n">
        <v>85.970001</v>
      </c>
      <c r="F47" s="6" t="n">
        <v>62.9</v>
      </c>
      <c r="G47" s="6" t="n">
        <v>11.98</v>
      </c>
      <c r="H47" s="6" t="n">
        <v>63.099998</v>
      </c>
      <c r="I47" s="6" t="n">
        <v>1335.849976</v>
      </c>
      <c r="J47" s="6" t="n">
        <v>54.360672</v>
      </c>
      <c r="L47" s="7">
        <f>LN(B47/B46)</f>
        <v/>
      </c>
      <c r="M47" s="7">
        <f>C47-C46</f>
        <v/>
      </c>
      <c r="N47" s="7">
        <f>D47-D46</f>
        <v/>
      </c>
      <c r="O47" s="7">
        <f>LN(E47/E46)</f>
        <v/>
      </c>
      <c r="P47" s="7">
        <f>LN(F47/F46)</f>
        <v/>
      </c>
      <c r="Q47" s="7">
        <f>G47-G46</f>
        <v/>
      </c>
      <c r="R47" s="7">
        <f>H47-H46</f>
        <v/>
      </c>
      <c r="S47" s="7">
        <f>LN(I47/I46)</f>
        <v/>
      </c>
      <c r="T47" s="7">
        <f>LN(J47/J46)</f>
        <v/>
      </c>
      <c r="U47" s="7">
        <f>$W$12+$W$4*M47+$W$5*N47+$W$6*O47+$W$7*P47+$W$8*Q47+$W$9*R47+$W$10*S47+$W$11*T47</f>
        <v/>
      </c>
    </row>
    <row r="48">
      <c r="A48" s="5" t="n">
        <v>39021</v>
      </c>
      <c r="B48" s="6" t="n">
        <v>603.75</v>
      </c>
      <c r="C48" s="6" t="n">
        <v>2.27</v>
      </c>
      <c r="D48" s="6" t="n">
        <v>2.34</v>
      </c>
      <c r="E48" s="6" t="n">
        <v>85.31999999999999</v>
      </c>
      <c r="F48" s="6" t="n">
        <v>58.72</v>
      </c>
      <c r="G48" s="6" t="n">
        <v>11.1</v>
      </c>
      <c r="H48" s="6" t="n">
        <v>60.900002</v>
      </c>
      <c r="I48" s="6" t="n">
        <v>1377.939941</v>
      </c>
      <c r="J48" s="6" t="n">
        <v>54.733494</v>
      </c>
      <c r="L48" s="7">
        <f>LN(B48/B47)</f>
        <v/>
      </c>
      <c r="M48" s="7">
        <f>C48-C47</f>
        <v/>
      </c>
      <c r="N48" s="7">
        <f>D48-D47</f>
        <v/>
      </c>
      <c r="O48" s="7">
        <f>LN(E48/E47)</f>
        <v/>
      </c>
      <c r="P48" s="7">
        <f>LN(F48/F47)</f>
        <v/>
      </c>
      <c r="Q48" s="7">
        <f>G48-G47</f>
        <v/>
      </c>
      <c r="R48" s="7">
        <f>H48-H47</f>
        <v/>
      </c>
      <c r="S48" s="7">
        <f>LN(I48/I47)</f>
        <v/>
      </c>
      <c r="T48" s="7">
        <f>LN(J48/J47)</f>
        <v/>
      </c>
      <c r="U48" s="7">
        <f>$W$12+$W$4*M48+$W$5*N48+$W$6*O48+$W$7*P48+$W$8*Q48+$W$9*R48+$W$10*S48+$W$11*T48</f>
        <v/>
      </c>
    </row>
    <row r="49">
      <c r="A49" s="5" t="n">
        <v>39051</v>
      </c>
      <c r="B49" s="6" t="n">
        <v>646.7</v>
      </c>
      <c r="C49" s="6" t="n">
        <v>2.3</v>
      </c>
      <c r="D49" s="6" t="n">
        <v>2.16</v>
      </c>
      <c r="E49" s="6" t="n">
        <v>82.91999800000001</v>
      </c>
      <c r="F49" s="6" t="n">
        <v>62.97</v>
      </c>
      <c r="G49" s="6" t="n">
        <v>10.91</v>
      </c>
      <c r="H49" s="6" t="n">
        <v>68.5</v>
      </c>
      <c r="I49" s="6" t="n">
        <v>1400.630005</v>
      </c>
      <c r="J49" s="6" t="n">
        <v>55.314651</v>
      </c>
      <c r="L49" s="7">
        <f>LN(B49/B48)</f>
        <v/>
      </c>
      <c r="M49" s="7">
        <f>C49-C48</f>
        <v/>
      </c>
      <c r="N49" s="7">
        <f>D49-D48</f>
        <v/>
      </c>
      <c r="O49" s="7">
        <f>LN(E49/E48)</f>
        <v/>
      </c>
      <c r="P49" s="7">
        <f>LN(F49/F48)</f>
        <v/>
      </c>
      <c r="Q49" s="7">
        <f>G49-G48</f>
        <v/>
      </c>
      <c r="R49" s="7">
        <f>H49-H48</f>
        <v/>
      </c>
      <c r="S49" s="7">
        <f>LN(I49/I48)</f>
        <v/>
      </c>
      <c r="T49" s="7">
        <f>LN(J49/J48)</f>
        <v/>
      </c>
      <c r="U49" s="7">
        <f>$W$12+$W$4*M49+$W$5*N49+$W$6*O49+$W$7*P49+$W$8*Q49+$W$9*R49+$W$10*S49+$W$11*T49</f>
        <v/>
      </c>
    </row>
    <row r="50">
      <c r="A50" s="5" t="n">
        <v>39082</v>
      </c>
      <c r="B50" s="6" t="n">
        <v>632</v>
      </c>
      <c r="C50" s="6" t="n">
        <v>2.3</v>
      </c>
      <c r="D50" s="6" t="n">
        <v>2.41</v>
      </c>
      <c r="E50" s="6" t="n">
        <v>83.720001</v>
      </c>
      <c r="F50" s="6" t="n">
        <v>60.85</v>
      </c>
      <c r="G50" s="6" t="n">
        <v>11.56</v>
      </c>
      <c r="H50" s="6" t="n">
        <v>66.800003</v>
      </c>
      <c r="I50" s="6" t="n">
        <v>1418.300049</v>
      </c>
      <c r="J50" s="6" t="n">
        <v>54.982533</v>
      </c>
      <c r="L50" s="7">
        <f>LN(B50/B49)</f>
        <v/>
      </c>
      <c r="M50" s="7">
        <f>C50-C49</f>
        <v/>
      </c>
      <c r="N50" s="7">
        <f>D50-D49</f>
        <v/>
      </c>
      <c r="O50" s="7">
        <f>LN(E50/E49)</f>
        <v/>
      </c>
      <c r="P50" s="7">
        <f>LN(F50/F49)</f>
        <v/>
      </c>
      <c r="Q50" s="7">
        <f>G50-G49</f>
        <v/>
      </c>
      <c r="R50" s="7">
        <f>H50-H49</f>
        <v/>
      </c>
      <c r="S50" s="7">
        <f>LN(I50/I49)</f>
        <v/>
      </c>
      <c r="T50" s="7">
        <f>LN(J50/J49)</f>
        <v/>
      </c>
      <c r="U50" s="7">
        <f>$W$12+$W$4*M50+$W$5*N50+$W$6*O50+$W$7*P50+$W$8*Q50+$W$9*R50+$W$10*S50+$W$11*T50</f>
        <v/>
      </c>
    </row>
    <row r="51">
      <c r="A51" s="5" t="n">
        <v>39113</v>
      </c>
      <c r="B51" s="6" t="n">
        <v>650.5</v>
      </c>
      <c r="C51" s="6" t="n">
        <v>2.43</v>
      </c>
      <c r="D51" s="6" t="n">
        <v>2.4</v>
      </c>
      <c r="E51" s="6" t="n">
        <v>84.610001</v>
      </c>
      <c r="F51" s="6" t="n">
        <v>58.17</v>
      </c>
      <c r="G51" s="6" t="n">
        <v>10.42</v>
      </c>
      <c r="H51" s="6" t="n">
        <v>61.599998</v>
      </c>
      <c r="I51" s="6" t="n">
        <v>1438.23999</v>
      </c>
      <c r="J51" s="6" t="n">
        <v>54.943932</v>
      </c>
      <c r="L51" s="7">
        <f>LN(B51/B50)</f>
        <v/>
      </c>
      <c r="M51" s="7">
        <f>C51-C50</f>
        <v/>
      </c>
      <c r="N51" s="7">
        <f>D51-D50</f>
        <v/>
      </c>
      <c r="O51" s="7">
        <f>LN(E51/E50)</f>
        <v/>
      </c>
      <c r="P51" s="7">
        <f>LN(F51/F50)</f>
        <v/>
      </c>
      <c r="Q51" s="7">
        <f>G51-G50</f>
        <v/>
      </c>
      <c r="R51" s="7">
        <f>H51-H50</f>
        <v/>
      </c>
      <c r="S51" s="7">
        <f>LN(I51/I50)</f>
        <v/>
      </c>
      <c r="T51" s="7">
        <f>LN(J51/J50)</f>
        <v/>
      </c>
      <c r="U51" s="7">
        <f>$W$12+$W$4*M51+$W$5*N51+$W$6*O51+$W$7*P51+$W$8*Q51+$W$9*R51+$W$10*S51+$W$11*T51</f>
        <v/>
      </c>
    </row>
    <row r="52">
      <c r="A52" s="5" t="n">
        <v>39141</v>
      </c>
      <c r="B52" s="6" t="n">
        <v>664.2</v>
      </c>
      <c r="C52" s="6" t="n">
        <v>2.36</v>
      </c>
      <c r="D52" s="6" t="n">
        <v>2.2</v>
      </c>
      <c r="E52" s="6" t="n">
        <v>83.56999999999999</v>
      </c>
      <c r="F52" s="6" t="n">
        <v>61.78</v>
      </c>
      <c r="G52" s="6" t="n">
        <v>15.42</v>
      </c>
      <c r="H52" s="6" t="n">
        <v>69.800003</v>
      </c>
      <c r="I52" s="6" t="n">
        <v>1406.819946</v>
      </c>
      <c r="J52" s="6" t="n">
        <v>55.837017</v>
      </c>
      <c r="L52" s="7">
        <f>LN(B52/B51)</f>
        <v/>
      </c>
      <c r="M52" s="7">
        <f>C52-C51</f>
        <v/>
      </c>
      <c r="N52" s="7">
        <f>D52-D51</f>
        <v/>
      </c>
      <c r="O52" s="7">
        <f>LN(E52/E51)</f>
        <v/>
      </c>
      <c r="P52" s="7">
        <f>LN(F52/F51)</f>
        <v/>
      </c>
      <c r="Q52" s="7">
        <f>G52-G51</f>
        <v/>
      </c>
      <c r="R52" s="7">
        <f>H52-H51</f>
        <v/>
      </c>
      <c r="S52" s="7">
        <f>LN(I52/I51)</f>
        <v/>
      </c>
      <c r="T52" s="7">
        <f>LN(J52/J51)</f>
        <v/>
      </c>
      <c r="U52" s="7">
        <f>$W$12+$W$4*M52+$W$5*N52+$W$6*O52+$W$7*P52+$W$8*Q52+$W$9*R52+$W$10*S52+$W$11*T52</f>
        <v/>
      </c>
    </row>
    <row r="53">
      <c r="A53" s="5" t="n">
        <v>39172</v>
      </c>
      <c r="B53" s="6" t="n">
        <v>661.75</v>
      </c>
      <c r="C53" s="6" t="n">
        <v>2.44</v>
      </c>
      <c r="D53" s="6" t="n">
        <v>2.21</v>
      </c>
      <c r="E53" s="6" t="n">
        <v>82.93000000000001</v>
      </c>
      <c r="F53" s="6" t="n">
        <v>65.94</v>
      </c>
      <c r="G53" s="6" t="n">
        <v>14.64</v>
      </c>
      <c r="H53" s="6" t="n">
        <v>67.900002</v>
      </c>
      <c r="I53" s="6" t="n">
        <v>1420.859985</v>
      </c>
      <c r="J53" s="6" t="n">
        <v>55.728016</v>
      </c>
      <c r="L53" s="7">
        <f>LN(B53/B52)</f>
        <v/>
      </c>
      <c r="M53" s="7">
        <f>C53-C52</f>
        <v/>
      </c>
      <c r="N53" s="7">
        <f>D53-D52</f>
        <v/>
      </c>
      <c r="O53" s="7">
        <f>LN(E53/E52)</f>
        <v/>
      </c>
      <c r="P53" s="7">
        <f>LN(F53/F52)</f>
        <v/>
      </c>
      <c r="Q53" s="7">
        <f>G53-G52</f>
        <v/>
      </c>
      <c r="R53" s="7">
        <f>H53-H52</f>
        <v/>
      </c>
      <c r="S53" s="7">
        <f>LN(I53/I52)</f>
        <v/>
      </c>
      <c r="T53" s="7">
        <f>LN(J53/J52)</f>
        <v/>
      </c>
      <c r="U53" s="7">
        <f>$W$12+$W$4*M53+$W$5*N53+$W$6*O53+$W$7*P53+$W$8*Q53+$W$9*R53+$W$10*S53+$W$11*T53</f>
        <v/>
      </c>
    </row>
    <row r="54">
      <c r="A54" s="5" t="n">
        <v>39202</v>
      </c>
      <c r="B54" s="6" t="n">
        <v>677</v>
      </c>
      <c r="C54" s="6" t="n">
        <v>2.43</v>
      </c>
      <c r="D54" s="6" t="n">
        <v>2.2</v>
      </c>
      <c r="E54" s="6" t="n">
        <v>81.449997</v>
      </c>
      <c r="F54" s="6" t="n">
        <v>65.78</v>
      </c>
      <c r="G54" s="6" t="n">
        <v>14.22</v>
      </c>
      <c r="H54" s="6" t="n">
        <v>59.799999</v>
      </c>
      <c r="I54" s="6" t="n">
        <v>1482.369995</v>
      </c>
      <c r="J54" s="6" t="n">
        <v>56.056717</v>
      </c>
      <c r="L54" s="7">
        <f>LN(B54/B53)</f>
        <v/>
      </c>
      <c r="M54" s="7">
        <f>C54-C53</f>
        <v/>
      </c>
      <c r="N54" s="7">
        <f>D54-D53</f>
        <v/>
      </c>
      <c r="O54" s="7">
        <f>LN(E54/E53)</f>
        <v/>
      </c>
      <c r="P54" s="7">
        <f>LN(F54/F53)</f>
        <v/>
      </c>
      <c r="Q54" s="7">
        <f>G54-G53</f>
        <v/>
      </c>
      <c r="R54" s="7">
        <f>H54-H53</f>
        <v/>
      </c>
      <c r="S54" s="7">
        <f>LN(I54/I53)</f>
        <v/>
      </c>
      <c r="T54" s="7">
        <f>LN(J54/J53)</f>
        <v/>
      </c>
      <c r="U54" s="7">
        <f>$W$12+$W$4*M54+$W$5*N54+$W$6*O54+$W$7*P54+$W$8*Q54+$W$9*R54+$W$10*S54+$W$11*T54</f>
        <v/>
      </c>
    </row>
    <row r="55">
      <c r="A55" s="5" t="n">
        <v>39233</v>
      </c>
      <c r="B55" s="6" t="n">
        <v>659.1</v>
      </c>
      <c r="C55" s="6" t="n">
        <v>2.36</v>
      </c>
      <c r="D55" s="6" t="n">
        <v>2.54</v>
      </c>
      <c r="E55" s="6" t="n">
        <v>82.300003</v>
      </c>
      <c r="F55" s="6" t="n">
        <v>64.02</v>
      </c>
      <c r="G55" s="6" t="n">
        <v>13.05</v>
      </c>
      <c r="H55" s="6" t="n">
        <v>58.900002</v>
      </c>
      <c r="I55" s="6" t="n">
        <v>1530.619995</v>
      </c>
      <c r="J55" s="6" t="n">
        <v>55.542511</v>
      </c>
      <c r="L55" s="7">
        <f>LN(B55/B54)</f>
        <v/>
      </c>
      <c r="M55" s="7">
        <f>C55-C54</f>
        <v/>
      </c>
      <c r="N55" s="7">
        <f>D55-D54</f>
        <v/>
      </c>
      <c r="O55" s="7">
        <f>LN(E55/E54)</f>
        <v/>
      </c>
      <c r="P55" s="7">
        <f>LN(F55/F54)</f>
        <v/>
      </c>
      <c r="Q55" s="7">
        <f>G55-G54</f>
        <v/>
      </c>
      <c r="R55" s="7">
        <f>H55-H54</f>
        <v/>
      </c>
      <c r="S55" s="7">
        <f>LN(I55/I54)</f>
        <v/>
      </c>
      <c r="T55" s="7">
        <f>LN(J55/J54)</f>
        <v/>
      </c>
      <c r="U55" s="7">
        <f>$W$12+$W$4*M55+$W$5*N55+$W$6*O55+$W$7*P55+$W$8*Q55+$W$9*R55+$W$10*S55+$W$11*T55</f>
        <v/>
      </c>
    </row>
    <row r="56">
      <c r="A56" s="5" t="n">
        <v>39263</v>
      </c>
      <c r="B56" s="6" t="n">
        <v>650.5</v>
      </c>
      <c r="C56" s="6" t="n">
        <v>2.38</v>
      </c>
      <c r="D56" s="6" t="n">
        <v>2.65</v>
      </c>
      <c r="E56" s="6" t="n">
        <v>81.91999800000001</v>
      </c>
      <c r="F56" s="6" t="n">
        <v>70.47</v>
      </c>
      <c r="G56" s="6" t="n">
        <v>16.23</v>
      </c>
      <c r="H56" s="6" t="n">
        <v>77.5</v>
      </c>
      <c r="I56" s="6" t="n">
        <v>1503.349976</v>
      </c>
      <c r="J56" s="6" t="n">
        <v>55.333248</v>
      </c>
      <c r="L56" s="7">
        <f>LN(B56/B55)</f>
        <v/>
      </c>
      <c r="M56" s="7">
        <f>C56-C55</f>
        <v/>
      </c>
      <c r="N56" s="7">
        <f>D56-D55</f>
        <v/>
      </c>
      <c r="O56" s="7">
        <f>LN(E56/E55)</f>
        <v/>
      </c>
      <c r="P56" s="7">
        <f>LN(F56/F55)</f>
        <v/>
      </c>
      <c r="Q56" s="7">
        <f>G56-G55</f>
        <v/>
      </c>
      <c r="R56" s="7">
        <f>H56-H55</f>
        <v/>
      </c>
      <c r="S56" s="7">
        <f>LN(I56/I55)</f>
        <v/>
      </c>
      <c r="T56" s="7">
        <f>LN(J56/J55)</f>
        <v/>
      </c>
      <c r="U56" s="7">
        <f>$W$12+$W$4*M56+$W$5*N56+$W$6*O56+$W$7*P56+$W$8*Q56+$W$9*R56+$W$10*S56+$W$11*T56</f>
        <v/>
      </c>
    </row>
    <row r="57">
      <c r="A57" s="5" t="n">
        <v>39294</v>
      </c>
      <c r="B57" s="6" t="n">
        <v>665.5</v>
      </c>
      <c r="C57" s="6" t="n">
        <v>2.34</v>
      </c>
      <c r="D57" s="6" t="n">
        <v>2.44</v>
      </c>
      <c r="E57" s="6" t="n">
        <v>80.769997</v>
      </c>
      <c r="F57" s="6" t="n">
        <v>78.2</v>
      </c>
      <c r="G57" s="6" t="n">
        <v>23.52</v>
      </c>
      <c r="H57" s="6" t="n">
        <v>96.400002</v>
      </c>
      <c r="I57" s="6" t="n">
        <v>1455.27002</v>
      </c>
      <c r="J57" s="6" t="n">
        <v>55.926975</v>
      </c>
      <c r="L57" s="7">
        <f>LN(B57/B56)</f>
        <v/>
      </c>
      <c r="M57" s="7">
        <f>C57-C56</f>
        <v/>
      </c>
      <c r="N57" s="7">
        <f>D57-D56</f>
        <v/>
      </c>
      <c r="O57" s="7">
        <f>LN(E57/E56)</f>
        <v/>
      </c>
      <c r="P57" s="7">
        <f>LN(F57/F56)</f>
        <v/>
      </c>
      <c r="Q57" s="7">
        <f>G57-G56</f>
        <v/>
      </c>
      <c r="R57" s="7">
        <f>H57-H56</f>
        <v/>
      </c>
      <c r="S57" s="7">
        <f>LN(I57/I56)</f>
        <v/>
      </c>
      <c r="T57" s="7">
        <f>LN(J57/J56)</f>
        <v/>
      </c>
      <c r="U57" s="7">
        <f>$W$12+$W$4*M57+$W$5*N57+$W$6*O57+$W$7*P57+$W$8*Q57+$W$9*R57+$W$10*S57+$W$11*T57</f>
        <v/>
      </c>
    </row>
    <row r="58">
      <c r="A58" s="5" t="n">
        <v>39325</v>
      </c>
      <c r="B58" s="6" t="n">
        <v>672</v>
      </c>
      <c r="C58" s="6" t="n">
        <v>2.2</v>
      </c>
      <c r="D58" s="6" t="n">
        <v>2.34</v>
      </c>
      <c r="E58" s="6" t="n">
        <v>80.790001</v>
      </c>
      <c r="F58" s="6" t="n">
        <v>73.98</v>
      </c>
      <c r="G58" s="6" t="n">
        <v>23.38</v>
      </c>
      <c r="H58" s="6" t="n">
        <v>111</v>
      </c>
      <c r="I58" s="6" t="n">
        <v>1473.98999</v>
      </c>
      <c r="J58" s="6" t="n">
        <v>56.642548</v>
      </c>
      <c r="L58" s="7">
        <f>LN(B58/B57)</f>
        <v/>
      </c>
      <c r="M58" s="7">
        <f>C58-C57</f>
        <v/>
      </c>
      <c r="N58" s="7">
        <f>D58-D57</f>
        <v/>
      </c>
      <c r="O58" s="7">
        <f>LN(E58/E57)</f>
        <v/>
      </c>
      <c r="P58" s="7">
        <f>LN(F58/F57)</f>
        <v/>
      </c>
      <c r="Q58" s="7">
        <f>G58-G57</f>
        <v/>
      </c>
      <c r="R58" s="7">
        <f>H58-H57</f>
        <v/>
      </c>
      <c r="S58" s="7">
        <f>LN(I58/I57)</f>
        <v/>
      </c>
      <c r="T58" s="7">
        <f>LN(J58/J57)</f>
        <v/>
      </c>
      <c r="U58" s="7">
        <f>$W$12+$W$4*M58+$W$5*N58+$W$6*O58+$W$7*P58+$W$8*Q58+$W$9*R58+$W$10*S58+$W$11*T58</f>
        <v/>
      </c>
    </row>
    <row r="59">
      <c r="A59" s="5" t="n">
        <v>39355</v>
      </c>
      <c r="B59" s="6" t="n">
        <v>743</v>
      </c>
      <c r="C59" s="6" t="n">
        <v>2.32</v>
      </c>
      <c r="D59" s="6" t="n">
        <v>2.27</v>
      </c>
      <c r="E59" s="6" t="n">
        <v>77.720001</v>
      </c>
      <c r="F59" s="6" t="n">
        <v>81.64</v>
      </c>
      <c r="G59" s="6" t="n">
        <v>18</v>
      </c>
      <c r="H59" s="6" t="n">
        <v>103.699997</v>
      </c>
      <c r="I59" s="6" t="n">
        <v>1526.75</v>
      </c>
      <c r="J59" s="6" t="n">
        <v>57.001057</v>
      </c>
      <c r="L59" s="7">
        <f>LN(B59/B58)</f>
        <v/>
      </c>
      <c r="M59" s="7">
        <f>C59-C58</f>
        <v/>
      </c>
      <c r="N59" s="7">
        <f>D59-D58</f>
        <v/>
      </c>
      <c r="O59" s="7">
        <f>LN(E59/E58)</f>
        <v/>
      </c>
      <c r="P59" s="7">
        <f>LN(F59/F58)</f>
        <v/>
      </c>
      <c r="Q59" s="7">
        <f>G59-G58</f>
        <v/>
      </c>
      <c r="R59" s="7">
        <f>H59-H58</f>
        <v/>
      </c>
      <c r="S59" s="7">
        <f>LN(I59/I58)</f>
        <v/>
      </c>
      <c r="T59" s="7">
        <f>LN(J59/J58)</f>
        <v/>
      </c>
      <c r="U59" s="7">
        <f>$W$12+$W$4*M59+$W$5*N59+$W$6*O59+$W$7*P59+$W$8*Q59+$W$9*R59+$W$10*S59+$W$11*T59</f>
        <v/>
      </c>
    </row>
    <row r="60">
      <c r="A60" s="5" t="n">
        <v>39386</v>
      </c>
      <c r="B60" s="6" t="n">
        <v>789.5</v>
      </c>
      <c r="C60" s="6" t="n">
        <v>2.34</v>
      </c>
      <c r="D60" s="6" t="n">
        <v>2.14</v>
      </c>
      <c r="E60" s="6" t="n">
        <v>76.480003</v>
      </c>
      <c r="F60" s="6" t="n">
        <v>94.16</v>
      </c>
      <c r="G60" s="6" t="n">
        <v>18.53</v>
      </c>
      <c r="H60" s="6" t="n">
        <v>90.18000000000001</v>
      </c>
      <c r="I60" s="6" t="n">
        <v>1549.380005</v>
      </c>
      <c r="J60" s="6" t="n">
        <v>57.575638</v>
      </c>
      <c r="L60" s="7">
        <f>LN(B60/B59)</f>
        <v/>
      </c>
      <c r="M60" s="7">
        <f>C60-C59</f>
        <v/>
      </c>
      <c r="N60" s="7">
        <f>D60-D59</f>
        <v/>
      </c>
      <c r="O60" s="7">
        <f>LN(E60/E59)</f>
        <v/>
      </c>
      <c r="P60" s="7">
        <f>LN(F60/F59)</f>
        <v/>
      </c>
      <c r="Q60" s="7">
        <f>G60-G59</f>
        <v/>
      </c>
      <c r="R60" s="7">
        <f>H60-H59</f>
        <v/>
      </c>
      <c r="S60" s="7">
        <f>LN(I60/I59)</f>
        <v/>
      </c>
      <c r="T60" s="7">
        <f>LN(J60/J59)</f>
        <v/>
      </c>
      <c r="U60" s="7">
        <f>$W$12+$W$4*M60+$W$5*N60+$W$6*O60+$W$7*P60+$W$8*Q60+$W$9*R60+$W$10*S60+$W$11*T60</f>
        <v/>
      </c>
    </row>
    <row r="61">
      <c r="A61" s="5" t="n">
        <v>39416</v>
      </c>
      <c r="B61" s="6" t="n">
        <v>783.5</v>
      </c>
      <c r="C61" s="6" t="n">
        <v>2.34</v>
      </c>
      <c r="D61" s="6" t="n">
        <v>1.63</v>
      </c>
      <c r="E61" s="6" t="n">
        <v>76.150002</v>
      </c>
      <c r="F61" s="6" t="n">
        <v>88.59999999999999</v>
      </c>
      <c r="G61" s="6" t="n">
        <v>22.87</v>
      </c>
      <c r="H61" s="6" t="n">
        <v>131.5</v>
      </c>
      <c r="I61" s="6" t="n">
        <v>1481.140015</v>
      </c>
      <c r="J61" s="6" t="n">
        <v>58.613979</v>
      </c>
      <c r="L61" s="7">
        <f>LN(B61/B60)</f>
        <v/>
      </c>
      <c r="M61" s="7">
        <f>C61-C60</f>
        <v/>
      </c>
      <c r="N61" s="7">
        <f>D61-D60</f>
        <v/>
      </c>
      <c r="O61" s="7">
        <f>LN(E61/E60)</f>
        <v/>
      </c>
      <c r="P61" s="7">
        <f>LN(F61/F60)</f>
        <v/>
      </c>
      <c r="Q61" s="7">
        <f>G61-G60</f>
        <v/>
      </c>
      <c r="R61" s="7">
        <f>H61-H60</f>
        <v/>
      </c>
      <c r="S61" s="7">
        <f>LN(I61/I60)</f>
        <v/>
      </c>
      <c r="T61" s="7">
        <f>LN(J61/J60)</f>
        <v/>
      </c>
      <c r="U61" s="7">
        <f>$W$12+$W$4*M61+$W$5*N61+$W$6*O61+$W$7*P61+$W$8*Q61+$W$9*R61+$W$10*S61+$W$11*T61</f>
        <v/>
      </c>
    </row>
    <row r="62">
      <c r="A62" s="5" t="n">
        <v>39447</v>
      </c>
      <c r="B62" s="6" t="n">
        <v>833.75</v>
      </c>
      <c r="C62" s="6" t="n">
        <v>2.31</v>
      </c>
      <c r="D62" s="6" t="n">
        <v>1.73</v>
      </c>
      <c r="E62" s="6" t="n">
        <v>76.699997</v>
      </c>
      <c r="F62" s="6" t="n">
        <v>95.95</v>
      </c>
      <c r="G62" s="6" t="n">
        <v>22.5</v>
      </c>
      <c r="H62" s="6" t="n">
        <v>145.399994</v>
      </c>
      <c r="I62" s="6" t="n">
        <v>1468.359985</v>
      </c>
      <c r="J62" s="6" t="n">
        <v>58.608532</v>
      </c>
      <c r="L62" s="7">
        <f>LN(B62/B61)</f>
        <v/>
      </c>
      <c r="M62" s="7">
        <f>C62-C61</f>
        <v/>
      </c>
      <c r="N62" s="7">
        <f>D62-D61</f>
        <v/>
      </c>
      <c r="O62" s="7">
        <f>LN(E62/E61)</f>
        <v/>
      </c>
      <c r="P62" s="7">
        <f>LN(F62/F61)</f>
        <v/>
      </c>
      <c r="Q62" s="7">
        <f>G62-G61</f>
        <v/>
      </c>
      <c r="R62" s="7">
        <f>H62-H61</f>
        <v/>
      </c>
      <c r="S62" s="7">
        <f>LN(I62/I61)</f>
        <v/>
      </c>
      <c r="T62" s="7">
        <f>LN(J62/J61)</f>
        <v/>
      </c>
      <c r="U62" s="7">
        <f>$W$12+$W$4*M62+$W$5*N62+$W$6*O62+$W$7*P62+$W$8*Q62+$W$9*R62+$W$10*S62+$W$11*T62</f>
        <v/>
      </c>
    </row>
    <row r="63">
      <c r="A63" s="5" t="n">
        <v>39478</v>
      </c>
      <c r="B63" s="6" t="n">
        <v>923.25</v>
      </c>
      <c r="C63" s="6" t="n">
        <v>2.34</v>
      </c>
      <c r="D63" s="6" t="n">
        <v>1.33</v>
      </c>
      <c r="E63" s="6" t="n">
        <v>75.18000000000001</v>
      </c>
      <c r="F63" s="6" t="n">
        <v>91.67</v>
      </c>
      <c r="G63" s="6" t="n">
        <v>26.2</v>
      </c>
      <c r="H63" s="6" t="n">
        <v>153.699997</v>
      </c>
      <c r="I63" s="6" t="n">
        <v>1378.550049</v>
      </c>
      <c r="J63" s="6" t="n">
        <v>59.964138</v>
      </c>
      <c r="L63" s="7">
        <f>LN(B63/B62)</f>
        <v/>
      </c>
      <c r="M63" s="7">
        <f>C63-C62</f>
        <v/>
      </c>
      <c r="N63" s="7">
        <f>D63-D62</f>
        <v/>
      </c>
      <c r="O63" s="7">
        <f>LN(E63/E62)</f>
        <v/>
      </c>
      <c r="P63" s="7">
        <f>LN(F63/F62)</f>
        <v/>
      </c>
      <c r="Q63" s="7">
        <f>G63-G62</f>
        <v/>
      </c>
      <c r="R63" s="7">
        <f>H63-H62</f>
        <v/>
      </c>
      <c r="S63" s="7">
        <f>LN(I63/I62)</f>
        <v/>
      </c>
      <c r="T63" s="7">
        <f>LN(J63/J62)</f>
        <v/>
      </c>
      <c r="U63" s="7">
        <f>$W$12+$W$4*M63+$W$5*N63+$W$6*O63+$W$7*P63+$W$8*Q63+$W$9*R63+$W$10*S63+$W$11*T63</f>
        <v/>
      </c>
      <c r="AA63" s="8">
        <f>INDEX(LINEST(L4:L63,M4:T63,TRUE,TRUE),1,9)*12</f>
        <v/>
      </c>
      <c r="AB63" s="7">
        <f>INDEX(LINEST(L4:L63,M4:T63,TRUE,TRUE),1,8)</f>
        <v/>
      </c>
      <c r="AC63" s="7">
        <f>INDEX(LINEST(L4:L63,M4:T63,TRUE,TRUE),1,7)</f>
        <v/>
      </c>
      <c r="AD63" s="7">
        <f>INDEX(LINEST(L4:L63,M4:T63,TRUE,TRUE),1,6)</f>
        <v/>
      </c>
      <c r="AE63" s="7">
        <f>INDEX(LINEST(L4:L63,M4:T63,TRUE,TRUE),1,5)</f>
        <v/>
      </c>
      <c r="AF63" s="7">
        <f>INDEX(LINEST(L4:L63,M4:T63,TRUE,TRUE),1,4)</f>
        <v/>
      </c>
      <c r="AG63" s="7">
        <f>INDEX(LINEST(L4:L63,M4:T63,TRUE,TRUE),1,3)</f>
        <v/>
      </c>
      <c r="AH63" s="7">
        <f>INDEX(LINEST(L4:L63,M4:T63,TRUE,TRUE),1,2)</f>
        <v/>
      </c>
      <c r="AI63" s="7">
        <f>INDEX(LINEST(L4:L63,M4:T63,TRUE,TRUE),1,1)</f>
        <v/>
      </c>
      <c r="AJ63" s="8">
        <f>INDEX(LINEST(L4:L63,M4:T63,TRUE,TRUE),3,1)</f>
        <v/>
      </c>
    </row>
    <row r="64">
      <c r="A64" s="5" t="n">
        <v>39507</v>
      </c>
      <c r="B64" s="6" t="n">
        <v>971.5</v>
      </c>
      <c r="C64" s="6" t="n">
        <v>2.43</v>
      </c>
      <c r="D64" s="6" t="n">
        <v>1.1</v>
      </c>
      <c r="E64" s="6" t="n">
        <v>73.709999</v>
      </c>
      <c r="F64" s="6" t="n">
        <v>101.78</v>
      </c>
      <c r="G64" s="6" t="n">
        <v>26.54</v>
      </c>
      <c r="H64" s="6" t="n">
        <v>155.199997</v>
      </c>
      <c r="I64" s="6" t="n">
        <v>1330.630005</v>
      </c>
      <c r="J64" s="6" t="n">
        <v>59.868195</v>
      </c>
      <c r="L64" s="7">
        <f>LN(B64/B63)</f>
        <v/>
      </c>
      <c r="M64" s="7">
        <f>C64-C63</f>
        <v/>
      </c>
      <c r="N64" s="7">
        <f>D64-D63</f>
        <v/>
      </c>
      <c r="O64" s="7">
        <f>LN(E64/E63)</f>
        <v/>
      </c>
      <c r="P64" s="7">
        <f>LN(F64/F63)</f>
        <v/>
      </c>
      <c r="Q64" s="7">
        <f>G64-G63</f>
        <v/>
      </c>
      <c r="R64" s="7">
        <f>H64-H63</f>
        <v/>
      </c>
      <c r="S64" s="7">
        <f>LN(I64/I63)</f>
        <v/>
      </c>
      <c r="T64" s="7">
        <f>LN(J64/J63)</f>
        <v/>
      </c>
      <c r="U64" s="7">
        <f>$W$12+$W$4*M64+$W$5*N64+$W$6*O64+$W$7*P64+$W$8*Q64+$W$9*R64+$W$10*S64+$W$11*T64</f>
        <v/>
      </c>
      <c r="AA64" s="8">
        <f>INDEX(LINEST(L5:L64,M5:T64,TRUE,TRUE),1,9)*12</f>
        <v/>
      </c>
      <c r="AB64" s="7">
        <f>INDEX(LINEST(L5:L64,M5:T64,TRUE,TRUE),1,8)</f>
        <v/>
      </c>
      <c r="AC64" s="7">
        <f>INDEX(LINEST(L5:L64,M5:T64,TRUE,TRUE),1,7)</f>
        <v/>
      </c>
      <c r="AD64" s="7">
        <f>INDEX(LINEST(L5:L64,M5:T64,TRUE,TRUE),1,6)</f>
        <v/>
      </c>
      <c r="AE64" s="7">
        <f>INDEX(LINEST(L5:L64,M5:T64,TRUE,TRUE),1,5)</f>
        <v/>
      </c>
      <c r="AF64" s="7">
        <f>INDEX(LINEST(L5:L64,M5:T64,TRUE,TRUE),1,4)</f>
        <v/>
      </c>
      <c r="AG64" s="7">
        <f>INDEX(LINEST(L5:L64,M5:T64,TRUE,TRUE),1,3)</f>
        <v/>
      </c>
      <c r="AH64" s="7">
        <f>INDEX(LINEST(L5:L64,M5:T64,TRUE,TRUE),1,2)</f>
        <v/>
      </c>
      <c r="AI64" s="7">
        <f>INDEX(LINEST(L5:L64,M5:T64,TRUE,TRUE),1,1)</f>
        <v/>
      </c>
      <c r="AJ64" s="8">
        <f>INDEX(LINEST(L5:L64,M5:T64,TRUE,TRUE),3,1)</f>
        <v/>
      </c>
    </row>
    <row r="65">
      <c r="A65" s="5" t="n">
        <v>39538</v>
      </c>
      <c r="B65" s="6" t="n">
        <v>933.5</v>
      </c>
      <c r="C65" s="6" t="n">
        <v>2.34</v>
      </c>
      <c r="D65" s="6" t="n">
        <v>1.11</v>
      </c>
      <c r="E65" s="6" t="n">
        <v>71.800003</v>
      </c>
      <c r="F65" s="6" t="n">
        <v>101.54</v>
      </c>
      <c r="G65" s="6" t="n">
        <v>25.61</v>
      </c>
      <c r="H65" s="6" t="n">
        <v>145.5</v>
      </c>
      <c r="I65" s="6" t="n">
        <v>1322.699951</v>
      </c>
      <c r="J65" s="6" t="n">
        <v>59.945812</v>
      </c>
      <c r="L65" s="7">
        <f>LN(B65/B64)</f>
        <v/>
      </c>
      <c r="M65" s="7">
        <f>C65-C64</f>
        <v/>
      </c>
      <c r="N65" s="7">
        <f>D65-D64</f>
        <v/>
      </c>
      <c r="O65" s="7">
        <f>LN(E65/E64)</f>
        <v/>
      </c>
      <c r="P65" s="7">
        <f>LN(F65/F64)</f>
        <v/>
      </c>
      <c r="Q65" s="7">
        <f>G65-G64</f>
        <v/>
      </c>
      <c r="R65" s="7">
        <f>H65-H64</f>
        <v/>
      </c>
      <c r="S65" s="7">
        <f>LN(I65/I64)</f>
        <v/>
      </c>
      <c r="T65" s="7">
        <f>LN(J65/J64)</f>
        <v/>
      </c>
      <c r="U65" s="7">
        <f>$W$12+$W$4*M65+$W$5*N65+$W$6*O65+$W$7*P65+$W$8*Q65+$W$9*R65+$W$10*S65+$W$11*T65</f>
        <v/>
      </c>
      <c r="AA65" s="8">
        <f>INDEX(LINEST(L6:L65,M6:T65,TRUE,TRUE),1,9)*12</f>
        <v/>
      </c>
      <c r="AB65" s="7">
        <f>INDEX(LINEST(L6:L65,M6:T65,TRUE,TRUE),1,8)</f>
        <v/>
      </c>
      <c r="AC65" s="7">
        <f>INDEX(LINEST(L6:L65,M6:T65,TRUE,TRUE),1,7)</f>
        <v/>
      </c>
      <c r="AD65" s="7">
        <f>INDEX(LINEST(L6:L65,M6:T65,TRUE,TRUE),1,6)</f>
        <v/>
      </c>
      <c r="AE65" s="7">
        <f>INDEX(LINEST(L6:L65,M6:T65,TRUE,TRUE),1,5)</f>
        <v/>
      </c>
      <c r="AF65" s="7">
        <f>INDEX(LINEST(L6:L65,M6:T65,TRUE,TRUE),1,4)</f>
        <v/>
      </c>
      <c r="AG65" s="7">
        <f>INDEX(LINEST(L6:L65,M6:T65,TRUE,TRUE),1,3)</f>
        <v/>
      </c>
      <c r="AH65" s="7">
        <f>INDEX(LINEST(L6:L65,M6:T65,TRUE,TRUE),1,2)</f>
        <v/>
      </c>
      <c r="AI65" s="7">
        <f>INDEX(LINEST(L6:L65,M6:T65,TRUE,TRUE),1,1)</f>
        <v/>
      </c>
      <c r="AJ65" s="8">
        <f>INDEX(LINEST(L6:L65,M6:T65,TRUE,TRUE),3,1)</f>
        <v/>
      </c>
    </row>
    <row r="66">
      <c r="A66" s="5" t="n">
        <v>39568</v>
      </c>
      <c r="B66" s="6" t="n">
        <v>871</v>
      </c>
      <c r="C66" s="6" t="n">
        <v>2.27</v>
      </c>
      <c r="D66" s="6" t="n">
        <v>1.5</v>
      </c>
      <c r="E66" s="6" t="n">
        <v>72.510002</v>
      </c>
      <c r="F66" s="6" t="n">
        <v>113.7</v>
      </c>
      <c r="G66" s="6" t="n">
        <v>20.79</v>
      </c>
      <c r="H66" s="6" t="n">
        <v>119.099998</v>
      </c>
      <c r="I66" s="6" t="n">
        <v>1385.589966</v>
      </c>
      <c r="J66" s="6" t="n">
        <v>60.142166</v>
      </c>
      <c r="L66" s="7">
        <f>LN(B66/B65)</f>
        <v/>
      </c>
      <c r="M66" s="7">
        <f>C66-C65</f>
        <v/>
      </c>
      <c r="N66" s="7">
        <f>D66-D65</f>
        <v/>
      </c>
      <c r="O66" s="7">
        <f>LN(E66/E65)</f>
        <v/>
      </c>
      <c r="P66" s="7">
        <f>LN(F66/F65)</f>
        <v/>
      </c>
      <c r="Q66" s="7">
        <f>G66-G65</f>
        <v/>
      </c>
      <c r="R66" s="7">
        <f>H66-H65</f>
        <v/>
      </c>
      <c r="S66" s="7">
        <f>LN(I66/I65)</f>
        <v/>
      </c>
      <c r="T66" s="7">
        <f>LN(J66/J65)</f>
        <v/>
      </c>
      <c r="U66" s="7">
        <f>$W$12+$W$4*M66+$W$5*N66+$W$6*O66+$W$7*P66+$W$8*Q66+$W$9*R66+$W$10*S66+$W$11*T66</f>
        <v/>
      </c>
      <c r="AA66" s="8">
        <f>INDEX(LINEST(L7:L66,M7:T66,TRUE,TRUE),1,9)*12</f>
        <v/>
      </c>
      <c r="AB66" s="7">
        <f>INDEX(LINEST(L7:L66,M7:T66,TRUE,TRUE),1,8)</f>
        <v/>
      </c>
      <c r="AC66" s="7">
        <f>INDEX(LINEST(L7:L66,M7:T66,TRUE,TRUE),1,7)</f>
        <v/>
      </c>
      <c r="AD66" s="7">
        <f>INDEX(LINEST(L7:L66,M7:T66,TRUE,TRUE),1,6)</f>
        <v/>
      </c>
      <c r="AE66" s="7">
        <f>INDEX(LINEST(L7:L66,M7:T66,TRUE,TRUE),1,5)</f>
        <v/>
      </c>
      <c r="AF66" s="7">
        <f>INDEX(LINEST(L7:L66,M7:T66,TRUE,TRUE),1,4)</f>
        <v/>
      </c>
      <c r="AG66" s="7">
        <f>INDEX(LINEST(L7:L66,M7:T66,TRUE,TRUE),1,3)</f>
        <v/>
      </c>
      <c r="AH66" s="7">
        <f>INDEX(LINEST(L7:L66,M7:T66,TRUE,TRUE),1,2)</f>
        <v/>
      </c>
      <c r="AI66" s="7">
        <f>INDEX(LINEST(L7:L66,M7:T66,TRUE,TRUE),1,1)</f>
        <v/>
      </c>
      <c r="AJ66" s="8">
        <f>INDEX(LINEST(L7:L66,M7:T66,TRUE,TRUE),3,1)</f>
        <v/>
      </c>
    </row>
    <row r="67">
      <c r="A67" s="5" t="n">
        <v>39599</v>
      </c>
      <c r="B67" s="6" t="n">
        <v>885.75</v>
      </c>
      <c r="C67" s="6" t="n">
        <v>2.48</v>
      </c>
      <c r="D67" s="6" t="n">
        <v>1.58</v>
      </c>
      <c r="E67" s="6" t="n">
        <v>72.879997</v>
      </c>
      <c r="F67" s="6" t="n">
        <v>127.35</v>
      </c>
      <c r="G67" s="6" t="n">
        <v>17.83</v>
      </c>
      <c r="H67" s="6" t="n">
        <v>130.199997</v>
      </c>
      <c r="I67" s="6" t="n">
        <v>1400.380005</v>
      </c>
      <c r="J67" s="6" t="n">
        <v>59.381161</v>
      </c>
      <c r="L67" s="7">
        <f>LN(B67/B66)</f>
        <v/>
      </c>
      <c r="M67" s="7">
        <f>C67-C66</f>
        <v/>
      </c>
      <c r="N67" s="7">
        <f>D67-D66</f>
        <v/>
      </c>
      <c r="O67" s="7">
        <f>LN(E67/E66)</f>
        <v/>
      </c>
      <c r="P67" s="7">
        <f>LN(F67/F66)</f>
        <v/>
      </c>
      <c r="Q67" s="7">
        <f>G67-G66</f>
        <v/>
      </c>
      <c r="R67" s="7">
        <f>H67-H66</f>
        <v/>
      </c>
      <c r="S67" s="7">
        <f>LN(I67/I66)</f>
        <v/>
      </c>
      <c r="T67" s="7">
        <f>LN(J67/J66)</f>
        <v/>
      </c>
      <c r="U67" s="7">
        <f>$W$12+$W$4*M67+$W$5*N67+$W$6*O67+$W$7*P67+$W$8*Q67+$W$9*R67+$W$10*S67+$W$11*T67</f>
        <v/>
      </c>
      <c r="AA67" s="8">
        <f>INDEX(LINEST(L8:L67,M8:T67,TRUE,TRUE),1,9)*12</f>
        <v/>
      </c>
      <c r="AB67" s="7">
        <f>INDEX(LINEST(L8:L67,M8:T67,TRUE,TRUE),1,8)</f>
        <v/>
      </c>
      <c r="AC67" s="7">
        <f>INDEX(LINEST(L8:L67,M8:T67,TRUE,TRUE),1,7)</f>
        <v/>
      </c>
      <c r="AD67" s="7">
        <f>INDEX(LINEST(L8:L67,M8:T67,TRUE,TRUE),1,6)</f>
        <v/>
      </c>
      <c r="AE67" s="7">
        <f>INDEX(LINEST(L8:L67,M8:T67,TRUE,TRUE),1,5)</f>
        <v/>
      </c>
      <c r="AF67" s="7">
        <f>INDEX(LINEST(L8:L67,M8:T67,TRUE,TRUE),1,4)</f>
        <v/>
      </c>
      <c r="AG67" s="7">
        <f>INDEX(LINEST(L8:L67,M8:T67,TRUE,TRUE),1,3)</f>
        <v/>
      </c>
      <c r="AH67" s="7">
        <f>INDEX(LINEST(L8:L67,M8:T67,TRUE,TRUE),1,2)</f>
        <v/>
      </c>
      <c r="AI67" s="7">
        <f>INDEX(LINEST(L8:L67,M8:T67,TRUE,TRUE),1,1)</f>
        <v/>
      </c>
      <c r="AJ67" s="8">
        <f>INDEX(LINEST(L8:L67,M8:T67,TRUE,TRUE),3,1)</f>
        <v/>
      </c>
    </row>
    <row r="68">
      <c r="A68" s="5" t="n">
        <v>39629</v>
      </c>
      <c r="B68" s="6" t="n">
        <v>930.25</v>
      </c>
      <c r="C68" s="6" t="n">
        <v>2.51</v>
      </c>
      <c r="D68" s="6" t="n">
        <v>1.48</v>
      </c>
      <c r="E68" s="6" t="n">
        <v>72.459999</v>
      </c>
      <c r="F68" s="6" t="n">
        <v>139.96</v>
      </c>
      <c r="G68" s="6" t="n">
        <v>23.95</v>
      </c>
      <c r="H68" s="6" t="n">
        <v>126</v>
      </c>
      <c r="I68" s="6" t="n">
        <v>1280</v>
      </c>
      <c r="J68" s="6" t="n">
        <v>59.271442</v>
      </c>
      <c r="L68" s="7">
        <f>LN(B68/B67)</f>
        <v/>
      </c>
      <c r="M68" s="7">
        <f>C68-C67</f>
        <v/>
      </c>
      <c r="N68" s="7">
        <f>D68-D67</f>
        <v/>
      </c>
      <c r="O68" s="7">
        <f>LN(E68/E67)</f>
        <v/>
      </c>
      <c r="P68" s="7">
        <f>LN(F68/F67)</f>
        <v/>
      </c>
      <c r="Q68" s="7">
        <f>G68-G67</f>
        <v/>
      </c>
      <c r="R68" s="7">
        <f>H68-H67</f>
        <v/>
      </c>
      <c r="S68" s="7">
        <f>LN(I68/I67)</f>
        <v/>
      </c>
      <c r="T68" s="7">
        <f>LN(J68/J67)</f>
        <v/>
      </c>
      <c r="U68" s="7">
        <f>$W$12+$W$4*M68+$W$5*N68+$W$6*O68+$W$7*P68+$W$8*Q68+$W$9*R68+$W$10*S68+$W$11*T68</f>
        <v/>
      </c>
      <c r="AA68" s="8">
        <f>INDEX(LINEST(L9:L68,M9:T68,TRUE,TRUE),1,9)*12</f>
        <v/>
      </c>
      <c r="AB68" s="7">
        <f>INDEX(LINEST(L9:L68,M9:T68,TRUE,TRUE),1,8)</f>
        <v/>
      </c>
      <c r="AC68" s="7">
        <f>INDEX(LINEST(L9:L68,M9:T68,TRUE,TRUE),1,7)</f>
        <v/>
      </c>
      <c r="AD68" s="7">
        <f>INDEX(LINEST(L9:L68,M9:T68,TRUE,TRUE),1,6)</f>
        <v/>
      </c>
      <c r="AE68" s="7">
        <f>INDEX(LINEST(L9:L68,M9:T68,TRUE,TRUE),1,5)</f>
        <v/>
      </c>
      <c r="AF68" s="7">
        <f>INDEX(LINEST(L9:L68,M9:T68,TRUE,TRUE),1,4)</f>
        <v/>
      </c>
      <c r="AG68" s="7">
        <f>INDEX(LINEST(L9:L68,M9:T68,TRUE,TRUE),1,3)</f>
        <v/>
      </c>
      <c r="AH68" s="7">
        <f>INDEX(LINEST(L9:L68,M9:T68,TRUE,TRUE),1,2)</f>
        <v/>
      </c>
      <c r="AI68" s="7">
        <f>INDEX(LINEST(L9:L68,M9:T68,TRUE,TRUE),1,1)</f>
        <v/>
      </c>
      <c r="AJ68" s="8">
        <f>INDEX(LINEST(L9:L68,M9:T68,TRUE,TRUE),3,1)</f>
        <v/>
      </c>
    </row>
    <row r="69">
      <c r="A69" s="5" t="n">
        <v>39660</v>
      </c>
      <c r="B69" s="6" t="n">
        <v>918</v>
      </c>
      <c r="C69" s="6" t="n">
        <v>2.34</v>
      </c>
      <c r="D69" s="6" t="n">
        <v>1.65</v>
      </c>
      <c r="E69" s="6" t="n">
        <v>73.230003</v>
      </c>
      <c r="F69" s="6" t="n">
        <v>124.17</v>
      </c>
      <c r="G69" s="6" t="n">
        <v>22.94</v>
      </c>
      <c r="H69" s="6" t="n">
        <v>131.699997</v>
      </c>
      <c r="I69" s="6" t="n">
        <v>1267.380005</v>
      </c>
      <c r="J69" s="6" t="n">
        <v>59.504925</v>
      </c>
      <c r="L69" s="7">
        <f>LN(B69/B68)</f>
        <v/>
      </c>
      <c r="M69" s="7">
        <f>C69-C68</f>
        <v/>
      </c>
      <c r="N69" s="7">
        <f>D69-D68</f>
        <v/>
      </c>
      <c r="O69" s="7">
        <f>LN(E69/E68)</f>
        <v/>
      </c>
      <c r="P69" s="7">
        <f>LN(F69/F68)</f>
        <v/>
      </c>
      <c r="Q69" s="7">
        <f>G69-G68</f>
        <v/>
      </c>
      <c r="R69" s="7">
        <f>H69-H68</f>
        <v/>
      </c>
      <c r="S69" s="7">
        <f>LN(I69/I68)</f>
        <v/>
      </c>
      <c r="T69" s="7">
        <f>LN(J69/J68)</f>
        <v/>
      </c>
      <c r="U69" s="7">
        <f>$W$12+$W$4*M69+$W$5*N69+$W$6*O69+$W$7*P69+$W$8*Q69+$W$9*R69+$W$10*S69+$W$11*T69</f>
        <v/>
      </c>
      <c r="AA69" s="8">
        <f>INDEX(LINEST(L10:L69,M10:T69,TRUE,TRUE),1,9)*12</f>
        <v/>
      </c>
      <c r="AB69" s="7">
        <f>INDEX(LINEST(L10:L69,M10:T69,TRUE,TRUE),1,8)</f>
        <v/>
      </c>
      <c r="AC69" s="7">
        <f>INDEX(LINEST(L10:L69,M10:T69,TRUE,TRUE),1,7)</f>
        <v/>
      </c>
      <c r="AD69" s="7">
        <f>INDEX(LINEST(L10:L69,M10:T69,TRUE,TRUE),1,6)</f>
        <v/>
      </c>
      <c r="AE69" s="7">
        <f>INDEX(LINEST(L10:L69,M10:T69,TRUE,TRUE),1,5)</f>
        <v/>
      </c>
      <c r="AF69" s="7">
        <f>INDEX(LINEST(L10:L69,M10:T69,TRUE,TRUE),1,4)</f>
        <v/>
      </c>
      <c r="AG69" s="7">
        <f>INDEX(LINEST(L10:L69,M10:T69,TRUE,TRUE),1,3)</f>
        <v/>
      </c>
      <c r="AH69" s="7">
        <f>INDEX(LINEST(L10:L69,M10:T69,TRUE,TRUE),1,2)</f>
        <v/>
      </c>
      <c r="AI69" s="7">
        <f>INDEX(LINEST(L10:L69,M10:T69,TRUE,TRUE),1,1)</f>
        <v/>
      </c>
      <c r="AJ69" s="8">
        <f>INDEX(LINEST(L10:L69,M10:T69,TRUE,TRUE),3,1)</f>
        <v/>
      </c>
    </row>
    <row r="70">
      <c r="A70" s="5" t="n">
        <v>39691</v>
      </c>
      <c r="B70" s="6" t="n">
        <v>833</v>
      </c>
      <c r="C70" s="6" t="n">
        <v>2.15</v>
      </c>
      <c r="D70" s="6" t="n">
        <v>1.68</v>
      </c>
      <c r="E70" s="6" t="n">
        <v>77.379997</v>
      </c>
      <c r="F70" s="6" t="n">
        <v>115.55</v>
      </c>
      <c r="G70" s="6" t="n">
        <v>20.65</v>
      </c>
      <c r="H70" s="6" t="n">
        <v>103</v>
      </c>
      <c r="I70" s="6" t="n">
        <v>1282.829956</v>
      </c>
      <c r="J70" s="6" t="n">
        <v>59.946411</v>
      </c>
      <c r="L70" s="7">
        <f>LN(B70/B69)</f>
        <v/>
      </c>
      <c r="M70" s="7">
        <f>C70-C69</f>
        <v/>
      </c>
      <c r="N70" s="7">
        <f>D70-D69</f>
        <v/>
      </c>
      <c r="O70" s="7">
        <f>LN(E70/E69)</f>
        <v/>
      </c>
      <c r="P70" s="7">
        <f>LN(F70/F69)</f>
        <v/>
      </c>
      <c r="Q70" s="7">
        <f>G70-G69</f>
        <v/>
      </c>
      <c r="R70" s="7">
        <f>H70-H69</f>
        <v/>
      </c>
      <c r="S70" s="7">
        <f>LN(I70/I69)</f>
        <v/>
      </c>
      <c r="T70" s="7">
        <f>LN(J70/J69)</f>
        <v/>
      </c>
      <c r="U70" s="7">
        <f>$W$12+$W$4*M70+$W$5*N70+$W$6*O70+$W$7*P70+$W$8*Q70+$W$9*R70+$W$10*S70+$W$11*T70</f>
        <v/>
      </c>
      <c r="AA70" s="8">
        <f>INDEX(LINEST(L11:L70,M11:T70,TRUE,TRUE),1,9)*12</f>
        <v/>
      </c>
      <c r="AB70" s="7">
        <f>INDEX(LINEST(L11:L70,M11:T70,TRUE,TRUE),1,8)</f>
        <v/>
      </c>
      <c r="AC70" s="7">
        <f>INDEX(LINEST(L11:L70,M11:T70,TRUE,TRUE),1,7)</f>
        <v/>
      </c>
      <c r="AD70" s="7">
        <f>INDEX(LINEST(L11:L70,M11:T70,TRUE,TRUE),1,6)</f>
        <v/>
      </c>
      <c r="AE70" s="7">
        <f>INDEX(LINEST(L11:L70,M11:T70,TRUE,TRUE),1,5)</f>
        <v/>
      </c>
      <c r="AF70" s="7">
        <f>INDEX(LINEST(L11:L70,M11:T70,TRUE,TRUE),1,4)</f>
        <v/>
      </c>
      <c r="AG70" s="7">
        <f>INDEX(LINEST(L11:L70,M11:T70,TRUE,TRUE),1,3)</f>
        <v/>
      </c>
      <c r="AH70" s="7">
        <f>INDEX(LINEST(L11:L70,M11:T70,TRUE,TRUE),1,2)</f>
        <v/>
      </c>
      <c r="AI70" s="7">
        <f>INDEX(LINEST(L11:L70,M11:T70,TRUE,TRUE),1,1)</f>
        <v/>
      </c>
      <c r="AJ70" s="8">
        <f>INDEX(LINEST(L11:L70,M11:T70,TRUE,TRUE),3,1)</f>
        <v/>
      </c>
    </row>
    <row r="71">
      <c r="A71" s="5" t="n">
        <v>39721</v>
      </c>
      <c r="B71" s="6" t="n">
        <v>884.5</v>
      </c>
      <c r="C71" s="6" t="n">
        <v>1.6</v>
      </c>
      <c r="D71" s="6" t="n">
        <v>2.25</v>
      </c>
      <c r="E71" s="6" t="n">
        <v>79.449997</v>
      </c>
      <c r="F71" s="6" t="n">
        <v>100.7</v>
      </c>
      <c r="G71" s="6" t="n">
        <v>39.39</v>
      </c>
      <c r="H71" s="6" t="n">
        <v>208.5</v>
      </c>
      <c r="I71" s="6" t="n">
        <v>1166.359985</v>
      </c>
      <c r="J71" s="6" t="n">
        <v>58.891525</v>
      </c>
      <c r="L71" s="7">
        <f>LN(B71/B70)</f>
        <v/>
      </c>
      <c r="M71" s="7">
        <f>C71-C70</f>
        <v/>
      </c>
      <c r="N71" s="7">
        <f>D71-D70</f>
        <v/>
      </c>
      <c r="O71" s="7">
        <f>LN(E71/E70)</f>
        <v/>
      </c>
      <c r="P71" s="7">
        <f>LN(F71/F70)</f>
        <v/>
      </c>
      <c r="Q71" s="7">
        <f>G71-G70</f>
        <v/>
      </c>
      <c r="R71" s="7">
        <f>H71-H70</f>
        <v/>
      </c>
      <c r="S71" s="7">
        <f>LN(I71/I70)</f>
        <v/>
      </c>
      <c r="T71" s="7">
        <f>LN(J71/J70)</f>
        <v/>
      </c>
      <c r="U71" s="7">
        <f>$W$12+$W$4*M71+$W$5*N71+$W$6*O71+$W$7*P71+$W$8*Q71+$W$9*R71+$W$10*S71+$W$11*T71</f>
        <v/>
      </c>
      <c r="AA71" s="8">
        <f>INDEX(LINEST(L12:L71,M12:T71,TRUE,TRUE),1,9)*12</f>
        <v/>
      </c>
      <c r="AB71" s="7">
        <f>INDEX(LINEST(L12:L71,M12:T71,TRUE,TRUE),1,8)</f>
        <v/>
      </c>
      <c r="AC71" s="7">
        <f>INDEX(LINEST(L12:L71,M12:T71,TRUE,TRUE),1,7)</f>
        <v/>
      </c>
      <c r="AD71" s="7">
        <f>INDEX(LINEST(L12:L71,M12:T71,TRUE,TRUE),1,6)</f>
        <v/>
      </c>
      <c r="AE71" s="7">
        <f>INDEX(LINEST(L12:L71,M12:T71,TRUE,TRUE),1,5)</f>
        <v/>
      </c>
      <c r="AF71" s="7">
        <f>INDEX(LINEST(L12:L71,M12:T71,TRUE,TRUE),1,4)</f>
        <v/>
      </c>
      <c r="AG71" s="7">
        <f>INDEX(LINEST(L12:L71,M12:T71,TRUE,TRUE),1,3)</f>
        <v/>
      </c>
      <c r="AH71" s="7">
        <f>INDEX(LINEST(L12:L71,M12:T71,TRUE,TRUE),1,2)</f>
        <v/>
      </c>
      <c r="AI71" s="7">
        <f>INDEX(LINEST(L12:L71,M12:T71,TRUE,TRUE),1,1)</f>
        <v/>
      </c>
      <c r="AJ71" s="8">
        <f>INDEX(LINEST(L12:L71,M12:T71,TRUE,TRUE),3,1)</f>
        <v/>
      </c>
    </row>
    <row r="72">
      <c r="A72" s="5" t="n">
        <v>39752</v>
      </c>
      <c r="B72" s="6" t="n">
        <v>730.75</v>
      </c>
      <c r="C72" s="6" t="n">
        <v>0.87</v>
      </c>
      <c r="D72" s="6" t="n">
        <v>3.14</v>
      </c>
      <c r="E72" s="6" t="n">
        <v>85.629997</v>
      </c>
      <c r="F72" s="6" t="n">
        <v>68.09999999999999</v>
      </c>
      <c r="G72" s="6" t="n">
        <v>59.89</v>
      </c>
      <c r="H72" s="6" t="n">
        <v>207.199997</v>
      </c>
      <c r="I72" s="6" t="n">
        <v>968.75</v>
      </c>
      <c r="J72" s="6" t="n">
        <v>57.54818</v>
      </c>
      <c r="L72" s="7">
        <f>LN(B72/B71)</f>
        <v/>
      </c>
      <c r="M72" s="7">
        <f>C72-C71</f>
        <v/>
      </c>
      <c r="N72" s="7">
        <f>D72-D71</f>
        <v/>
      </c>
      <c r="O72" s="7">
        <f>LN(E72/E71)</f>
        <v/>
      </c>
      <c r="P72" s="7">
        <f>LN(F72/F71)</f>
        <v/>
      </c>
      <c r="Q72" s="7">
        <f>G72-G71</f>
        <v/>
      </c>
      <c r="R72" s="7">
        <f>H72-H71</f>
        <v/>
      </c>
      <c r="S72" s="7">
        <f>LN(I72/I71)</f>
        <v/>
      </c>
      <c r="T72" s="7">
        <f>LN(J72/J71)</f>
        <v/>
      </c>
      <c r="U72" s="7">
        <f>$W$12+$W$4*M72+$W$5*N72+$W$6*O72+$W$7*P72+$W$8*Q72+$W$9*R72+$W$10*S72+$W$11*T72</f>
        <v/>
      </c>
      <c r="AA72" s="8">
        <f>INDEX(LINEST(L13:L72,M13:T72,TRUE,TRUE),1,9)*12</f>
        <v/>
      </c>
      <c r="AB72" s="7">
        <f>INDEX(LINEST(L13:L72,M13:T72,TRUE,TRUE),1,8)</f>
        <v/>
      </c>
      <c r="AC72" s="7">
        <f>INDEX(LINEST(L13:L72,M13:T72,TRUE,TRUE),1,7)</f>
        <v/>
      </c>
      <c r="AD72" s="7">
        <f>INDEX(LINEST(L13:L72,M13:T72,TRUE,TRUE),1,6)</f>
        <v/>
      </c>
      <c r="AE72" s="7">
        <f>INDEX(LINEST(L13:L72,M13:T72,TRUE,TRUE),1,5)</f>
        <v/>
      </c>
      <c r="AF72" s="7">
        <f>INDEX(LINEST(L13:L72,M13:T72,TRUE,TRUE),1,4)</f>
        <v/>
      </c>
      <c r="AG72" s="7">
        <f>INDEX(LINEST(L13:L72,M13:T72,TRUE,TRUE),1,3)</f>
        <v/>
      </c>
      <c r="AH72" s="7">
        <f>INDEX(LINEST(L13:L72,M13:T72,TRUE,TRUE),1,2)</f>
        <v/>
      </c>
      <c r="AI72" s="7">
        <f>INDEX(LINEST(L13:L72,M13:T72,TRUE,TRUE),1,1)</f>
        <v/>
      </c>
      <c r="AJ72" s="8">
        <f>INDEX(LINEST(L13:L72,M13:T72,TRUE,TRUE),3,1)</f>
        <v/>
      </c>
    </row>
    <row r="73">
      <c r="A73" s="5" t="n">
        <v>39782</v>
      </c>
      <c r="B73" s="6" t="n">
        <v>814.5</v>
      </c>
      <c r="C73" s="6" t="n">
        <v>0.33</v>
      </c>
      <c r="D73" s="6" t="n">
        <v>2.6</v>
      </c>
      <c r="E73" s="6" t="n">
        <v>86.519997</v>
      </c>
      <c r="F73" s="6" t="n">
        <v>55.21</v>
      </c>
      <c r="G73" s="6" t="n">
        <v>55.84</v>
      </c>
      <c r="H73" s="6" t="n">
        <v>214</v>
      </c>
      <c r="I73" s="6" t="n">
        <v>896.23999</v>
      </c>
      <c r="J73" s="6" t="n">
        <v>59.288601</v>
      </c>
      <c r="L73" s="7">
        <f>LN(B73/B72)</f>
        <v/>
      </c>
      <c r="M73" s="7">
        <f>C73-C72</f>
        <v/>
      </c>
      <c r="N73" s="7">
        <f>D73-D72</f>
        <v/>
      </c>
      <c r="O73" s="7">
        <f>LN(E73/E72)</f>
        <v/>
      </c>
      <c r="P73" s="7">
        <f>LN(F73/F72)</f>
        <v/>
      </c>
      <c r="Q73" s="7">
        <f>G73-G72</f>
        <v/>
      </c>
      <c r="R73" s="7">
        <f>H73-H72</f>
        <v/>
      </c>
      <c r="S73" s="7">
        <f>LN(I73/I72)</f>
        <v/>
      </c>
      <c r="T73" s="7">
        <f>LN(J73/J72)</f>
        <v/>
      </c>
      <c r="U73" s="7">
        <f>$W$12+$W$4*M73+$W$5*N73+$W$6*O73+$W$7*P73+$W$8*Q73+$W$9*R73+$W$10*S73+$W$11*T73</f>
        <v/>
      </c>
      <c r="AA73" s="8">
        <f>INDEX(LINEST(L14:L73,M14:T73,TRUE,TRUE),1,9)*12</f>
        <v/>
      </c>
      <c r="AB73" s="7">
        <f>INDEX(LINEST(L14:L73,M14:T73,TRUE,TRUE),1,8)</f>
        <v/>
      </c>
      <c r="AC73" s="7">
        <f>INDEX(LINEST(L14:L73,M14:T73,TRUE,TRUE),1,7)</f>
        <v/>
      </c>
      <c r="AD73" s="7">
        <f>INDEX(LINEST(L14:L73,M14:T73,TRUE,TRUE),1,6)</f>
        <v/>
      </c>
      <c r="AE73" s="7">
        <f>INDEX(LINEST(L14:L73,M14:T73,TRUE,TRUE),1,5)</f>
        <v/>
      </c>
      <c r="AF73" s="7">
        <f>INDEX(LINEST(L14:L73,M14:T73,TRUE,TRUE),1,4)</f>
        <v/>
      </c>
      <c r="AG73" s="7">
        <f>INDEX(LINEST(L14:L73,M14:T73,TRUE,TRUE),1,3)</f>
        <v/>
      </c>
      <c r="AH73" s="7">
        <f>INDEX(LINEST(L14:L73,M14:T73,TRUE,TRUE),1,2)</f>
        <v/>
      </c>
      <c r="AI73" s="7">
        <f>INDEX(LINEST(L14:L73,M14:T73,TRUE,TRUE),1,1)</f>
        <v/>
      </c>
      <c r="AJ73" s="8">
        <f>INDEX(LINEST(L14:L73,M14:T73,TRUE,TRUE),3,1)</f>
        <v/>
      </c>
    </row>
    <row r="74">
      <c r="A74" s="5" t="n">
        <v>39813</v>
      </c>
      <c r="B74" s="6" t="n">
        <v>869.75</v>
      </c>
      <c r="C74" s="6" t="n">
        <v>0.11</v>
      </c>
      <c r="D74" s="6" t="n">
        <v>2.14</v>
      </c>
      <c r="E74" s="6" t="n">
        <v>81.30999799999999</v>
      </c>
      <c r="F74" s="6" t="n">
        <v>44.6</v>
      </c>
      <c r="G74" s="6" t="n">
        <v>40</v>
      </c>
      <c r="H74" s="6" t="n">
        <v>190</v>
      </c>
      <c r="I74" s="6" t="n">
        <v>903.25</v>
      </c>
      <c r="J74" s="6" t="n">
        <v>63.23864</v>
      </c>
      <c r="L74" s="7">
        <f>LN(B74/B73)</f>
        <v/>
      </c>
      <c r="M74" s="7">
        <f>C74-C73</f>
        <v/>
      </c>
      <c r="N74" s="7">
        <f>D74-D73</f>
        <v/>
      </c>
      <c r="O74" s="7">
        <f>LN(E74/E73)</f>
        <v/>
      </c>
      <c r="P74" s="7">
        <f>LN(F74/F73)</f>
        <v/>
      </c>
      <c r="Q74" s="7">
        <f>G74-G73</f>
        <v/>
      </c>
      <c r="R74" s="7">
        <f>H74-H73</f>
        <v/>
      </c>
      <c r="S74" s="7">
        <f>LN(I74/I73)</f>
        <v/>
      </c>
      <c r="T74" s="7">
        <f>LN(J74/J73)</f>
        <v/>
      </c>
      <c r="U74" s="7">
        <f>$W$12+$W$4*M74+$W$5*N74+$W$6*O74+$W$7*P74+$W$8*Q74+$W$9*R74+$W$10*S74+$W$11*T74</f>
        <v/>
      </c>
      <c r="AA74" s="8">
        <f>INDEX(LINEST(L15:L74,M15:T74,TRUE,TRUE),1,9)*12</f>
        <v/>
      </c>
      <c r="AB74" s="7">
        <f>INDEX(LINEST(L15:L74,M15:T74,TRUE,TRUE),1,8)</f>
        <v/>
      </c>
      <c r="AC74" s="7">
        <f>INDEX(LINEST(L15:L74,M15:T74,TRUE,TRUE),1,7)</f>
        <v/>
      </c>
      <c r="AD74" s="7">
        <f>INDEX(LINEST(L15:L74,M15:T74,TRUE,TRUE),1,6)</f>
        <v/>
      </c>
      <c r="AE74" s="7">
        <f>INDEX(LINEST(L15:L74,M15:T74,TRUE,TRUE),1,5)</f>
        <v/>
      </c>
      <c r="AF74" s="7">
        <f>INDEX(LINEST(L15:L74,M15:T74,TRUE,TRUE),1,4)</f>
        <v/>
      </c>
      <c r="AG74" s="7">
        <f>INDEX(LINEST(L15:L74,M15:T74,TRUE,TRUE),1,3)</f>
        <v/>
      </c>
      <c r="AH74" s="7">
        <f>INDEX(LINEST(L15:L74,M15:T74,TRUE,TRUE),1,2)</f>
        <v/>
      </c>
      <c r="AI74" s="7">
        <f>INDEX(LINEST(L15:L74,M15:T74,TRUE,TRUE),1,1)</f>
        <v/>
      </c>
      <c r="AJ74" s="8">
        <f>INDEX(LINEST(L15:L74,M15:T74,TRUE,TRUE),3,1)</f>
        <v/>
      </c>
    </row>
    <row r="75">
      <c r="A75" s="5" t="n">
        <v>39844</v>
      </c>
      <c r="B75" s="6" t="n">
        <v>919.5</v>
      </c>
      <c r="C75" s="6" t="n">
        <v>1.14</v>
      </c>
      <c r="D75" s="6" t="n">
        <v>1.73</v>
      </c>
      <c r="E75" s="6" t="n">
        <v>86</v>
      </c>
      <c r="F75" s="6" t="n">
        <v>41.73</v>
      </c>
      <c r="G75" s="6" t="n">
        <v>44.84</v>
      </c>
      <c r="H75" s="6" t="n">
        <v>162.899994</v>
      </c>
      <c r="I75" s="6" t="n">
        <v>825.880005</v>
      </c>
      <c r="J75" s="6" t="n">
        <v>61.982361</v>
      </c>
      <c r="L75" s="7">
        <f>LN(B75/B74)</f>
        <v/>
      </c>
      <c r="M75" s="7">
        <f>C75-C74</f>
        <v/>
      </c>
      <c r="N75" s="7">
        <f>D75-D74</f>
        <v/>
      </c>
      <c r="O75" s="7">
        <f>LN(E75/E74)</f>
        <v/>
      </c>
      <c r="P75" s="7">
        <f>LN(F75/F74)</f>
        <v/>
      </c>
      <c r="Q75" s="7">
        <f>G75-G74</f>
        <v/>
      </c>
      <c r="R75" s="7">
        <f>H75-H74</f>
        <v/>
      </c>
      <c r="S75" s="7">
        <f>LN(I75/I74)</f>
        <v/>
      </c>
      <c r="T75" s="7">
        <f>LN(J75/J74)</f>
        <v/>
      </c>
      <c r="U75" s="7">
        <f>$W$12+$W$4*M75+$W$5*N75+$W$6*O75+$W$7*P75+$W$8*Q75+$W$9*R75+$W$10*S75+$W$11*T75</f>
        <v/>
      </c>
      <c r="AA75" s="8">
        <f>INDEX(LINEST(L16:L75,M16:T75,TRUE,TRUE),1,9)*12</f>
        <v/>
      </c>
      <c r="AB75" s="7">
        <f>INDEX(LINEST(L16:L75,M16:T75,TRUE,TRUE),1,8)</f>
        <v/>
      </c>
      <c r="AC75" s="7">
        <f>INDEX(LINEST(L16:L75,M16:T75,TRUE,TRUE),1,7)</f>
        <v/>
      </c>
      <c r="AD75" s="7">
        <f>INDEX(LINEST(L16:L75,M16:T75,TRUE,TRUE),1,6)</f>
        <v/>
      </c>
      <c r="AE75" s="7">
        <f>INDEX(LINEST(L16:L75,M16:T75,TRUE,TRUE),1,5)</f>
        <v/>
      </c>
      <c r="AF75" s="7">
        <f>INDEX(LINEST(L16:L75,M16:T75,TRUE,TRUE),1,4)</f>
        <v/>
      </c>
      <c r="AG75" s="7">
        <f>INDEX(LINEST(L16:L75,M16:T75,TRUE,TRUE),1,3)</f>
        <v/>
      </c>
      <c r="AH75" s="7">
        <f>INDEX(LINEST(L16:L75,M16:T75,TRUE,TRUE),1,2)</f>
        <v/>
      </c>
      <c r="AI75" s="7">
        <f>INDEX(LINEST(L16:L75,M16:T75,TRUE,TRUE),1,1)</f>
        <v/>
      </c>
      <c r="AJ75" s="8">
        <f>INDEX(LINEST(L16:L75,M16:T75,TRUE,TRUE),3,1)</f>
        <v/>
      </c>
    </row>
    <row r="76">
      <c r="A76" s="5" t="n">
        <v>39872</v>
      </c>
      <c r="B76" s="6" t="n">
        <v>952</v>
      </c>
      <c r="C76" s="6" t="n">
        <v>0.96</v>
      </c>
      <c r="D76" s="6" t="n">
        <v>2.06</v>
      </c>
      <c r="E76" s="6" t="n">
        <v>88.010002</v>
      </c>
      <c r="F76" s="6" t="n">
        <v>44.15</v>
      </c>
      <c r="G76" s="6" t="n">
        <v>46.35</v>
      </c>
      <c r="H76" s="6" t="n">
        <v>166.600006</v>
      </c>
      <c r="I76" s="6" t="n">
        <v>735.090027</v>
      </c>
      <c r="J76" s="6" t="n">
        <v>61.328178</v>
      </c>
      <c r="L76" s="7">
        <f>LN(B76/B75)</f>
        <v/>
      </c>
      <c r="M76" s="7">
        <f>C76-C75</f>
        <v/>
      </c>
      <c r="N76" s="7">
        <f>D76-D75</f>
        <v/>
      </c>
      <c r="O76" s="7">
        <f>LN(E76/E75)</f>
        <v/>
      </c>
      <c r="P76" s="7">
        <f>LN(F76/F75)</f>
        <v/>
      </c>
      <c r="Q76" s="7">
        <f>G76-G75</f>
        <v/>
      </c>
      <c r="R76" s="7">
        <f>H76-H75</f>
        <v/>
      </c>
      <c r="S76" s="7">
        <f>LN(I76/I75)</f>
        <v/>
      </c>
      <c r="T76" s="7">
        <f>LN(J76/J75)</f>
        <v/>
      </c>
      <c r="U76" s="7">
        <f>$W$12+$W$4*M76+$W$5*N76+$W$6*O76+$W$7*P76+$W$8*Q76+$W$9*R76+$W$10*S76+$W$11*T76</f>
        <v/>
      </c>
      <c r="AA76" s="8">
        <f>INDEX(LINEST(L17:L76,M17:T76,TRUE,TRUE),1,9)*12</f>
        <v/>
      </c>
      <c r="AB76" s="7">
        <f>INDEX(LINEST(L17:L76,M17:T76,TRUE,TRUE),1,8)</f>
        <v/>
      </c>
      <c r="AC76" s="7">
        <f>INDEX(LINEST(L17:L76,M17:T76,TRUE,TRUE),1,7)</f>
        <v/>
      </c>
      <c r="AD76" s="7">
        <f>INDEX(LINEST(L17:L76,M17:T76,TRUE,TRUE),1,6)</f>
        <v/>
      </c>
      <c r="AE76" s="7">
        <f>INDEX(LINEST(L17:L76,M17:T76,TRUE,TRUE),1,5)</f>
        <v/>
      </c>
      <c r="AF76" s="7">
        <f>INDEX(LINEST(L17:L76,M17:T76,TRUE,TRUE),1,4)</f>
        <v/>
      </c>
      <c r="AG76" s="7">
        <f>INDEX(LINEST(L17:L76,M17:T76,TRUE,TRUE),1,3)</f>
        <v/>
      </c>
      <c r="AH76" s="7">
        <f>INDEX(LINEST(L17:L76,M17:T76,TRUE,TRUE),1,2)</f>
        <v/>
      </c>
      <c r="AI76" s="7">
        <f>INDEX(LINEST(L17:L76,M17:T76,TRUE,TRUE),1,1)</f>
        <v/>
      </c>
      <c r="AJ76" s="8">
        <f>INDEX(LINEST(L17:L76,M17:T76,TRUE,TRUE),3,1)</f>
        <v/>
      </c>
    </row>
    <row r="77">
      <c r="A77" s="5" t="n">
        <v>39903</v>
      </c>
      <c r="B77" s="6" t="n">
        <v>916.5</v>
      </c>
      <c r="C77" s="6" t="n">
        <v>1.28</v>
      </c>
      <c r="D77" s="6" t="n">
        <v>1.43</v>
      </c>
      <c r="E77" s="6" t="n">
        <v>85.43000000000001</v>
      </c>
      <c r="F77" s="6" t="n">
        <v>49.64</v>
      </c>
      <c r="G77" s="6" t="n">
        <v>44.14</v>
      </c>
      <c r="H77" s="6" t="n">
        <v>117.300003</v>
      </c>
      <c r="I77" s="6" t="n">
        <v>797.869995</v>
      </c>
      <c r="J77" s="6" t="n">
        <v>62.004642</v>
      </c>
      <c r="L77" s="7">
        <f>LN(B77/B76)</f>
        <v/>
      </c>
      <c r="M77" s="7">
        <f>C77-C76</f>
        <v/>
      </c>
      <c r="N77" s="7">
        <f>D77-D76</f>
        <v/>
      </c>
      <c r="O77" s="7">
        <f>LN(E77/E76)</f>
        <v/>
      </c>
      <c r="P77" s="7">
        <f>LN(F77/F76)</f>
        <v/>
      </c>
      <c r="Q77" s="7">
        <f>G77-G76</f>
        <v/>
      </c>
      <c r="R77" s="7">
        <f>H77-H76</f>
        <v/>
      </c>
      <c r="S77" s="7">
        <f>LN(I77/I76)</f>
        <v/>
      </c>
      <c r="T77" s="7">
        <f>LN(J77/J76)</f>
        <v/>
      </c>
      <c r="U77" s="7">
        <f>$W$12+$W$4*M77+$W$5*N77+$W$6*O77+$W$7*P77+$W$8*Q77+$W$9*R77+$W$10*S77+$W$11*T77</f>
        <v/>
      </c>
      <c r="AA77" s="8">
        <f>INDEX(LINEST(L18:L77,M18:T77,TRUE,TRUE),1,9)*12</f>
        <v/>
      </c>
      <c r="AB77" s="7">
        <f>INDEX(LINEST(L18:L77,M18:T77,TRUE,TRUE),1,8)</f>
        <v/>
      </c>
      <c r="AC77" s="7">
        <f>INDEX(LINEST(L18:L77,M18:T77,TRUE,TRUE),1,7)</f>
        <v/>
      </c>
      <c r="AD77" s="7">
        <f>INDEX(LINEST(L18:L77,M18:T77,TRUE,TRUE),1,6)</f>
        <v/>
      </c>
      <c r="AE77" s="7">
        <f>INDEX(LINEST(L18:L77,M18:T77,TRUE,TRUE),1,5)</f>
        <v/>
      </c>
      <c r="AF77" s="7">
        <f>INDEX(LINEST(L18:L77,M18:T77,TRUE,TRUE),1,4)</f>
        <v/>
      </c>
      <c r="AG77" s="7">
        <f>INDEX(LINEST(L18:L77,M18:T77,TRUE,TRUE),1,3)</f>
        <v/>
      </c>
      <c r="AH77" s="7">
        <f>INDEX(LINEST(L18:L77,M18:T77,TRUE,TRUE),1,2)</f>
        <v/>
      </c>
      <c r="AI77" s="7">
        <f>INDEX(LINEST(L18:L77,M18:T77,TRUE,TRUE),1,1)</f>
        <v/>
      </c>
      <c r="AJ77" s="8">
        <f>INDEX(LINEST(L18:L77,M18:T77,TRUE,TRUE),3,1)</f>
        <v/>
      </c>
    </row>
    <row r="78">
      <c r="A78" s="5" t="n">
        <v>39933</v>
      </c>
      <c r="B78" s="6" t="n">
        <v>883.25</v>
      </c>
      <c r="C78" s="6" t="n">
        <v>1.47</v>
      </c>
      <c r="D78" s="6" t="n">
        <v>1.69</v>
      </c>
      <c r="E78" s="6" t="n">
        <v>84.610001</v>
      </c>
      <c r="F78" s="6" t="n">
        <v>50.35</v>
      </c>
      <c r="G78" s="6" t="n">
        <v>36.5</v>
      </c>
      <c r="H78" s="6" t="n">
        <v>124.199997</v>
      </c>
      <c r="I78" s="6" t="n">
        <v>872.809998</v>
      </c>
      <c r="J78" s="6" t="n">
        <v>62.324139</v>
      </c>
      <c r="L78" s="7">
        <f>LN(B78/B77)</f>
        <v/>
      </c>
      <c r="M78" s="7">
        <f>C78-C77</f>
        <v/>
      </c>
      <c r="N78" s="7">
        <f>D78-D77</f>
        <v/>
      </c>
      <c r="O78" s="7">
        <f>LN(E78/E77)</f>
        <v/>
      </c>
      <c r="P78" s="7">
        <f>LN(F78/F77)</f>
        <v/>
      </c>
      <c r="Q78" s="7">
        <f>G78-G77</f>
        <v/>
      </c>
      <c r="R78" s="7">
        <f>H78-H77</f>
        <v/>
      </c>
      <c r="S78" s="7">
        <f>LN(I78/I77)</f>
        <v/>
      </c>
      <c r="T78" s="7">
        <f>LN(J78/J77)</f>
        <v/>
      </c>
      <c r="U78" s="7">
        <f>$W$12+$W$4*M78+$W$5*N78+$W$6*O78+$W$7*P78+$W$8*Q78+$W$9*R78+$W$10*S78+$W$11*T78</f>
        <v/>
      </c>
      <c r="AA78" s="8">
        <f>INDEX(LINEST(L19:L78,M19:T78,TRUE,TRUE),1,9)*12</f>
        <v/>
      </c>
      <c r="AB78" s="7">
        <f>INDEX(LINEST(L19:L78,M19:T78,TRUE,TRUE),1,8)</f>
        <v/>
      </c>
      <c r="AC78" s="7">
        <f>INDEX(LINEST(L19:L78,M19:T78,TRUE,TRUE),1,7)</f>
        <v/>
      </c>
      <c r="AD78" s="7">
        <f>INDEX(LINEST(L19:L78,M19:T78,TRUE,TRUE),1,6)</f>
        <v/>
      </c>
      <c r="AE78" s="7">
        <f>INDEX(LINEST(L19:L78,M19:T78,TRUE,TRUE),1,5)</f>
        <v/>
      </c>
      <c r="AF78" s="7">
        <f>INDEX(LINEST(L19:L78,M19:T78,TRUE,TRUE),1,4)</f>
        <v/>
      </c>
      <c r="AG78" s="7">
        <f>INDEX(LINEST(L19:L78,M19:T78,TRUE,TRUE),1,3)</f>
        <v/>
      </c>
      <c r="AH78" s="7">
        <f>INDEX(LINEST(L19:L78,M19:T78,TRUE,TRUE),1,2)</f>
        <v/>
      </c>
      <c r="AI78" s="7">
        <f>INDEX(LINEST(L19:L78,M19:T78,TRUE,TRUE),1,1)</f>
        <v/>
      </c>
      <c r="AJ78" s="8">
        <f>INDEX(LINEST(L19:L78,M19:T78,TRUE,TRUE),3,1)</f>
        <v/>
      </c>
    </row>
    <row r="79">
      <c r="A79" s="5" t="n">
        <v>39964</v>
      </c>
      <c r="B79" s="6" t="n">
        <v>975.5</v>
      </c>
      <c r="C79" s="6" t="n">
        <v>1.8</v>
      </c>
      <c r="D79" s="6" t="n">
        <v>1.67</v>
      </c>
      <c r="E79" s="6" t="n">
        <v>80.43000000000001</v>
      </c>
      <c r="F79" s="6" t="n">
        <v>66.31</v>
      </c>
      <c r="G79" s="6" t="n">
        <v>28.92</v>
      </c>
      <c r="H79" s="6" t="n">
        <v>165.399994</v>
      </c>
      <c r="I79" s="6" t="n">
        <v>919.1400149999999</v>
      </c>
      <c r="J79" s="6" t="n">
        <v>62.766438</v>
      </c>
      <c r="L79" s="7">
        <f>LN(B79/B78)</f>
        <v/>
      </c>
      <c r="M79" s="7">
        <f>C79-C78</f>
        <v/>
      </c>
      <c r="N79" s="7">
        <f>D79-D78</f>
        <v/>
      </c>
      <c r="O79" s="7">
        <f>LN(E79/E78)</f>
        <v/>
      </c>
      <c r="P79" s="7">
        <f>LN(F79/F78)</f>
        <v/>
      </c>
      <c r="Q79" s="7">
        <f>G79-G78</f>
        <v/>
      </c>
      <c r="R79" s="7">
        <f>H79-H78</f>
        <v/>
      </c>
      <c r="S79" s="7">
        <f>LN(I79/I78)</f>
        <v/>
      </c>
      <c r="T79" s="7">
        <f>LN(J79/J78)</f>
        <v/>
      </c>
      <c r="U79" s="7">
        <f>$W$12+$W$4*M79+$W$5*N79+$W$6*O79+$W$7*P79+$W$8*Q79+$W$9*R79+$W$10*S79+$W$11*T79</f>
        <v/>
      </c>
      <c r="AA79" s="8">
        <f>INDEX(LINEST(L20:L79,M20:T79,TRUE,TRUE),1,9)*12</f>
        <v/>
      </c>
      <c r="AB79" s="7">
        <f>INDEX(LINEST(L20:L79,M20:T79,TRUE,TRUE),1,8)</f>
        <v/>
      </c>
      <c r="AC79" s="7">
        <f>INDEX(LINEST(L20:L79,M20:T79,TRUE,TRUE),1,7)</f>
        <v/>
      </c>
      <c r="AD79" s="7">
        <f>INDEX(LINEST(L20:L79,M20:T79,TRUE,TRUE),1,6)</f>
        <v/>
      </c>
      <c r="AE79" s="7">
        <f>INDEX(LINEST(L20:L79,M20:T79,TRUE,TRUE),1,5)</f>
        <v/>
      </c>
      <c r="AF79" s="7">
        <f>INDEX(LINEST(L20:L79,M20:T79,TRUE,TRUE),1,4)</f>
        <v/>
      </c>
      <c r="AG79" s="7">
        <f>INDEX(LINEST(L20:L79,M20:T79,TRUE,TRUE),1,3)</f>
        <v/>
      </c>
      <c r="AH79" s="7">
        <f>INDEX(LINEST(L20:L79,M20:T79,TRUE,TRUE),1,2)</f>
        <v/>
      </c>
      <c r="AI79" s="7">
        <f>INDEX(LINEST(L20:L79,M20:T79,TRUE,TRUE),1,1)</f>
        <v/>
      </c>
      <c r="AJ79" s="8">
        <f>INDEX(LINEST(L20:L79,M20:T79,TRUE,TRUE),3,1)</f>
        <v/>
      </c>
    </row>
    <row r="80">
      <c r="A80" s="5" t="n">
        <v>39994</v>
      </c>
      <c r="B80" s="6" t="n">
        <v>934.5</v>
      </c>
      <c r="C80" s="6" t="n">
        <v>1.75</v>
      </c>
      <c r="D80" s="6" t="n">
        <v>1.78</v>
      </c>
      <c r="E80" s="6" t="n">
        <v>80.129997</v>
      </c>
      <c r="F80" s="6" t="n">
        <v>69.81999999999999</v>
      </c>
      <c r="G80" s="6" t="n">
        <v>26.35</v>
      </c>
      <c r="H80" s="6" t="n">
        <v>162.5</v>
      </c>
      <c r="I80" s="6" t="n">
        <v>919.320007</v>
      </c>
      <c r="J80" s="6" t="n">
        <v>63.030571</v>
      </c>
      <c r="L80" s="7">
        <f>LN(B80/B79)</f>
        <v/>
      </c>
      <c r="M80" s="7">
        <f>C80-C79</f>
        <v/>
      </c>
      <c r="N80" s="7">
        <f>D80-D79</f>
        <v/>
      </c>
      <c r="O80" s="7">
        <f>LN(E80/E79)</f>
        <v/>
      </c>
      <c r="P80" s="7">
        <f>LN(F80/F79)</f>
        <v/>
      </c>
      <c r="Q80" s="7">
        <f>G80-G79</f>
        <v/>
      </c>
      <c r="R80" s="7">
        <f>H80-H79</f>
        <v/>
      </c>
      <c r="S80" s="7">
        <f>LN(I80/I79)</f>
        <v/>
      </c>
      <c r="T80" s="7">
        <f>LN(J80/J79)</f>
        <v/>
      </c>
      <c r="U80" s="7">
        <f>$W$12+$W$4*M80+$W$5*N80+$W$6*O80+$W$7*P80+$W$8*Q80+$W$9*R80+$W$10*S80+$W$11*T80</f>
        <v/>
      </c>
      <c r="AA80" s="8">
        <f>INDEX(LINEST(L21:L80,M21:T80,TRUE,TRUE),1,9)*12</f>
        <v/>
      </c>
      <c r="AB80" s="7">
        <f>INDEX(LINEST(L21:L80,M21:T80,TRUE,TRUE),1,8)</f>
        <v/>
      </c>
      <c r="AC80" s="7">
        <f>INDEX(LINEST(L21:L80,M21:T80,TRUE,TRUE),1,7)</f>
        <v/>
      </c>
      <c r="AD80" s="7">
        <f>INDEX(LINEST(L21:L80,M21:T80,TRUE,TRUE),1,6)</f>
        <v/>
      </c>
      <c r="AE80" s="7">
        <f>INDEX(LINEST(L21:L80,M21:T80,TRUE,TRUE),1,5)</f>
        <v/>
      </c>
      <c r="AF80" s="7">
        <f>INDEX(LINEST(L21:L80,M21:T80,TRUE,TRUE),1,4)</f>
        <v/>
      </c>
      <c r="AG80" s="7">
        <f>INDEX(LINEST(L21:L80,M21:T80,TRUE,TRUE),1,3)</f>
        <v/>
      </c>
      <c r="AH80" s="7">
        <f>INDEX(LINEST(L21:L80,M21:T80,TRUE,TRUE),1,2)</f>
        <v/>
      </c>
      <c r="AI80" s="7">
        <f>INDEX(LINEST(L21:L80,M21:T80,TRUE,TRUE),1,1)</f>
        <v/>
      </c>
      <c r="AJ80" s="8">
        <f>INDEX(LINEST(L21:L80,M21:T80,TRUE,TRUE),3,1)</f>
        <v/>
      </c>
    </row>
    <row r="81">
      <c r="A81" s="5" t="n">
        <v>40025</v>
      </c>
      <c r="B81" s="6" t="n">
        <v>939</v>
      </c>
      <c r="C81" s="6" t="n">
        <v>1.81</v>
      </c>
      <c r="D81" s="6" t="n">
        <v>1.71</v>
      </c>
      <c r="E81" s="6" t="n">
        <v>78.349998</v>
      </c>
      <c r="F81" s="6" t="n">
        <v>69.26000000000001</v>
      </c>
      <c r="G81" s="6" t="n">
        <v>25.92</v>
      </c>
      <c r="H81" s="6" t="n">
        <v>138.5</v>
      </c>
      <c r="I81" s="6" t="n">
        <v>987.47998</v>
      </c>
      <c r="J81" s="6" t="n">
        <v>63.830391</v>
      </c>
      <c r="L81" s="7">
        <f>LN(B81/B80)</f>
        <v/>
      </c>
      <c r="M81" s="7">
        <f>C81-C80</f>
        <v/>
      </c>
      <c r="N81" s="7">
        <f>D81-D80</f>
        <v/>
      </c>
      <c r="O81" s="7">
        <f>LN(E81/E80)</f>
        <v/>
      </c>
      <c r="P81" s="7">
        <f>LN(F81/F80)</f>
        <v/>
      </c>
      <c r="Q81" s="7">
        <f>G81-G80</f>
        <v/>
      </c>
      <c r="R81" s="7">
        <f>H81-H80</f>
        <v/>
      </c>
      <c r="S81" s="7">
        <f>LN(I81/I80)</f>
        <v/>
      </c>
      <c r="T81" s="7">
        <f>LN(J81/J80)</f>
        <v/>
      </c>
      <c r="U81" s="7">
        <f>$W$12+$W$4*M81+$W$5*N81+$W$6*O81+$W$7*P81+$W$8*Q81+$W$9*R81+$W$10*S81+$W$11*T81</f>
        <v/>
      </c>
      <c r="AA81" s="8">
        <f>INDEX(LINEST(L22:L81,M22:T81,TRUE,TRUE),1,9)*12</f>
        <v/>
      </c>
      <c r="AB81" s="7">
        <f>INDEX(LINEST(L22:L81,M22:T81,TRUE,TRUE),1,8)</f>
        <v/>
      </c>
      <c r="AC81" s="7">
        <f>INDEX(LINEST(L22:L81,M22:T81,TRUE,TRUE),1,7)</f>
        <v/>
      </c>
      <c r="AD81" s="7">
        <f>INDEX(LINEST(L22:L81,M22:T81,TRUE,TRUE),1,6)</f>
        <v/>
      </c>
      <c r="AE81" s="7">
        <f>INDEX(LINEST(L22:L81,M22:T81,TRUE,TRUE),1,5)</f>
        <v/>
      </c>
      <c r="AF81" s="7">
        <f>INDEX(LINEST(L22:L81,M22:T81,TRUE,TRUE),1,4)</f>
        <v/>
      </c>
      <c r="AG81" s="7">
        <f>INDEX(LINEST(L22:L81,M22:T81,TRUE,TRUE),1,3)</f>
        <v/>
      </c>
      <c r="AH81" s="7">
        <f>INDEX(LINEST(L22:L81,M22:T81,TRUE,TRUE),1,2)</f>
        <v/>
      </c>
      <c r="AI81" s="7">
        <f>INDEX(LINEST(L22:L81,M22:T81,TRUE,TRUE),1,1)</f>
        <v/>
      </c>
      <c r="AJ81" s="8">
        <f>INDEX(LINEST(L22:L81,M22:T81,TRUE,TRUE),3,1)</f>
        <v/>
      </c>
    </row>
    <row r="82">
      <c r="A82" s="5" t="n">
        <v>40056</v>
      </c>
      <c r="B82" s="6" t="n">
        <v>955.5</v>
      </c>
      <c r="C82" s="6" t="n">
        <v>1.64</v>
      </c>
      <c r="D82" s="6" t="n">
        <v>1.76</v>
      </c>
      <c r="E82" s="6" t="n">
        <v>78.16999800000001</v>
      </c>
      <c r="F82" s="6" t="n">
        <v>69.97</v>
      </c>
      <c r="G82" s="6" t="n">
        <v>26.01</v>
      </c>
      <c r="H82" s="6" t="n">
        <v>130.699997</v>
      </c>
      <c r="I82" s="6" t="n">
        <v>1020.619995</v>
      </c>
      <c r="J82" s="6" t="n">
        <v>64.609329</v>
      </c>
      <c r="L82" s="7">
        <f>LN(B82/B81)</f>
        <v/>
      </c>
      <c r="M82" s="7">
        <f>C82-C81</f>
        <v/>
      </c>
      <c r="N82" s="7">
        <f>D82-D81</f>
        <v/>
      </c>
      <c r="O82" s="7">
        <f>LN(E82/E81)</f>
        <v/>
      </c>
      <c r="P82" s="7">
        <f>LN(F82/F81)</f>
        <v/>
      </c>
      <c r="Q82" s="7">
        <f>G82-G81</f>
        <v/>
      </c>
      <c r="R82" s="7">
        <f>H82-H81</f>
        <v/>
      </c>
      <c r="S82" s="7">
        <f>LN(I82/I81)</f>
        <v/>
      </c>
      <c r="T82" s="7">
        <f>LN(J82/J81)</f>
        <v/>
      </c>
      <c r="U82" s="7">
        <f>$W$12+$W$4*M82+$W$5*N82+$W$6*O82+$W$7*P82+$W$8*Q82+$W$9*R82+$W$10*S82+$W$11*T82</f>
        <v/>
      </c>
      <c r="AA82" s="8">
        <f>INDEX(LINEST(L23:L82,M23:T82,TRUE,TRUE),1,9)*12</f>
        <v/>
      </c>
      <c r="AB82" s="7">
        <f>INDEX(LINEST(L23:L82,M23:T82,TRUE,TRUE),1,8)</f>
        <v/>
      </c>
      <c r="AC82" s="7">
        <f>INDEX(LINEST(L23:L82,M23:T82,TRUE,TRUE),1,7)</f>
        <v/>
      </c>
      <c r="AD82" s="7">
        <f>INDEX(LINEST(L23:L82,M23:T82,TRUE,TRUE),1,6)</f>
        <v/>
      </c>
      <c r="AE82" s="7">
        <f>INDEX(LINEST(L23:L82,M23:T82,TRUE,TRUE),1,5)</f>
        <v/>
      </c>
      <c r="AF82" s="7">
        <f>INDEX(LINEST(L23:L82,M23:T82,TRUE,TRUE),1,4)</f>
        <v/>
      </c>
      <c r="AG82" s="7">
        <f>INDEX(LINEST(L23:L82,M23:T82,TRUE,TRUE),1,3)</f>
        <v/>
      </c>
      <c r="AH82" s="7">
        <f>INDEX(LINEST(L23:L82,M23:T82,TRUE,TRUE),1,2)</f>
        <v/>
      </c>
      <c r="AI82" s="7">
        <f>INDEX(LINEST(L23:L82,M23:T82,TRUE,TRUE),1,1)</f>
        <v/>
      </c>
      <c r="AJ82" s="8">
        <f>INDEX(LINEST(L23:L82,M23:T82,TRUE,TRUE),3,1)</f>
        <v/>
      </c>
    </row>
    <row r="83">
      <c r="A83" s="5" t="n">
        <v>40086</v>
      </c>
      <c r="B83" s="6" t="n">
        <v>995.75</v>
      </c>
      <c r="C83" s="6" t="n">
        <v>1.75</v>
      </c>
      <c r="D83" s="6" t="n">
        <v>1.56</v>
      </c>
      <c r="E83" s="6" t="n">
        <v>76.650002</v>
      </c>
      <c r="F83" s="6" t="n">
        <v>70.45999999999999</v>
      </c>
      <c r="G83" s="6" t="n">
        <v>25.61</v>
      </c>
      <c r="H83" s="6" t="n">
        <v>113.800003</v>
      </c>
      <c r="I83" s="6" t="n">
        <v>1057.079956</v>
      </c>
      <c r="J83" s="6" t="n">
        <v>65.376999</v>
      </c>
      <c r="L83" s="7">
        <f>LN(B83/B82)</f>
        <v/>
      </c>
      <c r="M83" s="7">
        <f>C83-C82</f>
        <v/>
      </c>
      <c r="N83" s="7">
        <f>D83-D82</f>
        <v/>
      </c>
      <c r="O83" s="7">
        <f>LN(E83/E82)</f>
        <v/>
      </c>
      <c r="P83" s="7">
        <f>LN(F83/F82)</f>
        <v/>
      </c>
      <c r="Q83" s="7">
        <f>G83-G82</f>
        <v/>
      </c>
      <c r="R83" s="7">
        <f>H83-H82</f>
        <v/>
      </c>
      <c r="S83" s="7">
        <f>LN(I83/I82)</f>
        <v/>
      </c>
      <c r="T83" s="7">
        <f>LN(J83/J82)</f>
        <v/>
      </c>
      <c r="U83" s="7">
        <f>$W$12+$W$4*M83+$W$5*N83+$W$6*O83+$W$7*P83+$W$8*Q83+$W$9*R83+$W$10*S83+$W$11*T83</f>
        <v/>
      </c>
      <c r="AA83" s="8">
        <f>INDEX(LINEST(L24:L83,M24:T83,TRUE,TRUE),1,9)*12</f>
        <v/>
      </c>
      <c r="AB83" s="7">
        <f>INDEX(LINEST(L24:L83,M24:T83,TRUE,TRUE),1,8)</f>
        <v/>
      </c>
      <c r="AC83" s="7">
        <f>INDEX(LINEST(L24:L83,M24:T83,TRUE,TRUE),1,7)</f>
        <v/>
      </c>
      <c r="AD83" s="7">
        <f>INDEX(LINEST(L24:L83,M24:T83,TRUE,TRUE),1,6)</f>
        <v/>
      </c>
      <c r="AE83" s="7">
        <f>INDEX(LINEST(L24:L83,M24:T83,TRUE,TRUE),1,5)</f>
        <v/>
      </c>
      <c r="AF83" s="7">
        <f>INDEX(LINEST(L24:L83,M24:T83,TRUE,TRUE),1,4)</f>
        <v/>
      </c>
      <c r="AG83" s="7">
        <f>INDEX(LINEST(L24:L83,M24:T83,TRUE,TRUE),1,3)</f>
        <v/>
      </c>
      <c r="AH83" s="7">
        <f>INDEX(LINEST(L24:L83,M24:T83,TRUE,TRUE),1,2)</f>
        <v/>
      </c>
      <c r="AI83" s="7">
        <f>INDEX(LINEST(L24:L83,M24:T83,TRUE,TRUE),1,1)</f>
        <v/>
      </c>
      <c r="AJ83" s="8">
        <f>INDEX(LINEST(L24:L83,M24:T83,TRUE,TRUE),3,1)</f>
        <v/>
      </c>
    </row>
    <row r="84">
      <c r="A84" s="5" t="n">
        <v>40117</v>
      </c>
      <c r="B84" s="6" t="n">
        <v>1040</v>
      </c>
      <c r="C84" s="6" t="n">
        <v>2</v>
      </c>
      <c r="D84" s="6" t="n">
        <v>1.41</v>
      </c>
      <c r="E84" s="6" t="n">
        <v>76.300003</v>
      </c>
      <c r="F84" s="6" t="n">
        <v>77.04000000000001</v>
      </c>
      <c r="G84" s="6" t="n">
        <v>30.69</v>
      </c>
      <c r="H84" s="6" t="n">
        <v>113.5</v>
      </c>
      <c r="I84" s="6" t="n">
        <v>1036.189941</v>
      </c>
      <c r="J84" s="6" t="n">
        <v>65.522018</v>
      </c>
      <c r="L84" s="7">
        <f>LN(B84/B83)</f>
        <v/>
      </c>
      <c r="M84" s="7">
        <f>C84-C83</f>
        <v/>
      </c>
      <c r="N84" s="7">
        <f>D84-D83</f>
        <v/>
      </c>
      <c r="O84" s="7">
        <f>LN(E84/E83)</f>
        <v/>
      </c>
      <c r="P84" s="7">
        <f>LN(F84/F83)</f>
        <v/>
      </c>
      <c r="Q84" s="7">
        <f>G84-G83</f>
        <v/>
      </c>
      <c r="R84" s="7">
        <f>H84-H83</f>
        <v/>
      </c>
      <c r="S84" s="7">
        <f>LN(I84/I83)</f>
        <v/>
      </c>
      <c r="T84" s="7">
        <f>LN(J84/J83)</f>
        <v/>
      </c>
      <c r="U84" s="7">
        <f>$W$12+$W$4*M84+$W$5*N84+$W$6*O84+$W$7*P84+$W$8*Q84+$W$9*R84+$W$10*S84+$W$11*T84</f>
        <v/>
      </c>
      <c r="AA84" s="8">
        <f>INDEX(LINEST(L25:L84,M25:T84,TRUE,TRUE),1,9)*12</f>
        <v/>
      </c>
      <c r="AB84" s="7">
        <f>INDEX(LINEST(L25:L84,M25:T84,TRUE,TRUE),1,8)</f>
        <v/>
      </c>
      <c r="AC84" s="7">
        <f>INDEX(LINEST(L25:L84,M25:T84,TRUE,TRUE),1,7)</f>
        <v/>
      </c>
      <c r="AD84" s="7">
        <f>INDEX(LINEST(L25:L84,M25:T84,TRUE,TRUE),1,6)</f>
        <v/>
      </c>
      <c r="AE84" s="7">
        <f>INDEX(LINEST(L25:L84,M25:T84,TRUE,TRUE),1,5)</f>
        <v/>
      </c>
      <c r="AF84" s="7">
        <f>INDEX(LINEST(L25:L84,M25:T84,TRUE,TRUE),1,4)</f>
        <v/>
      </c>
      <c r="AG84" s="7">
        <f>INDEX(LINEST(L25:L84,M25:T84,TRUE,TRUE),1,3)</f>
        <v/>
      </c>
      <c r="AH84" s="7">
        <f>INDEX(LINEST(L25:L84,M25:T84,TRUE,TRUE),1,2)</f>
        <v/>
      </c>
      <c r="AI84" s="7">
        <f>INDEX(LINEST(L25:L84,M25:T84,TRUE,TRUE),1,1)</f>
        <v/>
      </c>
      <c r="AJ84" s="8">
        <f>INDEX(LINEST(L25:L84,M25:T84,TRUE,TRUE),3,1)</f>
        <v/>
      </c>
    </row>
    <row r="85">
      <c r="A85" s="5" t="n">
        <v>40147</v>
      </c>
      <c r="B85" s="6" t="n">
        <v>1175.75</v>
      </c>
      <c r="C85" s="6" t="n">
        <v>2.08</v>
      </c>
      <c r="D85" s="6" t="n">
        <v>1.13</v>
      </c>
      <c r="E85" s="6" t="n">
        <v>74.879997</v>
      </c>
      <c r="F85" s="6" t="n">
        <v>77.19</v>
      </c>
      <c r="G85" s="6" t="n">
        <v>24.51</v>
      </c>
      <c r="H85" s="6" t="n">
        <v>86.099998</v>
      </c>
      <c r="I85" s="6" t="n">
        <v>1095.630005</v>
      </c>
      <c r="J85" s="6" t="n">
        <v>66.36481499999999</v>
      </c>
      <c r="L85" s="7">
        <f>LN(B85/B84)</f>
        <v/>
      </c>
      <c r="M85" s="7">
        <f>C85-C84</f>
        <v/>
      </c>
      <c r="N85" s="7">
        <f>D85-D84</f>
        <v/>
      </c>
      <c r="O85" s="7">
        <f>LN(E85/E84)</f>
        <v/>
      </c>
      <c r="P85" s="7">
        <f>LN(F85/F84)</f>
        <v/>
      </c>
      <c r="Q85" s="7">
        <f>G85-G84</f>
        <v/>
      </c>
      <c r="R85" s="7">
        <f>H85-H84</f>
        <v/>
      </c>
      <c r="S85" s="7">
        <f>LN(I85/I84)</f>
        <v/>
      </c>
      <c r="T85" s="7">
        <f>LN(J85/J84)</f>
        <v/>
      </c>
      <c r="U85" s="7">
        <f>$W$12+$W$4*M85+$W$5*N85+$W$6*O85+$W$7*P85+$W$8*Q85+$W$9*R85+$W$10*S85+$W$11*T85</f>
        <v/>
      </c>
      <c r="AA85" s="8">
        <f>INDEX(LINEST(L26:L85,M26:T85,TRUE,TRUE),1,9)*12</f>
        <v/>
      </c>
      <c r="AB85" s="7">
        <f>INDEX(LINEST(L26:L85,M26:T85,TRUE,TRUE),1,8)</f>
        <v/>
      </c>
      <c r="AC85" s="7">
        <f>INDEX(LINEST(L26:L85,M26:T85,TRUE,TRUE),1,7)</f>
        <v/>
      </c>
      <c r="AD85" s="7">
        <f>INDEX(LINEST(L26:L85,M26:T85,TRUE,TRUE),1,6)</f>
        <v/>
      </c>
      <c r="AE85" s="7">
        <f>INDEX(LINEST(L26:L85,M26:T85,TRUE,TRUE),1,5)</f>
        <v/>
      </c>
      <c r="AF85" s="7">
        <f>INDEX(LINEST(L26:L85,M26:T85,TRUE,TRUE),1,4)</f>
        <v/>
      </c>
      <c r="AG85" s="7">
        <f>INDEX(LINEST(L26:L85,M26:T85,TRUE,TRUE),1,3)</f>
        <v/>
      </c>
      <c r="AH85" s="7">
        <f>INDEX(LINEST(L26:L85,M26:T85,TRUE,TRUE),1,2)</f>
        <v/>
      </c>
      <c r="AI85" s="7">
        <f>INDEX(LINEST(L26:L85,M26:T85,TRUE,TRUE),1,1)</f>
        <v/>
      </c>
      <c r="AJ85" s="8">
        <f>INDEX(LINEST(L26:L85,M26:T85,TRUE,TRUE),3,1)</f>
        <v/>
      </c>
    </row>
    <row r="86">
      <c r="A86" s="5" t="n">
        <v>40178</v>
      </c>
      <c r="B86" s="6" t="n">
        <v>1087.5</v>
      </c>
      <c r="C86" s="6" t="n">
        <v>2.37</v>
      </c>
      <c r="D86" s="6" t="n">
        <v>1.48</v>
      </c>
      <c r="E86" s="6" t="n">
        <v>77.860001</v>
      </c>
      <c r="F86" s="6" t="n">
        <v>79.39</v>
      </c>
      <c r="G86" s="6" t="n">
        <v>21.68</v>
      </c>
      <c r="H86" s="6" t="n">
        <v>107.5</v>
      </c>
      <c r="I86" s="6" t="n">
        <v>1115.099976</v>
      </c>
      <c r="J86" s="6" t="n">
        <v>65.116364</v>
      </c>
      <c r="L86" s="7">
        <f>LN(B86/B85)</f>
        <v/>
      </c>
      <c r="M86" s="7">
        <f>C86-C85</f>
        <v/>
      </c>
      <c r="N86" s="7">
        <f>D86-D85</f>
        <v/>
      </c>
      <c r="O86" s="7">
        <f>LN(E86/E85)</f>
        <v/>
      </c>
      <c r="P86" s="7">
        <f>LN(F86/F85)</f>
        <v/>
      </c>
      <c r="Q86" s="7">
        <f>G86-G85</f>
        <v/>
      </c>
      <c r="R86" s="7">
        <f>H86-H85</f>
        <v/>
      </c>
      <c r="S86" s="7">
        <f>LN(I86/I85)</f>
        <v/>
      </c>
      <c r="T86" s="7">
        <f>LN(J86/J85)</f>
        <v/>
      </c>
      <c r="U86" s="7">
        <f>$W$12+$W$4*M86+$W$5*N86+$W$6*O86+$W$7*P86+$W$8*Q86+$W$9*R86+$W$10*S86+$W$11*T86</f>
        <v/>
      </c>
      <c r="AA86" s="8">
        <f>INDEX(LINEST(L27:L86,M27:T86,TRUE,TRUE),1,9)*12</f>
        <v/>
      </c>
      <c r="AB86" s="7">
        <f>INDEX(LINEST(L27:L86,M27:T86,TRUE,TRUE),1,8)</f>
        <v/>
      </c>
      <c r="AC86" s="7">
        <f>INDEX(LINEST(L27:L86,M27:T86,TRUE,TRUE),1,7)</f>
        <v/>
      </c>
      <c r="AD86" s="7">
        <f>INDEX(LINEST(L27:L86,M27:T86,TRUE,TRUE),1,6)</f>
        <v/>
      </c>
      <c r="AE86" s="7">
        <f>INDEX(LINEST(L27:L86,M27:T86,TRUE,TRUE),1,5)</f>
        <v/>
      </c>
      <c r="AF86" s="7">
        <f>INDEX(LINEST(L27:L86,M27:T86,TRUE,TRUE),1,4)</f>
        <v/>
      </c>
      <c r="AG86" s="7">
        <f>INDEX(LINEST(L27:L86,M27:T86,TRUE,TRUE),1,3)</f>
        <v/>
      </c>
      <c r="AH86" s="7">
        <f>INDEX(LINEST(L27:L86,M27:T86,TRUE,TRUE),1,2)</f>
        <v/>
      </c>
      <c r="AI86" s="7">
        <f>INDEX(LINEST(L27:L86,M27:T86,TRUE,TRUE),1,1)</f>
        <v/>
      </c>
      <c r="AJ86" s="8">
        <f>INDEX(LINEST(L27:L86,M27:T86,TRUE,TRUE),3,1)</f>
        <v/>
      </c>
    </row>
    <row r="87">
      <c r="A87" s="5" t="n">
        <v>40209</v>
      </c>
      <c r="B87" s="6" t="n">
        <v>1078.5</v>
      </c>
      <c r="C87" s="6" t="n">
        <v>2.33</v>
      </c>
      <c r="D87" s="6" t="n">
        <v>1.3</v>
      </c>
      <c r="E87" s="6" t="n">
        <v>79.459999</v>
      </c>
      <c r="F87" s="6" t="n">
        <v>72.84999999999999</v>
      </c>
      <c r="G87" s="6" t="n">
        <v>24.62</v>
      </c>
      <c r="H87" s="6" t="n">
        <v>86.300003</v>
      </c>
      <c r="I87" s="6" t="n">
        <v>1073.869995</v>
      </c>
      <c r="J87" s="6" t="n">
        <v>66.037689</v>
      </c>
      <c r="L87" s="7">
        <f>LN(B87/B86)</f>
        <v/>
      </c>
      <c r="M87" s="7">
        <f>C87-C86</f>
        <v/>
      </c>
      <c r="N87" s="7">
        <f>D87-D86</f>
        <v/>
      </c>
      <c r="O87" s="7">
        <f>LN(E87/E86)</f>
        <v/>
      </c>
      <c r="P87" s="7">
        <f>LN(F87/F86)</f>
        <v/>
      </c>
      <c r="Q87" s="7">
        <f>G87-G86</f>
        <v/>
      </c>
      <c r="R87" s="7">
        <f>H87-H86</f>
        <v/>
      </c>
      <c r="S87" s="7">
        <f>LN(I87/I86)</f>
        <v/>
      </c>
      <c r="T87" s="7">
        <f>LN(J87/J86)</f>
        <v/>
      </c>
      <c r="U87" s="7">
        <f>$W$12+$W$4*M87+$W$5*N87+$W$6*O87+$W$7*P87+$W$8*Q87+$W$9*R87+$W$10*S87+$W$11*T87</f>
        <v/>
      </c>
      <c r="AA87" s="8">
        <f>INDEX(LINEST(L28:L87,M28:T87,TRUE,TRUE),1,9)*12</f>
        <v/>
      </c>
      <c r="AB87" s="7">
        <f>INDEX(LINEST(L28:L87,M28:T87,TRUE,TRUE),1,8)</f>
        <v/>
      </c>
      <c r="AC87" s="7">
        <f>INDEX(LINEST(L28:L87,M28:T87,TRUE,TRUE),1,7)</f>
        <v/>
      </c>
      <c r="AD87" s="7">
        <f>INDEX(LINEST(L28:L87,M28:T87,TRUE,TRUE),1,6)</f>
        <v/>
      </c>
      <c r="AE87" s="7">
        <f>INDEX(LINEST(L28:L87,M28:T87,TRUE,TRUE),1,5)</f>
        <v/>
      </c>
      <c r="AF87" s="7">
        <f>INDEX(LINEST(L28:L87,M28:T87,TRUE,TRUE),1,4)</f>
        <v/>
      </c>
      <c r="AG87" s="7">
        <f>INDEX(LINEST(L28:L87,M28:T87,TRUE,TRUE),1,3)</f>
        <v/>
      </c>
      <c r="AH87" s="7">
        <f>INDEX(LINEST(L28:L87,M28:T87,TRUE,TRUE),1,2)</f>
        <v/>
      </c>
      <c r="AI87" s="7">
        <f>INDEX(LINEST(L28:L87,M28:T87,TRUE,TRUE),1,1)</f>
        <v/>
      </c>
      <c r="AJ87" s="8">
        <f>INDEX(LINEST(L28:L87,M28:T87,TRUE,TRUE),3,1)</f>
        <v/>
      </c>
    </row>
    <row r="88">
      <c r="A88" s="5" t="n">
        <v>40237</v>
      </c>
      <c r="B88" s="6" t="n">
        <v>1108.25</v>
      </c>
      <c r="C88" s="6" t="n">
        <v>2.13</v>
      </c>
      <c r="D88" s="6" t="n">
        <v>1.48</v>
      </c>
      <c r="E88" s="6" t="n">
        <v>80.360001</v>
      </c>
      <c r="F88" s="6" t="n">
        <v>79.72</v>
      </c>
      <c r="G88" s="6" t="n">
        <v>19.5</v>
      </c>
      <c r="H88" s="6" t="n">
        <v>81.199997</v>
      </c>
      <c r="I88" s="6" t="n">
        <v>1104.48999</v>
      </c>
      <c r="J88" s="6" t="n">
        <v>66.16873200000001</v>
      </c>
      <c r="L88" s="7">
        <f>LN(B88/B87)</f>
        <v/>
      </c>
      <c r="M88" s="7">
        <f>C88-C87</f>
        <v/>
      </c>
      <c r="N88" s="7">
        <f>D88-D87</f>
        <v/>
      </c>
      <c r="O88" s="7">
        <f>LN(E88/E87)</f>
        <v/>
      </c>
      <c r="P88" s="7">
        <f>LN(F88/F87)</f>
        <v/>
      </c>
      <c r="Q88" s="7">
        <f>G88-G87</f>
        <v/>
      </c>
      <c r="R88" s="7">
        <f>H88-H87</f>
        <v/>
      </c>
      <c r="S88" s="7">
        <f>LN(I88/I87)</f>
        <v/>
      </c>
      <c r="T88" s="7">
        <f>LN(J88/J87)</f>
        <v/>
      </c>
      <c r="U88" s="7">
        <f>$W$12+$W$4*M88+$W$5*N88+$W$6*O88+$W$7*P88+$W$8*Q88+$W$9*R88+$W$10*S88+$W$11*T88</f>
        <v/>
      </c>
      <c r="AA88" s="8">
        <f>INDEX(LINEST(L29:L88,M29:T88,TRUE,TRUE),1,9)*12</f>
        <v/>
      </c>
      <c r="AB88" s="7">
        <f>INDEX(LINEST(L29:L88,M29:T88,TRUE,TRUE),1,8)</f>
        <v/>
      </c>
      <c r="AC88" s="7">
        <f>INDEX(LINEST(L29:L88,M29:T88,TRUE,TRUE),1,7)</f>
        <v/>
      </c>
      <c r="AD88" s="7">
        <f>INDEX(LINEST(L29:L88,M29:T88,TRUE,TRUE),1,6)</f>
        <v/>
      </c>
      <c r="AE88" s="7">
        <f>INDEX(LINEST(L29:L88,M29:T88,TRUE,TRUE),1,5)</f>
        <v/>
      </c>
      <c r="AF88" s="7">
        <f>INDEX(LINEST(L29:L88,M29:T88,TRUE,TRUE),1,4)</f>
        <v/>
      </c>
      <c r="AG88" s="7">
        <f>INDEX(LINEST(L29:L88,M29:T88,TRUE,TRUE),1,3)</f>
        <v/>
      </c>
      <c r="AH88" s="7">
        <f>INDEX(LINEST(L29:L88,M29:T88,TRUE,TRUE),1,2)</f>
        <v/>
      </c>
      <c r="AI88" s="7">
        <f>INDEX(LINEST(L29:L88,M29:T88,TRUE,TRUE),1,1)</f>
        <v/>
      </c>
      <c r="AJ88" s="8">
        <f>INDEX(LINEST(L29:L88,M29:T88,TRUE,TRUE),3,1)</f>
        <v/>
      </c>
    </row>
    <row r="89">
      <c r="A89" s="5" t="n">
        <v>40268</v>
      </c>
      <c r="B89" s="6" t="n">
        <v>1115.5</v>
      </c>
      <c r="C89" s="6" t="n">
        <v>2.24</v>
      </c>
      <c r="D89" s="6" t="n">
        <v>1.6</v>
      </c>
      <c r="E89" s="6" t="n">
        <v>81.06999999999999</v>
      </c>
      <c r="F89" s="6" t="n">
        <v>83.45</v>
      </c>
      <c r="G89" s="6" t="n">
        <v>17.59</v>
      </c>
      <c r="H89" s="6" t="n">
        <v>85.300003</v>
      </c>
      <c r="I89" s="6" t="n">
        <v>1169.430054</v>
      </c>
      <c r="J89" s="6" t="n">
        <v>66.16429100000001</v>
      </c>
      <c r="L89" s="7">
        <f>LN(B89/B88)</f>
        <v/>
      </c>
      <c r="M89" s="7">
        <f>C89-C88</f>
        <v/>
      </c>
      <c r="N89" s="7">
        <f>D89-D88</f>
        <v/>
      </c>
      <c r="O89" s="7">
        <f>LN(E89/E88)</f>
        <v/>
      </c>
      <c r="P89" s="7">
        <f>LN(F89/F88)</f>
        <v/>
      </c>
      <c r="Q89" s="7">
        <f>G89-G88</f>
        <v/>
      </c>
      <c r="R89" s="7">
        <f>H89-H88</f>
        <v/>
      </c>
      <c r="S89" s="7">
        <f>LN(I89/I88)</f>
        <v/>
      </c>
      <c r="T89" s="7">
        <f>LN(J89/J88)</f>
        <v/>
      </c>
      <c r="U89" s="7">
        <f>$W$12+$W$4*M89+$W$5*N89+$W$6*O89+$W$7*P89+$W$8*Q89+$W$9*R89+$W$10*S89+$W$11*T89</f>
        <v/>
      </c>
      <c r="AA89" s="8">
        <f>INDEX(LINEST(L30:L89,M30:T89,TRUE,TRUE),1,9)*12</f>
        <v/>
      </c>
      <c r="AB89" s="7">
        <f>INDEX(LINEST(L30:L89,M30:T89,TRUE,TRUE),1,8)</f>
        <v/>
      </c>
      <c r="AC89" s="7">
        <f>INDEX(LINEST(L30:L89,M30:T89,TRUE,TRUE),1,7)</f>
        <v/>
      </c>
      <c r="AD89" s="7">
        <f>INDEX(LINEST(L30:L89,M30:T89,TRUE,TRUE),1,6)</f>
        <v/>
      </c>
      <c r="AE89" s="7">
        <f>INDEX(LINEST(L30:L89,M30:T89,TRUE,TRUE),1,5)</f>
        <v/>
      </c>
      <c r="AF89" s="7">
        <f>INDEX(LINEST(L30:L89,M30:T89,TRUE,TRUE),1,4)</f>
        <v/>
      </c>
      <c r="AG89" s="7">
        <f>INDEX(LINEST(L30:L89,M30:T89,TRUE,TRUE),1,3)</f>
        <v/>
      </c>
      <c r="AH89" s="7">
        <f>INDEX(LINEST(L30:L89,M30:T89,TRUE,TRUE),1,2)</f>
        <v/>
      </c>
      <c r="AI89" s="7">
        <f>INDEX(LINEST(L30:L89,M30:T89,TRUE,TRUE),1,1)</f>
        <v/>
      </c>
      <c r="AJ89" s="8">
        <f>INDEX(LINEST(L30:L89,M30:T89,TRUE,TRUE),3,1)</f>
        <v/>
      </c>
    </row>
    <row r="90">
      <c r="A90" s="5" t="n">
        <v>40298</v>
      </c>
      <c r="B90" s="6" t="n">
        <v>1179.25</v>
      </c>
      <c r="C90" s="6" t="n">
        <v>2.4</v>
      </c>
      <c r="D90" s="6" t="n">
        <v>1.29</v>
      </c>
      <c r="E90" s="6" t="n">
        <v>81.870003</v>
      </c>
      <c r="F90" s="6" t="n">
        <v>86.06999999999999</v>
      </c>
      <c r="G90" s="6" t="n">
        <v>22.05</v>
      </c>
      <c r="H90" s="6" t="n">
        <v>85.5</v>
      </c>
      <c r="I90" s="6" t="n">
        <v>1186.689941</v>
      </c>
      <c r="J90" s="6" t="n">
        <v>66.808228</v>
      </c>
      <c r="L90" s="7">
        <f>LN(B90/B89)</f>
        <v/>
      </c>
      <c r="M90" s="7">
        <f>C90-C89</f>
        <v/>
      </c>
      <c r="N90" s="7">
        <f>D90-D89</f>
        <v/>
      </c>
      <c r="O90" s="7">
        <f>LN(E90/E89)</f>
        <v/>
      </c>
      <c r="P90" s="7">
        <f>LN(F90/F89)</f>
        <v/>
      </c>
      <c r="Q90" s="7">
        <f>G90-G89</f>
        <v/>
      </c>
      <c r="R90" s="7">
        <f>H90-H89</f>
        <v/>
      </c>
      <c r="S90" s="7">
        <f>LN(I90/I89)</f>
        <v/>
      </c>
      <c r="T90" s="7">
        <f>LN(J90/J89)</f>
        <v/>
      </c>
      <c r="U90" s="7">
        <f>$W$12+$W$4*M90+$W$5*N90+$W$6*O90+$W$7*P90+$W$8*Q90+$W$9*R90+$W$10*S90+$W$11*T90</f>
        <v/>
      </c>
      <c r="AA90" s="8">
        <f>INDEX(LINEST(L31:L90,M31:T90,TRUE,TRUE),1,9)*12</f>
        <v/>
      </c>
      <c r="AB90" s="7">
        <f>INDEX(LINEST(L31:L90,M31:T90,TRUE,TRUE),1,8)</f>
        <v/>
      </c>
      <c r="AC90" s="7">
        <f>INDEX(LINEST(L31:L90,M31:T90,TRUE,TRUE),1,7)</f>
        <v/>
      </c>
      <c r="AD90" s="7">
        <f>INDEX(LINEST(L31:L90,M31:T90,TRUE,TRUE),1,6)</f>
        <v/>
      </c>
      <c r="AE90" s="7">
        <f>INDEX(LINEST(L31:L90,M31:T90,TRUE,TRUE),1,5)</f>
        <v/>
      </c>
      <c r="AF90" s="7">
        <f>INDEX(LINEST(L31:L90,M31:T90,TRUE,TRUE),1,4)</f>
        <v/>
      </c>
      <c r="AG90" s="7">
        <f>INDEX(LINEST(L31:L90,M31:T90,TRUE,TRUE),1,3)</f>
        <v/>
      </c>
      <c r="AH90" s="7">
        <f>INDEX(LINEST(L31:L90,M31:T90,TRUE,TRUE),1,2)</f>
        <v/>
      </c>
      <c r="AI90" s="7">
        <f>INDEX(LINEST(L31:L90,M31:T90,TRUE,TRUE),1,1)</f>
        <v/>
      </c>
      <c r="AJ90" s="8">
        <f>INDEX(LINEST(L31:L90,M31:T90,TRUE,TRUE),3,1)</f>
        <v/>
      </c>
    </row>
    <row r="91">
      <c r="A91" s="5" t="n">
        <v>40329</v>
      </c>
      <c r="B91" s="6" t="n">
        <v>1207.5</v>
      </c>
      <c r="C91" s="6" t="n">
        <v>1.99</v>
      </c>
      <c r="D91" s="6" t="n">
        <v>1.32</v>
      </c>
      <c r="E91" s="6" t="n">
        <v>86.480003</v>
      </c>
      <c r="F91" s="6" t="n">
        <v>74</v>
      </c>
      <c r="G91" s="6" t="n">
        <v>32.07</v>
      </c>
      <c r="H91" s="6" t="n">
        <v>112.099998</v>
      </c>
      <c r="I91" s="6" t="n">
        <v>1089.410034</v>
      </c>
      <c r="J91" s="6" t="n">
        <v>67.531387</v>
      </c>
      <c r="L91" s="7">
        <f>LN(B91/B90)</f>
        <v/>
      </c>
      <c r="M91" s="7">
        <f>C91-C90</f>
        <v/>
      </c>
      <c r="N91" s="7">
        <f>D91-D90</f>
        <v/>
      </c>
      <c r="O91" s="7">
        <f>LN(E91/E90)</f>
        <v/>
      </c>
      <c r="P91" s="7">
        <f>LN(F91/F90)</f>
        <v/>
      </c>
      <c r="Q91" s="7">
        <f>G91-G90</f>
        <v/>
      </c>
      <c r="R91" s="7">
        <f>H91-H90</f>
        <v/>
      </c>
      <c r="S91" s="7">
        <f>LN(I91/I90)</f>
        <v/>
      </c>
      <c r="T91" s="7">
        <f>LN(J91/J90)</f>
        <v/>
      </c>
      <c r="U91" s="7">
        <f>$W$12+$W$4*M91+$W$5*N91+$W$6*O91+$W$7*P91+$W$8*Q91+$W$9*R91+$W$10*S91+$W$11*T91</f>
        <v/>
      </c>
      <c r="AA91" s="8">
        <f>INDEX(LINEST(L32:L91,M32:T91,TRUE,TRUE),1,9)*12</f>
        <v/>
      </c>
      <c r="AB91" s="7">
        <f>INDEX(LINEST(L32:L91,M32:T91,TRUE,TRUE),1,8)</f>
        <v/>
      </c>
      <c r="AC91" s="7">
        <f>INDEX(LINEST(L32:L91,M32:T91,TRUE,TRUE),1,7)</f>
        <v/>
      </c>
      <c r="AD91" s="7">
        <f>INDEX(LINEST(L32:L91,M32:T91,TRUE,TRUE),1,6)</f>
        <v/>
      </c>
      <c r="AE91" s="7">
        <f>INDEX(LINEST(L32:L91,M32:T91,TRUE,TRUE),1,5)</f>
        <v/>
      </c>
      <c r="AF91" s="7">
        <f>INDEX(LINEST(L32:L91,M32:T91,TRUE,TRUE),1,4)</f>
        <v/>
      </c>
      <c r="AG91" s="7">
        <f>INDEX(LINEST(L32:L91,M32:T91,TRUE,TRUE),1,3)</f>
        <v/>
      </c>
      <c r="AH91" s="7">
        <f>INDEX(LINEST(L32:L91,M32:T91,TRUE,TRUE),1,2)</f>
        <v/>
      </c>
      <c r="AI91" s="7">
        <f>INDEX(LINEST(L32:L91,M32:T91,TRUE,TRUE),1,1)</f>
        <v/>
      </c>
      <c r="AJ91" s="8">
        <f>INDEX(LINEST(L32:L91,M32:T91,TRUE,TRUE),3,1)</f>
        <v/>
      </c>
    </row>
    <row r="92">
      <c r="A92" s="5" t="n">
        <v>40359</v>
      </c>
      <c r="B92" s="6" t="n">
        <v>1244</v>
      </c>
      <c r="C92" s="6" t="n">
        <v>1.82</v>
      </c>
      <c r="D92" s="6" t="n">
        <v>1.15</v>
      </c>
      <c r="E92" s="6" t="n">
        <v>86.019997</v>
      </c>
      <c r="F92" s="6" t="n">
        <v>75.59</v>
      </c>
      <c r="G92" s="6" t="n">
        <v>34.54</v>
      </c>
      <c r="H92" s="6" t="n">
        <v>89.699997</v>
      </c>
      <c r="I92" s="6" t="n">
        <v>1030.709961</v>
      </c>
      <c r="J92" s="6" t="n">
        <v>68.72580000000001</v>
      </c>
      <c r="L92" s="7">
        <f>LN(B92/B91)</f>
        <v/>
      </c>
      <c r="M92" s="7">
        <f>C92-C91</f>
        <v/>
      </c>
      <c r="N92" s="7">
        <f>D92-D91</f>
        <v/>
      </c>
      <c r="O92" s="7">
        <f>LN(E92/E91)</f>
        <v/>
      </c>
      <c r="P92" s="7">
        <f>LN(F92/F91)</f>
        <v/>
      </c>
      <c r="Q92" s="7">
        <f>G92-G91</f>
        <v/>
      </c>
      <c r="R92" s="7">
        <f>H92-H91</f>
        <v/>
      </c>
      <c r="S92" s="7">
        <f>LN(I92/I91)</f>
        <v/>
      </c>
      <c r="T92" s="7">
        <f>LN(J92/J91)</f>
        <v/>
      </c>
      <c r="U92" s="7">
        <f>$W$12+$W$4*M92+$W$5*N92+$W$6*O92+$W$7*P92+$W$8*Q92+$W$9*R92+$W$10*S92+$W$11*T92</f>
        <v/>
      </c>
      <c r="AA92" s="8">
        <f>INDEX(LINEST(L33:L92,M33:T92,TRUE,TRUE),1,9)*12</f>
        <v/>
      </c>
      <c r="AB92" s="7">
        <f>INDEX(LINEST(L33:L92,M33:T92,TRUE,TRUE),1,8)</f>
        <v/>
      </c>
      <c r="AC92" s="7">
        <f>INDEX(LINEST(L33:L92,M33:T92,TRUE,TRUE),1,7)</f>
        <v/>
      </c>
      <c r="AD92" s="7">
        <f>INDEX(LINEST(L33:L92,M33:T92,TRUE,TRUE),1,6)</f>
        <v/>
      </c>
      <c r="AE92" s="7">
        <f>INDEX(LINEST(L33:L92,M33:T92,TRUE,TRUE),1,5)</f>
        <v/>
      </c>
      <c r="AF92" s="7">
        <f>INDEX(LINEST(L33:L92,M33:T92,TRUE,TRUE),1,4)</f>
        <v/>
      </c>
      <c r="AG92" s="7">
        <f>INDEX(LINEST(L33:L92,M33:T92,TRUE,TRUE),1,3)</f>
        <v/>
      </c>
      <c r="AH92" s="7">
        <f>INDEX(LINEST(L33:L92,M33:T92,TRUE,TRUE),1,2)</f>
        <v/>
      </c>
      <c r="AI92" s="7">
        <f>INDEX(LINEST(L33:L92,M33:T92,TRUE,TRUE),1,1)</f>
        <v/>
      </c>
      <c r="AJ92" s="8">
        <f>INDEX(LINEST(L33:L92,M33:T92,TRUE,TRUE),3,1)</f>
        <v/>
      </c>
    </row>
    <row r="93">
      <c r="A93" s="5" t="n">
        <v>40390</v>
      </c>
      <c r="B93" s="6" t="n">
        <v>1169</v>
      </c>
      <c r="C93" s="6" t="n">
        <v>1.8</v>
      </c>
      <c r="D93" s="6" t="n">
        <v>1.14</v>
      </c>
      <c r="E93" s="6" t="n">
        <v>81.540001</v>
      </c>
      <c r="F93" s="6" t="n">
        <v>78.84999999999999</v>
      </c>
      <c r="G93" s="6" t="n">
        <v>23.5</v>
      </c>
      <c r="H93" s="6" t="n">
        <v>78.199997</v>
      </c>
      <c r="I93" s="6" t="n">
        <v>1101.599976</v>
      </c>
      <c r="J93" s="6" t="n">
        <v>69.313248</v>
      </c>
      <c r="L93" s="7">
        <f>LN(B93/B92)</f>
        <v/>
      </c>
      <c r="M93" s="7">
        <f>C93-C92</f>
        <v/>
      </c>
      <c r="N93" s="7">
        <f>D93-D92</f>
        <v/>
      </c>
      <c r="O93" s="7">
        <f>LN(E93/E92)</f>
        <v/>
      </c>
      <c r="P93" s="7">
        <f>LN(F93/F92)</f>
        <v/>
      </c>
      <c r="Q93" s="7">
        <f>G93-G92</f>
        <v/>
      </c>
      <c r="R93" s="7">
        <f>H93-H92</f>
        <v/>
      </c>
      <c r="S93" s="7">
        <f>LN(I93/I92)</f>
        <v/>
      </c>
      <c r="T93" s="7">
        <f>LN(J93/J92)</f>
        <v/>
      </c>
      <c r="U93" s="7">
        <f>$W$12+$W$4*M93+$W$5*N93+$W$6*O93+$W$7*P93+$W$8*Q93+$W$9*R93+$W$10*S93+$W$11*T93</f>
        <v/>
      </c>
      <c r="AA93" s="8">
        <f>INDEX(LINEST(L34:L93,M34:T93,TRUE,TRUE),1,9)*12</f>
        <v/>
      </c>
      <c r="AB93" s="7">
        <f>INDEX(LINEST(L34:L93,M34:T93,TRUE,TRUE),1,8)</f>
        <v/>
      </c>
      <c r="AC93" s="7">
        <f>INDEX(LINEST(L34:L93,M34:T93,TRUE,TRUE),1,7)</f>
        <v/>
      </c>
      <c r="AD93" s="7">
        <f>INDEX(LINEST(L34:L93,M34:T93,TRUE,TRUE),1,6)</f>
        <v/>
      </c>
      <c r="AE93" s="7">
        <f>INDEX(LINEST(L34:L93,M34:T93,TRUE,TRUE),1,5)</f>
        <v/>
      </c>
      <c r="AF93" s="7">
        <f>INDEX(LINEST(L34:L93,M34:T93,TRUE,TRUE),1,4)</f>
        <v/>
      </c>
      <c r="AG93" s="7">
        <f>INDEX(LINEST(L34:L93,M34:T93,TRUE,TRUE),1,3)</f>
        <v/>
      </c>
      <c r="AH93" s="7">
        <f>INDEX(LINEST(L34:L93,M34:T93,TRUE,TRUE),1,2)</f>
        <v/>
      </c>
      <c r="AI93" s="7">
        <f>INDEX(LINEST(L34:L93,M34:T93,TRUE,TRUE),1,1)</f>
        <v/>
      </c>
      <c r="AJ93" s="8">
        <f>INDEX(LINEST(L34:L93,M34:T93,TRUE,TRUE),3,1)</f>
        <v/>
      </c>
    </row>
    <row r="94">
      <c r="A94" s="5" t="n">
        <v>40421</v>
      </c>
      <c r="B94" s="6" t="n">
        <v>1246</v>
      </c>
      <c r="C94" s="6" t="n">
        <v>1.52</v>
      </c>
      <c r="D94" s="6" t="n">
        <v>0.95</v>
      </c>
      <c r="E94" s="6" t="n">
        <v>83.199997</v>
      </c>
      <c r="F94" s="6" t="n">
        <v>71.93000000000001</v>
      </c>
      <c r="G94" s="6" t="n">
        <v>26.05</v>
      </c>
      <c r="H94" s="6" t="n">
        <v>103.699997</v>
      </c>
      <c r="I94" s="6" t="n">
        <v>1049.329956</v>
      </c>
      <c r="J94" s="6" t="n">
        <v>70.205139</v>
      </c>
      <c r="L94" s="7">
        <f>LN(B94/B93)</f>
        <v/>
      </c>
      <c r="M94" s="7">
        <f>C94-C93</f>
        <v/>
      </c>
      <c r="N94" s="7">
        <f>D94-D93</f>
        <v/>
      </c>
      <c r="O94" s="7">
        <f>LN(E94/E93)</f>
        <v/>
      </c>
      <c r="P94" s="7">
        <f>LN(F94/F93)</f>
        <v/>
      </c>
      <c r="Q94" s="7">
        <f>G94-G93</f>
        <v/>
      </c>
      <c r="R94" s="7">
        <f>H94-H93</f>
        <v/>
      </c>
      <c r="S94" s="7">
        <f>LN(I94/I93)</f>
        <v/>
      </c>
      <c r="T94" s="7">
        <f>LN(J94/J93)</f>
        <v/>
      </c>
      <c r="U94" s="7">
        <f>$W$12+$W$4*M94+$W$5*N94+$W$6*O94+$W$7*P94+$W$8*Q94+$W$9*R94+$W$10*S94+$W$11*T94</f>
        <v/>
      </c>
      <c r="AA94" s="8">
        <f>INDEX(LINEST(L35:L94,M35:T94,TRUE,TRUE),1,9)*12</f>
        <v/>
      </c>
      <c r="AB94" s="7">
        <f>INDEX(LINEST(L35:L94,M35:T94,TRUE,TRUE),1,8)</f>
        <v/>
      </c>
      <c r="AC94" s="7">
        <f>INDEX(LINEST(L35:L94,M35:T94,TRUE,TRUE),1,7)</f>
        <v/>
      </c>
      <c r="AD94" s="7">
        <f>INDEX(LINEST(L35:L94,M35:T94,TRUE,TRUE),1,6)</f>
        <v/>
      </c>
      <c r="AE94" s="7">
        <f>INDEX(LINEST(L35:L94,M35:T94,TRUE,TRUE),1,5)</f>
        <v/>
      </c>
      <c r="AF94" s="7">
        <f>INDEX(LINEST(L35:L94,M35:T94,TRUE,TRUE),1,4)</f>
        <v/>
      </c>
      <c r="AG94" s="7">
        <f>INDEX(LINEST(L35:L94,M35:T94,TRUE,TRUE),1,3)</f>
        <v/>
      </c>
      <c r="AH94" s="7">
        <f>INDEX(LINEST(L35:L94,M35:T94,TRUE,TRUE),1,2)</f>
        <v/>
      </c>
      <c r="AI94" s="7">
        <f>INDEX(LINEST(L35:L94,M35:T94,TRUE,TRUE),1,1)</f>
        <v/>
      </c>
      <c r="AJ94" s="8">
        <f>INDEX(LINEST(L35:L94,M35:T94,TRUE,TRUE),3,1)</f>
        <v/>
      </c>
    </row>
    <row r="95">
      <c r="A95" s="5" t="n">
        <v>40451</v>
      </c>
      <c r="B95" s="6" t="n">
        <v>1307</v>
      </c>
      <c r="C95" s="6" t="n">
        <v>1.78</v>
      </c>
      <c r="D95" s="6" t="n">
        <v>0.75</v>
      </c>
      <c r="E95" s="6" t="n">
        <v>78.720001</v>
      </c>
      <c r="F95" s="6" t="n">
        <v>79.95</v>
      </c>
      <c r="G95" s="6" t="n">
        <v>23.7</v>
      </c>
      <c r="H95" s="6" t="n">
        <v>85.099998</v>
      </c>
      <c r="I95" s="6" t="n">
        <v>1141.199951</v>
      </c>
      <c r="J95" s="6" t="n">
        <v>70.21032</v>
      </c>
      <c r="L95" s="7">
        <f>LN(B95/B94)</f>
        <v/>
      </c>
      <c r="M95" s="7">
        <f>C95-C94</f>
        <v/>
      </c>
      <c r="N95" s="7">
        <f>D95-D94</f>
        <v/>
      </c>
      <c r="O95" s="7">
        <f>LN(E95/E94)</f>
        <v/>
      </c>
      <c r="P95" s="7">
        <f>LN(F95/F94)</f>
        <v/>
      </c>
      <c r="Q95" s="7">
        <f>G95-G94</f>
        <v/>
      </c>
      <c r="R95" s="7">
        <f>H95-H94</f>
        <v/>
      </c>
      <c r="S95" s="7">
        <f>LN(I95/I94)</f>
        <v/>
      </c>
      <c r="T95" s="7">
        <f>LN(J95/J94)</f>
        <v/>
      </c>
      <c r="U95" s="7">
        <f>$W$12+$W$4*M95+$W$5*N95+$W$6*O95+$W$7*P95+$W$8*Q95+$W$9*R95+$W$10*S95+$W$11*T95</f>
        <v/>
      </c>
      <c r="AA95" s="8">
        <f>INDEX(LINEST(L36:L95,M36:T95,TRUE,TRUE),1,9)*12</f>
        <v/>
      </c>
      <c r="AB95" s="7">
        <f>INDEX(LINEST(L36:L95,M36:T95,TRUE,TRUE),1,8)</f>
        <v/>
      </c>
      <c r="AC95" s="7">
        <f>INDEX(LINEST(L36:L95,M36:T95,TRUE,TRUE),1,7)</f>
        <v/>
      </c>
      <c r="AD95" s="7">
        <f>INDEX(LINEST(L36:L95,M36:T95,TRUE,TRUE),1,6)</f>
        <v/>
      </c>
      <c r="AE95" s="7">
        <f>INDEX(LINEST(L36:L95,M36:T95,TRUE,TRUE),1,5)</f>
        <v/>
      </c>
      <c r="AF95" s="7">
        <f>INDEX(LINEST(L36:L95,M36:T95,TRUE,TRUE),1,4)</f>
        <v/>
      </c>
      <c r="AG95" s="7">
        <f>INDEX(LINEST(L36:L95,M36:T95,TRUE,TRUE),1,3)</f>
        <v/>
      </c>
      <c r="AH95" s="7">
        <f>INDEX(LINEST(L36:L95,M36:T95,TRUE,TRUE),1,2)</f>
        <v/>
      </c>
      <c r="AI95" s="7">
        <f>INDEX(LINEST(L36:L95,M36:T95,TRUE,TRUE),1,1)</f>
        <v/>
      </c>
      <c r="AJ95" s="8">
        <f>INDEX(LINEST(L36:L95,M36:T95,TRUE,TRUE),3,1)</f>
        <v/>
      </c>
    </row>
    <row r="96">
      <c r="A96" s="5" t="n">
        <v>40482</v>
      </c>
      <c r="B96" s="6" t="n">
        <v>1346.75</v>
      </c>
      <c r="C96" s="6" t="n">
        <v>2.13</v>
      </c>
      <c r="D96" s="6" t="n">
        <v>0.5</v>
      </c>
      <c r="E96" s="6" t="n">
        <v>77.269997</v>
      </c>
      <c r="F96" s="6" t="n">
        <v>81.45</v>
      </c>
      <c r="G96" s="6" t="n">
        <v>21.2</v>
      </c>
      <c r="H96" s="6" t="n">
        <v>99.800003</v>
      </c>
      <c r="I96" s="6" t="n">
        <v>1183.26001</v>
      </c>
      <c r="J96" s="6" t="n">
        <v>70.31719200000001</v>
      </c>
      <c r="L96" s="7">
        <f>LN(B96/B95)</f>
        <v/>
      </c>
      <c r="M96" s="7">
        <f>C96-C95</f>
        <v/>
      </c>
      <c r="N96" s="7">
        <f>D96-D95</f>
        <v/>
      </c>
      <c r="O96" s="7">
        <f>LN(E96/E95)</f>
        <v/>
      </c>
      <c r="P96" s="7">
        <f>LN(F96/F95)</f>
        <v/>
      </c>
      <c r="Q96" s="7">
        <f>G96-G95</f>
        <v/>
      </c>
      <c r="R96" s="7">
        <f>H96-H95</f>
        <v/>
      </c>
      <c r="S96" s="7">
        <f>LN(I96/I95)</f>
        <v/>
      </c>
      <c r="T96" s="7">
        <f>LN(J96/J95)</f>
        <v/>
      </c>
      <c r="U96" s="7">
        <f>$W$12+$W$4*M96+$W$5*N96+$W$6*O96+$W$7*P96+$W$8*Q96+$W$9*R96+$W$10*S96+$W$11*T96</f>
        <v/>
      </c>
      <c r="AA96" s="8">
        <f>INDEX(LINEST(L37:L96,M37:T96,TRUE,TRUE),1,9)*12</f>
        <v/>
      </c>
      <c r="AB96" s="7">
        <f>INDEX(LINEST(L37:L96,M37:T96,TRUE,TRUE),1,8)</f>
        <v/>
      </c>
      <c r="AC96" s="7">
        <f>INDEX(LINEST(L37:L96,M37:T96,TRUE,TRUE),1,7)</f>
        <v/>
      </c>
      <c r="AD96" s="7">
        <f>INDEX(LINEST(L37:L96,M37:T96,TRUE,TRUE),1,6)</f>
        <v/>
      </c>
      <c r="AE96" s="7">
        <f>INDEX(LINEST(L37:L96,M37:T96,TRUE,TRUE),1,5)</f>
        <v/>
      </c>
      <c r="AF96" s="7">
        <f>INDEX(LINEST(L37:L96,M37:T96,TRUE,TRUE),1,4)</f>
        <v/>
      </c>
      <c r="AG96" s="7">
        <f>INDEX(LINEST(L37:L96,M37:T96,TRUE,TRUE),1,3)</f>
        <v/>
      </c>
      <c r="AH96" s="7">
        <f>INDEX(LINEST(L37:L96,M37:T96,TRUE,TRUE),1,2)</f>
        <v/>
      </c>
      <c r="AI96" s="7">
        <f>INDEX(LINEST(L37:L96,M37:T96,TRUE,TRUE),1,1)</f>
        <v/>
      </c>
      <c r="AJ96" s="8">
        <f>INDEX(LINEST(L37:L96,M37:T96,TRUE,TRUE),3,1)</f>
        <v/>
      </c>
    </row>
    <row r="97">
      <c r="A97" s="5" t="n">
        <v>40512</v>
      </c>
      <c r="B97" s="6" t="n">
        <v>1383.5</v>
      </c>
      <c r="C97" s="6" t="n">
        <v>2.07</v>
      </c>
      <c r="D97" s="6" t="n">
        <v>0.74</v>
      </c>
      <c r="E97" s="6" t="n">
        <v>81.199997</v>
      </c>
      <c r="F97" s="6" t="n">
        <v>84.12</v>
      </c>
      <c r="G97" s="6" t="n">
        <v>23.54</v>
      </c>
      <c r="H97" s="6" t="n">
        <v>101.900002</v>
      </c>
      <c r="I97" s="6" t="n">
        <v>1180.550049</v>
      </c>
      <c r="J97" s="6" t="n">
        <v>69.730064</v>
      </c>
      <c r="L97" s="7">
        <f>LN(B97/B96)</f>
        <v/>
      </c>
      <c r="M97" s="7">
        <f>C97-C96</f>
        <v/>
      </c>
      <c r="N97" s="7">
        <f>D97-D96</f>
        <v/>
      </c>
      <c r="O97" s="7">
        <f>LN(E97/E96)</f>
        <v/>
      </c>
      <c r="P97" s="7">
        <f>LN(F97/F96)</f>
        <v/>
      </c>
      <c r="Q97" s="7">
        <f>G97-G96</f>
        <v/>
      </c>
      <c r="R97" s="7">
        <f>H97-H96</f>
        <v/>
      </c>
      <c r="S97" s="7">
        <f>LN(I97/I96)</f>
        <v/>
      </c>
      <c r="T97" s="7">
        <f>LN(J97/J96)</f>
        <v/>
      </c>
      <c r="U97" s="7">
        <f>$W$12+$W$4*M97+$W$5*N97+$W$6*O97+$W$7*P97+$W$8*Q97+$W$9*R97+$W$10*S97+$W$11*T97</f>
        <v/>
      </c>
      <c r="AA97" s="8">
        <f>INDEX(LINEST(L38:L97,M38:T97,TRUE,TRUE),1,9)*12</f>
        <v/>
      </c>
      <c r="AB97" s="7">
        <f>INDEX(LINEST(L38:L97,M38:T97,TRUE,TRUE),1,8)</f>
        <v/>
      </c>
      <c r="AC97" s="7">
        <f>INDEX(LINEST(L38:L97,M38:T97,TRUE,TRUE),1,7)</f>
        <v/>
      </c>
      <c r="AD97" s="7">
        <f>INDEX(LINEST(L38:L97,M38:T97,TRUE,TRUE),1,6)</f>
        <v/>
      </c>
      <c r="AE97" s="7">
        <f>INDEX(LINEST(L38:L97,M38:T97,TRUE,TRUE),1,5)</f>
        <v/>
      </c>
      <c r="AF97" s="7">
        <f>INDEX(LINEST(L38:L97,M38:T97,TRUE,TRUE),1,4)</f>
        <v/>
      </c>
      <c r="AG97" s="7">
        <f>INDEX(LINEST(L38:L97,M38:T97,TRUE,TRUE),1,3)</f>
        <v/>
      </c>
      <c r="AH97" s="7">
        <f>INDEX(LINEST(L38:L97,M38:T97,TRUE,TRUE),1,2)</f>
        <v/>
      </c>
      <c r="AI97" s="7">
        <f>INDEX(LINEST(L38:L97,M38:T97,TRUE,TRUE),1,1)</f>
        <v/>
      </c>
      <c r="AJ97" s="8">
        <f>INDEX(LINEST(L38:L97,M38:T97,TRUE,TRUE),3,1)</f>
        <v/>
      </c>
    </row>
    <row r="98">
      <c r="A98" s="5" t="n">
        <v>40543</v>
      </c>
      <c r="B98" s="6" t="n">
        <v>1405.5</v>
      </c>
      <c r="C98" s="6" t="n">
        <v>2.3</v>
      </c>
      <c r="D98" s="6" t="n">
        <v>1</v>
      </c>
      <c r="E98" s="6" t="n">
        <v>79.029999</v>
      </c>
      <c r="F98" s="6" t="n">
        <v>91.38</v>
      </c>
      <c r="G98" s="6" t="n">
        <v>17.75</v>
      </c>
      <c r="H98" s="6" t="n">
        <v>110.400002</v>
      </c>
      <c r="I98" s="6" t="n">
        <v>1257.640015</v>
      </c>
      <c r="J98" s="6" t="n">
        <v>69.259125</v>
      </c>
      <c r="L98" s="7">
        <f>LN(B98/B97)</f>
        <v/>
      </c>
      <c r="M98" s="7">
        <f>C98-C97</f>
        <v/>
      </c>
      <c r="N98" s="7">
        <f>D98-D97</f>
        <v/>
      </c>
      <c r="O98" s="7">
        <f>LN(E98/E97)</f>
        <v/>
      </c>
      <c r="P98" s="7">
        <f>LN(F98/F97)</f>
        <v/>
      </c>
      <c r="Q98" s="7">
        <f>G98-G97</f>
        <v/>
      </c>
      <c r="R98" s="7">
        <f>H98-H97</f>
        <v/>
      </c>
      <c r="S98" s="7">
        <f>LN(I98/I97)</f>
        <v/>
      </c>
      <c r="T98" s="7">
        <f>LN(J98/J97)</f>
        <v/>
      </c>
      <c r="U98" s="7">
        <f>$W$12+$W$4*M98+$W$5*N98+$W$6*O98+$W$7*P98+$W$8*Q98+$W$9*R98+$W$10*S98+$W$11*T98</f>
        <v/>
      </c>
      <c r="AA98" s="8">
        <f>INDEX(LINEST(L39:L98,M39:T98,TRUE,TRUE),1,9)*12</f>
        <v/>
      </c>
      <c r="AB98" s="7">
        <f>INDEX(LINEST(L39:L98,M39:T98,TRUE,TRUE),1,8)</f>
        <v/>
      </c>
      <c r="AC98" s="7">
        <f>INDEX(LINEST(L39:L98,M39:T98,TRUE,TRUE),1,7)</f>
        <v/>
      </c>
      <c r="AD98" s="7">
        <f>INDEX(LINEST(L39:L98,M39:T98,TRUE,TRUE),1,6)</f>
        <v/>
      </c>
      <c r="AE98" s="7">
        <f>INDEX(LINEST(L39:L98,M39:T98,TRUE,TRUE),1,5)</f>
        <v/>
      </c>
      <c r="AF98" s="7">
        <f>INDEX(LINEST(L39:L98,M39:T98,TRUE,TRUE),1,4)</f>
        <v/>
      </c>
      <c r="AG98" s="7">
        <f>INDEX(LINEST(L39:L98,M39:T98,TRUE,TRUE),1,3)</f>
        <v/>
      </c>
      <c r="AH98" s="7">
        <f>INDEX(LINEST(L39:L98,M39:T98,TRUE,TRUE),1,2)</f>
        <v/>
      </c>
      <c r="AI98" s="7">
        <f>INDEX(LINEST(L39:L98,M39:T98,TRUE,TRUE),1,1)</f>
        <v/>
      </c>
      <c r="AJ98" s="8">
        <f>INDEX(LINEST(L39:L98,M39:T98,TRUE,TRUE),3,1)</f>
        <v/>
      </c>
    </row>
    <row r="99">
      <c r="A99" s="5" t="n">
        <v>40574</v>
      </c>
      <c r="B99" s="6" t="n">
        <v>1327</v>
      </c>
      <c r="C99" s="6" t="n">
        <v>2.34</v>
      </c>
      <c r="D99" s="6" t="n">
        <v>1.08</v>
      </c>
      <c r="E99" s="6" t="n">
        <v>77.739998</v>
      </c>
      <c r="F99" s="6" t="n">
        <v>90.98999999999999</v>
      </c>
      <c r="G99" s="6" t="n">
        <v>19.53</v>
      </c>
      <c r="H99" s="6" t="n">
        <v>96.199997</v>
      </c>
      <c r="I99" s="6" t="n">
        <v>1286.119995</v>
      </c>
      <c r="J99" s="6" t="n">
        <v>69.200142</v>
      </c>
      <c r="L99" s="7">
        <f>LN(B99/B98)</f>
        <v/>
      </c>
      <c r="M99" s="7">
        <f>C99-C98</f>
        <v/>
      </c>
      <c r="N99" s="7">
        <f>D99-D98</f>
        <v/>
      </c>
      <c r="O99" s="7">
        <f>LN(E99/E98)</f>
        <v/>
      </c>
      <c r="P99" s="7">
        <f>LN(F99/F98)</f>
        <v/>
      </c>
      <c r="Q99" s="7">
        <f>G99-G98</f>
        <v/>
      </c>
      <c r="R99" s="7">
        <f>H99-H98</f>
        <v/>
      </c>
      <c r="S99" s="7">
        <f>LN(I99/I98)</f>
        <v/>
      </c>
      <c r="T99" s="7">
        <f>LN(J99/J98)</f>
        <v/>
      </c>
      <c r="U99" s="7">
        <f>$W$12+$W$4*M99+$W$5*N99+$W$6*O99+$W$7*P99+$W$8*Q99+$W$9*R99+$W$10*S99+$W$11*T99</f>
        <v/>
      </c>
      <c r="AA99" s="8">
        <f>INDEX(LINEST(L40:L99,M40:T99,TRUE,TRUE),1,9)*12</f>
        <v/>
      </c>
      <c r="AB99" s="7">
        <f>INDEX(LINEST(L40:L99,M40:T99,TRUE,TRUE),1,8)</f>
        <v/>
      </c>
      <c r="AC99" s="7">
        <f>INDEX(LINEST(L40:L99,M40:T99,TRUE,TRUE),1,7)</f>
        <v/>
      </c>
      <c r="AD99" s="7">
        <f>INDEX(LINEST(L40:L99,M40:T99,TRUE,TRUE),1,6)</f>
        <v/>
      </c>
      <c r="AE99" s="7">
        <f>INDEX(LINEST(L40:L99,M40:T99,TRUE,TRUE),1,5)</f>
        <v/>
      </c>
      <c r="AF99" s="7">
        <f>INDEX(LINEST(L40:L99,M40:T99,TRUE,TRUE),1,4)</f>
        <v/>
      </c>
      <c r="AG99" s="7">
        <f>INDEX(LINEST(L40:L99,M40:T99,TRUE,TRUE),1,3)</f>
        <v/>
      </c>
      <c r="AH99" s="7">
        <f>INDEX(LINEST(L40:L99,M40:T99,TRUE,TRUE),1,2)</f>
        <v/>
      </c>
      <c r="AI99" s="7">
        <f>INDEX(LINEST(L40:L99,M40:T99,TRUE,TRUE),1,1)</f>
        <v/>
      </c>
      <c r="AJ99" s="8">
        <f>INDEX(LINEST(L40:L99,M40:T99,TRUE,TRUE),3,1)</f>
        <v/>
      </c>
    </row>
    <row r="100">
      <c r="A100" s="5" t="n">
        <v>40602</v>
      </c>
      <c r="B100" s="6" t="n">
        <v>1411</v>
      </c>
      <c r="C100" s="6" t="n">
        <v>2.39</v>
      </c>
      <c r="D100" s="6" t="n">
        <v>1.03</v>
      </c>
      <c r="E100" s="6" t="n">
        <v>76.889999</v>
      </c>
      <c r="F100" s="6" t="n">
        <v>97.09999999999999</v>
      </c>
      <c r="G100" s="6" t="n">
        <v>18.35</v>
      </c>
      <c r="H100" s="6" t="n">
        <v>90.5</v>
      </c>
      <c r="I100" s="6" t="n">
        <v>1327.219971</v>
      </c>
      <c r="J100" s="6" t="n">
        <v>69.401161</v>
      </c>
      <c r="L100" s="7">
        <f>LN(B100/B99)</f>
        <v/>
      </c>
      <c r="M100" s="7">
        <f>C100-C99</f>
        <v/>
      </c>
      <c r="N100" s="7">
        <f>D100-D99</f>
        <v/>
      </c>
      <c r="O100" s="7">
        <f>LN(E100/E99)</f>
        <v/>
      </c>
      <c r="P100" s="7">
        <f>LN(F100/F99)</f>
        <v/>
      </c>
      <c r="Q100" s="7">
        <f>G100-G99</f>
        <v/>
      </c>
      <c r="R100" s="7">
        <f>H100-H99</f>
        <v/>
      </c>
      <c r="S100" s="7">
        <f>LN(I100/I99)</f>
        <v/>
      </c>
      <c r="T100" s="7">
        <f>LN(J100/J99)</f>
        <v/>
      </c>
      <c r="U100" s="7">
        <f>$W$12+$W$4*M100+$W$5*N100+$W$6*O100+$W$7*P100+$W$8*Q100+$W$9*R100+$W$10*S100+$W$11*T100</f>
        <v/>
      </c>
      <c r="AA100" s="8">
        <f>INDEX(LINEST(L41:L100,M41:T100,TRUE,TRUE),1,9)*12</f>
        <v/>
      </c>
      <c r="AB100" s="7">
        <f>INDEX(LINEST(L41:L100,M41:T100,TRUE,TRUE),1,8)</f>
        <v/>
      </c>
      <c r="AC100" s="7">
        <f>INDEX(LINEST(L41:L100,M41:T100,TRUE,TRUE),1,7)</f>
        <v/>
      </c>
      <c r="AD100" s="7">
        <f>INDEX(LINEST(L41:L100,M41:T100,TRUE,TRUE),1,6)</f>
        <v/>
      </c>
      <c r="AE100" s="7">
        <f>INDEX(LINEST(L41:L100,M41:T100,TRUE,TRUE),1,5)</f>
        <v/>
      </c>
      <c r="AF100" s="7">
        <f>INDEX(LINEST(L41:L100,M41:T100,TRUE,TRUE),1,4)</f>
        <v/>
      </c>
      <c r="AG100" s="7">
        <f>INDEX(LINEST(L41:L100,M41:T100,TRUE,TRUE),1,3)</f>
        <v/>
      </c>
      <c r="AH100" s="7">
        <f>INDEX(LINEST(L41:L100,M41:T100,TRUE,TRUE),1,2)</f>
        <v/>
      </c>
      <c r="AI100" s="7">
        <f>INDEX(LINEST(L41:L100,M41:T100,TRUE,TRUE),1,1)</f>
        <v/>
      </c>
      <c r="AJ100" s="8">
        <f>INDEX(LINEST(L41:L100,M41:T100,TRUE,TRUE),3,1)</f>
        <v/>
      </c>
    </row>
    <row r="101">
      <c r="A101" s="5" t="n">
        <v>40633</v>
      </c>
      <c r="B101" s="6" t="n">
        <v>1439</v>
      </c>
      <c r="C101" s="6" t="n">
        <v>2.48</v>
      </c>
      <c r="D101" s="6" t="n">
        <v>0.99</v>
      </c>
      <c r="E101" s="6" t="n">
        <v>75.860001</v>
      </c>
      <c r="F101" s="6" t="n">
        <v>106.19</v>
      </c>
      <c r="G101" s="6" t="n">
        <v>17.74</v>
      </c>
      <c r="H101" s="6" t="n">
        <v>90.900002</v>
      </c>
      <c r="I101" s="6" t="n">
        <v>1325.829956</v>
      </c>
      <c r="J101" s="6" t="n">
        <v>69.246391</v>
      </c>
      <c r="L101" s="7">
        <f>LN(B101/B100)</f>
        <v/>
      </c>
      <c r="M101" s="7">
        <f>C101-C100</f>
        <v/>
      </c>
      <c r="N101" s="7">
        <f>D101-D100</f>
        <v/>
      </c>
      <c r="O101" s="7">
        <f>LN(E101/E100)</f>
        <v/>
      </c>
      <c r="P101" s="7">
        <f>LN(F101/F100)</f>
        <v/>
      </c>
      <c r="Q101" s="7">
        <f>G101-G100</f>
        <v/>
      </c>
      <c r="R101" s="7">
        <f>H101-H100</f>
        <v/>
      </c>
      <c r="S101" s="7">
        <f>LN(I101/I100)</f>
        <v/>
      </c>
      <c r="T101" s="7">
        <f>LN(J101/J100)</f>
        <v/>
      </c>
      <c r="U101" s="7">
        <f>$W$12+$W$4*M101+$W$5*N101+$W$6*O101+$W$7*P101+$W$8*Q101+$W$9*R101+$W$10*S101+$W$11*T101</f>
        <v/>
      </c>
      <c r="AA101" s="8">
        <f>INDEX(LINEST(L42:L101,M42:T101,TRUE,TRUE),1,9)*12</f>
        <v/>
      </c>
      <c r="AB101" s="7">
        <f>INDEX(LINEST(L42:L101,M42:T101,TRUE,TRUE),1,8)</f>
        <v/>
      </c>
      <c r="AC101" s="7">
        <f>INDEX(LINEST(L42:L101,M42:T101,TRUE,TRUE),1,7)</f>
        <v/>
      </c>
      <c r="AD101" s="7">
        <f>INDEX(LINEST(L42:L101,M42:T101,TRUE,TRUE),1,6)</f>
        <v/>
      </c>
      <c r="AE101" s="7">
        <f>INDEX(LINEST(L42:L101,M42:T101,TRUE,TRUE),1,5)</f>
        <v/>
      </c>
      <c r="AF101" s="7">
        <f>INDEX(LINEST(L42:L101,M42:T101,TRUE,TRUE),1,4)</f>
        <v/>
      </c>
      <c r="AG101" s="7">
        <f>INDEX(LINEST(L42:L101,M42:T101,TRUE,TRUE),1,3)</f>
        <v/>
      </c>
      <c r="AH101" s="7">
        <f>INDEX(LINEST(L42:L101,M42:T101,TRUE,TRUE),1,2)</f>
        <v/>
      </c>
      <c r="AI101" s="7">
        <f>INDEX(LINEST(L42:L101,M42:T101,TRUE,TRUE),1,1)</f>
        <v/>
      </c>
      <c r="AJ101" s="8">
        <f>INDEX(LINEST(L42:L101,M42:T101,TRUE,TRUE),3,1)</f>
        <v/>
      </c>
    </row>
    <row r="102">
      <c r="A102" s="5" t="n">
        <v>40663</v>
      </c>
      <c r="B102" s="6" t="n">
        <v>1535.5</v>
      </c>
      <c r="C102" s="6" t="n">
        <v>2.57</v>
      </c>
      <c r="D102" s="6" t="n">
        <v>0.75</v>
      </c>
      <c r="E102" s="6" t="n">
        <v>72.93000000000001</v>
      </c>
      <c r="F102" s="6" t="n">
        <v>113.39</v>
      </c>
      <c r="G102" s="6" t="n">
        <v>14.75</v>
      </c>
      <c r="H102" s="6" t="n">
        <v>76.800003</v>
      </c>
      <c r="I102" s="6" t="n">
        <v>1363.609985</v>
      </c>
      <c r="J102" s="6" t="n">
        <v>70.33182499999999</v>
      </c>
      <c r="L102" s="7">
        <f>LN(B102/B101)</f>
        <v/>
      </c>
      <c r="M102" s="7">
        <f>C102-C101</f>
        <v/>
      </c>
      <c r="N102" s="7">
        <f>D102-D101</f>
        <v/>
      </c>
      <c r="O102" s="7">
        <f>LN(E102/E101)</f>
        <v/>
      </c>
      <c r="P102" s="7">
        <f>LN(F102/F101)</f>
        <v/>
      </c>
      <c r="Q102" s="7">
        <f>G102-G101</f>
        <v/>
      </c>
      <c r="R102" s="7">
        <f>H102-H101</f>
        <v/>
      </c>
      <c r="S102" s="7">
        <f>LN(I102/I101)</f>
        <v/>
      </c>
      <c r="T102" s="7">
        <f>LN(J102/J101)</f>
        <v/>
      </c>
      <c r="U102" s="7">
        <f>$W$12+$W$4*M102+$W$5*N102+$W$6*O102+$W$7*P102+$W$8*Q102+$W$9*R102+$W$10*S102+$W$11*T102</f>
        <v/>
      </c>
      <c r="AA102" s="8">
        <f>INDEX(LINEST(L43:L102,M43:T102,TRUE,TRUE),1,9)*12</f>
        <v/>
      </c>
      <c r="AB102" s="7">
        <f>INDEX(LINEST(L43:L102,M43:T102,TRUE,TRUE),1,8)</f>
        <v/>
      </c>
      <c r="AC102" s="7">
        <f>INDEX(LINEST(L43:L102,M43:T102,TRUE,TRUE),1,7)</f>
        <v/>
      </c>
      <c r="AD102" s="7">
        <f>INDEX(LINEST(L43:L102,M43:T102,TRUE,TRUE),1,6)</f>
        <v/>
      </c>
      <c r="AE102" s="7">
        <f>INDEX(LINEST(L43:L102,M43:T102,TRUE,TRUE),1,5)</f>
        <v/>
      </c>
      <c r="AF102" s="7">
        <f>INDEX(LINEST(L43:L102,M43:T102,TRUE,TRUE),1,4)</f>
        <v/>
      </c>
      <c r="AG102" s="7">
        <f>INDEX(LINEST(L43:L102,M43:T102,TRUE,TRUE),1,3)</f>
        <v/>
      </c>
      <c r="AH102" s="7">
        <f>INDEX(LINEST(L43:L102,M43:T102,TRUE,TRUE),1,2)</f>
        <v/>
      </c>
      <c r="AI102" s="7">
        <f>INDEX(LINEST(L43:L102,M43:T102,TRUE,TRUE),1,1)</f>
        <v/>
      </c>
      <c r="AJ102" s="8">
        <f>INDEX(LINEST(L43:L102,M43:T102,TRUE,TRUE),3,1)</f>
        <v/>
      </c>
    </row>
    <row r="103">
      <c r="A103" s="5" t="n">
        <v>40694</v>
      </c>
      <c r="B103" s="6" t="n">
        <v>1536.5</v>
      </c>
      <c r="C103" s="6" t="n">
        <v>2.25</v>
      </c>
      <c r="D103" s="6" t="n">
        <v>0.8</v>
      </c>
      <c r="E103" s="6" t="n">
        <v>74.639999</v>
      </c>
      <c r="F103" s="6" t="n">
        <v>102.7</v>
      </c>
      <c r="G103" s="6" t="n">
        <v>15.45</v>
      </c>
      <c r="H103" s="6" t="n">
        <v>71.5</v>
      </c>
      <c r="I103" s="6" t="n">
        <v>1345.199951</v>
      </c>
      <c r="J103" s="6" t="n">
        <v>71.20380400000001</v>
      </c>
      <c r="L103" s="7">
        <f>LN(B103/B102)</f>
        <v/>
      </c>
      <c r="M103" s="7">
        <f>C103-C102</f>
        <v/>
      </c>
      <c r="N103" s="7">
        <f>D103-D102</f>
        <v/>
      </c>
      <c r="O103" s="7">
        <f>LN(E103/E102)</f>
        <v/>
      </c>
      <c r="P103" s="7">
        <f>LN(F103/F102)</f>
        <v/>
      </c>
      <c r="Q103" s="7">
        <f>G103-G102</f>
        <v/>
      </c>
      <c r="R103" s="7">
        <f>H103-H102</f>
        <v/>
      </c>
      <c r="S103" s="7">
        <f>LN(I103/I102)</f>
        <v/>
      </c>
      <c r="T103" s="7">
        <f>LN(J103/J102)</f>
        <v/>
      </c>
      <c r="U103" s="7">
        <f>$W$12+$W$4*M103+$W$5*N103+$W$6*O103+$W$7*P103+$W$8*Q103+$W$9*R103+$W$10*S103+$W$11*T103</f>
        <v/>
      </c>
      <c r="AA103" s="8">
        <f>INDEX(LINEST(L44:L103,M44:T103,TRUE,TRUE),1,9)*12</f>
        <v/>
      </c>
      <c r="AB103" s="7">
        <f>INDEX(LINEST(L44:L103,M44:T103,TRUE,TRUE),1,8)</f>
        <v/>
      </c>
      <c r="AC103" s="7">
        <f>INDEX(LINEST(L44:L103,M44:T103,TRUE,TRUE),1,7)</f>
        <v/>
      </c>
      <c r="AD103" s="7">
        <f>INDEX(LINEST(L44:L103,M44:T103,TRUE,TRUE),1,6)</f>
        <v/>
      </c>
      <c r="AE103" s="7">
        <f>INDEX(LINEST(L44:L103,M44:T103,TRUE,TRUE),1,5)</f>
        <v/>
      </c>
      <c r="AF103" s="7">
        <f>INDEX(LINEST(L44:L103,M44:T103,TRUE,TRUE),1,4)</f>
        <v/>
      </c>
      <c r="AG103" s="7">
        <f>INDEX(LINEST(L44:L103,M44:T103,TRUE,TRUE),1,3)</f>
        <v/>
      </c>
      <c r="AH103" s="7">
        <f>INDEX(LINEST(L44:L103,M44:T103,TRUE,TRUE),1,2)</f>
        <v/>
      </c>
      <c r="AI103" s="7">
        <f>INDEX(LINEST(L44:L103,M44:T103,TRUE,TRUE),1,1)</f>
        <v/>
      </c>
      <c r="AJ103" s="8">
        <f>INDEX(LINEST(L44:L103,M44:T103,TRUE,TRUE),3,1)</f>
        <v/>
      </c>
    </row>
    <row r="104">
      <c r="A104" s="5" t="n">
        <v>40724</v>
      </c>
      <c r="B104" s="6" t="n">
        <v>1505.5</v>
      </c>
      <c r="C104" s="6" t="n">
        <v>2.43</v>
      </c>
      <c r="D104" s="6" t="n">
        <v>0.75</v>
      </c>
      <c r="E104" s="6" t="n">
        <v>74.300003</v>
      </c>
      <c r="F104" s="6" t="n">
        <v>95.3</v>
      </c>
      <c r="G104" s="6" t="n">
        <v>16.52</v>
      </c>
      <c r="H104" s="6" t="n">
        <v>88.900002</v>
      </c>
      <c r="I104" s="6" t="n">
        <v>1320.640015</v>
      </c>
      <c r="J104" s="6" t="n">
        <v>70.88679500000001</v>
      </c>
      <c r="L104" s="7">
        <f>LN(B104/B103)</f>
        <v/>
      </c>
      <c r="M104" s="7">
        <f>C104-C103</f>
        <v/>
      </c>
      <c r="N104" s="7">
        <f>D104-D103</f>
        <v/>
      </c>
      <c r="O104" s="7">
        <f>LN(E104/E103)</f>
        <v/>
      </c>
      <c r="P104" s="7">
        <f>LN(F104/F103)</f>
        <v/>
      </c>
      <c r="Q104" s="7">
        <f>G104-G103</f>
        <v/>
      </c>
      <c r="R104" s="7">
        <f>H104-H103</f>
        <v/>
      </c>
      <c r="S104" s="7">
        <f>LN(I104/I103)</f>
        <v/>
      </c>
      <c r="T104" s="7">
        <f>LN(J104/J103)</f>
        <v/>
      </c>
      <c r="U104" s="7">
        <f>$W$12+$W$4*M104+$W$5*N104+$W$6*O104+$W$7*P104+$W$8*Q104+$W$9*R104+$W$10*S104+$W$11*T104</f>
        <v/>
      </c>
      <c r="AA104" s="8">
        <f>INDEX(LINEST(L45:L104,M45:T104,TRUE,TRUE),1,9)*12</f>
        <v/>
      </c>
      <c r="AB104" s="7">
        <f>INDEX(LINEST(L45:L104,M45:T104,TRUE,TRUE),1,8)</f>
        <v/>
      </c>
      <c r="AC104" s="7">
        <f>INDEX(LINEST(L45:L104,M45:T104,TRUE,TRUE),1,7)</f>
        <v/>
      </c>
      <c r="AD104" s="7">
        <f>INDEX(LINEST(L45:L104,M45:T104,TRUE,TRUE),1,6)</f>
        <v/>
      </c>
      <c r="AE104" s="7">
        <f>INDEX(LINEST(L45:L104,M45:T104,TRUE,TRUE),1,5)</f>
        <v/>
      </c>
      <c r="AF104" s="7">
        <f>INDEX(LINEST(L45:L104,M45:T104,TRUE,TRUE),1,4)</f>
        <v/>
      </c>
      <c r="AG104" s="7">
        <f>INDEX(LINEST(L45:L104,M45:T104,TRUE,TRUE),1,3)</f>
        <v/>
      </c>
      <c r="AH104" s="7">
        <f>INDEX(LINEST(L45:L104,M45:T104,TRUE,TRUE),1,2)</f>
        <v/>
      </c>
      <c r="AI104" s="7">
        <f>INDEX(LINEST(L45:L104,M45:T104,TRUE,TRUE),1,1)</f>
        <v/>
      </c>
      <c r="AJ104" s="8">
        <f>INDEX(LINEST(L45:L104,M45:T104,TRUE,TRUE),3,1)</f>
        <v/>
      </c>
    </row>
    <row r="105">
      <c r="A105" s="5" t="n">
        <v>40755</v>
      </c>
      <c r="B105" s="6" t="n">
        <v>1628.5</v>
      </c>
      <c r="C105" s="6" t="n">
        <v>2.44</v>
      </c>
      <c r="D105" s="6" t="n">
        <v>0.38</v>
      </c>
      <c r="E105" s="6" t="n">
        <v>73.900002</v>
      </c>
      <c r="F105" s="6" t="n">
        <v>95.68000000000001</v>
      </c>
      <c r="G105" s="6" t="n">
        <v>25.25</v>
      </c>
      <c r="H105" s="6" t="n">
        <v>88</v>
      </c>
      <c r="I105" s="6" t="n">
        <v>1292.280029</v>
      </c>
      <c r="J105" s="6" t="n">
        <v>72.08245100000001</v>
      </c>
      <c r="L105" s="7">
        <f>LN(B105/B104)</f>
        <v/>
      </c>
      <c r="M105" s="7">
        <f>C105-C104</f>
        <v/>
      </c>
      <c r="N105" s="7">
        <f>D105-D104</f>
        <v/>
      </c>
      <c r="O105" s="7">
        <f>LN(E105/E104)</f>
        <v/>
      </c>
      <c r="P105" s="7">
        <f>LN(F105/F104)</f>
        <v/>
      </c>
      <c r="Q105" s="7">
        <f>G105-G104</f>
        <v/>
      </c>
      <c r="R105" s="7">
        <f>H105-H104</f>
        <v/>
      </c>
      <c r="S105" s="7">
        <f>LN(I105/I104)</f>
        <v/>
      </c>
      <c r="T105" s="7">
        <f>LN(J105/J104)</f>
        <v/>
      </c>
      <c r="U105" s="7">
        <f>$W$12+$W$4*M105+$W$5*N105+$W$6*O105+$W$7*P105+$W$8*Q105+$W$9*R105+$W$10*S105+$W$11*T105</f>
        <v/>
      </c>
      <c r="AA105" s="8">
        <f>INDEX(LINEST(L46:L105,M46:T105,TRUE,TRUE),1,9)*12</f>
        <v/>
      </c>
      <c r="AB105" s="7">
        <f>INDEX(LINEST(L46:L105,M46:T105,TRUE,TRUE),1,8)</f>
        <v/>
      </c>
      <c r="AC105" s="7">
        <f>INDEX(LINEST(L46:L105,M46:T105,TRUE,TRUE),1,7)</f>
        <v/>
      </c>
      <c r="AD105" s="7">
        <f>INDEX(LINEST(L46:L105,M46:T105,TRUE,TRUE),1,6)</f>
        <v/>
      </c>
      <c r="AE105" s="7">
        <f>INDEX(LINEST(L46:L105,M46:T105,TRUE,TRUE),1,5)</f>
        <v/>
      </c>
      <c r="AF105" s="7">
        <f>INDEX(LINEST(L46:L105,M46:T105,TRUE,TRUE),1,4)</f>
        <v/>
      </c>
      <c r="AG105" s="7">
        <f>INDEX(LINEST(L46:L105,M46:T105,TRUE,TRUE),1,3)</f>
        <v/>
      </c>
      <c r="AH105" s="7">
        <f>INDEX(LINEST(L46:L105,M46:T105,TRUE,TRUE),1,2)</f>
        <v/>
      </c>
      <c r="AI105" s="7">
        <f>INDEX(LINEST(L46:L105,M46:T105,TRUE,TRUE),1,1)</f>
        <v/>
      </c>
      <c r="AJ105" s="8">
        <f>INDEX(LINEST(L46:L105,M46:T105,TRUE,TRUE),3,1)</f>
        <v/>
      </c>
    </row>
    <row r="106">
      <c r="A106" s="5" t="n">
        <v>40786</v>
      </c>
      <c r="B106" s="6" t="n">
        <v>1813.5</v>
      </c>
      <c r="C106" s="6" t="n">
        <v>2.05</v>
      </c>
      <c r="D106" s="6" t="n">
        <v>0.18</v>
      </c>
      <c r="E106" s="6" t="n">
        <v>74.129997</v>
      </c>
      <c r="F106" s="6" t="n">
        <v>88.81</v>
      </c>
      <c r="G106" s="6" t="n">
        <v>31.62</v>
      </c>
      <c r="H106" s="6" t="n">
        <v>97.900002</v>
      </c>
      <c r="I106" s="6" t="n">
        <v>1218.890015</v>
      </c>
      <c r="J106" s="6" t="n">
        <v>73.17845199999999</v>
      </c>
      <c r="L106" s="7">
        <f>LN(B106/B105)</f>
        <v/>
      </c>
      <c r="M106" s="7">
        <f>C106-C105</f>
        <v/>
      </c>
      <c r="N106" s="7">
        <f>D106-D105</f>
        <v/>
      </c>
      <c r="O106" s="7">
        <f>LN(E106/E105)</f>
        <v/>
      </c>
      <c r="P106" s="7">
        <f>LN(F106/F105)</f>
        <v/>
      </c>
      <c r="Q106" s="7">
        <f>G106-G105</f>
        <v/>
      </c>
      <c r="R106" s="7">
        <f>H106-H105</f>
        <v/>
      </c>
      <c r="S106" s="7">
        <f>LN(I106/I105)</f>
        <v/>
      </c>
      <c r="T106" s="7">
        <f>LN(J106/J105)</f>
        <v/>
      </c>
      <c r="U106" s="7">
        <f>$W$12+$W$4*M106+$W$5*N106+$W$6*O106+$W$7*P106+$W$8*Q106+$W$9*R106+$W$10*S106+$W$11*T106</f>
        <v/>
      </c>
      <c r="AA106" s="8">
        <f>INDEX(LINEST(L47:L106,M47:T106,TRUE,TRUE),1,9)*12</f>
        <v/>
      </c>
      <c r="AB106" s="7">
        <f>INDEX(LINEST(L47:L106,M47:T106,TRUE,TRUE),1,8)</f>
        <v/>
      </c>
      <c r="AC106" s="7">
        <f>INDEX(LINEST(L47:L106,M47:T106,TRUE,TRUE),1,7)</f>
        <v/>
      </c>
      <c r="AD106" s="7">
        <f>INDEX(LINEST(L47:L106,M47:T106,TRUE,TRUE),1,6)</f>
        <v/>
      </c>
      <c r="AE106" s="7">
        <f>INDEX(LINEST(L47:L106,M47:T106,TRUE,TRUE),1,5)</f>
        <v/>
      </c>
      <c r="AF106" s="7">
        <f>INDEX(LINEST(L47:L106,M47:T106,TRUE,TRUE),1,4)</f>
        <v/>
      </c>
      <c r="AG106" s="7">
        <f>INDEX(LINEST(L47:L106,M47:T106,TRUE,TRUE),1,3)</f>
        <v/>
      </c>
      <c r="AH106" s="7">
        <f>INDEX(LINEST(L47:L106,M47:T106,TRUE,TRUE),1,2)</f>
        <v/>
      </c>
      <c r="AI106" s="7">
        <f>INDEX(LINEST(L47:L106,M47:T106,TRUE,TRUE),1,1)</f>
        <v/>
      </c>
      <c r="AJ106" s="8">
        <f>INDEX(LINEST(L47:L106,M47:T106,TRUE,TRUE),3,1)</f>
        <v/>
      </c>
    </row>
    <row r="107">
      <c r="A107" s="5" t="n">
        <v>40816</v>
      </c>
      <c r="B107" s="6" t="n">
        <v>1620</v>
      </c>
      <c r="C107" s="6" t="n">
        <v>1.75</v>
      </c>
      <c r="D107" s="6" t="n">
        <v>0.17</v>
      </c>
      <c r="E107" s="6" t="n">
        <v>78.550003</v>
      </c>
      <c r="F107" s="6" t="n">
        <v>78.93000000000001</v>
      </c>
      <c r="G107" s="6" t="n">
        <v>42.96</v>
      </c>
      <c r="H107" s="6" t="n">
        <v>100.599998</v>
      </c>
      <c r="I107" s="6" t="n">
        <v>1131.420044</v>
      </c>
      <c r="J107" s="6" t="n">
        <v>73.742401</v>
      </c>
      <c r="L107" s="7">
        <f>LN(B107/B106)</f>
        <v/>
      </c>
      <c r="M107" s="7">
        <f>C107-C106</f>
        <v/>
      </c>
      <c r="N107" s="7">
        <f>D107-D106</f>
        <v/>
      </c>
      <c r="O107" s="7">
        <f>LN(E107/E106)</f>
        <v/>
      </c>
      <c r="P107" s="7">
        <f>LN(F107/F106)</f>
        <v/>
      </c>
      <c r="Q107" s="7">
        <f>G107-G106</f>
        <v/>
      </c>
      <c r="R107" s="7">
        <f>H107-H106</f>
        <v/>
      </c>
      <c r="S107" s="7">
        <f>LN(I107/I106)</f>
        <v/>
      </c>
      <c r="T107" s="7">
        <f>LN(J107/J106)</f>
        <v/>
      </c>
      <c r="U107" s="7">
        <f>$W$12+$W$4*M107+$W$5*N107+$W$6*O107+$W$7*P107+$W$8*Q107+$W$9*R107+$W$10*S107+$W$11*T107</f>
        <v/>
      </c>
      <c r="AA107" s="8">
        <f>INDEX(LINEST(L48:L107,M48:T107,TRUE,TRUE),1,9)*12</f>
        <v/>
      </c>
      <c r="AB107" s="7">
        <f>INDEX(LINEST(L48:L107,M48:T107,TRUE,TRUE),1,8)</f>
        <v/>
      </c>
      <c r="AC107" s="7">
        <f>INDEX(LINEST(L48:L107,M48:T107,TRUE,TRUE),1,7)</f>
        <v/>
      </c>
      <c r="AD107" s="7">
        <f>INDEX(LINEST(L48:L107,M48:T107,TRUE,TRUE),1,6)</f>
        <v/>
      </c>
      <c r="AE107" s="7">
        <f>INDEX(LINEST(L48:L107,M48:T107,TRUE,TRUE),1,5)</f>
        <v/>
      </c>
      <c r="AF107" s="7">
        <f>INDEX(LINEST(L48:L107,M48:T107,TRUE,TRUE),1,4)</f>
        <v/>
      </c>
      <c r="AG107" s="7">
        <f>INDEX(LINEST(L48:L107,M48:T107,TRUE,TRUE),1,3)</f>
        <v/>
      </c>
      <c r="AH107" s="7">
        <f>INDEX(LINEST(L48:L107,M48:T107,TRUE,TRUE),1,2)</f>
        <v/>
      </c>
      <c r="AI107" s="7">
        <f>INDEX(LINEST(L48:L107,M48:T107,TRUE,TRUE),1,1)</f>
        <v/>
      </c>
      <c r="AJ107" s="8">
        <f>INDEX(LINEST(L48:L107,M48:T107,TRUE,TRUE),3,1)</f>
        <v/>
      </c>
    </row>
    <row r="108">
      <c r="A108" s="5" t="n">
        <v>40847</v>
      </c>
      <c r="B108" s="6" t="n">
        <v>1722</v>
      </c>
      <c r="C108" s="6" t="n">
        <v>2.09</v>
      </c>
      <c r="D108" s="6" t="n">
        <v>0.08</v>
      </c>
      <c r="E108" s="6" t="n">
        <v>76.16999800000001</v>
      </c>
      <c r="F108" s="6" t="n">
        <v>93.19</v>
      </c>
      <c r="G108" s="6" t="n">
        <v>29.96</v>
      </c>
      <c r="H108" s="6" t="n">
        <v>107.199997</v>
      </c>
      <c r="I108" s="6" t="n">
        <v>1253.300049</v>
      </c>
      <c r="J108" s="6" t="n">
        <v>73.835617</v>
      </c>
      <c r="L108" s="7">
        <f>LN(B108/B107)</f>
        <v/>
      </c>
      <c r="M108" s="7">
        <f>C108-C107</f>
        <v/>
      </c>
      <c r="N108" s="7">
        <f>D108-D107</f>
        <v/>
      </c>
      <c r="O108" s="7">
        <f>LN(E108/E107)</f>
        <v/>
      </c>
      <c r="P108" s="7">
        <f>LN(F108/F107)</f>
        <v/>
      </c>
      <c r="Q108" s="7">
        <f>G108-G107</f>
        <v/>
      </c>
      <c r="R108" s="7">
        <f>H108-H107</f>
        <v/>
      </c>
      <c r="S108" s="7">
        <f>LN(I108/I107)</f>
        <v/>
      </c>
      <c r="T108" s="7">
        <f>LN(J108/J107)</f>
        <v/>
      </c>
      <c r="U108" s="7">
        <f>$W$12+$W$4*M108+$W$5*N108+$W$6*O108+$W$7*P108+$W$8*Q108+$W$9*R108+$W$10*S108+$W$11*T108</f>
        <v/>
      </c>
      <c r="AA108" s="8">
        <f>INDEX(LINEST(L49:L108,M49:T108,TRUE,TRUE),1,9)*12</f>
        <v/>
      </c>
      <c r="AB108" s="7">
        <f>INDEX(LINEST(L49:L108,M49:T108,TRUE,TRUE),1,8)</f>
        <v/>
      </c>
      <c r="AC108" s="7">
        <f>INDEX(LINEST(L49:L108,M49:T108,TRUE,TRUE),1,7)</f>
        <v/>
      </c>
      <c r="AD108" s="7">
        <f>INDEX(LINEST(L49:L108,M49:T108,TRUE,TRUE),1,6)</f>
        <v/>
      </c>
      <c r="AE108" s="7">
        <f>INDEX(LINEST(L49:L108,M49:T108,TRUE,TRUE),1,5)</f>
        <v/>
      </c>
      <c r="AF108" s="7">
        <f>INDEX(LINEST(L49:L108,M49:T108,TRUE,TRUE),1,4)</f>
        <v/>
      </c>
      <c r="AG108" s="7">
        <f>INDEX(LINEST(L49:L108,M49:T108,TRUE,TRUE),1,3)</f>
        <v/>
      </c>
      <c r="AH108" s="7">
        <f>INDEX(LINEST(L49:L108,M49:T108,TRUE,TRUE),1,2)</f>
        <v/>
      </c>
      <c r="AI108" s="7">
        <f>INDEX(LINEST(L49:L108,M49:T108,TRUE,TRUE),1,1)</f>
        <v/>
      </c>
      <c r="AJ108" s="8">
        <f>INDEX(LINEST(L49:L108,M49:T108,TRUE,TRUE),3,1)</f>
        <v/>
      </c>
    </row>
    <row r="109">
      <c r="A109" s="5" t="n">
        <v>40877</v>
      </c>
      <c r="B109" s="6" t="n">
        <v>1746</v>
      </c>
      <c r="C109" s="6" t="n">
        <v>2.05</v>
      </c>
      <c r="D109" s="6" t="n">
        <v>0.03</v>
      </c>
      <c r="E109" s="6" t="n">
        <v>78.389999</v>
      </c>
      <c r="F109" s="6" t="n">
        <v>100.36</v>
      </c>
      <c r="G109" s="6" t="n">
        <v>27.8</v>
      </c>
      <c r="H109" s="6" t="n">
        <v>99.699997</v>
      </c>
      <c r="I109" s="6" t="n">
        <v>1246.959961</v>
      </c>
      <c r="J109" s="6" t="n">
        <v>73.59139999999999</v>
      </c>
      <c r="L109" s="7">
        <f>LN(B109/B108)</f>
        <v/>
      </c>
      <c r="M109" s="7">
        <f>C109-C108</f>
        <v/>
      </c>
      <c r="N109" s="7">
        <f>D109-D108</f>
        <v/>
      </c>
      <c r="O109" s="7">
        <f>LN(E109/E108)</f>
        <v/>
      </c>
      <c r="P109" s="7">
        <f>LN(F109/F108)</f>
        <v/>
      </c>
      <c r="Q109" s="7">
        <f>G109-G108</f>
        <v/>
      </c>
      <c r="R109" s="7">
        <f>H109-H108</f>
        <v/>
      </c>
      <c r="S109" s="7">
        <f>LN(I109/I108)</f>
        <v/>
      </c>
      <c r="T109" s="7">
        <f>LN(J109/J108)</f>
        <v/>
      </c>
      <c r="U109" s="7">
        <f>$W$12+$W$4*M109+$W$5*N109+$W$6*O109+$W$7*P109+$W$8*Q109+$W$9*R109+$W$10*S109+$W$11*T109</f>
        <v/>
      </c>
      <c r="AA109" s="8">
        <f>INDEX(LINEST(L50:L109,M50:T109,TRUE,TRUE),1,9)*12</f>
        <v/>
      </c>
      <c r="AB109" s="7">
        <f>INDEX(LINEST(L50:L109,M50:T109,TRUE,TRUE),1,8)</f>
        <v/>
      </c>
      <c r="AC109" s="7">
        <f>INDEX(LINEST(L50:L109,M50:T109,TRUE,TRUE),1,7)</f>
        <v/>
      </c>
      <c r="AD109" s="7">
        <f>INDEX(LINEST(L50:L109,M50:T109,TRUE,TRUE),1,6)</f>
        <v/>
      </c>
      <c r="AE109" s="7">
        <f>INDEX(LINEST(L50:L109,M50:T109,TRUE,TRUE),1,5)</f>
        <v/>
      </c>
      <c r="AF109" s="7">
        <f>INDEX(LINEST(L50:L109,M50:T109,TRUE,TRUE),1,4)</f>
        <v/>
      </c>
      <c r="AG109" s="7">
        <f>INDEX(LINEST(L50:L109,M50:T109,TRUE,TRUE),1,3)</f>
        <v/>
      </c>
      <c r="AH109" s="7">
        <f>INDEX(LINEST(L50:L109,M50:T109,TRUE,TRUE),1,2)</f>
        <v/>
      </c>
      <c r="AI109" s="7">
        <f>INDEX(LINEST(L50:L109,M50:T109,TRUE,TRUE),1,1)</f>
        <v/>
      </c>
      <c r="AJ109" s="8">
        <f>INDEX(LINEST(L50:L109,M50:T109,TRUE,TRUE),3,1)</f>
        <v/>
      </c>
    </row>
    <row r="110">
      <c r="A110" s="5" t="n">
        <v>40908</v>
      </c>
      <c r="B110" s="6" t="n">
        <v>1531</v>
      </c>
      <c r="C110" s="6" t="n">
        <v>1.96</v>
      </c>
      <c r="D110" s="6" t="n">
        <v>-0.07000000000000001</v>
      </c>
      <c r="E110" s="6" t="n">
        <v>80.16999800000001</v>
      </c>
      <c r="F110" s="6" t="n">
        <v>98.83</v>
      </c>
      <c r="G110" s="6" t="n">
        <v>23.4</v>
      </c>
      <c r="H110" s="6" t="n">
        <v>91.099998</v>
      </c>
      <c r="I110" s="6" t="n">
        <v>1257.599976</v>
      </c>
      <c r="J110" s="6" t="n">
        <v>74.58981300000001</v>
      </c>
      <c r="L110" s="7">
        <f>LN(B110/B109)</f>
        <v/>
      </c>
      <c r="M110" s="7">
        <f>C110-C109</f>
        <v/>
      </c>
      <c r="N110" s="7">
        <f>D110-D109</f>
        <v/>
      </c>
      <c r="O110" s="7">
        <f>LN(E110/E109)</f>
        <v/>
      </c>
      <c r="P110" s="7">
        <f>LN(F110/F109)</f>
        <v/>
      </c>
      <c r="Q110" s="7">
        <f>G110-G109</f>
        <v/>
      </c>
      <c r="R110" s="7">
        <f>H110-H109</f>
        <v/>
      </c>
      <c r="S110" s="7">
        <f>LN(I110/I109)</f>
        <v/>
      </c>
      <c r="T110" s="7">
        <f>LN(J110/J109)</f>
        <v/>
      </c>
      <c r="U110" s="7">
        <f>$W$12+$W$4*M110+$W$5*N110+$W$6*O110+$W$7*P110+$W$8*Q110+$W$9*R110+$W$10*S110+$W$11*T110</f>
        <v/>
      </c>
      <c r="AA110" s="8">
        <f>INDEX(LINEST(L51:L110,M51:T110,TRUE,TRUE),1,9)*12</f>
        <v/>
      </c>
      <c r="AB110" s="7">
        <f>INDEX(LINEST(L51:L110,M51:T110,TRUE,TRUE),1,8)</f>
        <v/>
      </c>
      <c r="AC110" s="7">
        <f>INDEX(LINEST(L51:L110,M51:T110,TRUE,TRUE),1,7)</f>
        <v/>
      </c>
      <c r="AD110" s="7">
        <f>INDEX(LINEST(L51:L110,M51:T110,TRUE,TRUE),1,6)</f>
        <v/>
      </c>
      <c r="AE110" s="7">
        <f>INDEX(LINEST(L51:L110,M51:T110,TRUE,TRUE),1,5)</f>
        <v/>
      </c>
      <c r="AF110" s="7">
        <f>INDEX(LINEST(L51:L110,M51:T110,TRUE,TRUE),1,4)</f>
        <v/>
      </c>
      <c r="AG110" s="7">
        <f>INDEX(LINEST(L51:L110,M51:T110,TRUE,TRUE),1,3)</f>
        <v/>
      </c>
      <c r="AH110" s="7">
        <f>INDEX(LINEST(L51:L110,M51:T110,TRUE,TRUE),1,2)</f>
        <v/>
      </c>
      <c r="AI110" s="7">
        <f>INDEX(LINEST(L51:L110,M51:T110,TRUE,TRUE),1,1)</f>
        <v/>
      </c>
      <c r="AJ110" s="8">
        <f>INDEX(LINEST(L51:L110,M51:T110,TRUE,TRUE),3,1)</f>
        <v/>
      </c>
    </row>
    <row r="111">
      <c r="A111" s="5" t="n">
        <v>40939</v>
      </c>
      <c r="B111" s="6" t="n">
        <v>1744</v>
      </c>
      <c r="C111" s="6" t="n">
        <v>2.11</v>
      </c>
      <c r="D111" s="6" t="n">
        <v>-0.28</v>
      </c>
      <c r="E111" s="6" t="n">
        <v>79.279999</v>
      </c>
      <c r="F111" s="6" t="n">
        <v>98.45999999999999</v>
      </c>
      <c r="G111" s="6" t="n">
        <v>19.44</v>
      </c>
      <c r="H111" s="6" t="n">
        <v>72.099998</v>
      </c>
      <c r="I111" s="6" t="n">
        <v>1312.410034</v>
      </c>
      <c r="J111" s="6" t="n">
        <v>75.131073</v>
      </c>
      <c r="L111" s="7">
        <f>LN(B111/B110)</f>
        <v/>
      </c>
      <c r="M111" s="7">
        <f>C111-C110</f>
        <v/>
      </c>
      <c r="N111" s="7">
        <f>D111-D110</f>
        <v/>
      </c>
      <c r="O111" s="7">
        <f>LN(E111/E110)</f>
        <v/>
      </c>
      <c r="P111" s="7">
        <f>LN(F111/F110)</f>
        <v/>
      </c>
      <c r="Q111" s="7">
        <f>G111-G110</f>
        <v/>
      </c>
      <c r="R111" s="7">
        <f>H111-H110</f>
        <v/>
      </c>
      <c r="S111" s="7">
        <f>LN(I111/I110)</f>
        <v/>
      </c>
      <c r="T111" s="7">
        <f>LN(J111/J110)</f>
        <v/>
      </c>
      <c r="U111" s="7">
        <f>$W$12+$W$4*M111+$W$5*N111+$W$6*O111+$W$7*P111+$W$8*Q111+$W$9*R111+$W$10*S111+$W$11*T111</f>
        <v/>
      </c>
      <c r="AA111" s="8">
        <f>INDEX(LINEST(L52:L111,M52:T111,TRUE,TRUE),1,9)*12</f>
        <v/>
      </c>
      <c r="AB111" s="7">
        <f>INDEX(LINEST(L52:L111,M52:T111,TRUE,TRUE),1,8)</f>
        <v/>
      </c>
      <c r="AC111" s="7">
        <f>INDEX(LINEST(L52:L111,M52:T111,TRUE,TRUE),1,7)</f>
        <v/>
      </c>
      <c r="AD111" s="7">
        <f>INDEX(LINEST(L52:L111,M52:T111,TRUE,TRUE),1,6)</f>
        <v/>
      </c>
      <c r="AE111" s="7">
        <f>INDEX(LINEST(L52:L111,M52:T111,TRUE,TRUE),1,5)</f>
        <v/>
      </c>
      <c r="AF111" s="7">
        <f>INDEX(LINEST(L52:L111,M52:T111,TRUE,TRUE),1,4)</f>
        <v/>
      </c>
      <c r="AG111" s="7">
        <f>INDEX(LINEST(L52:L111,M52:T111,TRUE,TRUE),1,3)</f>
        <v/>
      </c>
      <c r="AH111" s="7">
        <f>INDEX(LINEST(L52:L111,M52:T111,TRUE,TRUE),1,2)</f>
        <v/>
      </c>
      <c r="AI111" s="7">
        <f>INDEX(LINEST(L52:L111,M52:T111,TRUE,TRUE),1,1)</f>
        <v/>
      </c>
      <c r="AJ111" s="8">
        <f>INDEX(LINEST(L52:L111,M52:T111,TRUE,TRUE),3,1)</f>
        <v/>
      </c>
    </row>
    <row r="112">
      <c r="A112" s="5" t="n">
        <v>40968</v>
      </c>
      <c r="B112" s="6" t="n">
        <v>1770</v>
      </c>
      <c r="C112" s="6" t="n">
        <v>2.26</v>
      </c>
      <c r="D112" s="6" t="n">
        <v>-0.28</v>
      </c>
      <c r="E112" s="6" t="n">
        <v>78.730003</v>
      </c>
      <c r="F112" s="6" t="n">
        <v>107.08</v>
      </c>
      <c r="G112" s="6" t="n">
        <v>18.43</v>
      </c>
      <c r="H112" s="6" t="n">
        <v>75.900002</v>
      </c>
      <c r="I112" s="6" t="n">
        <v>1365.680054</v>
      </c>
      <c r="J112" s="6" t="n">
        <v>75.12088</v>
      </c>
      <c r="L112" s="7">
        <f>LN(B112/B111)</f>
        <v/>
      </c>
      <c r="M112" s="7">
        <f>C112-C111</f>
        <v/>
      </c>
      <c r="N112" s="7">
        <f>D112-D111</f>
        <v/>
      </c>
      <c r="O112" s="7">
        <f>LN(E112/E111)</f>
        <v/>
      </c>
      <c r="P112" s="7">
        <f>LN(F112/F111)</f>
        <v/>
      </c>
      <c r="Q112" s="7">
        <f>G112-G111</f>
        <v/>
      </c>
      <c r="R112" s="7">
        <f>H112-H111</f>
        <v/>
      </c>
      <c r="S112" s="7">
        <f>LN(I112/I111)</f>
        <v/>
      </c>
      <c r="T112" s="7">
        <f>LN(J112/J111)</f>
        <v/>
      </c>
      <c r="U112" s="7">
        <f>$W$12+$W$4*M112+$W$5*N112+$W$6*O112+$W$7*P112+$W$8*Q112+$W$9*R112+$W$10*S112+$W$11*T112</f>
        <v/>
      </c>
      <c r="AA112" s="8">
        <f>INDEX(LINEST(L53:L112,M53:T112,TRUE,TRUE),1,9)*12</f>
        <v/>
      </c>
      <c r="AB112" s="7">
        <f>INDEX(LINEST(L53:L112,M53:T112,TRUE,TRUE),1,8)</f>
        <v/>
      </c>
      <c r="AC112" s="7">
        <f>INDEX(LINEST(L53:L112,M53:T112,TRUE,TRUE),1,7)</f>
        <v/>
      </c>
      <c r="AD112" s="7">
        <f>INDEX(LINEST(L53:L112,M53:T112,TRUE,TRUE),1,6)</f>
        <v/>
      </c>
      <c r="AE112" s="7">
        <f>INDEX(LINEST(L53:L112,M53:T112,TRUE,TRUE),1,5)</f>
        <v/>
      </c>
      <c r="AF112" s="7">
        <f>INDEX(LINEST(L53:L112,M53:T112,TRUE,TRUE),1,4)</f>
        <v/>
      </c>
      <c r="AG112" s="7">
        <f>INDEX(LINEST(L53:L112,M53:T112,TRUE,TRUE),1,3)</f>
        <v/>
      </c>
      <c r="AH112" s="7">
        <f>INDEX(LINEST(L53:L112,M53:T112,TRUE,TRUE),1,2)</f>
        <v/>
      </c>
      <c r="AI112" s="7">
        <f>INDEX(LINEST(L53:L112,M53:T112,TRUE,TRUE),1,1)</f>
        <v/>
      </c>
      <c r="AJ112" s="8">
        <f>INDEX(LINEST(L53:L112,M53:T112,TRUE,TRUE),3,1)</f>
        <v/>
      </c>
    </row>
    <row r="113">
      <c r="A113" s="5" t="n">
        <v>40999</v>
      </c>
      <c r="B113" s="6" t="n">
        <v>1662.5</v>
      </c>
      <c r="C113" s="6" t="n">
        <v>2.32</v>
      </c>
      <c r="D113" s="6" t="n">
        <v>-0.09</v>
      </c>
      <c r="E113" s="6" t="n">
        <v>78.93000000000001</v>
      </c>
      <c r="F113" s="6" t="n">
        <v>103.03</v>
      </c>
      <c r="G113" s="6" t="n">
        <v>15.5</v>
      </c>
      <c r="H113" s="6" t="n">
        <v>78.599998</v>
      </c>
      <c r="I113" s="6" t="n">
        <v>1408.469971</v>
      </c>
      <c r="J113" s="6" t="n">
        <v>74.69049099999999</v>
      </c>
      <c r="L113" s="7">
        <f>LN(B113/B112)</f>
        <v/>
      </c>
      <c r="M113" s="7">
        <f>C113-C112</f>
        <v/>
      </c>
      <c r="N113" s="7">
        <f>D113-D112</f>
        <v/>
      </c>
      <c r="O113" s="7">
        <f>LN(E113/E112)</f>
        <v/>
      </c>
      <c r="P113" s="7">
        <f>LN(F113/F112)</f>
        <v/>
      </c>
      <c r="Q113" s="7">
        <f>G113-G112</f>
        <v/>
      </c>
      <c r="R113" s="7">
        <f>H113-H112</f>
        <v/>
      </c>
      <c r="S113" s="7">
        <f>LN(I113/I112)</f>
        <v/>
      </c>
      <c r="T113" s="7">
        <f>LN(J113/J112)</f>
        <v/>
      </c>
      <c r="U113" s="7">
        <f>$W$12+$W$4*M113+$W$5*N113+$W$6*O113+$W$7*P113+$W$8*Q113+$W$9*R113+$W$10*S113+$W$11*T113</f>
        <v/>
      </c>
      <c r="AA113" s="8">
        <f>INDEX(LINEST(L54:L113,M54:T113,TRUE,TRUE),1,9)*12</f>
        <v/>
      </c>
      <c r="AB113" s="7">
        <f>INDEX(LINEST(L54:L113,M54:T113,TRUE,TRUE),1,8)</f>
        <v/>
      </c>
      <c r="AC113" s="7">
        <f>INDEX(LINEST(L54:L113,M54:T113,TRUE,TRUE),1,7)</f>
        <v/>
      </c>
      <c r="AD113" s="7">
        <f>INDEX(LINEST(L54:L113,M54:T113,TRUE,TRUE),1,6)</f>
        <v/>
      </c>
      <c r="AE113" s="7">
        <f>INDEX(LINEST(L54:L113,M54:T113,TRUE,TRUE),1,5)</f>
        <v/>
      </c>
      <c r="AF113" s="7">
        <f>INDEX(LINEST(L54:L113,M54:T113,TRUE,TRUE),1,4)</f>
        <v/>
      </c>
      <c r="AG113" s="7">
        <f>INDEX(LINEST(L54:L113,M54:T113,TRUE,TRUE),1,3)</f>
        <v/>
      </c>
      <c r="AH113" s="7">
        <f>INDEX(LINEST(L54:L113,M54:T113,TRUE,TRUE),1,2)</f>
        <v/>
      </c>
      <c r="AI113" s="7">
        <f>INDEX(LINEST(L54:L113,M54:T113,TRUE,TRUE),1,1)</f>
        <v/>
      </c>
      <c r="AJ113" s="8">
        <f>INDEX(LINEST(L54:L113,M54:T113,TRUE,TRUE),3,1)</f>
        <v/>
      </c>
    </row>
    <row r="114">
      <c r="A114" s="5" t="n">
        <v>41029</v>
      </c>
      <c r="B114" s="6" t="n">
        <v>1651.25</v>
      </c>
      <c r="C114" s="6" t="n">
        <v>2.25</v>
      </c>
      <c r="D114" s="6" t="n">
        <v>-0.3</v>
      </c>
      <c r="E114" s="6" t="n">
        <v>78.790001</v>
      </c>
      <c r="F114" s="6" t="n">
        <v>104.89</v>
      </c>
      <c r="G114" s="6" t="n">
        <v>17.15</v>
      </c>
      <c r="H114" s="6" t="n">
        <v>62.900002</v>
      </c>
      <c r="I114" s="6" t="n">
        <v>1397.910034</v>
      </c>
      <c r="J114" s="6" t="n">
        <v>75.36713399999999</v>
      </c>
      <c r="L114" s="7">
        <f>LN(B114/B113)</f>
        <v/>
      </c>
      <c r="M114" s="7">
        <f>C114-C113</f>
        <v/>
      </c>
      <c r="N114" s="7">
        <f>D114-D113</f>
        <v/>
      </c>
      <c r="O114" s="7">
        <f>LN(E114/E113)</f>
        <v/>
      </c>
      <c r="P114" s="7">
        <f>LN(F114/F113)</f>
        <v/>
      </c>
      <c r="Q114" s="7">
        <f>G114-G113</f>
        <v/>
      </c>
      <c r="R114" s="7">
        <f>H114-H113</f>
        <v/>
      </c>
      <c r="S114" s="7">
        <f>LN(I114/I113)</f>
        <v/>
      </c>
      <c r="T114" s="7">
        <f>LN(J114/J113)</f>
        <v/>
      </c>
      <c r="U114" s="7">
        <f>$W$12+$W$4*M114+$W$5*N114+$W$6*O114+$W$7*P114+$W$8*Q114+$W$9*R114+$W$10*S114+$W$11*T114</f>
        <v/>
      </c>
      <c r="AA114" s="8">
        <f>INDEX(LINEST(L55:L114,M55:T114,TRUE,TRUE),1,9)*12</f>
        <v/>
      </c>
      <c r="AB114" s="7">
        <f>INDEX(LINEST(L55:L114,M55:T114,TRUE,TRUE),1,8)</f>
        <v/>
      </c>
      <c r="AC114" s="7">
        <f>INDEX(LINEST(L55:L114,M55:T114,TRUE,TRUE),1,7)</f>
        <v/>
      </c>
      <c r="AD114" s="7">
        <f>INDEX(LINEST(L55:L114,M55:T114,TRUE,TRUE),1,6)</f>
        <v/>
      </c>
      <c r="AE114" s="7">
        <f>INDEX(LINEST(L55:L114,M55:T114,TRUE,TRUE),1,5)</f>
        <v/>
      </c>
      <c r="AF114" s="7">
        <f>INDEX(LINEST(L55:L114,M55:T114,TRUE,TRUE),1,4)</f>
        <v/>
      </c>
      <c r="AG114" s="7">
        <f>INDEX(LINEST(L55:L114,M55:T114,TRUE,TRUE),1,3)</f>
        <v/>
      </c>
      <c r="AH114" s="7">
        <f>INDEX(LINEST(L55:L114,M55:T114,TRUE,TRUE),1,2)</f>
        <v/>
      </c>
      <c r="AI114" s="7">
        <f>INDEX(LINEST(L55:L114,M55:T114,TRUE,TRUE),1,1)</f>
        <v/>
      </c>
      <c r="AJ114" s="8">
        <f>INDEX(LINEST(L55:L114,M55:T114,TRUE,TRUE),3,1)</f>
        <v/>
      </c>
    </row>
    <row r="115">
      <c r="A115" s="5" t="n">
        <v>41060</v>
      </c>
      <c r="B115" s="6" t="n">
        <v>1558</v>
      </c>
      <c r="C115" s="6" t="n">
        <v>2.09</v>
      </c>
      <c r="D115" s="6" t="n">
        <v>-0.5</v>
      </c>
      <c r="E115" s="6" t="n">
        <v>83.040001</v>
      </c>
      <c r="F115" s="6" t="n">
        <v>86.52</v>
      </c>
      <c r="G115" s="6" t="n">
        <v>24.06</v>
      </c>
      <c r="H115" s="6" t="n">
        <v>74.400002</v>
      </c>
      <c r="I115" s="6" t="n">
        <v>1310.329956</v>
      </c>
      <c r="J115" s="6" t="n">
        <v>76.179749</v>
      </c>
      <c r="L115" s="7">
        <f>LN(B115/B114)</f>
        <v/>
      </c>
      <c r="M115" s="7">
        <f>C115-C114</f>
        <v/>
      </c>
      <c r="N115" s="7">
        <f>D115-D114</f>
        <v/>
      </c>
      <c r="O115" s="7">
        <f>LN(E115/E114)</f>
        <v/>
      </c>
      <c r="P115" s="7">
        <f>LN(F115/F114)</f>
        <v/>
      </c>
      <c r="Q115" s="7">
        <f>G115-G114</f>
        <v/>
      </c>
      <c r="R115" s="7">
        <f>H115-H114</f>
        <v/>
      </c>
      <c r="S115" s="7">
        <f>LN(I115/I114)</f>
        <v/>
      </c>
      <c r="T115" s="7">
        <f>LN(J115/J114)</f>
        <v/>
      </c>
      <c r="U115" s="7">
        <f>$W$12+$W$4*M115+$W$5*N115+$W$6*O115+$W$7*P115+$W$8*Q115+$W$9*R115+$W$10*S115+$W$11*T115</f>
        <v/>
      </c>
      <c r="AA115" s="8">
        <f>INDEX(LINEST(L56:L115,M56:T115,TRUE,TRUE),1,9)*12</f>
        <v/>
      </c>
      <c r="AB115" s="7">
        <f>INDEX(LINEST(L56:L115,M56:T115,TRUE,TRUE),1,8)</f>
        <v/>
      </c>
      <c r="AC115" s="7">
        <f>INDEX(LINEST(L56:L115,M56:T115,TRUE,TRUE),1,7)</f>
        <v/>
      </c>
      <c r="AD115" s="7">
        <f>INDEX(LINEST(L56:L115,M56:T115,TRUE,TRUE),1,6)</f>
        <v/>
      </c>
      <c r="AE115" s="7">
        <f>INDEX(LINEST(L56:L115,M56:T115,TRUE,TRUE),1,5)</f>
        <v/>
      </c>
      <c r="AF115" s="7">
        <f>INDEX(LINEST(L56:L115,M56:T115,TRUE,TRUE),1,4)</f>
        <v/>
      </c>
      <c r="AG115" s="7">
        <f>INDEX(LINEST(L56:L115,M56:T115,TRUE,TRUE),1,3)</f>
        <v/>
      </c>
      <c r="AH115" s="7">
        <f>INDEX(LINEST(L56:L115,M56:T115,TRUE,TRUE),1,2)</f>
        <v/>
      </c>
      <c r="AI115" s="7">
        <f>INDEX(LINEST(L56:L115,M56:T115,TRUE,TRUE),1,1)</f>
        <v/>
      </c>
      <c r="AJ115" s="8">
        <f>INDEX(LINEST(L56:L115,M56:T115,TRUE,TRUE),3,1)</f>
        <v/>
      </c>
    </row>
    <row r="116">
      <c r="A116" s="5" t="n">
        <v>41090</v>
      </c>
      <c r="B116" s="6" t="n">
        <v>1598.5</v>
      </c>
      <c r="C116" s="6" t="n">
        <v>2.13</v>
      </c>
      <c r="D116" s="6" t="n">
        <v>-0.46</v>
      </c>
      <c r="E116" s="6" t="n">
        <v>81.650002</v>
      </c>
      <c r="F116" s="6" t="n">
        <v>85.04000000000001</v>
      </c>
      <c r="G116" s="6" t="n">
        <v>17.08</v>
      </c>
      <c r="H116" s="6" t="n">
        <v>73.199997</v>
      </c>
      <c r="I116" s="6" t="n">
        <v>1362.160034</v>
      </c>
      <c r="J116" s="6" t="n">
        <v>76.16471900000001</v>
      </c>
      <c r="L116" s="7">
        <f>LN(B116/B115)</f>
        <v/>
      </c>
      <c r="M116" s="7">
        <f>C116-C115</f>
        <v/>
      </c>
      <c r="N116" s="7">
        <f>D116-D115</f>
        <v/>
      </c>
      <c r="O116" s="7">
        <f>LN(E116/E115)</f>
        <v/>
      </c>
      <c r="P116" s="7">
        <f>LN(F116/F115)</f>
        <v/>
      </c>
      <c r="Q116" s="7">
        <f>G116-G115</f>
        <v/>
      </c>
      <c r="R116" s="7">
        <f>H116-H115</f>
        <v/>
      </c>
      <c r="S116" s="7">
        <f>LN(I116/I115)</f>
        <v/>
      </c>
      <c r="T116" s="7">
        <f>LN(J116/J115)</f>
        <v/>
      </c>
      <c r="U116" s="7">
        <f>$W$12+$W$4*M116+$W$5*N116+$W$6*O116+$W$7*P116+$W$8*Q116+$W$9*R116+$W$10*S116+$W$11*T116</f>
        <v/>
      </c>
      <c r="AA116" s="8">
        <f>INDEX(LINEST(L57:L116,M57:T116,TRUE,TRUE),1,9)*12</f>
        <v/>
      </c>
      <c r="AB116" s="7">
        <f>INDEX(LINEST(L57:L116,M57:T116,TRUE,TRUE),1,8)</f>
        <v/>
      </c>
      <c r="AC116" s="7">
        <f>INDEX(LINEST(L57:L116,M57:T116,TRUE,TRUE),1,7)</f>
        <v/>
      </c>
      <c r="AD116" s="7">
        <f>INDEX(LINEST(L57:L116,M57:T116,TRUE,TRUE),1,6)</f>
        <v/>
      </c>
      <c r="AE116" s="7">
        <f>INDEX(LINEST(L57:L116,M57:T116,TRUE,TRUE),1,5)</f>
        <v/>
      </c>
      <c r="AF116" s="7">
        <f>INDEX(LINEST(L57:L116,M57:T116,TRUE,TRUE),1,4)</f>
        <v/>
      </c>
      <c r="AG116" s="7">
        <f>INDEX(LINEST(L57:L116,M57:T116,TRUE,TRUE),1,3)</f>
        <v/>
      </c>
      <c r="AH116" s="7">
        <f>INDEX(LINEST(L57:L116,M57:T116,TRUE,TRUE),1,2)</f>
        <v/>
      </c>
      <c r="AI116" s="7">
        <f>INDEX(LINEST(L57:L116,M57:T116,TRUE,TRUE),1,1)</f>
        <v/>
      </c>
      <c r="AJ116" s="8">
        <f>INDEX(LINEST(L57:L116,M57:T116,TRUE,TRUE),3,1)</f>
        <v/>
      </c>
    </row>
    <row r="117">
      <c r="A117" s="5" t="n">
        <v>41121</v>
      </c>
      <c r="B117" s="6" t="n">
        <v>1622</v>
      </c>
      <c r="C117" s="6" t="n">
        <v>2.2</v>
      </c>
      <c r="D117" s="6" t="n">
        <v>-0.6899999999999999</v>
      </c>
      <c r="E117" s="6" t="n">
        <v>82.639999</v>
      </c>
      <c r="F117" s="6" t="n">
        <v>88.08</v>
      </c>
      <c r="G117" s="6" t="n">
        <v>18.93</v>
      </c>
      <c r="H117" s="6" t="n">
        <v>69.800003</v>
      </c>
      <c r="I117" s="6" t="n">
        <v>1379.319946</v>
      </c>
      <c r="J117" s="6" t="n">
        <v>77.20214799999999</v>
      </c>
      <c r="L117" s="7">
        <f>LN(B117/B116)</f>
        <v/>
      </c>
      <c r="M117" s="7">
        <f>C117-C116</f>
        <v/>
      </c>
      <c r="N117" s="7">
        <f>D117-D116</f>
        <v/>
      </c>
      <c r="O117" s="7">
        <f>LN(E117/E116)</f>
        <v/>
      </c>
      <c r="P117" s="7">
        <f>LN(F117/F116)</f>
        <v/>
      </c>
      <c r="Q117" s="7">
        <f>G117-G116</f>
        <v/>
      </c>
      <c r="R117" s="7">
        <f>H117-H116</f>
        <v/>
      </c>
      <c r="S117" s="7">
        <f>LN(I117/I116)</f>
        <v/>
      </c>
      <c r="T117" s="7">
        <f>LN(J117/J116)</f>
        <v/>
      </c>
      <c r="U117" s="7">
        <f>$W$12+$W$4*M117+$W$5*N117+$W$6*O117+$W$7*P117+$W$8*Q117+$W$9*R117+$W$10*S117+$W$11*T117</f>
        <v/>
      </c>
      <c r="AA117" s="8">
        <f>INDEX(LINEST(L58:L117,M58:T117,TRUE,TRUE),1,9)*12</f>
        <v/>
      </c>
      <c r="AB117" s="7">
        <f>INDEX(LINEST(L58:L117,M58:T117,TRUE,TRUE),1,8)</f>
        <v/>
      </c>
      <c r="AC117" s="7">
        <f>INDEX(LINEST(L58:L117,M58:T117,TRUE,TRUE),1,7)</f>
        <v/>
      </c>
      <c r="AD117" s="7">
        <f>INDEX(LINEST(L58:L117,M58:T117,TRUE,TRUE),1,6)</f>
        <v/>
      </c>
      <c r="AE117" s="7">
        <f>INDEX(LINEST(L58:L117,M58:T117,TRUE,TRUE),1,5)</f>
        <v/>
      </c>
      <c r="AF117" s="7">
        <f>INDEX(LINEST(L58:L117,M58:T117,TRUE,TRUE),1,4)</f>
        <v/>
      </c>
      <c r="AG117" s="7">
        <f>INDEX(LINEST(L58:L117,M58:T117,TRUE,TRUE),1,3)</f>
        <v/>
      </c>
      <c r="AH117" s="7">
        <f>INDEX(LINEST(L58:L117,M58:T117,TRUE,TRUE),1,2)</f>
        <v/>
      </c>
      <c r="AI117" s="7">
        <f>INDEX(LINEST(L58:L117,M58:T117,TRUE,TRUE),1,1)</f>
        <v/>
      </c>
      <c r="AJ117" s="8">
        <f>INDEX(LINEST(L58:L117,M58:T117,TRUE,TRUE),3,1)</f>
        <v/>
      </c>
    </row>
    <row r="118">
      <c r="A118" s="5" t="n">
        <v>41152</v>
      </c>
      <c r="B118" s="6" t="n">
        <v>1648.5</v>
      </c>
      <c r="C118" s="6" t="n">
        <v>2.25</v>
      </c>
      <c r="D118" s="6" t="n">
        <v>-0.68</v>
      </c>
      <c r="E118" s="6" t="n">
        <v>81.25</v>
      </c>
      <c r="F118" s="6" t="n">
        <v>96.47</v>
      </c>
      <c r="G118" s="6" t="n">
        <v>17.47</v>
      </c>
      <c r="H118" s="6" t="n">
        <v>68.699997</v>
      </c>
      <c r="I118" s="6" t="n">
        <v>1406.579956</v>
      </c>
      <c r="J118" s="6" t="n">
        <v>77.202217</v>
      </c>
      <c r="L118" s="7">
        <f>LN(B118/B117)</f>
        <v/>
      </c>
      <c r="M118" s="7">
        <f>C118-C117</f>
        <v/>
      </c>
      <c r="N118" s="7">
        <f>D118-D117</f>
        <v/>
      </c>
      <c r="O118" s="7">
        <f>LN(E118/E117)</f>
        <v/>
      </c>
      <c r="P118" s="7">
        <f>LN(F118/F117)</f>
        <v/>
      </c>
      <c r="Q118" s="7">
        <f>G118-G117</f>
        <v/>
      </c>
      <c r="R118" s="7">
        <f>H118-H117</f>
        <v/>
      </c>
      <c r="S118" s="7">
        <f>LN(I118/I117)</f>
        <v/>
      </c>
      <c r="T118" s="7">
        <f>LN(J118/J117)</f>
        <v/>
      </c>
      <c r="U118" s="7">
        <f>$W$12+$W$4*M118+$W$5*N118+$W$6*O118+$W$7*P118+$W$8*Q118+$W$9*R118+$W$10*S118+$W$11*T118</f>
        <v/>
      </c>
      <c r="AA118" s="8">
        <f>INDEX(LINEST(L59:L118,M59:T118,TRUE,TRUE),1,9)*12</f>
        <v/>
      </c>
      <c r="AB118" s="7">
        <f>INDEX(LINEST(L59:L118,M59:T118,TRUE,TRUE),1,8)</f>
        <v/>
      </c>
      <c r="AC118" s="7">
        <f>INDEX(LINEST(L59:L118,M59:T118,TRUE,TRUE),1,7)</f>
        <v/>
      </c>
      <c r="AD118" s="7">
        <f>INDEX(LINEST(L59:L118,M59:T118,TRUE,TRUE),1,6)</f>
        <v/>
      </c>
      <c r="AE118" s="7">
        <f>INDEX(LINEST(L59:L118,M59:T118,TRUE,TRUE),1,5)</f>
        <v/>
      </c>
      <c r="AF118" s="7">
        <f>INDEX(LINEST(L59:L118,M59:T118,TRUE,TRUE),1,4)</f>
        <v/>
      </c>
      <c r="AG118" s="7">
        <f>INDEX(LINEST(L59:L118,M59:T118,TRUE,TRUE),1,3)</f>
        <v/>
      </c>
      <c r="AH118" s="7">
        <f>INDEX(LINEST(L59:L118,M59:T118,TRUE,TRUE),1,2)</f>
        <v/>
      </c>
      <c r="AI118" s="7">
        <f>INDEX(LINEST(L59:L118,M59:T118,TRUE,TRUE),1,1)</f>
        <v/>
      </c>
      <c r="AJ118" s="8">
        <f>INDEX(LINEST(L59:L118,M59:T118,TRUE,TRUE),3,1)</f>
        <v/>
      </c>
    </row>
    <row r="119">
      <c r="A119" s="5" t="n">
        <v>41182</v>
      </c>
      <c r="B119" s="6" t="n">
        <v>1776</v>
      </c>
      <c r="C119" s="6" t="n">
        <v>2.42</v>
      </c>
      <c r="D119" s="6" t="n">
        <v>-0.77</v>
      </c>
      <c r="E119" s="6" t="n">
        <v>79.94000200000001</v>
      </c>
      <c r="F119" s="6" t="n">
        <v>92.18000000000001</v>
      </c>
      <c r="G119" s="6" t="n">
        <v>15.73</v>
      </c>
      <c r="H119" s="6" t="n">
        <v>60.470001</v>
      </c>
      <c r="I119" s="6" t="n">
        <v>1440.670044</v>
      </c>
      <c r="J119" s="6" t="n">
        <v>77.40801999999999</v>
      </c>
      <c r="L119" s="7">
        <f>LN(B119/B118)</f>
        <v/>
      </c>
      <c r="M119" s="7">
        <f>C119-C118</f>
        <v/>
      </c>
      <c r="N119" s="7">
        <f>D119-D118</f>
        <v/>
      </c>
      <c r="O119" s="7">
        <f>LN(E119/E118)</f>
        <v/>
      </c>
      <c r="P119" s="7">
        <f>LN(F119/F118)</f>
        <v/>
      </c>
      <c r="Q119" s="7">
        <f>G119-G118</f>
        <v/>
      </c>
      <c r="R119" s="7">
        <f>H119-H118</f>
        <v/>
      </c>
      <c r="S119" s="7">
        <f>LN(I119/I118)</f>
        <v/>
      </c>
      <c r="T119" s="7">
        <f>LN(J119/J118)</f>
        <v/>
      </c>
      <c r="U119" s="7">
        <f>$W$12+$W$4*M119+$W$5*N119+$W$6*O119+$W$7*P119+$W$8*Q119+$W$9*R119+$W$10*S119+$W$11*T119</f>
        <v/>
      </c>
      <c r="AA119" s="8">
        <f>INDEX(LINEST(L60:L119,M60:T119,TRUE,TRUE),1,9)*12</f>
        <v/>
      </c>
      <c r="AB119" s="7">
        <f>INDEX(LINEST(L60:L119,M60:T119,TRUE,TRUE),1,8)</f>
        <v/>
      </c>
      <c r="AC119" s="7">
        <f>INDEX(LINEST(L60:L119,M60:T119,TRUE,TRUE),1,7)</f>
        <v/>
      </c>
      <c r="AD119" s="7">
        <f>INDEX(LINEST(L60:L119,M60:T119,TRUE,TRUE),1,6)</f>
        <v/>
      </c>
      <c r="AE119" s="7">
        <f>INDEX(LINEST(L60:L119,M60:T119,TRUE,TRUE),1,5)</f>
        <v/>
      </c>
      <c r="AF119" s="7">
        <f>INDEX(LINEST(L60:L119,M60:T119,TRUE,TRUE),1,4)</f>
        <v/>
      </c>
      <c r="AG119" s="7">
        <f>INDEX(LINEST(L60:L119,M60:T119,TRUE,TRUE),1,3)</f>
        <v/>
      </c>
      <c r="AH119" s="7">
        <f>INDEX(LINEST(L60:L119,M60:T119,TRUE,TRUE),1,2)</f>
        <v/>
      </c>
      <c r="AI119" s="7">
        <f>INDEX(LINEST(L60:L119,M60:T119,TRUE,TRUE),1,1)</f>
        <v/>
      </c>
      <c r="AJ119" s="8">
        <f>INDEX(LINEST(L60:L119,M60:T119,TRUE,TRUE),3,1)</f>
        <v/>
      </c>
    </row>
    <row r="120">
      <c r="A120" s="5" t="n">
        <v>41213</v>
      </c>
      <c r="B120" s="6" t="n">
        <v>1719</v>
      </c>
      <c r="C120" s="6" t="n">
        <v>2.5</v>
      </c>
      <c r="D120" s="6" t="n">
        <v>-0.78</v>
      </c>
      <c r="E120" s="6" t="n">
        <v>79.91999800000001</v>
      </c>
      <c r="F120" s="6" t="n">
        <v>86.23</v>
      </c>
      <c r="G120" s="6" t="n">
        <v>18.6</v>
      </c>
      <c r="H120" s="6" t="n">
        <v>71.43000000000001</v>
      </c>
      <c r="I120" s="6" t="n">
        <v>1412.160034</v>
      </c>
      <c r="J120" s="6" t="n">
        <v>77.371475</v>
      </c>
      <c r="L120" s="7">
        <f>LN(B120/B119)</f>
        <v/>
      </c>
      <c r="M120" s="7">
        <f>C120-C119</f>
        <v/>
      </c>
      <c r="N120" s="7">
        <f>D120-D119</f>
        <v/>
      </c>
      <c r="O120" s="7">
        <f>LN(E120/E119)</f>
        <v/>
      </c>
      <c r="P120" s="7">
        <f>LN(F120/F119)</f>
        <v/>
      </c>
      <c r="Q120" s="7">
        <f>G120-G119</f>
        <v/>
      </c>
      <c r="R120" s="7">
        <f>H120-H119</f>
        <v/>
      </c>
      <c r="S120" s="7">
        <f>LN(I120/I119)</f>
        <v/>
      </c>
      <c r="T120" s="7">
        <f>LN(J120/J119)</f>
        <v/>
      </c>
      <c r="U120" s="7">
        <f>$W$12+$W$4*M120+$W$5*N120+$W$6*O120+$W$7*P120+$W$8*Q120+$W$9*R120+$W$10*S120+$W$11*T120</f>
        <v/>
      </c>
      <c r="AA120" s="8">
        <f>INDEX(LINEST(L61:L120,M61:T120,TRUE,TRUE),1,9)*12</f>
        <v/>
      </c>
      <c r="AB120" s="7">
        <f>INDEX(LINEST(L61:L120,M61:T120,TRUE,TRUE),1,8)</f>
        <v/>
      </c>
      <c r="AC120" s="7">
        <f>INDEX(LINEST(L61:L120,M61:T120,TRUE,TRUE),1,7)</f>
        <v/>
      </c>
      <c r="AD120" s="7">
        <f>INDEX(LINEST(L61:L120,M61:T120,TRUE,TRUE),1,6)</f>
        <v/>
      </c>
      <c r="AE120" s="7">
        <f>INDEX(LINEST(L61:L120,M61:T120,TRUE,TRUE),1,5)</f>
        <v/>
      </c>
      <c r="AF120" s="7">
        <f>INDEX(LINEST(L61:L120,M61:T120,TRUE,TRUE),1,4)</f>
        <v/>
      </c>
      <c r="AG120" s="7">
        <f>INDEX(LINEST(L61:L120,M61:T120,TRUE,TRUE),1,3)</f>
        <v/>
      </c>
      <c r="AH120" s="7">
        <f>INDEX(LINEST(L61:L120,M61:T120,TRUE,TRUE),1,2)</f>
        <v/>
      </c>
      <c r="AI120" s="7">
        <f>INDEX(LINEST(L61:L120,M61:T120,TRUE,TRUE),1,1)</f>
        <v/>
      </c>
      <c r="AJ120" s="8">
        <f>INDEX(LINEST(L61:L120,M61:T120,TRUE,TRUE),3,1)</f>
        <v/>
      </c>
    </row>
    <row r="121">
      <c r="A121" s="5" t="n">
        <v>41243</v>
      </c>
      <c r="B121" s="6" t="n">
        <v>1726</v>
      </c>
      <c r="C121" s="6" t="n">
        <v>2.41</v>
      </c>
      <c r="D121" s="6" t="n">
        <v>-0.79</v>
      </c>
      <c r="E121" s="6" t="n">
        <v>80.150002</v>
      </c>
      <c r="F121" s="6" t="n">
        <v>88.54000000000001</v>
      </c>
      <c r="G121" s="6" t="n">
        <v>15.87</v>
      </c>
      <c r="H121" s="6" t="n">
        <v>51.799999</v>
      </c>
      <c r="I121" s="6" t="n">
        <v>1416.180054</v>
      </c>
      <c r="J121" s="6" t="n">
        <v>77.580833</v>
      </c>
      <c r="L121" s="7">
        <f>LN(B121/B120)</f>
        <v/>
      </c>
      <c r="M121" s="7">
        <f>C121-C120</f>
        <v/>
      </c>
      <c r="N121" s="7">
        <f>D121-D120</f>
        <v/>
      </c>
      <c r="O121" s="7">
        <f>LN(E121/E120)</f>
        <v/>
      </c>
      <c r="P121" s="7">
        <f>LN(F121/F120)</f>
        <v/>
      </c>
      <c r="Q121" s="7">
        <f>G121-G120</f>
        <v/>
      </c>
      <c r="R121" s="7">
        <f>H121-H120</f>
        <v/>
      </c>
      <c r="S121" s="7">
        <f>LN(I121/I120)</f>
        <v/>
      </c>
      <c r="T121" s="7">
        <f>LN(J121/J120)</f>
        <v/>
      </c>
      <c r="U121" s="7">
        <f>$W$12+$W$4*M121+$W$5*N121+$W$6*O121+$W$7*P121+$W$8*Q121+$W$9*R121+$W$10*S121+$W$11*T121</f>
        <v/>
      </c>
      <c r="AA121" s="8">
        <f>INDEX(LINEST(L62:L121,M62:T121,TRUE,TRUE),1,9)*12</f>
        <v/>
      </c>
      <c r="AB121" s="7">
        <f>INDEX(LINEST(L62:L121,M62:T121,TRUE,TRUE),1,8)</f>
        <v/>
      </c>
      <c r="AC121" s="7">
        <f>INDEX(LINEST(L62:L121,M62:T121,TRUE,TRUE),1,7)</f>
        <v/>
      </c>
      <c r="AD121" s="7">
        <f>INDEX(LINEST(L62:L121,M62:T121,TRUE,TRUE),1,6)</f>
        <v/>
      </c>
      <c r="AE121" s="7">
        <f>INDEX(LINEST(L62:L121,M62:T121,TRUE,TRUE),1,5)</f>
        <v/>
      </c>
      <c r="AF121" s="7">
        <f>INDEX(LINEST(L62:L121,M62:T121,TRUE,TRUE),1,4)</f>
        <v/>
      </c>
      <c r="AG121" s="7">
        <f>INDEX(LINEST(L62:L121,M62:T121,TRUE,TRUE),1,3)</f>
        <v/>
      </c>
      <c r="AH121" s="7">
        <f>INDEX(LINEST(L62:L121,M62:T121,TRUE,TRUE),1,2)</f>
        <v/>
      </c>
      <c r="AI121" s="7">
        <f>INDEX(LINEST(L62:L121,M62:T121,TRUE,TRUE),1,1)</f>
        <v/>
      </c>
      <c r="AJ121" s="8">
        <f>INDEX(LINEST(L62:L121,M62:T121,TRUE,TRUE),3,1)</f>
        <v/>
      </c>
    </row>
    <row r="122">
      <c r="A122" s="5" t="n">
        <v>41274</v>
      </c>
      <c r="B122" s="6" t="n">
        <v>1657.5</v>
      </c>
      <c r="C122" s="6" t="n">
        <v>2.45</v>
      </c>
      <c r="D122" s="6" t="n">
        <v>-0.67</v>
      </c>
      <c r="E122" s="6" t="n">
        <v>79.769997</v>
      </c>
      <c r="F122" s="6" t="n">
        <v>91.83</v>
      </c>
      <c r="G122" s="6" t="n">
        <v>18.02</v>
      </c>
      <c r="H122" s="6" t="n">
        <v>59.400002</v>
      </c>
      <c r="I122" s="6" t="n">
        <v>1426.189941</v>
      </c>
      <c r="J122" s="6" t="n">
        <v>77.390625</v>
      </c>
      <c r="L122" s="7">
        <f>LN(B122/B121)</f>
        <v/>
      </c>
      <c r="M122" s="7">
        <f>C122-C121</f>
        <v/>
      </c>
      <c r="N122" s="7">
        <f>D122-D121</f>
        <v/>
      </c>
      <c r="O122" s="7">
        <f>LN(E122/E121)</f>
        <v/>
      </c>
      <c r="P122" s="7">
        <f>LN(F122/F121)</f>
        <v/>
      </c>
      <c r="Q122" s="7">
        <f>G122-G121</f>
        <v/>
      </c>
      <c r="R122" s="7">
        <f>H122-H121</f>
        <v/>
      </c>
      <c r="S122" s="7">
        <f>LN(I122/I121)</f>
        <v/>
      </c>
      <c r="T122" s="7">
        <f>LN(J122/J121)</f>
        <v/>
      </c>
      <c r="U122" s="7">
        <f>$W$12+$W$4*M122+$W$5*N122+$W$6*O122+$W$7*P122+$W$8*Q122+$W$9*R122+$W$10*S122+$W$11*T122</f>
        <v/>
      </c>
      <c r="AA122" s="8">
        <f>INDEX(LINEST(L63:L122,M63:T122,TRUE,TRUE),1,9)*12</f>
        <v/>
      </c>
      <c r="AB122" s="7">
        <f>INDEX(LINEST(L63:L122,M63:T122,TRUE,TRUE),1,8)</f>
        <v/>
      </c>
      <c r="AC122" s="7">
        <f>INDEX(LINEST(L63:L122,M63:T122,TRUE,TRUE),1,7)</f>
        <v/>
      </c>
      <c r="AD122" s="7">
        <f>INDEX(LINEST(L63:L122,M63:T122,TRUE,TRUE),1,6)</f>
        <v/>
      </c>
      <c r="AE122" s="7">
        <f>INDEX(LINEST(L63:L122,M63:T122,TRUE,TRUE),1,5)</f>
        <v/>
      </c>
      <c r="AF122" s="7">
        <f>INDEX(LINEST(L63:L122,M63:T122,TRUE,TRUE),1,4)</f>
        <v/>
      </c>
      <c r="AG122" s="7">
        <f>INDEX(LINEST(L63:L122,M63:T122,TRUE,TRUE),1,3)</f>
        <v/>
      </c>
      <c r="AH122" s="7">
        <f>INDEX(LINEST(L63:L122,M63:T122,TRUE,TRUE),1,2)</f>
        <v/>
      </c>
      <c r="AI122" s="7">
        <f>INDEX(LINEST(L63:L122,M63:T122,TRUE,TRUE),1,1)</f>
        <v/>
      </c>
      <c r="AJ122" s="8">
        <f>INDEX(LINEST(L63:L122,M63:T122,TRUE,TRUE),3,1)</f>
        <v/>
      </c>
    </row>
    <row r="123">
      <c r="A123" s="5" t="n">
        <v>41305</v>
      </c>
      <c r="B123" s="6" t="n">
        <v>1664.75</v>
      </c>
      <c r="C123" s="6" t="n">
        <v>2.59</v>
      </c>
      <c r="D123" s="6" t="n">
        <v>-0.57</v>
      </c>
      <c r="E123" s="6" t="n">
        <v>79.209999</v>
      </c>
      <c r="F123" s="6" t="n">
        <v>97.65000000000001</v>
      </c>
      <c r="G123" s="6" t="n">
        <v>14.28</v>
      </c>
      <c r="H123" s="6" t="n">
        <v>65.599998</v>
      </c>
      <c r="I123" s="6" t="n">
        <v>1498.109985</v>
      </c>
      <c r="J123" s="6" t="n">
        <v>76.90992</v>
      </c>
      <c r="L123" s="7">
        <f>LN(B123/B122)</f>
        <v/>
      </c>
      <c r="M123" s="7">
        <f>C123-C122</f>
        <v/>
      </c>
      <c r="N123" s="7">
        <f>D123-D122</f>
        <v/>
      </c>
      <c r="O123" s="7">
        <f>LN(E123/E122)</f>
        <v/>
      </c>
      <c r="P123" s="7">
        <f>LN(F123/F122)</f>
        <v/>
      </c>
      <c r="Q123" s="7">
        <f>G123-G122</f>
        <v/>
      </c>
      <c r="R123" s="7">
        <f>H123-H122</f>
        <v/>
      </c>
      <c r="S123" s="7">
        <f>LN(I123/I122)</f>
        <v/>
      </c>
      <c r="T123" s="7">
        <f>LN(J123/J122)</f>
        <v/>
      </c>
      <c r="U123" s="7">
        <f>$W$12+$W$4*M123+$W$5*N123+$W$6*O123+$W$7*P123+$W$8*Q123+$W$9*R123+$W$10*S123+$W$11*T123</f>
        <v/>
      </c>
      <c r="AA123" s="8">
        <f>INDEX(LINEST(L64:L123,M64:T123,TRUE,TRUE),1,9)*12</f>
        <v/>
      </c>
      <c r="AB123" s="7">
        <f>INDEX(LINEST(L64:L123,M64:T123,TRUE,TRUE),1,8)</f>
        <v/>
      </c>
      <c r="AC123" s="7">
        <f>INDEX(LINEST(L64:L123,M64:T123,TRUE,TRUE),1,7)</f>
        <v/>
      </c>
      <c r="AD123" s="7">
        <f>INDEX(LINEST(L64:L123,M64:T123,TRUE,TRUE),1,6)</f>
        <v/>
      </c>
      <c r="AE123" s="7">
        <f>INDEX(LINEST(L64:L123,M64:T123,TRUE,TRUE),1,5)</f>
        <v/>
      </c>
      <c r="AF123" s="7">
        <f>INDEX(LINEST(L64:L123,M64:T123,TRUE,TRUE),1,4)</f>
        <v/>
      </c>
      <c r="AG123" s="7">
        <f>INDEX(LINEST(L64:L123,M64:T123,TRUE,TRUE),1,3)</f>
        <v/>
      </c>
      <c r="AH123" s="7">
        <f>INDEX(LINEST(L64:L123,M64:T123,TRUE,TRUE),1,2)</f>
        <v/>
      </c>
      <c r="AI123" s="7">
        <f>INDEX(LINEST(L64:L123,M64:T123,TRUE,TRUE),1,1)</f>
        <v/>
      </c>
      <c r="AJ123" s="8">
        <f>INDEX(LINEST(L64:L123,M64:T123,TRUE,TRUE),3,1)</f>
        <v/>
      </c>
    </row>
    <row r="124">
      <c r="A124" s="5" t="n">
        <v>41333</v>
      </c>
      <c r="B124" s="6" t="n">
        <v>1588.5</v>
      </c>
      <c r="C124" s="6" t="n">
        <v>2.53</v>
      </c>
      <c r="D124" s="6" t="n">
        <v>-0.64</v>
      </c>
      <c r="E124" s="6" t="n">
        <v>81.980003</v>
      </c>
      <c r="F124" s="6" t="n">
        <v>92.03</v>
      </c>
      <c r="G124" s="6" t="n">
        <v>15.51</v>
      </c>
      <c r="H124" s="6" t="n">
        <v>55.880001</v>
      </c>
      <c r="I124" s="6" t="n">
        <v>1514.680054</v>
      </c>
      <c r="J124" s="6" t="n">
        <v>77.36425</v>
      </c>
      <c r="L124" s="7">
        <f>LN(B124/B123)</f>
        <v/>
      </c>
      <c r="M124" s="7">
        <f>C124-C123</f>
        <v/>
      </c>
      <c r="N124" s="7">
        <f>D124-D123</f>
        <v/>
      </c>
      <c r="O124" s="7">
        <f>LN(E124/E123)</f>
        <v/>
      </c>
      <c r="P124" s="7">
        <f>LN(F124/F123)</f>
        <v/>
      </c>
      <c r="Q124" s="7">
        <f>G124-G123</f>
        <v/>
      </c>
      <c r="R124" s="7">
        <f>H124-H123</f>
        <v/>
      </c>
      <c r="S124" s="7">
        <f>LN(I124/I123)</f>
        <v/>
      </c>
      <c r="T124" s="7">
        <f>LN(J124/J123)</f>
        <v/>
      </c>
      <c r="U124" s="7">
        <f>$W$12+$W$4*M124+$W$5*N124+$W$6*O124+$W$7*P124+$W$8*Q124+$W$9*R124+$W$10*S124+$W$11*T124</f>
        <v/>
      </c>
      <c r="AA124" s="8">
        <f>INDEX(LINEST(L65:L124,M65:T124,TRUE,TRUE),1,9)*12</f>
        <v/>
      </c>
      <c r="AB124" s="7">
        <f>INDEX(LINEST(L65:L124,M65:T124,TRUE,TRUE),1,8)</f>
        <v/>
      </c>
      <c r="AC124" s="7">
        <f>INDEX(LINEST(L65:L124,M65:T124,TRUE,TRUE),1,7)</f>
        <v/>
      </c>
      <c r="AD124" s="7">
        <f>INDEX(LINEST(L65:L124,M65:T124,TRUE,TRUE),1,6)</f>
        <v/>
      </c>
      <c r="AE124" s="7">
        <f>INDEX(LINEST(L65:L124,M65:T124,TRUE,TRUE),1,5)</f>
        <v/>
      </c>
      <c r="AF124" s="7">
        <f>INDEX(LINEST(L65:L124,M65:T124,TRUE,TRUE),1,4)</f>
        <v/>
      </c>
      <c r="AG124" s="7">
        <f>INDEX(LINEST(L65:L124,M65:T124,TRUE,TRUE),1,3)</f>
        <v/>
      </c>
      <c r="AH124" s="7">
        <f>INDEX(LINEST(L65:L124,M65:T124,TRUE,TRUE),1,2)</f>
        <v/>
      </c>
      <c r="AI124" s="7">
        <f>INDEX(LINEST(L65:L124,M65:T124,TRUE,TRUE),1,1)</f>
        <v/>
      </c>
      <c r="AJ124" s="8">
        <f>INDEX(LINEST(L65:L124,M65:T124,TRUE,TRUE),3,1)</f>
        <v/>
      </c>
    </row>
    <row r="125">
      <c r="A125" s="5" t="n">
        <v>41364</v>
      </c>
      <c r="B125" s="6" t="n">
        <v>1598.25</v>
      </c>
      <c r="C125" s="6" t="n">
        <v>2.51</v>
      </c>
      <c r="D125" s="6" t="n">
        <v>-0.64</v>
      </c>
      <c r="E125" s="6" t="n">
        <v>82.989998</v>
      </c>
      <c r="F125" s="6" t="n">
        <v>97.23999999999999</v>
      </c>
      <c r="G125" s="6" t="n">
        <v>12.7</v>
      </c>
      <c r="H125" s="6" t="n">
        <v>57.299999</v>
      </c>
      <c r="I125" s="6" t="n">
        <v>1569.189941</v>
      </c>
      <c r="J125" s="6" t="n">
        <v>77.44053599999999</v>
      </c>
      <c r="L125" s="7">
        <f>LN(B125/B124)</f>
        <v/>
      </c>
      <c r="M125" s="7">
        <f>C125-C124</f>
        <v/>
      </c>
      <c r="N125" s="7">
        <f>D125-D124</f>
        <v/>
      </c>
      <c r="O125" s="7">
        <f>LN(E125/E124)</f>
        <v/>
      </c>
      <c r="P125" s="7">
        <f>LN(F125/F124)</f>
        <v/>
      </c>
      <c r="Q125" s="7">
        <f>G125-G124</f>
        <v/>
      </c>
      <c r="R125" s="7">
        <f>H125-H124</f>
        <v/>
      </c>
      <c r="S125" s="7">
        <f>LN(I125/I124)</f>
        <v/>
      </c>
      <c r="T125" s="7">
        <f>LN(J125/J124)</f>
        <v/>
      </c>
      <c r="U125" s="7">
        <f>$W$12+$W$4*M125+$W$5*N125+$W$6*O125+$W$7*P125+$W$8*Q125+$W$9*R125+$W$10*S125+$W$11*T125</f>
        <v/>
      </c>
      <c r="AA125" s="8">
        <f>INDEX(LINEST(L66:L125,M66:T125,TRUE,TRUE),1,9)*12</f>
        <v/>
      </c>
      <c r="AB125" s="7">
        <f>INDEX(LINEST(L66:L125,M66:T125,TRUE,TRUE),1,8)</f>
        <v/>
      </c>
      <c r="AC125" s="7">
        <f>INDEX(LINEST(L66:L125,M66:T125,TRUE,TRUE),1,7)</f>
        <v/>
      </c>
      <c r="AD125" s="7">
        <f>INDEX(LINEST(L66:L125,M66:T125,TRUE,TRUE),1,6)</f>
        <v/>
      </c>
      <c r="AE125" s="7">
        <f>INDEX(LINEST(L66:L125,M66:T125,TRUE,TRUE),1,5)</f>
        <v/>
      </c>
      <c r="AF125" s="7">
        <f>INDEX(LINEST(L66:L125,M66:T125,TRUE,TRUE),1,4)</f>
        <v/>
      </c>
      <c r="AG125" s="7">
        <f>INDEX(LINEST(L66:L125,M66:T125,TRUE,TRUE),1,3)</f>
        <v/>
      </c>
      <c r="AH125" s="7">
        <f>INDEX(LINEST(L66:L125,M66:T125,TRUE,TRUE),1,2)</f>
        <v/>
      </c>
      <c r="AI125" s="7">
        <f>INDEX(LINEST(L66:L125,M66:T125,TRUE,TRUE),1,1)</f>
        <v/>
      </c>
      <c r="AJ125" s="8">
        <f>INDEX(LINEST(L66:L125,M66:T125,TRUE,TRUE),3,1)</f>
        <v/>
      </c>
    </row>
    <row r="126">
      <c r="A126" s="5" t="n">
        <v>41394</v>
      </c>
      <c r="B126" s="6" t="n">
        <v>1469</v>
      </c>
      <c r="C126" s="6" t="n">
        <v>2.34</v>
      </c>
      <c r="D126" s="6" t="n">
        <v>-0.64</v>
      </c>
      <c r="E126" s="6" t="n">
        <v>81.730003</v>
      </c>
      <c r="F126" s="6" t="n">
        <v>93.22</v>
      </c>
      <c r="G126" s="6" t="n">
        <v>13.52</v>
      </c>
      <c r="H126" s="6" t="n">
        <v>49.200001</v>
      </c>
      <c r="I126" s="6" t="n">
        <v>1597.569946</v>
      </c>
      <c r="J126" s="6" t="n">
        <v>78.190567</v>
      </c>
      <c r="L126" s="7">
        <f>LN(B126/B125)</f>
        <v/>
      </c>
      <c r="M126" s="7">
        <f>C126-C125</f>
        <v/>
      </c>
      <c r="N126" s="7">
        <f>D126-D125</f>
        <v/>
      </c>
      <c r="O126" s="7">
        <f>LN(E126/E125)</f>
        <v/>
      </c>
      <c r="P126" s="7">
        <f>LN(F126/F125)</f>
        <v/>
      </c>
      <c r="Q126" s="7">
        <f>G126-G125</f>
        <v/>
      </c>
      <c r="R126" s="7">
        <f>H126-H125</f>
        <v/>
      </c>
      <c r="S126" s="7">
        <f>LN(I126/I125)</f>
        <v/>
      </c>
      <c r="T126" s="7">
        <f>LN(J126/J125)</f>
        <v/>
      </c>
      <c r="U126" s="7">
        <f>$W$12+$W$4*M126+$W$5*N126+$W$6*O126+$W$7*P126+$W$8*Q126+$W$9*R126+$W$10*S126+$W$11*T126</f>
        <v/>
      </c>
      <c r="AA126" s="8">
        <f>INDEX(LINEST(L67:L126,M67:T126,TRUE,TRUE),1,9)*12</f>
        <v/>
      </c>
      <c r="AB126" s="7">
        <f>INDEX(LINEST(L67:L126,M67:T126,TRUE,TRUE),1,8)</f>
        <v/>
      </c>
      <c r="AC126" s="7">
        <f>INDEX(LINEST(L67:L126,M67:T126,TRUE,TRUE),1,7)</f>
        <v/>
      </c>
      <c r="AD126" s="7">
        <f>INDEX(LINEST(L67:L126,M67:T126,TRUE,TRUE),1,6)</f>
        <v/>
      </c>
      <c r="AE126" s="7">
        <f>INDEX(LINEST(L67:L126,M67:T126,TRUE,TRUE),1,5)</f>
        <v/>
      </c>
      <c r="AF126" s="7">
        <f>INDEX(LINEST(L67:L126,M67:T126,TRUE,TRUE),1,4)</f>
        <v/>
      </c>
      <c r="AG126" s="7">
        <f>INDEX(LINEST(L67:L126,M67:T126,TRUE,TRUE),1,3)</f>
        <v/>
      </c>
      <c r="AH126" s="7">
        <f>INDEX(LINEST(L67:L126,M67:T126,TRUE,TRUE),1,2)</f>
        <v/>
      </c>
      <c r="AI126" s="7">
        <f>INDEX(LINEST(L67:L126,M67:T126,TRUE,TRUE),1,1)</f>
        <v/>
      </c>
      <c r="AJ126" s="8">
        <f>INDEX(LINEST(L67:L126,M67:T126,TRUE,TRUE),3,1)</f>
        <v/>
      </c>
    </row>
    <row r="127">
      <c r="A127" s="5" t="n">
        <v>41425</v>
      </c>
      <c r="B127" s="6" t="n">
        <v>1394.5</v>
      </c>
      <c r="C127" s="6" t="n">
        <v>2.21</v>
      </c>
      <c r="D127" s="6" t="n">
        <v>-0.05</v>
      </c>
      <c r="E127" s="6" t="n">
        <v>83.379997</v>
      </c>
      <c r="F127" s="6" t="n">
        <v>91.93000000000001</v>
      </c>
      <c r="G127" s="6" t="n">
        <v>16.3</v>
      </c>
      <c r="H127" s="6" t="n">
        <v>80</v>
      </c>
      <c r="I127" s="6" t="n">
        <v>1630.73999</v>
      </c>
      <c r="J127" s="6" t="n">
        <v>76.625885</v>
      </c>
      <c r="L127" s="7">
        <f>LN(B127/B126)</f>
        <v/>
      </c>
      <c r="M127" s="7">
        <f>C127-C126</f>
        <v/>
      </c>
      <c r="N127" s="7">
        <f>D127-D126</f>
        <v/>
      </c>
      <c r="O127" s="7">
        <f>LN(E127/E126)</f>
        <v/>
      </c>
      <c r="P127" s="7">
        <f>LN(F127/F126)</f>
        <v/>
      </c>
      <c r="Q127" s="7">
        <f>G127-G126</f>
        <v/>
      </c>
      <c r="R127" s="7">
        <f>H127-H126</f>
        <v/>
      </c>
      <c r="S127" s="7">
        <f>LN(I127/I126)</f>
        <v/>
      </c>
      <c r="T127" s="7">
        <f>LN(J127/J126)</f>
        <v/>
      </c>
      <c r="U127" s="7">
        <f>$W$12+$W$4*M127+$W$5*N127+$W$6*O127+$W$7*P127+$W$8*Q127+$W$9*R127+$W$10*S127+$W$11*T127</f>
        <v/>
      </c>
      <c r="AA127" s="8">
        <f>INDEX(LINEST(L68:L127,M68:T127,TRUE,TRUE),1,9)*12</f>
        <v/>
      </c>
      <c r="AB127" s="7">
        <f>INDEX(LINEST(L68:L127,M68:T127,TRUE,TRUE),1,8)</f>
        <v/>
      </c>
      <c r="AC127" s="7">
        <f>INDEX(LINEST(L68:L127,M68:T127,TRUE,TRUE),1,7)</f>
        <v/>
      </c>
      <c r="AD127" s="7">
        <f>INDEX(LINEST(L68:L127,M68:T127,TRUE,TRUE),1,6)</f>
        <v/>
      </c>
      <c r="AE127" s="7">
        <f>INDEX(LINEST(L68:L127,M68:T127,TRUE,TRUE),1,5)</f>
        <v/>
      </c>
      <c r="AF127" s="7">
        <f>INDEX(LINEST(L68:L127,M68:T127,TRUE,TRUE),1,4)</f>
        <v/>
      </c>
      <c r="AG127" s="7">
        <f>INDEX(LINEST(L68:L127,M68:T127,TRUE,TRUE),1,3)</f>
        <v/>
      </c>
      <c r="AH127" s="7">
        <f>INDEX(LINEST(L68:L127,M68:T127,TRUE,TRUE),1,2)</f>
        <v/>
      </c>
      <c r="AI127" s="7">
        <f>INDEX(LINEST(L68:L127,M68:T127,TRUE,TRUE),1,1)</f>
        <v/>
      </c>
      <c r="AJ127" s="8">
        <f>INDEX(LINEST(L68:L127,M68:T127,TRUE,TRUE),3,1)</f>
        <v/>
      </c>
    </row>
    <row r="128">
      <c r="A128" s="5" t="n">
        <v>41455</v>
      </c>
      <c r="B128" s="6" t="n">
        <v>1192</v>
      </c>
      <c r="C128" s="6" t="n">
        <v>1.99</v>
      </c>
      <c r="D128" s="6" t="n">
        <v>0.53</v>
      </c>
      <c r="E128" s="6" t="n">
        <v>83.16999800000001</v>
      </c>
      <c r="F128" s="6" t="n">
        <v>96.36</v>
      </c>
      <c r="G128" s="6" t="n">
        <v>16.86</v>
      </c>
      <c r="H128" s="6" t="n">
        <v>99.800003</v>
      </c>
      <c r="I128" s="6" t="n">
        <v>1606.280029</v>
      </c>
      <c r="J128" s="6" t="n">
        <v>75.426376</v>
      </c>
      <c r="L128" s="7">
        <f>LN(B128/B127)</f>
        <v/>
      </c>
      <c r="M128" s="7">
        <f>C128-C127</f>
        <v/>
      </c>
      <c r="N128" s="7">
        <f>D128-D127</f>
        <v/>
      </c>
      <c r="O128" s="7">
        <f>LN(E128/E127)</f>
        <v/>
      </c>
      <c r="P128" s="7">
        <f>LN(F128/F127)</f>
        <v/>
      </c>
      <c r="Q128" s="7">
        <f>G128-G127</f>
        <v/>
      </c>
      <c r="R128" s="7">
        <f>H128-H127</f>
        <v/>
      </c>
      <c r="S128" s="7">
        <f>LN(I128/I127)</f>
        <v/>
      </c>
      <c r="T128" s="7">
        <f>LN(J128/J127)</f>
        <v/>
      </c>
      <c r="U128" s="7">
        <f>$W$12+$W$4*M128+$W$5*N128+$W$6*O128+$W$7*P128+$W$8*Q128+$W$9*R128+$W$10*S128+$W$11*T128</f>
        <v/>
      </c>
      <c r="AA128" s="8">
        <f>INDEX(LINEST(L69:L128,M69:T128,TRUE,TRUE),1,9)*12</f>
        <v/>
      </c>
      <c r="AB128" s="7">
        <f>INDEX(LINEST(L69:L128,M69:T128,TRUE,TRUE),1,8)</f>
        <v/>
      </c>
      <c r="AC128" s="7">
        <f>INDEX(LINEST(L69:L128,M69:T128,TRUE,TRUE),1,7)</f>
        <v/>
      </c>
      <c r="AD128" s="7">
        <f>INDEX(LINEST(L69:L128,M69:T128,TRUE,TRUE),1,6)</f>
        <v/>
      </c>
      <c r="AE128" s="7">
        <f>INDEX(LINEST(L69:L128,M69:T128,TRUE,TRUE),1,5)</f>
        <v/>
      </c>
      <c r="AF128" s="7">
        <f>INDEX(LINEST(L69:L128,M69:T128,TRUE,TRUE),1,4)</f>
        <v/>
      </c>
      <c r="AG128" s="7">
        <f>INDEX(LINEST(L69:L128,M69:T128,TRUE,TRUE),1,3)</f>
        <v/>
      </c>
      <c r="AH128" s="7">
        <f>INDEX(LINEST(L69:L128,M69:T128,TRUE,TRUE),1,2)</f>
        <v/>
      </c>
      <c r="AI128" s="7">
        <f>INDEX(LINEST(L69:L128,M69:T128,TRUE,TRUE),1,1)</f>
        <v/>
      </c>
      <c r="AJ128" s="8">
        <f>INDEX(LINEST(L69:L128,M69:T128,TRUE,TRUE),3,1)</f>
        <v/>
      </c>
    </row>
    <row r="129">
      <c r="A129" s="5" t="n">
        <v>41486</v>
      </c>
      <c r="B129" s="6" t="n">
        <v>1314.5</v>
      </c>
      <c r="C129" s="6" t="n">
        <v>2.22</v>
      </c>
      <c r="D129" s="6" t="n">
        <v>0.38</v>
      </c>
      <c r="E129" s="6" t="n">
        <v>81.449997</v>
      </c>
      <c r="F129" s="6" t="n">
        <v>105.1</v>
      </c>
      <c r="G129" s="6" t="n">
        <v>13.45</v>
      </c>
      <c r="H129" s="6" t="n">
        <v>82.599998</v>
      </c>
      <c r="I129" s="6" t="n">
        <v>1685.72998</v>
      </c>
      <c r="J129" s="6" t="n">
        <v>75.629372</v>
      </c>
      <c r="L129" s="7">
        <f>LN(B129/B128)</f>
        <v/>
      </c>
      <c r="M129" s="7">
        <f>C129-C128</f>
        <v/>
      </c>
      <c r="N129" s="7">
        <f>D129-D128</f>
        <v/>
      </c>
      <c r="O129" s="7">
        <f>LN(E129/E128)</f>
        <v/>
      </c>
      <c r="P129" s="7">
        <f>LN(F129/F128)</f>
        <v/>
      </c>
      <c r="Q129" s="7">
        <f>G129-G128</f>
        <v/>
      </c>
      <c r="R129" s="7">
        <f>H129-H128</f>
        <v/>
      </c>
      <c r="S129" s="7">
        <f>LN(I129/I128)</f>
        <v/>
      </c>
      <c r="T129" s="7">
        <f>LN(J129/J128)</f>
        <v/>
      </c>
      <c r="U129" s="7">
        <f>$W$12+$W$4*M129+$W$5*N129+$W$6*O129+$W$7*P129+$W$8*Q129+$W$9*R129+$W$10*S129+$W$11*T129</f>
        <v/>
      </c>
      <c r="AA129" s="8">
        <f>INDEX(LINEST(L70:L129,M70:T129,TRUE,TRUE),1,9)*12</f>
        <v/>
      </c>
      <c r="AB129" s="7">
        <f>INDEX(LINEST(L70:L129,M70:T129,TRUE,TRUE),1,8)</f>
        <v/>
      </c>
      <c r="AC129" s="7">
        <f>INDEX(LINEST(L70:L129,M70:T129,TRUE,TRUE),1,7)</f>
        <v/>
      </c>
      <c r="AD129" s="7">
        <f>INDEX(LINEST(L70:L129,M70:T129,TRUE,TRUE),1,6)</f>
        <v/>
      </c>
      <c r="AE129" s="7">
        <f>INDEX(LINEST(L70:L129,M70:T129,TRUE,TRUE),1,5)</f>
        <v/>
      </c>
      <c r="AF129" s="7">
        <f>INDEX(LINEST(L70:L129,M70:T129,TRUE,TRUE),1,4)</f>
        <v/>
      </c>
      <c r="AG129" s="7">
        <f>INDEX(LINEST(L70:L129,M70:T129,TRUE,TRUE),1,3)</f>
        <v/>
      </c>
      <c r="AH129" s="7">
        <f>INDEX(LINEST(L70:L129,M70:T129,TRUE,TRUE),1,2)</f>
        <v/>
      </c>
      <c r="AI129" s="7">
        <f>INDEX(LINEST(L70:L129,M70:T129,TRUE,TRUE),1,1)</f>
        <v/>
      </c>
      <c r="AJ129" s="8">
        <f>INDEX(LINEST(L70:L129,M70:T129,TRUE,TRUE),3,1)</f>
        <v/>
      </c>
    </row>
    <row r="130">
      <c r="A130" s="5" t="n">
        <v>41517</v>
      </c>
      <c r="B130" s="6" t="n">
        <v>1394.75</v>
      </c>
      <c r="C130" s="6" t="n">
        <v>2.1</v>
      </c>
      <c r="D130" s="6" t="n">
        <v>0.68</v>
      </c>
      <c r="E130" s="6" t="n">
        <v>82.089996</v>
      </c>
      <c r="F130" s="6" t="n">
        <v>107.98</v>
      </c>
      <c r="G130" s="6" t="n">
        <v>17.01</v>
      </c>
      <c r="H130" s="6" t="n">
        <v>103.5</v>
      </c>
      <c r="I130" s="6" t="n">
        <v>1632.969971</v>
      </c>
      <c r="J130" s="6" t="n">
        <v>75.00438699999999</v>
      </c>
      <c r="L130" s="7">
        <f>LN(B130/B129)</f>
        <v/>
      </c>
      <c r="M130" s="7">
        <f>C130-C129</f>
        <v/>
      </c>
      <c r="N130" s="7">
        <f>D130-D129</f>
        <v/>
      </c>
      <c r="O130" s="7">
        <f>LN(E130/E129)</f>
        <v/>
      </c>
      <c r="P130" s="7">
        <f>LN(F130/F129)</f>
        <v/>
      </c>
      <c r="Q130" s="7">
        <f>G130-G129</f>
        <v/>
      </c>
      <c r="R130" s="7">
        <f>H130-H129</f>
        <v/>
      </c>
      <c r="S130" s="7">
        <f>LN(I130/I129)</f>
        <v/>
      </c>
      <c r="T130" s="7">
        <f>LN(J130/J129)</f>
        <v/>
      </c>
      <c r="U130" s="7">
        <f>$W$12+$W$4*M130+$W$5*N130+$W$6*O130+$W$7*P130+$W$8*Q130+$W$9*R130+$W$10*S130+$W$11*T130</f>
        <v/>
      </c>
      <c r="AA130" s="8">
        <f>INDEX(LINEST(L71:L130,M71:T130,TRUE,TRUE),1,9)*12</f>
        <v/>
      </c>
      <c r="AB130" s="7">
        <f>INDEX(LINEST(L71:L130,M71:T130,TRUE,TRUE),1,8)</f>
        <v/>
      </c>
      <c r="AC130" s="7">
        <f>INDEX(LINEST(L71:L130,M71:T130,TRUE,TRUE),1,7)</f>
        <v/>
      </c>
      <c r="AD130" s="7">
        <f>INDEX(LINEST(L71:L130,M71:T130,TRUE,TRUE),1,6)</f>
        <v/>
      </c>
      <c r="AE130" s="7">
        <f>INDEX(LINEST(L71:L130,M71:T130,TRUE,TRUE),1,5)</f>
        <v/>
      </c>
      <c r="AF130" s="7">
        <f>INDEX(LINEST(L71:L130,M71:T130,TRUE,TRUE),1,4)</f>
        <v/>
      </c>
      <c r="AG130" s="7">
        <f>INDEX(LINEST(L71:L130,M71:T130,TRUE,TRUE),1,3)</f>
        <v/>
      </c>
      <c r="AH130" s="7">
        <f>INDEX(LINEST(L71:L130,M71:T130,TRUE,TRUE),1,2)</f>
        <v/>
      </c>
      <c r="AI130" s="7">
        <f>INDEX(LINEST(L71:L130,M71:T130,TRUE,TRUE),1,1)</f>
        <v/>
      </c>
      <c r="AJ130" s="8">
        <f>INDEX(LINEST(L71:L130,M71:T130,TRUE,TRUE),3,1)</f>
        <v/>
      </c>
    </row>
    <row r="131">
      <c r="A131" s="5" t="n">
        <v>41547</v>
      </c>
      <c r="B131" s="6" t="n">
        <v>1326.5</v>
      </c>
      <c r="C131" s="6" t="n">
        <v>2.19</v>
      </c>
      <c r="D131" s="6" t="n">
        <v>0.45</v>
      </c>
      <c r="E131" s="6" t="n">
        <v>80.220001</v>
      </c>
      <c r="F131" s="6" t="n">
        <v>102.36</v>
      </c>
      <c r="G131" s="6" t="n">
        <v>16.6</v>
      </c>
      <c r="H131" s="6" t="n">
        <v>80.199997</v>
      </c>
      <c r="I131" s="6" t="n">
        <v>1681.550049</v>
      </c>
      <c r="J131" s="6" t="n">
        <v>75.844917</v>
      </c>
      <c r="L131" s="7">
        <f>LN(B131/B130)</f>
        <v/>
      </c>
      <c r="M131" s="7">
        <f>C131-C130</f>
        <v/>
      </c>
      <c r="N131" s="7">
        <f>D131-D130</f>
        <v/>
      </c>
      <c r="O131" s="7">
        <f>LN(E131/E130)</f>
        <v/>
      </c>
      <c r="P131" s="7">
        <f>LN(F131/F130)</f>
        <v/>
      </c>
      <c r="Q131" s="7">
        <f>G131-G130</f>
        <v/>
      </c>
      <c r="R131" s="7">
        <f>H131-H130</f>
        <v/>
      </c>
      <c r="S131" s="7">
        <f>LN(I131/I130)</f>
        <v/>
      </c>
      <c r="T131" s="7">
        <f>LN(J131/J130)</f>
        <v/>
      </c>
      <c r="U131" s="7">
        <f>$W$12+$W$4*M131+$W$5*N131+$W$6*O131+$W$7*P131+$W$8*Q131+$W$9*R131+$W$10*S131+$W$11*T131</f>
        <v/>
      </c>
      <c r="AA131" s="8">
        <f>INDEX(LINEST(L72:L131,M72:T131,TRUE,TRUE),1,9)*12</f>
        <v/>
      </c>
      <c r="AB131" s="7">
        <f>INDEX(LINEST(L72:L131,M72:T131,TRUE,TRUE),1,8)</f>
        <v/>
      </c>
      <c r="AC131" s="7">
        <f>INDEX(LINEST(L72:L131,M72:T131,TRUE,TRUE),1,7)</f>
        <v/>
      </c>
      <c r="AD131" s="7">
        <f>INDEX(LINEST(L72:L131,M72:T131,TRUE,TRUE),1,6)</f>
        <v/>
      </c>
      <c r="AE131" s="7">
        <f>INDEX(LINEST(L72:L131,M72:T131,TRUE,TRUE),1,5)</f>
        <v/>
      </c>
      <c r="AF131" s="7">
        <f>INDEX(LINEST(L72:L131,M72:T131,TRUE,TRUE),1,4)</f>
        <v/>
      </c>
      <c r="AG131" s="7">
        <f>INDEX(LINEST(L72:L131,M72:T131,TRUE,TRUE),1,3)</f>
        <v/>
      </c>
      <c r="AH131" s="7">
        <f>INDEX(LINEST(L72:L131,M72:T131,TRUE,TRUE),1,2)</f>
        <v/>
      </c>
      <c r="AI131" s="7">
        <f>INDEX(LINEST(L72:L131,M72:T131,TRUE,TRUE),1,1)</f>
        <v/>
      </c>
      <c r="AJ131" s="8">
        <f>INDEX(LINEST(L72:L131,M72:T131,TRUE,TRUE),3,1)</f>
        <v/>
      </c>
    </row>
    <row r="132">
      <c r="A132" s="5" t="n">
        <v>41578</v>
      </c>
      <c r="B132" s="6" t="n">
        <v>1324</v>
      </c>
      <c r="C132" s="6" t="n">
        <v>2.17</v>
      </c>
      <c r="D132" s="6" t="n">
        <v>0.4</v>
      </c>
      <c r="E132" s="6" t="n">
        <v>80.199997</v>
      </c>
      <c r="F132" s="6" t="n">
        <v>96.29000000000001</v>
      </c>
      <c r="G132" s="6" t="n">
        <v>13.75</v>
      </c>
      <c r="H132" s="6" t="n">
        <v>61.700001</v>
      </c>
      <c r="I132" s="6" t="n">
        <v>1756.540039</v>
      </c>
      <c r="J132" s="6" t="n">
        <v>76.476479</v>
      </c>
      <c r="L132" s="7">
        <f>LN(B132/B131)</f>
        <v/>
      </c>
      <c r="M132" s="7">
        <f>C132-C131</f>
        <v/>
      </c>
      <c r="N132" s="7">
        <f>D132-D131</f>
        <v/>
      </c>
      <c r="O132" s="7">
        <f>LN(E132/E131)</f>
        <v/>
      </c>
      <c r="P132" s="7">
        <f>LN(F132/F131)</f>
        <v/>
      </c>
      <c r="Q132" s="7">
        <f>G132-G131</f>
        <v/>
      </c>
      <c r="R132" s="7">
        <f>H132-H131</f>
        <v/>
      </c>
      <c r="S132" s="7">
        <f>LN(I132/I131)</f>
        <v/>
      </c>
      <c r="T132" s="7">
        <f>LN(J132/J131)</f>
        <v/>
      </c>
      <c r="U132" s="7">
        <f>$W$12+$W$4*M132+$W$5*N132+$W$6*O132+$W$7*P132+$W$8*Q132+$W$9*R132+$W$10*S132+$W$11*T132</f>
        <v/>
      </c>
      <c r="AA132" s="8">
        <f>INDEX(LINEST(L73:L132,M73:T132,TRUE,TRUE),1,9)*12</f>
        <v/>
      </c>
      <c r="AB132" s="7">
        <f>INDEX(LINEST(L73:L132,M73:T132,TRUE,TRUE),1,8)</f>
        <v/>
      </c>
      <c r="AC132" s="7">
        <f>INDEX(LINEST(L73:L132,M73:T132,TRUE,TRUE),1,7)</f>
        <v/>
      </c>
      <c r="AD132" s="7">
        <f>INDEX(LINEST(L73:L132,M73:T132,TRUE,TRUE),1,6)</f>
        <v/>
      </c>
      <c r="AE132" s="7">
        <f>INDEX(LINEST(L73:L132,M73:T132,TRUE,TRUE),1,5)</f>
        <v/>
      </c>
      <c r="AF132" s="7">
        <f>INDEX(LINEST(L73:L132,M73:T132,TRUE,TRUE),1,4)</f>
        <v/>
      </c>
      <c r="AG132" s="7">
        <f>INDEX(LINEST(L73:L132,M73:T132,TRUE,TRUE),1,3)</f>
        <v/>
      </c>
      <c r="AH132" s="7">
        <f>INDEX(LINEST(L73:L132,M73:T132,TRUE,TRUE),1,2)</f>
        <v/>
      </c>
      <c r="AI132" s="7">
        <f>INDEX(LINEST(L73:L132,M73:T132,TRUE,TRUE),1,1)</f>
        <v/>
      </c>
      <c r="AJ132" s="8">
        <f>INDEX(LINEST(L73:L132,M73:T132,TRUE,TRUE),3,1)</f>
        <v/>
      </c>
    </row>
    <row r="133">
      <c r="A133" s="5" t="n">
        <v>41608</v>
      </c>
      <c r="B133" s="6" t="n">
        <v>1253</v>
      </c>
      <c r="C133" s="6" t="n">
        <v>2.15</v>
      </c>
      <c r="D133" s="6" t="n">
        <v>0.6</v>
      </c>
      <c r="E133" s="6" t="n">
        <v>80.68000000000001</v>
      </c>
      <c r="F133" s="6" t="n">
        <v>92.55</v>
      </c>
      <c r="G133" s="6" t="n">
        <v>13.7</v>
      </c>
      <c r="H133" s="6" t="n">
        <v>68</v>
      </c>
      <c r="I133" s="6" t="n">
        <v>1805.810059</v>
      </c>
      <c r="J133" s="6" t="n">
        <v>76.284752</v>
      </c>
      <c r="L133" s="7">
        <f>LN(B133/B132)</f>
        <v/>
      </c>
      <c r="M133" s="7">
        <f>C133-C132</f>
        <v/>
      </c>
      <c r="N133" s="7">
        <f>D133-D132</f>
        <v/>
      </c>
      <c r="O133" s="7">
        <f>LN(E133/E132)</f>
        <v/>
      </c>
      <c r="P133" s="7">
        <f>LN(F133/F132)</f>
        <v/>
      </c>
      <c r="Q133" s="7">
        <f>G133-G132</f>
        <v/>
      </c>
      <c r="R133" s="7">
        <f>H133-H132</f>
        <v/>
      </c>
      <c r="S133" s="7">
        <f>LN(I133/I132)</f>
        <v/>
      </c>
      <c r="T133" s="7">
        <f>LN(J133/J132)</f>
        <v/>
      </c>
      <c r="U133" s="7">
        <f>$W$12+$W$4*M133+$W$5*N133+$W$6*O133+$W$7*P133+$W$8*Q133+$W$9*R133+$W$10*S133+$W$11*T133</f>
        <v/>
      </c>
      <c r="AA133" s="8">
        <f>INDEX(LINEST(L74:L133,M74:T133,TRUE,TRUE),1,9)*12</f>
        <v/>
      </c>
      <c r="AB133" s="7">
        <f>INDEX(LINEST(L74:L133,M74:T133,TRUE,TRUE),1,8)</f>
        <v/>
      </c>
      <c r="AC133" s="7">
        <f>INDEX(LINEST(L74:L133,M74:T133,TRUE,TRUE),1,7)</f>
        <v/>
      </c>
      <c r="AD133" s="7">
        <f>INDEX(LINEST(L74:L133,M74:T133,TRUE,TRUE),1,6)</f>
        <v/>
      </c>
      <c r="AE133" s="7">
        <f>INDEX(LINEST(L74:L133,M74:T133,TRUE,TRUE),1,5)</f>
        <v/>
      </c>
      <c r="AF133" s="7">
        <f>INDEX(LINEST(L74:L133,M74:T133,TRUE,TRUE),1,4)</f>
        <v/>
      </c>
      <c r="AG133" s="7">
        <f>INDEX(LINEST(L74:L133,M74:T133,TRUE,TRUE),1,3)</f>
        <v/>
      </c>
      <c r="AH133" s="7">
        <f>INDEX(LINEST(L74:L133,M74:T133,TRUE,TRUE),1,2)</f>
        <v/>
      </c>
      <c r="AI133" s="7">
        <f>INDEX(LINEST(L74:L133,M74:T133,TRUE,TRUE),1,1)</f>
        <v/>
      </c>
      <c r="AJ133" s="8">
        <f>INDEX(LINEST(L74:L133,M74:T133,TRUE,TRUE),3,1)</f>
        <v/>
      </c>
    </row>
    <row r="134">
      <c r="A134" s="5" t="n">
        <v>41639</v>
      </c>
      <c r="B134" s="6" t="n">
        <v>1204.5</v>
      </c>
      <c r="C134" s="6" t="n">
        <v>2.24</v>
      </c>
      <c r="D134" s="6" t="n">
        <v>0.8</v>
      </c>
      <c r="E134" s="6" t="n">
        <v>80.040001</v>
      </c>
      <c r="F134" s="6" t="n">
        <v>98.17</v>
      </c>
      <c r="G134" s="6" t="n">
        <v>13.72</v>
      </c>
      <c r="H134" s="6" t="n">
        <v>73.5</v>
      </c>
      <c r="I134" s="6" t="n">
        <v>1848.359985</v>
      </c>
      <c r="J134" s="6" t="n">
        <v>75.860016</v>
      </c>
      <c r="L134" s="7">
        <f>LN(B134/B133)</f>
        <v/>
      </c>
      <c r="M134" s="7">
        <f>C134-C133</f>
        <v/>
      </c>
      <c r="N134" s="7">
        <f>D134-D133</f>
        <v/>
      </c>
      <c r="O134" s="7">
        <f>LN(E134/E133)</f>
        <v/>
      </c>
      <c r="P134" s="7">
        <f>LN(F134/F133)</f>
        <v/>
      </c>
      <c r="Q134" s="7">
        <f>G134-G133</f>
        <v/>
      </c>
      <c r="R134" s="7">
        <f>H134-H133</f>
        <v/>
      </c>
      <c r="S134" s="7">
        <f>LN(I134/I133)</f>
        <v/>
      </c>
      <c r="T134" s="7">
        <f>LN(J134/J133)</f>
        <v/>
      </c>
      <c r="U134" s="7">
        <f>$W$12+$W$4*M134+$W$5*N134+$W$6*O134+$W$7*P134+$W$8*Q134+$W$9*R134+$W$10*S134+$W$11*T134</f>
        <v/>
      </c>
      <c r="AA134" s="8">
        <f>INDEX(LINEST(L75:L134,M75:T134,TRUE,TRUE),1,9)*12</f>
        <v/>
      </c>
      <c r="AB134" s="7">
        <f>INDEX(LINEST(L75:L134,M75:T134,TRUE,TRUE),1,8)</f>
        <v/>
      </c>
      <c r="AC134" s="7">
        <f>INDEX(LINEST(L75:L134,M75:T134,TRUE,TRUE),1,7)</f>
        <v/>
      </c>
      <c r="AD134" s="7">
        <f>INDEX(LINEST(L75:L134,M75:T134,TRUE,TRUE),1,6)</f>
        <v/>
      </c>
      <c r="AE134" s="7">
        <f>INDEX(LINEST(L75:L134,M75:T134,TRUE,TRUE),1,5)</f>
        <v/>
      </c>
      <c r="AF134" s="7">
        <f>INDEX(LINEST(L75:L134,M75:T134,TRUE,TRUE),1,4)</f>
        <v/>
      </c>
      <c r="AG134" s="7">
        <f>INDEX(LINEST(L75:L134,M75:T134,TRUE,TRUE),1,3)</f>
        <v/>
      </c>
      <c r="AH134" s="7">
        <f>INDEX(LINEST(L75:L134,M75:T134,TRUE,TRUE),1,2)</f>
        <v/>
      </c>
      <c r="AI134" s="7">
        <f>INDEX(LINEST(L75:L134,M75:T134,TRUE,TRUE),1,1)</f>
        <v/>
      </c>
      <c r="AJ134" s="8">
        <f>INDEX(LINEST(L75:L134,M75:T134,TRUE,TRUE),3,1)</f>
        <v/>
      </c>
    </row>
    <row r="135">
      <c r="A135" s="5" t="n">
        <v>41670</v>
      </c>
      <c r="B135" s="6" t="n">
        <v>1251</v>
      </c>
      <c r="C135" s="6" t="n">
        <v>2.14</v>
      </c>
      <c r="D135" s="6" t="n">
        <v>0.53</v>
      </c>
      <c r="E135" s="6" t="n">
        <v>81.269997</v>
      </c>
      <c r="F135" s="6" t="n">
        <v>97.55</v>
      </c>
      <c r="G135" s="6" t="n">
        <v>18.41</v>
      </c>
      <c r="H135" s="6" t="n">
        <v>64.699997</v>
      </c>
      <c r="I135" s="6" t="n">
        <v>1782.589966</v>
      </c>
      <c r="J135" s="6" t="n">
        <v>77.02898399999999</v>
      </c>
      <c r="L135" s="7">
        <f>LN(B135/B134)</f>
        <v/>
      </c>
      <c r="M135" s="7">
        <f>C135-C134</f>
        <v/>
      </c>
      <c r="N135" s="7">
        <f>D135-D134</f>
        <v/>
      </c>
      <c r="O135" s="7">
        <f>LN(E135/E134)</f>
        <v/>
      </c>
      <c r="P135" s="7">
        <f>LN(F135/F134)</f>
        <v/>
      </c>
      <c r="Q135" s="7">
        <f>G135-G134</f>
        <v/>
      </c>
      <c r="R135" s="7">
        <f>H135-H134</f>
        <v/>
      </c>
      <c r="S135" s="7">
        <f>LN(I135/I134)</f>
        <v/>
      </c>
      <c r="T135" s="7">
        <f>LN(J135/J134)</f>
        <v/>
      </c>
      <c r="U135" s="7">
        <f>$W$12+$W$4*M135+$W$5*N135+$W$6*O135+$W$7*P135+$W$8*Q135+$W$9*R135+$W$10*S135+$W$11*T135</f>
        <v/>
      </c>
      <c r="AA135" s="8">
        <f>INDEX(LINEST(L76:L135,M76:T135,TRUE,TRUE),1,9)*12</f>
        <v/>
      </c>
      <c r="AB135" s="7">
        <f>INDEX(LINEST(L76:L135,M76:T135,TRUE,TRUE),1,8)</f>
        <v/>
      </c>
      <c r="AC135" s="7">
        <f>INDEX(LINEST(L76:L135,M76:T135,TRUE,TRUE),1,7)</f>
        <v/>
      </c>
      <c r="AD135" s="7">
        <f>INDEX(LINEST(L76:L135,M76:T135,TRUE,TRUE),1,6)</f>
        <v/>
      </c>
      <c r="AE135" s="7">
        <f>INDEX(LINEST(L76:L135,M76:T135,TRUE,TRUE),1,5)</f>
        <v/>
      </c>
      <c r="AF135" s="7">
        <f>INDEX(LINEST(L76:L135,M76:T135,TRUE,TRUE),1,4)</f>
        <v/>
      </c>
      <c r="AG135" s="7">
        <f>INDEX(LINEST(L76:L135,M76:T135,TRUE,TRUE),1,3)</f>
        <v/>
      </c>
      <c r="AH135" s="7">
        <f>INDEX(LINEST(L76:L135,M76:T135,TRUE,TRUE),1,2)</f>
        <v/>
      </c>
      <c r="AI135" s="7">
        <f>INDEX(LINEST(L76:L135,M76:T135,TRUE,TRUE),1,1)</f>
        <v/>
      </c>
      <c r="AJ135" s="8">
        <f>INDEX(LINEST(L76:L135,M76:T135,TRUE,TRUE),3,1)</f>
        <v/>
      </c>
    </row>
    <row r="136">
      <c r="A136" s="5" t="n">
        <v>41698</v>
      </c>
      <c r="B136" s="6" t="n">
        <v>1326.5</v>
      </c>
      <c r="C136" s="6" t="n">
        <v>2.17</v>
      </c>
      <c r="D136" s="6" t="n">
        <v>0.49</v>
      </c>
      <c r="E136" s="6" t="n">
        <v>79.779999</v>
      </c>
      <c r="F136" s="6" t="n">
        <v>102.88</v>
      </c>
      <c r="G136" s="6" t="n">
        <v>14</v>
      </c>
      <c r="H136" s="6" t="n">
        <v>57.700001</v>
      </c>
      <c r="I136" s="6" t="n">
        <v>1859.449951</v>
      </c>
      <c r="J136" s="6" t="n">
        <v>77.318909</v>
      </c>
      <c r="L136" s="7">
        <f>LN(B136/B135)</f>
        <v/>
      </c>
      <c r="M136" s="7">
        <f>C136-C135</f>
        <v/>
      </c>
      <c r="N136" s="7">
        <f>D136-D135</f>
        <v/>
      </c>
      <c r="O136" s="7">
        <f>LN(E136/E135)</f>
        <v/>
      </c>
      <c r="P136" s="7">
        <f>LN(F136/F135)</f>
        <v/>
      </c>
      <c r="Q136" s="7">
        <f>G136-G135</f>
        <v/>
      </c>
      <c r="R136" s="7">
        <f>H136-H135</f>
        <v/>
      </c>
      <c r="S136" s="7">
        <f>LN(I136/I135)</f>
        <v/>
      </c>
      <c r="T136" s="7">
        <f>LN(J136/J135)</f>
        <v/>
      </c>
      <c r="U136" s="7">
        <f>$W$12+$W$4*M136+$W$5*N136+$W$6*O136+$W$7*P136+$W$8*Q136+$W$9*R136+$W$10*S136+$W$11*T136</f>
        <v/>
      </c>
      <c r="AA136" s="8">
        <f>INDEX(LINEST(L77:L136,M77:T136,TRUE,TRUE),1,9)*12</f>
        <v/>
      </c>
      <c r="AB136" s="7">
        <f>INDEX(LINEST(L77:L136,M77:T136,TRUE,TRUE),1,8)</f>
        <v/>
      </c>
      <c r="AC136" s="7">
        <f>INDEX(LINEST(L77:L136,M77:T136,TRUE,TRUE),1,7)</f>
        <v/>
      </c>
      <c r="AD136" s="7">
        <f>INDEX(LINEST(L77:L136,M77:T136,TRUE,TRUE),1,6)</f>
        <v/>
      </c>
      <c r="AE136" s="7">
        <f>INDEX(LINEST(L77:L136,M77:T136,TRUE,TRUE),1,5)</f>
        <v/>
      </c>
      <c r="AF136" s="7">
        <f>INDEX(LINEST(L77:L136,M77:T136,TRUE,TRUE),1,4)</f>
        <v/>
      </c>
      <c r="AG136" s="7">
        <f>INDEX(LINEST(L77:L136,M77:T136,TRUE,TRUE),1,3)</f>
        <v/>
      </c>
      <c r="AH136" s="7">
        <f>INDEX(LINEST(L77:L136,M77:T136,TRUE,TRUE),1,2)</f>
        <v/>
      </c>
      <c r="AI136" s="7">
        <f>INDEX(LINEST(L77:L136,M77:T136,TRUE,TRUE),1,1)</f>
        <v/>
      </c>
      <c r="AJ136" s="8">
        <f>INDEX(LINEST(L77:L136,M77:T136,TRUE,TRUE),3,1)</f>
        <v/>
      </c>
    </row>
    <row r="137">
      <c r="A137" s="5" t="n">
        <v>41729</v>
      </c>
      <c r="B137" s="6" t="n">
        <v>1291.75</v>
      </c>
      <c r="C137" s="6" t="n">
        <v>2.13</v>
      </c>
      <c r="D137" s="6" t="n">
        <v>0.6</v>
      </c>
      <c r="E137" s="6" t="n">
        <v>80.099998</v>
      </c>
      <c r="F137" s="6" t="n">
        <v>101.57</v>
      </c>
      <c r="G137" s="6" t="n">
        <v>13.88</v>
      </c>
      <c r="H137" s="6" t="n">
        <v>61.799999</v>
      </c>
      <c r="I137" s="6" t="n">
        <v>1872.339966</v>
      </c>
      <c r="J137" s="6" t="n">
        <v>77.20442199999999</v>
      </c>
      <c r="L137" s="7">
        <f>LN(B137/B136)</f>
        <v/>
      </c>
      <c r="M137" s="7">
        <f>C137-C136</f>
        <v/>
      </c>
      <c r="N137" s="7">
        <f>D137-D136</f>
        <v/>
      </c>
      <c r="O137" s="7">
        <f>LN(E137/E136)</f>
        <v/>
      </c>
      <c r="P137" s="7">
        <f>LN(F137/F136)</f>
        <v/>
      </c>
      <c r="Q137" s="7">
        <f>G137-G136</f>
        <v/>
      </c>
      <c r="R137" s="7">
        <f>H137-H136</f>
        <v/>
      </c>
      <c r="S137" s="7">
        <f>LN(I137/I136)</f>
        <v/>
      </c>
      <c r="T137" s="7">
        <f>LN(J137/J136)</f>
        <v/>
      </c>
      <c r="U137" s="7">
        <f>$W$12+$W$4*M137+$W$5*N137+$W$6*O137+$W$7*P137+$W$8*Q137+$W$9*R137+$W$10*S137+$W$11*T137</f>
        <v/>
      </c>
      <c r="AA137" s="8">
        <f>INDEX(LINEST(L78:L137,M78:T137,TRUE,TRUE),1,9)*12</f>
        <v/>
      </c>
      <c r="AB137" s="7">
        <f>INDEX(LINEST(L78:L137,M78:T137,TRUE,TRUE),1,8)</f>
        <v/>
      </c>
      <c r="AC137" s="7">
        <f>INDEX(LINEST(L78:L137,M78:T137,TRUE,TRUE),1,7)</f>
        <v/>
      </c>
      <c r="AD137" s="7">
        <f>INDEX(LINEST(L78:L137,M78:T137,TRUE,TRUE),1,6)</f>
        <v/>
      </c>
      <c r="AE137" s="7">
        <f>INDEX(LINEST(L78:L137,M78:T137,TRUE,TRUE),1,5)</f>
        <v/>
      </c>
      <c r="AF137" s="7">
        <f>INDEX(LINEST(L78:L137,M78:T137,TRUE,TRUE),1,4)</f>
        <v/>
      </c>
      <c r="AG137" s="7">
        <f>INDEX(LINEST(L78:L137,M78:T137,TRUE,TRUE),1,3)</f>
        <v/>
      </c>
      <c r="AH137" s="7">
        <f>INDEX(LINEST(L78:L137,M78:T137,TRUE,TRUE),1,2)</f>
        <v/>
      </c>
      <c r="AI137" s="7">
        <f>INDEX(LINEST(L78:L137,M78:T137,TRUE,TRUE),1,1)</f>
        <v/>
      </c>
      <c r="AJ137" s="8">
        <f>INDEX(LINEST(L78:L137,M78:T137,TRUE,TRUE),3,1)</f>
        <v/>
      </c>
    </row>
    <row r="138">
      <c r="A138" s="5" t="n">
        <v>41759</v>
      </c>
      <c r="B138" s="6" t="n">
        <v>1288.5</v>
      </c>
      <c r="C138" s="6" t="n">
        <v>2.18</v>
      </c>
      <c r="D138" s="6" t="n">
        <v>0.49</v>
      </c>
      <c r="E138" s="6" t="n">
        <v>79.489998</v>
      </c>
      <c r="F138" s="6" t="n">
        <v>100.07</v>
      </c>
      <c r="G138" s="6" t="n">
        <v>13.41</v>
      </c>
      <c r="H138" s="6" t="n">
        <v>58.900002</v>
      </c>
      <c r="I138" s="6" t="n">
        <v>1883.949951</v>
      </c>
      <c r="J138" s="6" t="n">
        <v>77.838814</v>
      </c>
      <c r="L138" s="7">
        <f>LN(B138/B137)</f>
        <v/>
      </c>
      <c r="M138" s="7">
        <f>C138-C137</f>
        <v/>
      </c>
      <c r="N138" s="7">
        <f>D138-D137</f>
        <v/>
      </c>
      <c r="O138" s="7">
        <f>LN(E138/E137)</f>
        <v/>
      </c>
      <c r="P138" s="7">
        <f>LN(F138/F137)</f>
        <v/>
      </c>
      <c r="Q138" s="7">
        <f>G138-G137</f>
        <v/>
      </c>
      <c r="R138" s="7">
        <f>H138-H137</f>
        <v/>
      </c>
      <c r="S138" s="7">
        <f>LN(I138/I137)</f>
        <v/>
      </c>
      <c r="T138" s="7">
        <f>LN(J138/J137)</f>
        <v/>
      </c>
      <c r="U138" s="7">
        <f>$W$12+$W$4*M138+$W$5*N138+$W$6*O138+$W$7*P138+$W$8*Q138+$W$9*R138+$W$10*S138+$W$11*T138</f>
        <v/>
      </c>
      <c r="AA138" s="8">
        <f>INDEX(LINEST(L79:L138,M79:T138,TRUE,TRUE),1,9)*12</f>
        <v/>
      </c>
      <c r="AB138" s="7">
        <f>INDEX(LINEST(L79:L138,M79:T138,TRUE,TRUE),1,8)</f>
        <v/>
      </c>
      <c r="AC138" s="7">
        <f>INDEX(LINEST(L79:L138,M79:T138,TRUE,TRUE),1,7)</f>
        <v/>
      </c>
      <c r="AD138" s="7">
        <f>INDEX(LINEST(L79:L138,M79:T138,TRUE,TRUE),1,6)</f>
        <v/>
      </c>
      <c r="AE138" s="7">
        <f>INDEX(LINEST(L79:L138,M79:T138,TRUE,TRUE),1,5)</f>
        <v/>
      </c>
      <c r="AF138" s="7">
        <f>INDEX(LINEST(L79:L138,M79:T138,TRUE,TRUE),1,4)</f>
        <v/>
      </c>
      <c r="AG138" s="7">
        <f>INDEX(LINEST(L79:L138,M79:T138,TRUE,TRUE),1,3)</f>
        <v/>
      </c>
      <c r="AH138" s="7">
        <f>INDEX(LINEST(L79:L138,M79:T138,TRUE,TRUE),1,2)</f>
        <v/>
      </c>
      <c r="AI138" s="7">
        <f>INDEX(LINEST(L79:L138,M79:T138,TRUE,TRUE),1,1)</f>
        <v/>
      </c>
      <c r="AJ138" s="8">
        <f>INDEX(LINEST(L79:L138,M79:T138,TRUE,TRUE),3,1)</f>
        <v/>
      </c>
    </row>
    <row r="139">
      <c r="A139" s="5" t="n">
        <v>41790</v>
      </c>
      <c r="B139" s="6" t="n">
        <v>1250.5</v>
      </c>
      <c r="C139" s="6" t="n">
        <v>2.22</v>
      </c>
      <c r="D139" s="6" t="n">
        <v>0.26</v>
      </c>
      <c r="E139" s="6" t="n">
        <v>80.370003</v>
      </c>
      <c r="F139" s="6" t="n">
        <v>103.4</v>
      </c>
      <c r="G139" s="6" t="n">
        <v>11.4</v>
      </c>
      <c r="H139" s="6" t="n">
        <v>58.299999</v>
      </c>
      <c r="I139" s="6" t="n">
        <v>1923.569946</v>
      </c>
      <c r="J139" s="6" t="n">
        <v>78.756569</v>
      </c>
      <c r="L139" s="7">
        <f>LN(B139/B138)</f>
        <v/>
      </c>
      <c r="M139" s="7">
        <f>C139-C138</f>
        <v/>
      </c>
      <c r="N139" s="7">
        <f>D139-D138</f>
        <v/>
      </c>
      <c r="O139" s="7">
        <f>LN(E139/E138)</f>
        <v/>
      </c>
      <c r="P139" s="7">
        <f>LN(F139/F138)</f>
        <v/>
      </c>
      <c r="Q139" s="7">
        <f>G139-G138</f>
        <v/>
      </c>
      <c r="R139" s="7">
        <f>H139-H138</f>
        <v/>
      </c>
      <c r="S139" s="7">
        <f>LN(I139/I138)</f>
        <v/>
      </c>
      <c r="T139" s="7">
        <f>LN(J139/J138)</f>
        <v/>
      </c>
      <c r="U139" s="7">
        <f>$W$12+$W$4*M139+$W$5*N139+$W$6*O139+$W$7*P139+$W$8*Q139+$W$9*R139+$W$10*S139+$W$11*T139</f>
        <v/>
      </c>
      <c r="AA139" s="8">
        <f>INDEX(LINEST(L80:L139,M80:T139,TRUE,TRUE),1,9)*12</f>
        <v/>
      </c>
      <c r="AB139" s="7">
        <f>INDEX(LINEST(L80:L139,M80:T139,TRUE,TRUE),1,8)</f>
        <v/>
      </c>
      <c r="AC139" s="7">
        <f>INDEX(LINEST(L80:L139,M80:T139,TRUE,TRUE),1,7)</f>
        <v/>
      </c>
      <c r="AD139" s="7">
        <f>INDEX(LINEST(L80:L139,M80:T139,TRUE,TRUE),1,6)</f>
        <v/>
      </c>
      <c r="AE139" s="7">
        <f>INDEX(LINEST(L80:L139,M80:T139,TRUE,TRUE),1,5)</f>
        <v/>
      </c>
      <c r="AF139" s="7">
        <f>INDEX(LINEST(L80:L139,M80:T139,TRUE,TRUE),1,4)</f>
        <v/>
      </c>
      <c r="AG139" s="7">
        <f>INDEX(LINEST(L80:L139,M80:T139,TRUE,TRUE),1,3)</f>
        <v/>
      </c>
      <c r="AH139" s="7">
        <f>INDEX(LINEST(L80:L139,M80:T139,TRUE,TRUE),1,2)</f>
        <v/>
      </c>
      <c r="AI139" s="7">
        <f>INDEX(LINEST(L80:L139,M80:T139,TRUE,TRUE),1,1)</f>
        <v/>
      </c>
      <c r="AJ139" s="8">
        <f>INDEX(LINEST(L80:L139,M80:T139,TRUE,TRUE),3,1)</f>
        <v/>
      </c>
    </row>
    <row r="140">
      <c r="A140" s="5" t="n">
        <v>41820</v>
      </c>
      <c r="B140" s="6" t="n">
        <v>1315</v>
      </c>
      <c r="C140" s="6" t="n">
        <v>2.26</v>
      </c>
      <c r="D140" s="6" t="n">
        <v>0.27</v>
      </c>
      <c r="E140" s="6" t="n">
        <v>79.779999</v>
      </c>
      <c r="F140" s="6" t="n">
        <v>106.07</v>
      </c>
      <c r="G140" s="6" t="n">
        <v>11.57</v>
      </c>
      <c r="H140" s="6" t="n">
        <v>52.700001</v>
      </c>
      <c r="I140" s="6" t="n">
        <v>1960.22998</v>
      </c>
      <c r="J140" s="6" t="n">
        <v>78.71122699999999</v>
      </c>
      <c r="L140" s="7">
        <f>LN(B140/B139)</f>
        <v/>
      </c>
      <c r="M140" s="7">
        <f>C140-C139</f>
        <v/>
      </c>
      <c r="N140" s="7">
        <f>D140-D139</f>
        <v/>
      </c>
      <c r="O140" s="7">
        <f>LN(E140/E139)</f>
        <v/>
      </c>
      <c r="P140" s="7">
        <f>LN(F140/F139)</f>
        <v/>
      </c>
      <c r="Q140" s="7">
        <f>G140-G139</f>
        <v/>
      </c>
      <c r="R140" s="7">
        <f>H140-H139</f>
        <v/>
      </c>
      <c r="S140" s="7">
        <f>LN(I140/I139)</f>
        <v/>
      </c>
      <c r="T140" s="7">
        <f>LN(J140/J139)</f>
        <v/>
      </c>
      <c r="U140" s="7">
        <f>$W$12+$W$4*M140+$W$5*N140+$W$6*O140+$W$7*P140+$W$8*Q140+$W$9*R140+$W$10*S140+$W$11*T140</f>
        <v/>
      </c>
      <c r="AA140" s="8">
        <f>INDEX(LINEST(L81:L140,M81:T140,TRUE,TRUE),1,9)*12</f>
        <v/>
      </c>
      <c r="AB140" s="7">
        <f>INDEX(LINEST(L81:L140,M81:T140,TRUE,TRUE),1,8)</f>
        <v/>
      </c>
      <c r="AC140" s="7">
        <f>INDEX(LINEST(L81:L140,M81:T140,TRUE,TRUE),1,7)</f>
        <v/>
      </c>
      <c r="AD140" s="7">
        <f>INDEX(LINEST(L81:L140,M81:T140,TRUE,TRUE),1,6)</f>
        <v/>
      </c>
      <c r="AE140" s="7">
        <f>INDEX(LINEST(L81:L140,M81:T140,TRUE,TRUE),1,5)</f>
        <v/>
      </c>
      <c r="AF140" s="7">
        <f>INDEX(LINEST(L81:L140,M81:T140,TRUE,TRUE),1,4)</f>
        <v/>
      </c>
      <c r="AG140" s="7">
        <f>INDEX(LINEST(L81:L140,M81:T140,TRUE,TRUE),1,3)</f>
        <v/>
      </c>
      <c r="AH140" s="7">
        <f>INDEX(LINEST(L81:L140,M81:T140,TRUE,TRUE),1,2)</f>
        <v/>
      </c>
      <c r="AI140" s="7">
        <f>INDEX(LINEST(L81:L140,M81:T140,TRUE,TRUE),1,1)</f>
        <v/>
      </c>
      <c r="AJ140" s="8">
        <f>INDEX(LINEST(L81:L140,M81:T140,TRUE,TRUE),3,1)</f>
        <v/>
      </c>
    </row>
    <row r="141">
      <c r="A141" s="5" t="n">
        <v>41851</v>
      </c>
      <c r="B141" s="6" t="n">
        <v>1285.25</v>
      </c>
      <c r="C141" s="6" t="n">
        <v>2.29</v>
      </c>
      <c r="D141" s="6" t="n">
        <v>0.29</v>
      </c>
      <c r="E141" s="6" t="n">
        <v>81.459999</v>
      </c>
      <c r="F141" s="6" t="n">
        <v>98.23</v>
      </c>
      <c r="G141" s="6" t="n">
        <v>16.95</v>
      </c>
      <c r="H141" s="6" t="n">
        <v>56.459999</v>
      </c>
      <c r="I141" s="6" t="n">
        <v>1930.670044</v>
      </c>
      <c r="J141" s="6" t="n">
        <v>78.513786</v>
      </c>
      <c r="L141" s="7">
        <f>LN(B141/B140)</f>
        <v/>
      </c>
      <c r="M141" s="7">
        <f>C141-C140</f>
        <v/>
      </c>
      <c r="N141" s="7">
        <f>D141-D140</f>
        <v/>
      </c>
      <c r="O141" s="7">
        <f>LN(E141/E140)</f>
        <v/>
      </c>
      <c r="P141" s="7">
        <f>LN(F141/F140)</f>
        <v/>
      </c>
      <c r="Q141" s="7">
        <f>G141-G140</f>
        <v/>
      </c>
      <c r="R141" s="7">
        <f>H141-H140</f>
        <v/>
      </c>
      <c r="S141" s="7">
        <f>LN(I141/I140)</f>
        <v/>
      </c>
      <c r="T141" s="7">
        <f>LN(J141/J140)</f>
        <v/>
      </c>
      <c r="U141" s="7">
        <f>$W$12+$W$4*M141+$W$5*N141+$W$6*O141+$W$7*P141+$W$8*Q141+$W$9*R141+$W$10*S141+$W$11*T141</f>
        <v/>
      </c>
      <c r="AA141" s="8">
        <f>INDEX(LINEST(L82:L141,M82:T141,TRUE,TRUE),1,9)*12</f>
        <v/>
      </c>
      <c r="AB141" s="7">
        <f>INDEX(LINEST(L82:L141,M82:T141,TRUE,TRUE),1,8)</f>
        <v/>
      </c>
      <c r="AC141" s="7">
        <f>INDEX(LINEST(L82:L141,M82:T141,TRUE,TRUE),1,7)</f>
        <v/>
      </c>
      <c r="AD141" s="7">
        <f>INDEX(LINEST(L82:L141,M82:T141,TRUE,TRUE),1,6)</f>
        <v/>
      </c>
      <c r="AE141" s="7">
        <f>INDEX(LINEST(L82:L141,M82:T141,TRUE,TRUE),1,5)</f>
        <v/>
      </c>
      <c r="AF141" s="7">
        <f>INDEX(LINEST(L82:L141,M82:T141,TRUE,TRUE),1,4)</f>
        <v/>
      </c>
      <c r="AG141" s="7">
        <f>INDEX(LINEST(L82:L141,M82:T141,TRUE,TRUE),1,3)</f>
        <v/>
      </c>
      <c r="AH141" s="7">
        <f>INDEX(LINEST(L82:L141,M82:T141,TRUE,TRUE),1,2)</f>
        <v/>
      </c>
      <c r="AI141" s="7">
        <f>INDEX(LINEST(L82:L141,M82:T141,TRUE,TRUE),1,1)</f>
        <v/>
      </c>
      <c r="AJ141" s="8">
        <f>INDEX(LINEST(L82:L141,M82:T141,TRUE,TRUE),3,1)</f>
        <v/>
      </c>
    </row>
    <row r="142">
      <c r="A142" s="5" t="n">
        <v>41882</v>
      </c>
      <c r="B142" s="6" t="n">
        <v>1285.75</v>
      </c>
      <c r="C142" s="6" t="n">
        <v>2.12</v>
      </c>
      <c r="D142" s="6" t="n">
        <v>0.23</v>
      </c>
      <c r="E142" s="6" t="n">
        <v>82.75</v>
      </c>
      <c r="F142" s="6" t="n">
        <v>97.86</v>
      </c>
      <c r="G142" s="6" t="n">
        <v>11.98</v>
      </c>
      <c r="H142" s="6" t="n">
        <v>60.490002</v>
      </c>
      <c r="I142" s="6" t="n">
        <v>2003.369995</v>
      </c>
      <c r="J142" s="6" t="n">
        <v>79.416359</v>
      </c>
      <c r="L142" s="7">
        <f>LN(B142/B141)</f>
        <v/>
      </c>
      <c r="M142" s="7">
        <f>C142-C141</f>
        <v/>
      </c>
      <c r="N142" s="7">
        <f>D142-D141</f>
        <v/>
      </c>
      <c r="O142" s="7">
        <f>LN(E142/E141)</f>
        <v/>
      </c>
      <c r="P142" s="7">
        <f>LN(F142/F141)</f>
        <v/>
      </c>
      <c r="Q142" s="7">
        <f>G142-G141</f>
        <v/>
      </c>
      <c r="R142" s="7">
        <f>H142-H141</f>
        <v/>
      </c>
      <c r="S142" s="7">
        <f>LN(I142/I141)</f>
        <v/>
      </c>
      <c r="T142" s="7">
        <f>LN(J142/J141)</f>
        <v/>
      </c>
      <c r="U142" s="7">
        <f>$W$12+$W$4*M142+$W$5*N142+$W$6*O142+$W$7*P142+$W$8*Q142+$W$9*R142+$W$10*S142+$W$11*T142</f>
        <v/>
      </c>
      <c r="AA142" s="8">
        <f>INDEX(LINEST(L83:L142,M83:T142,TRUE,TRUE),1,9)*12</f>
        <v/>
      </c>
      <c r="AB142" s="7">
        <f>INDEX(LINEST(L83:L142,M83:T142,TRUE,TRUE),1,8)</f>
        <v/>
      </c>
      <c r="AC142" s="7">
        <f>INDEX(LINEST(L83:L142,M83:T142,TRUE,TRUE),1,7)</f>
        <v/>
      </c>
      <c r="AD142" s="7">
        <f>INDEX(LINEST(L83:L142,M83:T142,TRUE,TRUE),1,6)</f>
        <v/>
      </c>
      <c r="AE142" s="7">
        <f>INDEX(LINEST(L83:L142,M83:T142,TRUE,TRUE),1,5)</f>
        <v/>
      </c>
      <c r="AF142" s="7">
        <f>INDEX(LINEST(L83:L142,M83:T142,TRUE,TRUE),1,4)</f>
        <v/>
      </c>
      <c r="AG142" s="7">
        <f>INDEX(LINEST(L83:L142,M83:T142,TRUE,TRUE),1,3)</f>
        <v/>
      </c>
      <c r="AH142" s="7">
        <f>INDEX(LINEST(L83:L142,M83:T142,TRUE,TRUE),1,2)</f>
        <v/>
      </c>
      <c r="AI142" s="7">
        <f>INDEX(LINEST(L83:L142,M83:T142,TRUE,TRUE),1,1)</f>
        <v/>
      </c>
      <c r="AJ142" s="8">
        <f>INDEX(LINEST(L83:L142,M83:T142,TRUE,TRUE),3,1)</f>
        <v/>
      </c>
    </row>
    <row r="143">
      <c r="A143" s="5" t="n">
        <v>41912</v>
      </c>
      <c r="B143" s="6" t="n">
        <v>1216.5</v>
      </c>
      <c r="C143" s="6" t="n">
        <v>1.97</v>
      </c>
      <c r="D143" s="6" t="n">
        <v>0.55</v>
      </c>
      <c r="E143" s="6" t="n">
        <v>85.94000200000001</v>
      </c>
      <c r="F143" s="6" t="n">
        <v>91.17</v>
      </c>
      <c r="G143" s="6" t="n">
        <v>16.31</v>
      </c>
      <c r="H143" s="6" t="n">
        <v>64.199997</v>
      </c>
      <c r="I143" s="6" t="n">
        <v>1972.290039</v>
      </c>
      <c r="J143" s="6" t="n">
        <v>78.928123</v>
      </c>
      <c r="L143" s="7">
        <f>LN(B143/B142)</f>
        <v/>
      </c>
      <c r="M143" s="7">
        <f>C143-C142</f>
        <v/>
      </c>
      <c r="N143" s="7">
        <f>D143-D142</f>
        <v/>
      </c>
      <c r="O143" s="7">
        <f>LN(E143/E142)</f>
        <v/>
      </c>
      <c r="P143" s="7">
        <f>LN(F143/F142)</f>
        <v/>
      </c>
      <c r="Q143" s="7">
        <f>G143-G142</f>
        <v/>
      </c>
      <c r="R143" s="7">
        <f>H143-H142</f>
        <v/>
      </c>
      <c r="S143" s="7">
        <f>LN(I143/I142)</f>
        <v/>
      </c>
      <c r="T143" s="7">
        <f>LN(J143/J142)</f>
        <v/>
      </c>
      <c r="U143" s="7">
        <f>$W$12+$W$4*M143+$W$5*N143+$W$6*O143+$W$7*P143+$W$8*Q143+$W$9*R143+$W$10*S143+$W$11*T143</f>
        <v/>
      </c>
      <c r="AA143" s="8">
        <f>INDEX(LINEST(L84:L143,M84:T143,TRUE,TRUE),1,9)*12</f>
        <v/>
      </c>
      <c r="AB143" s="7">
        <f>INDEX(LINEST(L84:L143,M84:T143,TRUE,TRUE),1,8)</f>
        <v/>
      </c>
      <c r="AC143" s="7">
        <f>INDEX(LINEST(L84:L143,M84:T143,TRUE,TRUE),1,7)</f>
        <v/>
      </c>
      <c r="AD143" s="7">
        <f>INDEX(LINEST(L84:L143,M84:T143,TRUE,TRUE),1,6)</f>
        <v/>
      </c>
      <c r="AE143" s="7">
        <f>INDEX(LINEST(L84:L143,M84:T143,TRUE,TRUE),1,5)</f>
        <v/>
      </c>
      <c r="AF143" s="7">
        <f>INDEX(LINEST(L84:L143,M84:T143,TRUE,TRUE),1,4)</f>
        <v/>
      </c>
      <c r="AG143" s="7">
        <f>INDEX(LINEST(L84:L143,M84:T143,TRUE,TRUE),1,3)</f>
        <v/>
      </c>
      <c r="AH143" s="7">
        <f>INDEX(LINEST(L84:L143,M84:T143,TRUE,TRUE),1,2)</f>
        <v/>
      </c>
      <c r="AI143" s="7">
        <f>INDEX(LINEST(L84:L143,M84:T143,TRUE,TRUE),1,1)</f>
        <v/>
      </c>
      <c r="AJ143" s="8">
        <f>INDEX(LINEST(L84:L143,M84:T143,TRUE,TRUE),3,1)</f>
        <v/>
      </c>
    </row>
    <row r="144">
      <c r="A144" s="5" t="n">
        <v>41943</v>
      </c>
      <c r="B144" s="6" t="n">
        <v>1164.25</v>
      </c>
      <c r="C144" s="6" t="n">
        <v>1.92</v>
      </c>
      <c r="D144" s="6" t="n">
        <v>0.43</v>
      </c>
      <c r="E144" s="6" t="n">
        <v>86.879997</v>
      </c>
      <c r="F144" s="6" t="n">
        <v>80.53</v>
      </c>
      <c r="G144" s="6" t="n">
        <v>14.03</v>
      </c>
      <c r="H144" s="6" t="n">
        <v>68.699997</v>
      </c>
      <c r="I144" s="6" t="n">
        <v>2018.050049</v>
      </c>
      <c r="J144" s="6" t="n">
        <v>79.76796</v>
      </c>
      <c r="L144" s="7">
        <f>LN(B144/B143)</f>
        <v/>
      </c>
      <c r="M144" s="7">
        <f>C144-C143</f>
        <v/>
      </c>
      <c r="N144" s="7">
        <f>D144-D143</f>
        <v/>
      </c>
      <c r="O144" s="7">
        <f>LN(E144/E143)</f>
        <v/>
      </c>
      <c r="P144" s="7">
        <f>LN(F144/F143)</f>
        <v/>
      </c>
      <c r="Q144" s="7">
        <f>G144-G143</f>
        <v/>
      </c>
      <c r="R144" s="7">
        <f>H144-H143</f>
        <v/>
      </c>
      <c r="S144" s="7">
        <f>LN(I144/I143)</f>
        <v/>
      </c>
      <c r="T144" s="7">
        <f>LN(J144/J143)</f>
        <v/>
      </c>
      <c r="U144" s="7">
        <f>$W$12+$W$4*M144+$W$5*N144+$W$6*O144+$W$7*P144+$W$8*Q144+$W$9*R144+$W$10*S144+$W$11*T144</f>
        <v/>
      </c>
      <c r="AA144" s="8">
        <f>INDEX(LINEST(L85:L144,M85:T144,TRUE,TRUE),1,9)*12</f>
        <v/>
      </c>
      <c r="AB144" s="7">
        <f>INDEX(LINEST(L85:L144,M85:T144,TRUE,TRUE),1,8)</f>
        <v/>
      </c>
      <c r="AC144" s="7">
        <f>INDEX(LINEST(L85:L144,M85:T144,TRUE,TRUE),1,7)</f>
        <v/>
      </c>
      <c r="AD144" s="7">
        <f>INDEX(LINEST(L85:L144,M85:T144,TRUE,TRUE),1,6)</f>
        <v/>
      </c>
      <c r="AE144" s="7">
        <f>INDEX(LINEST(L85:L144,M85:T144,TRUE,TRUE),1,5)</f>
        <v/>
      </c>
      <c r="AF144" s="7">
        <f>INDEX(LINEST(L85:L144,M85:T144,TRUE,TRUE),1,4)</f>
        <v/>
      </c>
      <c r="AG144" s="7">
        <f>INDEX(LINEST(L85:L144,M85:T144,TRUE,TRUE),1,3)</f>
        <v/>
      </c>
      <c r="AH144" s="7">
        <f>INDEX(LINEST(L85:L144,M85:T144,TRUE,TRUE),1,2)</f>
        <v/>
      </c>
      <c r="AI144" s="7">
        <f>INDEX(LINEST(L85:L144,M85:T144,TRUE,TRUE),1,1)</f>
        <v/>
      </c>
      <c r="AJ144" s="8">
        <f>INDEX(LINEST(L85:L144,M85:T144,TRUE,TRUE),3,1)</f>
        <v/>
      </c>
    </row>
    <row r="145">
      <c r="A145" s="5" t="n">
        <v>41973</v>
      </c>
      <c r="B145" s="6" t="n">
        <v>1182.75</v>
      </c>
      <c r="C145" s="6" t="n">
        <v>1.79</v>
      </c>
      <c r="D145" s="6" t="n">
        <v>0.39</v>
      </c>
      <c r="E145" s="6" t="n">
        <v>88.360001</v>
      </c>
      <c r="F145" s="6" t="n">
        <v>65.94</v>
      </c>
      <c r="G145" s="6" t="n">
        <v>13.33</v>
      </c>
      <c r="H145" s="6" t="n">
        <v>66.599998</v>
      </c>
      <c r="I145" s="6" t="n">
        <v>2067.560059</v>
      </c>
      <c r="J145" s="6" t="n">
        <v>80.292023</v>
      </c>
      <c r="L145" s="7">
        <f>LN(B145/B144)</f>
        <v/>
      </c>
      <c r="M145" s="7">
        <f>C145-C144</f>
        <v/>
      </c>
      <c r="N145" s="7">
        <f>D145-D144</f>
        <v/>
      </c>
      <c r="O145" s="7">
        <f>LN(E145/E144)</f>
        <v/>
      </c>
      <c r="P145" s="7">
        <f>LN(F145/F144)</f>
        <v/>
      </c>
      <c r="Q145" s="7">
        <f>G145-G144</f>
        <v/>
      </c>
      <c r="R145" s="7">
        <f>H145-H144</f>
        <v/>
      </c>
      <c r="S145" s="7">
        <f>LN(I145/I144)</f>
        <v/>
      </c>
      <c r="T145" s="7">
        <f>LN(J145/J144)</f>
        <v/>
      </c>
      <c r="U145" s="7">
        <f>$W$12+$W$4*M145+$W$5*N145+$W$6*O145+$W$7*P145+$W$8*Q145+$W$9*R145+$W$10*S145+$W$11*T145</f>
        <v/>
      </c>
      <c r="AA145" s="8">
        <f>INDEX(LINEST(L86:L145,M86:T145,TRUE,TRUE),1,9)*12</f>
        <v/>
      </c>
      <c r="AB145" s="7">
        <f>INDEX(LINEST(L86:L145,M86:T145,TRUE,TRUE),1,8)</f>
        <v/>
      </c>
      <c r="AC145" s="7">
        <f>INDEX(LINEST(L86:L145,M86:T145,TRUE,TRUE),1,7)</f>
        <v/>
      </c>
      <c r="AD145" s="7">
        <f>INDEX(LINEST(L86:L145,M86:T145,TRUE,TRUE),1,6)</f>
        <v/>
      </c>
      <c r="AE145" s="7">
        <f>INDEX(LINEST(L86:L145,M86:T145,TRUE,TRUE),1,5)</f>
        <v/>
      </c>
      <c r="AF145" s="7">
        <f>INDEX(LINEST(L86:L145,M86:T145,TRUE,TRUE),1,4)</f>
        <v/>
      </c>
      <c r="AG145" s="7">
        <f>INDEX(LINEST(L86:L145,M86:T145,TRUE,TRUE),1,3)</f>
        <v/>
      </c>
      <c r="AH145" s="7">
        <f>INDEX(LINEST(L86:L145,M86:T145,TRUE,TRUE),1,2)</f>
        <v/>
      </c>
      <c r="AI145" s="7">
        <f>INDEX(LINEST(L86:L145,M86:T145,TRUE,TRUE),1,1)</f>
        <v/>
      </c>
      <c r="AJ145" s="8">
        <f>INDEX(LINEST(L86:L145,M86:T145,TRUE,TRUE),3,1)</f>
        <v/>
      </c>
    </row>
    <row r="146">
      <c r="A146" s="5" t="n">
        <v>42004</v>
      </c>
      <c r="B146" s="6" t="n">
        <v>1206</v>
      </c>
      <c r="C146" s="6" t="n">
        <v>1.68</v>
      </c>
      <c r="D146" s="6" t="n">
        <v>0.49</v>
      </c>
      <c r="E146" s="6" t="n">
        <v>90.269997</v>
      </c>
      <c r="F146" s="6" t="n">
        <v>53.45</v>
      </c>
      <c r="G146" s="6" t="n">
        <v>19.2</v>
      </c>
      <c r="H146" s="6" t="n">
        <v>68.900002</v>
      </c>
      <c r="I146" s="6" t="n">
        <v>2058.899902</v>
      </c>
      <c r="J146" s="6" t="n">
        <v>80.41057600000001</v>
      </c>
      <c r="L146" s="7">
        <f>LN(B146/B145)</f>
        <v/>
      </c>
      <c r="M146" s="7">
        <f>C146-C145</f>
        <v/>
      </c>
      <c r="N146" s="7">
        <f>D146-D145</f>
        <v/>
      </c>
      <c r="O146" s="7">
        <f>LN(E146/E145)</f>
        <v/>
      </c>
      <c r="P146" s="7">
        <f>LN(F146/F145)</f>
        <v/>
      </c>
      <c r="Q146" s="7">
        <f>G146-G145</f>
        <v/>
      </c>
      <c r="R146" s="7">
        <f>H146-H145</f>
        <v/>
      </c>
      <c r="S146" s="7">
        <f>LN(I146/I145)</f>
        <v/>
      </c>
      <c r="T146" s="7">
        <f>LN(J146/J145)</f>
        <v/>
      </c>
      <c r="U146" s="7">
        <f>$W$12+$W$4*M146+$W$5*N146+$W$6*O146+$W$7*P146+$W$8*Q146+$W$9*R146+$W$10*S146+$W$11*T146</f>
        <v/>
      </c>
      <c r="AA146" s="8">
        <f>INDEX(LINEST(L87:L146,M87:T146,TRUE,TRUE),1,9)*12</f>
        <v/>
      </c>
      <c r="AB146" s="7">
        <f>INDEX(LINEST(L87:L146,M87:T146,TRUE,TRUE),1,8)</f>
        <v/>
      </c>
      <c r="AC146" s="7">
        <f>INDEX(LINEST(L87:L146,M87:T146,TRUE,TRUE),1,7)</f>
        <v/>
      </c>
      <c r="AD146" s="7">
        <f>INDEX(LINEST(L87:L146,M87:T146,TRUE,TRUE),1,6)</f>
        <v/>
      </c>
      <c r="AE146" s="7">
        <f>INDEX(LINEST(L87:L146,M87:T146,TRUE,TRUE),1,5)</f>
        <v/>
      </c>
      <c r="AF146" s="7">
        <f>INDEX(LINEST(L87:L146,M87:T146,TRUE,TRUE),1,4)</f>
        <v/>
      </c>
      <c r="AG146" s="7">
        <f>INDEX(LINEST(L87:L146,M87:T146,TRUE,TRUE),1,3)</f>
        <v/>
      </c>
      <c r="AH146" s="7">
        <f>INDEX(LINEST(L87:L146,M87:T146,TRUE,TRUE),1,2)</f>
        <v/>
      </c>
      <c r="AI146" s="7">
        <f>INDEX(LINEST(L87:L146,M87:T146,TRUE,TRUE),1,1)</f>
        <v/>
      </c>
      <c r="AJ146" s="8">
        <f>INDEX(LINEST(L87:L146,M87:T146,TRUE,TRUE),3,1)</f>
        <v/>
      </c>
    </row>
    <row r="147">
      <c r="A147" s="5" t="n">
        <v>42035</v>
      </c>
      <c r="B147" s="6" t="n">
        <v>1260.25</v>
      </c>
      <c r="C147" s="6" t="n">
        <v>1.65</v>
      </c>
      <c r="D147" s="6" t="n">
        <v>0.03</v>
      </c>
      <c r="E147" s="6" t="n">
        <v>94.800003</v>
      </c>
      <c r="F147" s="6" t="n">
        <v>47.79</v>
      </c>
      <c r="G147" s="6" t="n">
        <v>20.97</v>
      </c>
      <c r="H147" s="6" t="n">
        <v>86.599998</v>
      </c>
      <c r="I147" s="6" t="n">
        <v>1994.98999</v>
      </c>
      <c r="J147" s="6" t="n">
        <v>82.06083700000001</v>
      </c>
      <c r="L147" s="7">
        <f>LN(B147/B146)</f>
        <v/>
      </c>
      <c r="M147" s="7">
        <f>C147-C146</f>
        <v/>
      </c>
      <c r="N147" s="7">
        <f>D147-D146</f>
        <v/>
      </c>
      <c r="O147" s="7">
        <f>LN(E147/E146)</f>
        <v/>
      </c>
      <c r="P147" s="7">
        <f>LN(F147/F146)</f>
        <v/>
      </c>
      <c r="Q147" s="7">
        <f>G147-G146</f>
        <v/>
      </c>
      <c r="R147" s="7">
        <f>H147-H146</f>
        <v/>
      </c>
      <c r="S147" s="7">
        <f>LN(I147/I146)</f>
        <v/>
      </c>
      <c r="T147" s="7">
        <f>LN(J147/J146)</f>
        <v/>
      </c>
      <c r="U147" s="7">
        <f>$W$12+$W$4*M147+$W$5*N147+$W$6*O147+$W$7*P147+$W$8*Q147+$W$9*R147+$W$10*S147+$W$11*T147</f>
        <v/>
      </c>
      <c r="AA147" s="8">
        <f>INDEX(LINEST(L88:L147,M88:T147,TRUE,TRUE),1,9)*12</f>
        <v/>
      </c>
      <c r="AB147" s="7">
        <f>INDEX(LINEST(L88:L147,M88:T147,TRUE,TRUE),1,8)</f>
        <v/>
      </c>
      <c r="AC147" s="7">
        <f>INDEX(LINEST(L88:L147,M88:T147,TRUE,TRUE),1,7)</f>
        <v/>
      </c>
      <c r="AD147" s="7">
        <f>INDEX(LINEST(L88:L147,M88:T147,TRUE,TRUE),1,6)</f>
        <v/>
      </c>
      <c r="AE147" s="7">
        <f>INDEX(LINEST(L88:L147,M88:T147,TRUE,TRUE),1,5)</f>
        <v/>
      </c>
      <c r="AF147" s="7">
        <f>INDEX(LINEST(L88:L147,M88:T147,TRUE,TRUE),1,4)</f>
        <v/>
      </c>
      <c r="AG147" s="7">
        <f>INDEX(LINEST(L88:L147,M88:T147,TRUE,TRUE),1,3)</f>
        <v/>
      </c>
      <c r="AH147" s="7">
        <f>INDEX(LINEST(L88:L147,M88:T147,TRUE,TRUE),1,2)</f>
        <v/>
      </c>
      <c r="AI147" s="7">
        <f>INDEX(LINEST(L88:L147,M88:T147,TRUE,TRUE),1,1)</f>
        <v/>
      </c>
      <c r="AJ147" s="8">
        <f>INDEX(LINEST(L88:L147,M88:T147,TRUE,TRUE),3,1)</f>
        <v/>
      </c>
    </row>
    <row r="148">
      <c r="A148" s="5" t="n">
        <v>42063</v>
      </c>
      <c r="B148" s="6" t="n">
        <v>1214</v>
      </c>
      <c r="C148" s="6" t="n">
        <v>1.83</v>
      </c>
      <c r="D148" s="6" t="n">
        <v>0.17</v>
      </c>
      <c r="E148" s="6" t="n">
        <v>95.25</v>
      </c>
      <c r="F148" s="6" t="n">
        <v>49.84</v>
      </c>
      <c r="G148" s="6" t="n">
        <v>13.34</v>
      </c>
      <c r="H148" s="6" t="n">
        <v>91.400002</v>
      </c>
      <c r="I148" s="6" t="n">
        <v>2104.5</v>
      </c>
      <c r="J148" s="6" t="n">
        <v>81.326561</v>
      </c>
      <c r="L148" s="7">
        <f>LN(B148/B147)</f>
        <v/>
      </c>
      <c r="M148" s="7">
        <f>C148-C147</f>
        <v/>
      </c>
      <c r="N148" s="7">
        <f>D148-D147</f>
        <v/>
      </c>
      <c r="O148" s="7">
        <f>LN(E148/E147)</f>
        <v/>
      </c>
      <c r="P148" s="7">
        <f>LN(F148/F147)</f>
        <v/>
      </c>
      <c r="Q148" s="7">
        <f>G148-G147</f>
        <v/>
      </c>
      <c r="R148" s="7">
        <f>H148-H147</f>
        <v/>
      </c>
      <c r="S148" s="7">
        <f>LN(I148/I147)</f>
        <v/>
      </c>
      <c r="T148" s="7">
        <f>LN(J148/J147)</f>
        <v/>
      </c>
      <c r="U148" s="7">
        <f>$W$12+$W$4*M148+$W$5*N148+$W$6*O148+$W$7*P148+$W$8*Q148+$W$9*R148+$W$10*S148+$W$11*T148</f>
        <v/>
      </c>
      <c r="AA148" s="8">
        <f>INDEX(LINEST(L89:L148,M89:T148,TRUE,TRUE),1,9)*12</f>
        <v/>
      </c>
      <c r="AB148" s="7">
        <f>INDEX(LINEST(L89:L148,M89:T148,TRUE,TRUE),1,8)</f>
        <v/>
      </c>
      <c r="AC148" s="7">
        <f>INDEX(LINEST(L89:L148,M89:T148,TRUE,TRUE),1,7)</f>
        <v/>
      </c>
      <c r="AD148" s="7">
        <f>INDEX(LINEST(L89:L148,M89:T148,TRUE,TRUE),1,6)</f>
        <v/>
      </c>
      <c r="AE148" s="7">
        <f>INDEX(LINEST(L89:L148,M89:T148,TRUE,TRUE),1,5)</f>
        <v/>
      </c>
      <c r="AF148" s="7">
        <f>INDEX(LINEST(L89:L148,M89:T148,TRUE,TRUE),1,4)</f>
        <v/>
      </c>
      <c r="AG148" s="7">
        <f>INDEX(LINEST(L89:L148,M89:T148,TRUE,TRUE),1,3)</f>
        <v/>
      </c>
      <c r="AH148" s="7">
        <f>INDEX(LINEST(L89:L148,M89:T148,TRUE,TRUE),1,2)</f>
        <v/>
      </c>
      <c r="AI148" s="7">
        <f>INDEX(LINEST(L89:L148,M89:T148,TRUE,TRUE),1,1)</f>
        <v/>
      </c>
      <c r="AJ148" s="8">
        <f>INDEX(LINEST(L89:L148,M89:T148,TRUE,TRUE),3,1)</f>
        <v/>
      </c>
    </row>
    <row r="149">
      <c r="A149" s="5" t="n">
        <v>42094</v>
      </c>
      <c r="B149" s="6" t="n">
        <v>1187</v>
      </c>
      <c r="C149" s="6" t="n">
        <v>1.76</v>
      </c>
      <c r="D149" s="6" t="n">
        <v>0.18</v>
      </c>
      <c r="E149" s="6" t="n">
        <v>98.360001</v>
      </c>
      <c r="F149" s="6" t="n">
        <v>47.72</v>
      </c>
      <c r="G149" s="6" t="n">
        <v>15.29</v>
      </c>
      <c r="H149" s="6" t="n">
        <v>86.099998</v>
      </c>
      <c r="I149" s="6" t="n">
        <v>2067.889893</v>
      </c>
      <c r="J149" s="6" t="n">
        <v>81.63131</v>
      </c>
      <c r="L149" s="7">
        <f>LN(B149/B148)</f>
        <v/>
      </c>
      <c r="M149" s="7">
        <f>C149-C148</f>
        <v/>
      </c>
      <c r="N149" s="7">
        <f>D149-D148</f>
        <v/>
      </c>
      <c r="O149" s="7">
        <f>LN(E149/E148)</f>
        <v/>
      </c>
      <c r="P149" s="7">
        <f>LN(F149/F148)</f>
        <v/>
      </c>
      <c r="Q149" s="7">
        <f>G149-G148</f>
        <v/>
      </c>
      <c r="R149" s="7">
        <f>H149-H148</f>
        <v/>
      </c>
      <c r="S149" s="7">
        <f>LN(I149/I148)</f>
        <v/>
      </c>
      <c r="T149" s="7">
        <f>LN(J149/J148)</f>
        <v/>
      </c>
      <c r="U149" s="7">
        <f>$W$12+$W$4*M149+$W$5*N149+$W$6*O149+$W$7*P149+$W$8*Q149+$W$9*R149+$W$10*S149+$W$11*T149</f>
        <v/>
      </c>
      <c r="AA149" s="8">
        <f>INDEX(LINEST(L90:L149,M90:T149,TRUE,TRUE),1,9)*12</f>
        <v/>
      </c>
      <c r="AB149" s="7">
        <f>INDEX(LINEST(L90:L149,M90:T149,TRUE,TRUE),1,8)</f>
        <v/>
      </c>
      <c r="AC149" s="7">
        <f>INDEX(LINEST(L90:L149,M90:T149,TRUE,TRUE),1,7)</f>
        <v/>
      </c>
      <c r="AD149" s="7">
        <f>INDEX(LINEST(L90:L149,M90:T149,TRUE,TRUE),1,6)</f>
        <v/>
      </c>
      <c r="AE149" s="7">
        <f>INDEX(LINEST(L90:L149,M90:T149,TRUE,TRUE),1,5)</f>
        <v/>
      </c>
      <c r="AF149" s="7">
        <f>INDEX(LINEST(L90:L149,M90:T149,TRUE,TRUE),1,4)</f>
        <v/>
      </c>
      <c r="AG149" s="7">
        <f>INDEX(LINEST(L90:L149,M90:T149,TRUE,TRUE),1,3)</f>
        <v/>
      </c>
      <c r="AH149" s="7">
        <f>INDEX(LINEST(L90:L149,M90:T149,TRUE,TRUE),1,2)</f>
        <v/>
      </c>
      <c r="AI149" s="7">
        <f>INDEX(LINEST(L90:L149,M90:T149,TRUE,TRUE),1,1)</f>
        <v/>
      </c>
      <c r="AJ149" s="8">
        <f>INDEX(LINEST(L90:L149,M90:T149,TRUE,TRUE),3,1)</f>
        <v/>
      </c>
    </row>
    <row r="150">
      <c r="A150" s="5" t="n">
        <v>42124</v>
      </c>
      <c r="B150" s="6" t="n">
        <v>1180.25</v>
      </c>
      <c r="C150" s="6" t="n">
        <v>1.94</v>
      </c>
      <c r="D150" s="6" t="n">
        <v>0.11</v>
      </c>
      <c r="E150" s="6" t="n">
        <v>94.599998</v>
      </c>
      <c r="F150" s="6" t="n">
        <v>59.62</v>
      </c>
      <c r="G150" s="6" t="n">
        <v>14.55</v>
      </c>
      <c r="H150" s="6" t="n">
        <v>75.300003</v>
      </c>
      <c r="I150" s="6" t="n">
        <v>2085.51001</v>
      </c>
      <c r="J150" s="6" t="n">
        <v>81.367805</v>
      </c>
      <c r="L150" s="7">
        <f>LN(B150/B149)</f>
        <v/>
      </c>
      <c r="M150" s="7">
        <f>C150-C149</f>
        <v/>
      </c>
      <c r="N150" s="7">
        <f>D150-D149</f>
        <v/>
      </c>
      <c r="O150" s="7">
        <f>LN(E150/E149)</f>
        <v/>
      </c>
      <c r="P150" s="7">
        <f>LN(F150/F149)</f>
        <v/>
      </c>
      <c r="Q150" s="7">
        <f>G150-G149</f>
        <v/>
      </c>
      <c r="R150" s="7">
        <f>H150-H149</f>
        <v/>
      </c>
      <c r="S150" s="7">
        <f>LN(I150/I149)</f>
        <v/>
      </c>
      <c r="T150" s="7">
        <f>LN(J150/J149)</f>
        <v/>
      </c>
      <c r="U150" s="7">
        <f>$W$12+$W$4*M150+$W$5*N150+$W$6*O150+$W$7*P150+$W$8*Q150+$W$9*R150+$W$10*S150+$W$11*T150</f>
        <v/>
      </c>
      <c r="AA150" s="8">
        <f>INDEX(LINEST(L91:L150,M91:T150,TRUE,TRUE),1,9)*12</f>
        <v/>
      </c>
      <c r="AB150" s="7">
        <f>INDEX(LINEST(L91:L150,M91:T150,TRUE,TRUE),1,8)</f>
        <v/>
      </c>
      <c r="AC150" s="7">
        <f>INDEX(LINEST(L91:L150,M91:T150,TRUE,TRUE),1,7)</f>
        <v/>
      </c>
      <c r="AD150" s="7">
        <f>INDEX(LINEST(L91:L150,M91:T150,TRUE,TRUE),1,6)</f>
        <v/>
      </c>
      <c r="AE150" s="7">
        <f>INDEX(LINEST(L91:L150,M91:T150,TRUE,TRUE),1,5)</f>
        <v/>
      </c>
      <c r="AF150" s="7">
        <f>INDEX(LINEST(L91:L150,M91:T150,TRUE,TRUE),1,4)</f>
        <v/>
      </c>
      <c r="AG150" s="7">
        <f>INDEX(LINEST(L91:L150,M91:T150,TRUE,TRUE),1,3)</f>
        <v/>
      </c>
      <c r="AH150" s="7">
        <f>INDEX(LINEST(L91:L150,M91:T150,TRUE,TRUE),1,2)</f>
        <v/>
      </c>
      <c r="AI150" s="7">
        <f>INDEX(LINEST(L91:L150,M91:T150,TRUE,TRUE),1,1)</f>
        <v/>
      </c>
      <c r="AJ150" s="8">
        <f>INDEX(LINEST(L91:L150,M91:T150,TRUE,TRUE),3,1)</f>
        <v/>
      </c>
    </row>
    <row r="151">
      <c r="A151" s="5" t="n">
        <v>42155</v>
      </c>
      <c r="B151" s="6" t="n">
        <v>1191.4</v>
      </c>
      <c r="C151" s="6" t="n">
        <v>1.8</v>
      </c>
      <c r="D151" s="6" t="n">
        <v>0.32</v>
      </c>
      <c r="E151" s="6" t="n">
        <v>96.910004</v>
      </c>
      <c r="F151" s="6" t="n">
        <v>60.25</v>
      </c>
      <c r="G151" s="6" t="n">
        <v>13.84</v>
      </c>
      <c r="H151" s="6" t="n">
        <v>82.699997</v>
      </c>
      <c r="I151" s="6" t="n">
        <v>2107.389893</v>
      </c>
      <c r="J151" s="6" t="n">
        <v>81.01190200000001</v>
      </c>
      <c r="L151" s="7">
        <f>LN(B151/B150)</f>
        <v/>
      </c>
      <c r="M151" s="7">
        <f>C151-C150</f>
        <v/>
      </c>
      <c r="N151" s="7">
        <f>D151-D150</f>
        <v/>
      </c>
      <c r="O151" s="7">
        <f>LN(E151/E150)</f>
        <v/>
      </c>
      <c r="P151" s="7">
        <f>LN(F151/F150)</f>
        <v/>
      </c>
      <c r="Q151" s="7">
        <f>G151-G150</f>
        <v/>
      </c>
      <c r="R151" s="7">
        <f>H151-H150</f>
        <v/>
      </c>
      <c r="S151" s="7">
        <f>LN(I151/I150)</f>
        <v/>
      </c>
      <c r="T151" s="7">
        <f>LN(J151/J150)</f>
        <v/>
      </c>
      <c r="U151" s="7">
        <f>$W$12+$W$4*M151+$W$5*N151+$W$6*O151+$W$7*P151+$W$8*Q151+$W$9*R151+$W$10*S151+$W$11*T151</f>
        <v/>
      </c>
      <c r="AA151" s="8">
        <f>INDEX(LINEST(L92:L151,M92:T151,TRUE,TRUE),1,9)*12</f>
        <v/>
      </c>
      <c r="AB151" s="7">
        <f>INDEX(LINEST(L92:L151,M92:T151,TRUE,TRUE),1,8)</f>
        <v/>
      </c>
      <c r="AC151" s="7">
        <f>INDEX(LINEST(L92:L151,M92:T151,TRUE,TRUE),1,7)</f>
        <v/>
      </c>
      <c r="AD151" s="7">
        <f>INDEX(LINEST(L92:L151,M92:T151,TRUE,TRUE),1,6)</f>
        <v/>
      </c>
      <c r="AE151" s="7">
        <f>INDEX(LINEST(L92:L151,M92:T151,TRUE,TRUE),1,5)</f>
        <v/>
      </c>
      <c r="AF151" s="7">
        <f>INDEX(LINEST(L92:L151,M92:T151,TRUE,TRUE),1,4)</f>
        <v/>
      </c>
      <c r="AG151" s="7">
        <f>INDEX(LINEST(L92:L151,M92:T151,TRUE,TRUE),1,3)</f>
        <v/>
      </c>
      <c r="AH151" s="7">
        <f>INDEX(LINEST(L92:L151,M92:T151,TRUE,TRUE),1,2)</f>
        <v/>
      </c>
      <c r="AI151" s="7">
        <f>INDEX(LINEST(L92:L151,M92:T151,TRUE,TRUE),1,1)</f>
        <v/>
      </c>
      <c r="AJ151" s="8">
        <f>INDEX(LINEST(L92:L151,M92:T151,TRUE,TRUE),3,1)</f>
        <v/>
      </c>
    </row>
    <row r="152">
      <c r="A152" s="5" t="n">
        <v>42185</v>
      </c>
      <c r="B152" s="6" t="n">
        <v>1171</v>
      </c>
      <c r="C152" s="6" t="n">
        <v>1.87</v>
      </c>
      <c r="D152" s="6" t="n">
        <v>0.48</v>
      </c>
      <c r="E152" s="6" t="n">
        <v>95.489998</v>
      </c>
      <c r="F152" s="6" t="n">
        <v>59.48</v>
      </c>
      <c r="G152" s="6" t="n">
        <v>18.23</v>
      </c>
      <c r="H152" s="6" t="n">
        <v>92.300003</v>
      </c>
      <c r="I152" s="6" t="n">
        <v>2063.110107</v>
      </c>
      <c r="J152" s="6" t="n">
        <v>80.13967100000001</v>
      </c>
      <c r="L152" s="7">
        <f>LN(B152/B151)</f>
        <v/>
      </c>
      <c r="M152" s="7">
        <f>C152-C151</f>
        <v/>
      </c>
      <c r="N152" s="7">
        <f>D152-D151</f>
        <v/>
      </c>
      <c r="O152" s="7">
        <f>LN(E152/E151)</f>
        <v/>
      </c>
      <c r="P152" s="7">
        <f>LN(F152/F151)</f>
        <v/>
      </c>
      <c r="Q152" s="7">
        <f>G152-G151</f>
        <v/>
      </c>
      <c r="R152" s="7">
        <f>H152-H151</f>
        <v/>
      </c>
      <c r="S152" s="7">
        <f>LN(I152/I151)</f>
        <v/>
      </c>
      <c r="T152" s="7">
        <f>LN(J152/J151)</f>
        <v/>
      </c>
      <c r="U152" s="7">
        <f>$W$12+$W$4*M152+$W$5*N152+$W$6*O152+$W$7*P152+$W$8*Q152+$W$9*R152+$W$10*S152+$W$11*T152</f>
        <v/>
      </c>
      <c r="AA152" s="8">
        <f>INDEX(LINEST(L93:L152,M93:T152,TRUE,TRUE),1,9)*12</f>
        <v/>
      </c>
      <c r="AB152" s="7">
        <f>INDEX(LINEST(L93:L152,M93:T152,TRUE,TRUE),1,8)</f>
        <v/>
      </c>
      <c r="AC152" s="7">
        <f>INDEX(LINEST(L93:L152,M93:T152,TRUE,TRUE),1,7)</f>
        <v/>
      </c>
      <c r="AD152" s="7">
        <f>INDEX(LINEST(L93:L152,M93:T152,TRUE,TRUE),1,6)</f>
        <v/>
      </c>
      <c r="AE152" s="7">
        <f>INDEX(LINEST(L93:L152,M93:T152,TRUE,TRUE),1,5)</f>
        <v/>
      </c>
      <c r="AF152" s="7">
        <f>INDEX(LINEST(L93:L152,M93:T152,TRUE,TRUE),1,4)</f>
        <v/>
      </c>
      <c r="AG152" s="7">
        <f>INDEX(LINEST(L93:L152,M93:T152,TRUE,TRUE),1,3)</f>
        <v/>
      </c>
      <c r="AH152" s="7">
        <f>INDEX(LINEST(L93:L152,M93:T152,TRUE,TRUE),1,2)</f>
        <v/>
      </c>
      <c r="AI152" s="7">
        <f>INDEX(LINEST(L93:L152,M93:T152,TRUE,TRUE),1,1)</f>
        <v/>
      </c>
      <c r="AJ152" s="8">
        <f>INDEX(LINEST(L93:L152,M93:T152,TRUE,TRUE),3,1)</f>
        <v/>
      </c>
    </row>
    <row r="153">
      <c r="A153" s="5" t="n">
        <v>42216</v>
      </c>
      <c r="B153" s="6" t="n">
        <v>1098.4</v>
      </c>
      <c r="C153" s="6" t="n">
        <v>1.74</v>
      </c>
      <c r="D153" s="6" t="n">
        <v>0.46</v>
      </c>
      <c r="E153" s="6" t="n">
        <v>97.370003</v>
      </c>
      <c r="F153" s="6" t="n">
        <v>47.11</v>
      </c>
      <c r="G153" s="6" t="n">
        <v>12.12</v>
      </c>
      <c r="H153" s="6" t="n">
        <v>75.800003</v>
      </c>
      <c r="I153" s="6" t="n">
        <v>2103.840088</v>
      </c>
      <c r="J153" s="6" t="n">
        <v>80.830544</v>
      </c>
      <c r="L153" s="7">
        <f>LN(B153/B152)</f>
        <v/>
      </c>
      <c r="M153" s="7">
        <f>C153-C152</f>
        <v/>
      </c>
      <c r="N153" s="7">
        <f>D153-D152</f>
        <v/>
      </c>
      <c r="O153" s="7">
        <f>LN(E153/E152)</f>
        <v/>
      </c>
      <c r="P153" s="7">
        <f>LN(F153/F152)</f>
        <v/>
      </c>
      <c r="Q153" s="7">
        <f>G153-G152</f>
        <v/>
      </c>
      <c r="R153" s="7">
        <f>H153-H152</f>
        <v/>
      </c>
      <c r="S153" s="7">
        <f>LN(I153/I152)</f>
        <v/>
      </c>
      <c r="T153" s="7">
        <f>LN(J153/J152)</f>
        <v/>
      </c>
      <c r="U153" s="7">
        <f>$W$12+$W$4*M153+$W$5*N153+$W$6*O153+$W$7*P153+$W$8*Q153+$W$9*R153+$W$10*S153+$W$11*T153</f>
        <v/>
      </c>
      <c r="AA153" s="8">
        <f>INDEX(LINEST(L94:L153,M94:T153,TRUE,TRUE),1,9)*12</f>
        <v/>
      </c>
      <c r="AB153" s="7">
        <f>INDEX(LINEST(L94:L153,M94:T153,TRUE,TRUE),1,8)</f>
        <v/>
      </c>
      <c r="AC153" s="7">
        <f>INDEX(LINEST(L94:L153,M94:T153,TRUE,TRUE),1,7)</f>
        <v/>
      </c>
      <c r="AD153" s="7">
        <f>INDEX(LINEST(L94:L153,M94:T153,TRUE,TRUE),1,6)</f>
        <v/>
      </c>
      <c r="AE153" s="7">
        <f>INDEX(LINEST(L94:L153,M94:T153,TRUE,TRUE),1,5)</f>
        <v/>
      </c>
      <c r="AF153" s="7">
        <f>INDEX(LINEST(L94:L153,M94:T153,TRUE,TRUE),1,4)</f>
        <v/>
      </c>
      <c r="AG153" s="7">
        <f>INDEX(LINEST(L94:L153,M94:T153,TRUE,TRUE),1,3)</f>
        <v/>
      </c>
      <c r="AH153" s="7">
        <f>INDEX(LINEST(L94:L153,M94:T153,TRUE,TRUE),1,2)</f>
        <v/>
      </c>
      <c r="AI153" s="7">
        <f>INDEX(LINEST(L94:L153,M94:T153,TRUE,TRUE),1,1)</f>
        <v/>
      </c>
      <c r="AJ153" s="8">
        <f>INDEX(LINEST(L94:L153,M94:T153,TRUE,TRUE),3,1)</f>
        <v/>
      </c>
    </row>
    <row r="154">
      <c r="A154" s="5" t="n">
        <v>42247</v>
      </c>
      <c r="B154" s="6" t="n">
        <v>1135</v>
      </c>
      <c r="C154" s="6" t="n">
        <v>1.63</v>
      </c>
      <c r="D154" s="6" t="n">
        <v>0.58</v>
      </c>
      <c r="E154" s="6" t="n">
        <v>95.949997</v>
      </c>
      <c r="F154" s="6" t="n">
        <v>49.2</v>
      </c>
      <c r="G154" s="6" t="n">
        <v>28.43</v>
      </c>
      <c r="H154" s="6" t="n">
        <v>87.699997</v>
      </c>
      <c r="I154" s="6" t="n">
        <v>1972.180054</v>
      </c>
      <c r="J154" s="6" t="n">
        <v>80.559128</v>
      </c>
      <c r="L154" s="7">
        <f>LN(B154/B153)</f>
        <v/>
      </c>
      <c r="M154" s="7">
        <f>C154-C153</f>
        <v/>
      </c>
      <c r="N154" s="7">
        <f>D154-D153</f>
        <v/>
      </c>
      <c r="O154" s="7">
        <f>LN(E154/E153)</f>
        <v/>
      </c>
      <c r="P154" s="7">
        <f>LN(F154/F153)</f>
        <v/>
      </c>
      <c r="Q154" s="7">
        <f>G154-G153</f>
        <v/>
      </c>
      <c r="R154" s="7">
        <f>H154-H153</f>
        <v/>
      </c>
      <c r="S154" s="7">
        <f>LN(I154/I153)</f>
        <v/>
      </c>
      <c r="T154" s="7">
        <f>LN(J154/J153)</f>
        <v/>
      </c>
      <c r="U154" s="7">
        <f>$W$12+$W$4*M154+$W$5*N154+$W$6*O154+$W$7*P154+$W$8*Q154+$W$9*R154+$W$10*S154+$W$11*T154</f>
        <v/>
      </c>
      <c r="AA154" s="8">
        <f>INDEX(LINEST(L95:L154,M95:T154,TRUE,TRUE),1,9)*12</f>
        <v/>
      </c>
      <c r="AB154" s="7">
        <f>INDEX(LINEST(L95:L154,M95:T154,TRUE,TRUE),1,8)</f>
        <v/>
      </c>
      <c r="AC154" s="7">
        <f>INDEX(LINEST(L95:L154,M95:T154,TRUE,TRUE),1,7)</f>
        <v/>
      </c>
      <c r="AD154" s="7">
        <f>INDEX(LINEST(L95:L154,M95:T154,TRUE,TRUE),1,6)</f>
        <v/>
      </c>
      <c r="AE154" s="7">
        <f>INDEX(LINEST(L95:L154,M95:T154,TRUE,TRUE),1,5)</f>
        <v/>
      </c>
      <c r="AF154" s="7">
        <f>INDEX(LINEST(L95:L154,M95:T154,TRUE,TRUE),1,4)</f>
        <v/>
      </c>
      <c r="AG154" s="7">
        <f>INDEX(LINEST(L95:L154,M95:T154,TRUE,TRUE),1,3)</f>
        <v/>
      </c>
      <c r="AH154" s="7">
        <f>INDEX(LINEST(L95:L154,M95:T154,TRUE,TRUE),1,2)</f>
        <v/>
      </c>
      <c r="AI154" s="7">
        <f>INDEX(LINEST(L95:L154,M95:T154,TRUE,TRUE),1,1)</f>
        <v/>
      </c>
      <c r="AJ154" s="8">
        <f>INDEX(LINEST(L95:L154,M95:T154,TRUE,TRUE),3,1)</f>
        <v/>
      </c>
    </row>
    <row r="155">
      <c r="A155" s="5" t="n">
        <v>42277</v>
      </c>
      <c r="B155" s="6" t="n">
        <v>1114</v>
      </c>
      <c r="C155" s="6" t="n">
        <v>1.41</v>
      </c>
      <c r="D155" s="6" t="n">
        <v>0.65</v>
      </c>
      <c r="E155" s="6" t="n">
        <v>96.349998</v>
      </c>
      <c r="F155" s="6" t="n">
        <v>45.06</v>
      </c>
      <c r="G155" s="6" t="n">
        <v>24.5</v>
      </c>
      <c r="H155" s="6" t="n">
        <v>81.599998</v>
      </c>
      <c r="I155" s="6" t="n">
        <v>1920.030029</v>
      </c>
      <c r="J155" s="6" t="n">
        <v>81.212799</v>
      </c>
      <c r="L155" s="7">
        <f>LN(B155/B154)</f>
        <v/>
      </c>
      <c r="M155" s="7">
        <f>C155-C154</f>
        <v/>
      </c>
      <c r="N155" s="7">
        <f>D155-D154</f>
        <v/>
      </c>
      <c r="O155" s="7">
        <f>LN(E155/E154)</f>
        <v/>
      </c>
      <c r="P155" s="7">
        <f>LN(F155/F154)</f>
        <v/>
      </c>
      <c r="Q155" s="7">
        <f>G155-G154</f>
        <v/>
      </c>
      <c r="R155" s="7">
        <f>H155-H154</f>
        <v/>
      </c>
      <c r="S155" s="7">
        <f>LN(I155/I154)</f>
        <v/>
      </c>
      <c r="T155" s="7">
        <f>LN(J155/J154)</f>
        <v/>
      </c>
      <c r="U155" s="7">
        <f>$W$12+$W$4*M155+$W$5*N155+$W$6*O155+$W$7*P155+$W$8*Q155+$W$9*R155+$W$10*S155+$W$11*T155</f>
        <v/>
      </c>
      <c r="AA155" s="8">
        <f>INDEX(LINEST(L96:L155,M96:T155,TRUE,TRUE),1,9)*12</f>
        <v/>
      </c>
      <c r="AB155" s="7">
        <f>INDEX(LINEST(L96:L155,M96:T155,TRUE,TRUE),1,8)</f>
        <v/>
      </c>
      <c r="AC155" s="7">
        <f>INDEX(LINEST(L96:L155,M96:T155,TRUE,TRUE),1,7)</f>
        <v/>
      </c>
      <c r="AD155" s="7">
        <f>INDEX(LINEST(L96:L155,M96:T155,TRUE,TRUE),1,6)</f>
        <v/>
      </c>
      <c r="AE155" s="7">
        <f>INDEX(LINEST(L96:L155,M96:T155,TRUE,TRUE),1,5)</f>
        <v/>
      </c>
      <c r="AF155" s="7">
        <f>INDEX(LINEST(L96:L155,M96:T155,TRUE,TRUE),1,4)</f>
        <v/>
      </c>
      <c r="AG155" s="7">
        <f>INDEX(LINEST(L96:L155,M96:T155,TRUE,TRUE),1,3)</f>
        <v/>
      </c>
      <c r="AH155" s="7">
        <f>INDEX(LINEST(L96:L155,M96:T155,TRUE,TRUE),1,2)</f>
        <v/>
      </c>
      <c r="AI155" s="7">
        <f>INDEX(LINEST(L96:L155,M96:T155,TRUE,TRUE),1,1)</f>
        <v/>
      </c>
      <c r="AJ155" s="8">
        <f>INDEX(LINEST(L96:L155,M96:T155,TRUE,TRUE),3,1)</f>
        <v/>
      </c>
    </row>
    <row r="156">
      <c r="A156" s="5" t="n">
        <v>42308</v>
      </c>
      <c r="B156" s="6" t="n">
        <v>1142.35</v>
      </c>
      <c r="C156" s="6" t="n">
        <v>1.53</v>
      </c>
      <c r="D156" s="6" t="n">
        <v>0.63</v>
      </c>
      <c r="E156" s="6" t="n">
        <v>96.949997</v>
      </c>
      <c r="F156" s="6" t="n">
        <v>46.6</v>
      </c>
      <c r="G156" s="6" t="n">
        <v>15.07</v>
      </c>
      <c r="H156" s="6" t="n">
        <v>73.099998</v>
      </c>
      <c r="I156" s="6" t="n">
        <v>2079.360107</v>
      </c>
      <c r="J156" s="6" t="n">
        <v>81.268478</v>
      </c>
      <c r="L156" s="7">
        <f>LN(B156/B155)</f>
        <v/>
      </c>
      <c r="M156" s="7">
        <f>C156-C155</f>
        <v/>
      </c>
      <c r="N156" s="7">
        <f>D156-D155</f>
        <v/>
      </c>
      <c r="O156" s="7">
        <f>LN(E156/E155)</f>
        <v/>
      </c>
      <c r="P156" s="7">
        <f>LN(F156/F155)</f>
        <v/>
      </c>
      <c r="Q156" s="7">
        <f>G156-G155</f>
        <v/>
      </c>
      <c r="R156" s="7">
        <f>H156-H155</f>
        <v/>
      </c>
      <c r="S156" s="7">
        <f>LN(I156/I155)</f>
        <v/>
      </c>
      <c r="T156" s="7">
        <f>LN(J156/J155)</f>
        <v/>
      </c>
      <c r="U156" s="7">
        <f>$W$12+$W$4*M156+$W$5*N156+$W$6*O156+$W$7*P156+$W$8*Q156+$W$9*R156+$W$10*S156+$W$11*T156</f>
        <v/>
      </c>
      <c r="AA156" s="8">
        <f>INDEX(LINEST(L97:L156,M97:T156,TRUE,TRUE),1,9)*12</f>
        <v/>
      </c>
      <c r="AB156" s="7">
        <f>INDEX(LINEST(L97:L156,M97:T156,TRUE,TRUE),1,8)</f>
        <v/>
      </c>
      <c r="AC156" s="7">
        <f>INDEX(LINEST(L97:L156,M97:T156,TRUE,TRUE),1,7)</f>
        <v/>
      </c>
      <c r="AD156" s="7">
        <f>INDEX(LINEST(L97:L156,M97:T156,TRUE,TRUE),1,6)</f>
        <v/>
      </c>
      <c r="AE156" s="7">
        <f>INDEX(LINEST(L97:L156,M97:T156,TRUE,TRUE),1,5)</f>
        <v/>
      </c>
      <c r="AF156" s="7">
        <f>INDEX(LINEST(L97:L156,M97:T156,TRUE,TRUE),1,4)</f>
        <v/>
      </c>
      <c r="AG156" s="7">
        <f>INDEX(LINEST(L97:L156,M97:T156,TRUE,TRUE),1,3)</f>
        <v/>
      </c>
      <c r="AH156" s="7">
        <f>INDEX(LINEST(L97:L156,M97:T156,TRUE,TRUE),1,2)</f>
        <v/>
      </c>
      <c r="AI156" s="7">
        <f>INDEX(LINEST(L97:L156,M97:T156,TRUE,TRUE),1,1)</f>
        <v/>
      </c>
      <c r="AJ156" s="8">
        <f>INDEX(LINEST(L97:L156,M97:T156,TRUE,TRUE),3,1)</f>
        <v/>
      </c>
    </row>
    <row r="157">
      <c r="A157" s="5" t="n">
        <v>42338</v>
      </c>
      <c r="B157" s="6" t="n">
        <v>1061.9</v>
      </c>
      <c r="C157" s="6" t="n">
        <v>1.59</v>
      </c>
      <c r="D157" s="6" t="n">
        <v>0.62</v>
      </c>
      <c r="E157" s="6" t="n">
        <v>100.169998</v>
      </c>
      <c r="F157" s="6" t="n">
        <v>40.43</v>
      </c>
      <c r="G157" s="6" t="n">
        <v>16.13</v>
      </c>
      <c r="H157" s="6" t="n">
        <v>69.900002</v>
      </c>
      <c r="I157" s="6" t="n">
        <v>2080.409912</v>
      </c>
      <c r="J157" s="6" t="n">
        <v>80.952271</v>
      </c>
      <c r="L157" s="7">
        <f>LN(B157/B156)</f>
        <v/>
      </c>
      <c r="M157" s="7">
        <f>C157-C156</f>
        <v/>
      </c>
      <c r="N157" s="7">
        <f>D157-D156</f>
        <v/>
      </c>
      <c r="O157" s="7">
        <f>LN(E157/E156)</f>
        <v/>
      </c>
      <c r="P157" s="7">
        <f>LN(F157/F156)</f>
        <v/>
      </c>
      <c r="Q157" s="7">
        <f>G157-G156</f>
        <v/>
      </c>
      <c r="R157" s="7">
        <f>H157-H156</f>
        <v/>
      </c>
      <c r="S157" s="7">
        <f>LN(I157/I156)</f>
        <v/>
      </c>
      <c r="T157" s="7">
        <f>LN(J157/J156)</f>
        <v/>
      </c>
      <c r="U157" s="7">
        <f>$W$12+$W$4*M157+$W$5*N157+$W$6*O157+$W$7*P157+$W$8*Q157+$W$9*R157+$W$10*S157+$W$11*T157</f>
        <v/>
      </c>
      <c r="AA157" s="8">
        <f>INDEX(LINEST(L98:L157,M98:T157,TRUE,TRUE),1,9)*12</f>
        <v/>
      </c>
      <c r="AB157" s="7">
        <f>INDEX(LINEST(L98:L157,M98:T157,TRUE,TRUE),1,8)</f>
        <v/>
      </c>
      <c r="AC157" s="7">
        <f>INDEX(LINEST(L98:L157,M98:T157,TRUE,TRUE),1,7)</f>
        <v/>
      </c>
      <c r="AD157" s="7">
        <f>INDEX(LINEST(L98:L157,M98:T157,TRUE,TRUE),1,6)</f>
        <v/>
      </c>
      <c r="AE157" s="7">
        <f>INDEX(LINEST(L98:L157,M98:T157,TRUE,TRUE),1,5)</f>
        <v/>
      </c>
      <c r="AF157" s="7">
        <f>INDEX(LINEST(L98:L157,M98:T157,TRUE,TRUE),1,4)</f>
        <v/>
      </c>
      <c r="AG157" s="7">
        <f>INDEX(LINEST(L98:L157,M98:T157,TRUE,TRUE),1,3)</f>
        <v/>
      </c>
      <c r="AH157" s="7">
        <f>INDEX(LINEST(L98:L157,M98:T157,TRUE,TRUE),1,2)</f>
        <v/>
      </c>
      <c r="AI157" s="7">
        <f>INDEX(LINEST(L98:L157,M98:T157,TRUE,TRUE),1,1)</f>
        <v/>
      </c>
      <c r="AJ157" s="8">
        <f>INDEX(LINEST(L98:L157,M98:T157,TRUE,TRUE),3,1)</f>
        <v/>
      </c>
    </row>
    <row r="158">
      <c r="A158" s="5" t="n">
        <v>42369</v>
      </c>
      <c r="B158" s="6" t="n">
        <v>1060</v>
      </c>
      <c r="C158" s="6" t="n">
        <v>1.54</v>
      </c>
      <c r="D158" s="6" t="n">
        <v>0.73</v>
      </c>
      <c r="E158" s="6" t="n">
        <v>98.629997</v>
      </c>
      <c r="F158" s="6" t="n">
        <v>37.13</v>
      </c>
      <c r="G158" s="6" t="n">
        <v>18.21</v>
      </c>
      <c r="H158" s="6" t="n">
        <v>67.800003</v>
      </c>
      <c r="I158" s="6" t="n">
        <v>2043.939941</v>
      </c>
      <c r="J158" s="6" t="n">
        <v>80.797134</v>
      </c>
      <c r="L158" s="7">
        <f>LN(B158/B157)</f>
        <v/>
      </c>
      <c r="M158" s="7">
        <f>C158-C157</f>
        <v/>
      </c>
      <c r="N158" s="7">
        <f>D158-D157</f>
        <v/>
      </c>
      <c r="O158" s="7">
        <f>LN(E158/E157)</f>
        <v/>
      </c>
      <c r="P158" s="7">
        <f>LN(F158/F157)</f>
        <v/>
      </c>
      <c r="Q158" s="7">
        <f>G158-G157</f>
        <v/>
      </c>
      <c r="R158" s="7">
        <f>H158-H157</f>
        <v/>
      </c>
      <c r="S158" s="7">
        <f>LN(I158/I157)</f>
        <v/>
      </c>
      <c r="T158" s="7">
        <f>LN(J158/J157)</f>
        <v/>
      </c>
      <c r="U158" s="7">
        <f>$W$12+$W$4*M158+$W$5*N158+$W$6*O158+$W$7*P158+$W$8*Q158+$W$9*R158+$W$10*S158+$W$11*T158</f>
        <v/>
      </c>
      <c r="AA158" s="8">
        <f>INDEX(LINEST(L99:L158,M99:T158,TRUE,TRUE),1,9)*12</f>
        <v/>
      </c>
      <c r="AB158" s="7">
        <f>INDEX(LINEST(L99:L158,M99:T158,TRUE,TRUE),1,8)</f>
        <v/>
      </c>
      <c r="AC158" s="7">
        <f>INDEX(LINEST(L99:L158,M99:T158,TRUE,TRUE),1,7)</f>
        <v/>
      </c>
      <c r="AD158" s="7">
        <f>INDEX(LINEST(L99:L158,M99:T158,TRUE,TRUE),1,6)</f>
        <v/>
      </c>
      <c r="AE158" s="7">
        <f>INDEX(LINEST(L99:L158,M99:T158,TRUE,TRUE),1,5)</f>
        <v/>
      </c>
      <c r="AF158" s="7">
        <f>INDEX(LINEST(L99:L158,M99:T158,TRUE,TRUE),1,4)</f>
        <v/>
      </c>
      <c r="AG158" s="7">
        <f>INDEX(LINEST(L99:L158,M99:T158,TRUE,TRUE),1,3)</f>
        <v/>
      </c>
      <c r="AH158" s="7">
        <f>INDEX(LINEST(L99:L158,M99:T158,TRUE,TRUE),1,2)</f>
        <v/>
      </c>
      <c r="AI158" s="7">
        <f>INDEX(LINEST(L99:L158,M99:T158,TRUE,TRUE),1,1)</f>
        <v/>
      </c>
      <c r="AJ158" s="8">
        <f>INDEX(LINEST(L99:L158,M99:T158,TRUE,TRUE),3,1)</f>
        <v/>
      </c>
    </row>
    <row r="159">
      <c r="A159" s="5" t="n">
        <v>42400</v>
      </c>
      <c r="B159" s="6" t="n">
        <v>1111.8</v>
      </c>
      <c r="C159" s="6" t="n">
        <v>1.41</v>
      </c>
      <c r="D159" s="6" t="n">
        <v>0.53</v>
      </c>
      <c r="E159" s="6" t="n">
        <v>99.610001</v>
      </c>
      <c r="F159" s="6" t="n">
        <v>33.66</v>
      </c>
      <c r="G159" s="6" t="n">
        <v>20.2</v>
      </c>
      <c r="H159" s="6" t="n">
        <v>74</v>
      </c>
      <c r="I159" s="6" t="n">
        <v>1940.23999</v>
      </c>
      <c r="J159" s="6" t="n">
        <v>81.799515</v>
      </c>
      <c r="L159" s="7">
        <f>LN(B159/B158)</f>
        <v/>
      </c>
      <c r="M159" s="7">
        <f>C159-C158</f>
        <v/>
      </c>
      <c r="N159" s="7">
        <f>D159-D158</f>
        <v/>
      </c>
      <c r="O159" s="7">
        <f>LN(E159/E158)</f>
        <v/>
      </c>
      <c r="P159" s="7">
        <f>LN(F159/F158)</f>
        <v/>
      </c>
      <c r="Q159" s="7">
        <f>G159-G158</f>
        <v/>
      </c>
      <c r="R159" s="7">
        <f>H159-H158</f>
        <v/>
      </c>
      <c r="S159" s="7">
        <f>LN(I159/I158)</f>
        <v/>
      </c>
      <c r="T159" s="7">
        <f>LN(J159/J158)</f>
        <v/>
      </c>
      <c r="U159" s="7">
        <f>$W$12+$W$4*M159+$W$5*N159+$W$6*O159+$W$7*P159+$W$8*Q159+$W$9*R159+$W$10*S159+$W$11*T159</f>
        <v/>
      </c>
      <c r="AA159" s="8">
        <f>INDEX(LINEST(L100:L159,M100:T159,TRUE,TRUE),1,9)*12</f>
        <v/>
      </c>
      <c r="AB159" s="7">
        <f>INDEX(LINEST(L100:L159,M100:T159,TRUE,TRUE),1,8)</f>
        <v/>
      </c>
      <c r="AC159" s="7">
        <f>INDEX(LINEST(L100:L159,M100:T159,TRUE,TRUE),1,7)</f>
        <v/>
      </c>
      <c r="AD159" s="7">
        <f>INDEX(LINEST(L100:L159,M100:T159,TRUE,TRUE),1,6)</f>
        <v/>
      </c>
      <c r="AE159" s="7">
        <f>INDEX(LINEST(L100:L159,M100:T159,TRUE,TRUE),1,5)</f>
        <v/>
      </c>
      <c r="AF159" s="7">
        <f>INDEX(LINEST(L100:L159,M100:T159,TRUE,TRUE),1,4)</f>
        <v/>
      </c>
      <c r="AG159" s="7">
        <f>INDEX(LINEST(L100:L159,M100:T159,TRUE,TRUE),1,3)</f>
        <v/>
      </c>
      <c r="AH159" s="7">
        <f>INDEX(LINEST(L100:L159,M100:T159,TRUE,TRUE),1,2)</f>
        <v/>
      </c>
      <c r="AI159" s="7">
        <f>INDEX(LINEST(L100:L159,M100:T159,TRUE,TRUE),1,1)</f>
        <v/>
      </c>
      <c r="AJ159" s="8">
        <f>INDEX(LINEST(L100:L159,M100:T159,TRUE,TRUE),3,1)</f>
        <v/>
      </c>
    </row>
    <row r="160">
      <c r="A160" s="5" t="n">
        <v>42429</v>
      </c>
      <c r="B160" s="6" t="n">
        <v>1234.9</v>
      </c>
      <c r="C160" s="6" t="n">
        <v>1.42</v>
      </c>
      <c r="D160" s="6" t="n">
        <v>0.32</v>
      </c>
      <c r="E160" s="6" t="n">
        <v>98.209999</v>
      </c>
      <c r="F160" s="6" t="n">
        <v>32.74</v>
      </c>
      <c r="G160" s="6" t="n">
        <v>20.55</v>
      </c>
      <c r="H160" s="6" t="n">
        <v>83.389999</v>
      </c>
      <c r="I160" s="6" t="n">
        <v>1932.22998</v>
      </c>
      <c r="J160" s="6" t="n">
        <v>82.525154</v>
      </c>
      <c r="L160" s="7">
        <f>LN(B160/B159)</f>
        <v/>
      </c>
      <c r="M160" s="7">
        <f>C160-C159</f>
        <v/>
      </c>
      <c r="N160" s="7">
        <f>D160-D159</f>
        <v/>
      </c>
      <c r="O160" s="7">
        <f>LN(E160/E159)</f>
        <v/>
      </c>
      <c r="P160" s="7">
        <f>LN(F160/F159)</f>
        <v/>
      </c>
      <c r="Q160" s="7">
        <f>G160-G159</f>
        <v/>
      </c>
      <c r="R160" s="7">
        <f>H160-H159</f>
        <v/>
      </c>
      <c r="S160" s="7">
        <f>LN(I160/I159)</f>
        <v/>
      </c>
      <c r="T160" s="7">
        <f>LN(J160/J159)</f>
        <v/>
      </c>
      <c r="U160" s="7">
        <f>$W$12+$W$4*M160+$W$5*N160+$W$6*O160+$W$7*P160+$W$8*Q160+$W$9*R160+$W$10*S160+$W$11*T160</f>
        <v/>
      </c>
      <c r="AA160" s="8">
        <f>INDEX(LINEST(L101:L160,M101:T160,TRUE,TRUE),1,9)*12</f>
        <v/>
      </c>
      <c r="AB160" s="7">
        <f>INDEX(LINEST(L101:L160,M101:T160,TRUE,TRUE),1,8)</f>
        <v/>
      </c>
      <c r="AC160" s="7">
        <f>INDEX(LINEST(L101:L160,M101:T160,TRUE,TRUE),1,7)</f>
        <v/>
      </c>
      <c r="AD160" s="7">
        <f>INDEX(LINEST(L101:L160,M101:T160,TRUE,TRUE),1,6)</f>
        <v/>
      </c>
      <c r="AE160" s="7">
        <f>INDEX(LINEST(L101:L160,M101:T160,TRUE,TRUE),1,5)</f>
        <v/>
      </c>
      <c r="AF160" s="7">
        <f>INDEX(LINEST(L101:L160,M101:T160,TRUE,TRUE),1,4)</f>
        <v/>
      </c>
      <c r="AG160" s="7">
        <f>INDEX(LINEST(L101:L160,M101:T160,TRUE,TRUE),1,3)</f>
        <v/>
      </c>
      <c r="AH160" s="7">
        <f>INDEX(LINEST(L101:L160,M101:T160,TRUE,TRUE),1,2)</f>
        <v/>
      </c>
      <c r="AI160" s="7">
        <f>INDEX(LINEST(L101:L160,M101:T160,TRUE,TRUE),1,1)</f>
        <v/>
      </c>
      <c r="AJ160" s="8">
        <f>INDEX(LINEST(L101:L160,M101:T160,TRUE,TRUE),3,1)</f>
        <v/>
      </c>
    </row>
    <row r="161">
      <c r="A161" s="5" t="n">
        <v>42460</v>
      </c>
      <c r="B161" s="6" t="n">
        <v>1237</v>
      </c>
      <c r="C161" s="6" t="n">
        <v>1.62</v>
      </c>
      <c r="D161" s="6" t="n">
        <v>0.16</v>
      </c>
      <c r="E161" s="6" t="n">
        <v>94.589996</v>
      </c>
      <c r="F161" s="6" t="n">
        <v>36.94</v>
      </c>
      <c r="G161" s="6" t="n">
        <v>13.95</v>
      </c>
      <c r="H161" s="6" t="n">
        <v>68.800003</v>
      </c>
      <c r="I161" s="6" t="n">
        <v>2059.73999</v>
      </c>
      <c r="J161" s="6" t="n">
        <v>83.246979</v>
      </c>
      <c r="L161" s="7">
        <f>LN(B161/B160)</f>
        <v/>
      </c>
      <c r="M161" s="7">
        <f>C161-C160</f>
        <v/>
      </c>
      <c r="N161" s="7">
        <f>D161-D160</f>
        <v/>
      </c>
      <c r="O161" s="7">
        <f>LN(E161/E160)</f>
        <v/>
      </c>
      <c r="P161" s="7">
        <f>LN(F161/F160)</f>
        <v/>
      </c>
      <c r="Q161" s="7">
        <f>G161-G160</f>
        <v/>
      </c>
      <c r="R161" s="7">
        <f>H161-H160</f>
        <v/>
      </c>
      <c r="S161" s="7">
        <f>LN(I161/I160)</f>
        <v/>
      </c>
      <c r="T161" s="7">
        <f>LN(J161/J160)</f>
        <v/>
      </c>
      <c r="U161" s="7">
        <f>$W$12+$W$4*M161+$W$5*N161+$W$6*O161+$W$7*P161+$W$8*Q161+$W$9*R161+$W$10*S161+$W$11*T161</f>
        <v/>
      </c>
      <c r="AA161" s="8">
        <f>INDEX(LINEST(L102:L161,M102:T161,TRUE,TRUE),1,9)*12</f>
        <v/>
      </c>
      <c r="AB161" s="7">
        <f>INDEX(LINEST(L102:L161,M102:T161,TRUE,TRUE),1,8)</f>
        <v/>
      </c>
      <c r="AC161" s="7">
        <f>INDEX(LINEST(L102:L161,M102:T161,TRUE,TRUE),1,7)</f>
        <v/>
      </c>
      <c r="AD161" s="7">
        <f>INDEX(LINEST(L102:L161,M102:T161,TRUE,TRUE),1,6)</f>
        <v/>
      </c>
      <c r="AE161" s="7">
        <f>INDEX(LINEST(L102:L161,M102:T161,TRUE,TRUE),1,5)</f>
        <v/>
      </c>
      <c r="AF161" s="7">
        <f>INDEX(LINEST(L102:L161,M102:T161,TRUE,TRUE),1,4)</f>
        <v/>
      </c>
      <c r="AG161" s="7">
        <f>INDEX(LINEST(L102:L161,M102:T161,TRUE,TRUE),1,3)</f>
        <v/>
      </c>
      <c r="AH161" s="7">
        <f>INDEX(LINEST(L102:L161,M102:T161,TRUE,TRUE),1,2)</f>
        <v/>
      </c>
      <c r="AI161" s="7">
        <f>INDEX(LINEST(L102:L161,M102:T161,TRUE,TRUE),1,1)</f>
        <v/>
      </c>
      <c r="AJ161" s="8">
        <f>INDEX(LINEST(L102:L161,M102:T161,TRUE,TRUE),3,1)</f>
        <v/>
      </c>
    </row>
    <row r="162">
      <c r="A162" s="5" t="n">
        <v>42490</v>
      </c>
      <c r="B162" s="6" t="n">
        <v>1285.65</v>
      </c>
      <c r="C162" s="6" t="n">
        <v>1.71</v>
      </c>
      <c r="D162" s="6" t="n">
        <v>0.12</v>
      </c>
      <c r="E162" s="6" t="n">
        <v>93.08000199999999</v>
      </c>
      <c r="F162" s="6" t="n">
        <v>45.98</v>
      </c>
      <c r="G162" s="6" t="n">
        <v>15.7</v>
      </c>
      <c r="H162" s="6" t="n">
        <v>64.91999800000001</v>
      </c>
      <c r="I162" s="6" t="n">
        <v>2065.300049</v>
      </c>
      <c r="J162" s="6" t="n">
        <v>83.45920599999999</v>
      </c>
      <c r="L162" s="7">
        <f>LN(B162/B161)</f>
        <v/>
      </c>
      <c r="M162" s="7">
        <f>C162-C161</f>
        <v/>
      </c>
      <c r="N162" s="7">
        <f>D162-D161</f>
        <v/>
      </c>
      <c r="O162" s="7">
        <f>LN(E162/E161)</f>
        <v/>
      </c>
      <c r="P162" s="7">
        <f>LN(F162/F161)</f>
        <v/>
      </c>
      <c r="Q162" s="7">
        <f>G162-G161</f>
        <v/>
      </c>
      <c r="R162" s="7">
        <f>H162-H161</f>
        <v/>
      </c>
      <c r="S162" s="7">
        <f>LN(I162/I161)</f>
        <v/>
      </c>
      <c r="T162" s="7">
        <f>LN(J162/J161)</f>
        <v/>
      </c>
      <c r="U162" s="7">
        <f>$W$12+$W$4*M162+$W$5*N162+$W$6*O162+$W$7*P162+$W$8*Q162+$W$9*R162+$W$10*S162+$W$11*T162</f>
        <v/>
      </c>
      <c r="AA162" s="8">
        <f>INDEX(LINEST(L103:L162,M103:T162,TRUE,TRUE),1,9)*12</f>
        <v/>
      </c>
      <c r="AB162" s="7">
        <f>INDEX(LINEST(L103:L162,M103:T162,TRUE,TRUE),1,8)</f>
        <v/>
      </c>
      <c r="AC162" s="7">
        <f>INDEX(LINEST(L103:L162,M103:T162,TRUE,TRUE),1,7)</f>
        <v/>
      </c>
      <c r="AD162" s="7">
        <f>INDEX(LINEST(L103:L162,M103:T162,TRUE,TRUE),1,6)</f>
        <v/>
      </c>
      <c r="AE162" s="7">
        <f>INDEX(LINEST(L103:L162,M103:T162,TRUE,TRUE),1,5)</f>
        <v/>
      </c>
      <c r="AF162" s="7">
        <f>INDEX(LINEST(L103:L162,M103:T162,TRUE,TRUE),1,4)</f>
        <v/>
      </c>
      <c r="AG162" s="7">
        <f>INDEX(LINEST(L103:L162,M103:T162,TRUE,TRUE),1,3)</f>
        <v/>
      </c>
      <c r="AH162" s="7">
        <f>INDEX(LINEST(L103:L162,M103:T162,TRUE,TRUE),1,2)</f>
        <v/>
      </c>
      <c r="AI162" s="7">
        <f>INDEX(LINEST(L103:L162,M103:T162,TRUE,TRUE),1,1)</f>
        <v/>
      </c>
      <c r="AJ162" s="8">
        <f>INDEX(LINEST(L103:L162,M103:T162,TRUE,TRUE),3,1)</f>
        <v/>
      </c>
    </row>
    <row r="163">
      <c r="A163" s="5" t="n">
        <v>42521</v>
      </c>
      <c r="B163" s="6" t="n">
        <v>1212.1</v>
      </c>
      <c r="C163" s="6" t="n">
        <v>1.54</v>
      </c>
      <c r="D163" s="6" t="n">
        <v>0.3</v>
      </c>
      <c r="E163" s="6" t="n">
        <v>95.889999</v>
      </c>
      <c r="F163" s="6" t="n">
        <v>49.1</v>
      </c>
      <c r="G163" s="6" t="n">
        <v>14.19</v>
      </c>
      <c r="H163" s="6" t="n">
        <v>67.910004</v>
      </c>
      <c r="I163" s="6" t="n">
        <v>2096.949951</v>
      </c>
      <c r="J163" s="6" t="n">
        <v>83.47049699999999</v>
      </c>
      <c r="L163" s="7">
        <f>LN(B163/B162)</f>
        <v/>
      </c>
      <c r="M163" s="7">
        <f>C163-C162</f>
        <v/>
      </c>
      <c r="N163" s="7">
        <f>D163-D162</f>
        <v/>
      </c>
      <c r="O163" s="7">
        <f>LN(E163/E162)</f>
        <v/>
      </c>
      <c r="P163" s="7">
        <f>LN(F163/F162)</f>
        <v/>
      </c>
      <c r="Q163" s="7">
        <f>G163-G162</f>
        <v/>
      </c>
      <c r="R163" s="7">
        <f>H163-H162</f>
        <v/>
      </c>
      <c r="S163" s="7">
        <f>LN(I163/I162)</f>
        <v/>
      </c>
      <c r="T163" s="7">
        <f>LN(J163/J162)</f>
        <v/>
      </c>
      <c r="U163" s="7">
        <f>$W$12+$W$4*M163+$W$5*N163+$W$6*O163+$W$7*P163+$W$8*Q163+$W$9*R163+$W$10*S163+$W$11*T163</f>
        <v/>
      </c>
      <c r="AA163" s="8">
        <f>INDEX(LINEST(L104:L163,M104:T163,TRUE,TRUE),1,9)*12</f>
        <v/>
      </c>
      <c r="AB163" s="7">
        <f>INDEX(LINEST(L104:L163,M104:T163,TRUE,TRUE),1,8)</f>
        <v/>
      </c>
      <c r="AC163" s="7">
        <f>INDEX(LINEST(L104:L163,M104:T163,TRUE,TRUE),1,7)</f>
        <v/>
      </c>
      <c r="AD163" s="7">
        <f>INDEX(LINEST(L104:L163,M104:T163,TRUE,TRUE),1,6)</f>
        <v/>
      </c>
      <c r="AE163" s="7">
        <f>INDEX(LINEST(L104:L163,M104:T163,TRUE,TRUE),1,5)</f>
        <v/>
      </c>
      <c r="AF163" s="7">
        <f>INDEX(LINEST(L104:L163,M104:T163,TRUE,TRUE),1,4)</f>
        <v/>
      </c>
      <c r="AG163" s="7">
        <f>INDEX(LINEST(L104:L163,M104:T163,TRUE,TRUE),1,3)</f>
        <v/>
      </c>
      <c r="AH163" s="7">
        <f>INDEX(LINEST(L104:L163,M104:T163,TRUE,TRUE),1,2)</f>
        <v/>
      </c>
      <c r="AI163" s="7">
        <f>INDEX(LINEST(L104:L163,M104:T163,TRUE,TRUE),1,1)</f>
        <v/>
      </c>
      <c r="AJ163" s="8">
        <f>INDEX(LINEST(L104:L163,M104:T163,TRUE,TRUE),3,1)</f>
        <v/>
      </c>
    </row>
    <row r="164">
      <c r="A164" s="5" t="n">
        <v>42551</v>
      </c>
      <c r="B164" s="6" t="n">
        <v>1320.75</v>
      </c>
      <c r="C164" s="6" t="n">
        <v>1.4</v>
      </c>
      <c r="D164" s="6" t="n">
        <v>0.09</v>
      </c>
      <c r="E164" s="6" t="n">
        <v>96.139999</v>
      </c>
      <c r="F164" s="6" t="n">
        <v>48.27</v>
      </c>
      <c r="G164" s="6" t="n">
        <v>15.63</v>
      </c>
      <c r="H164" s="6" t="n">
        <v>72.639999</v>
      </c>
      <c r="I164" s="6" t="n">
        <v>2098.860107</v>
      </c>
      <c r="J164" s="6" t="n">
        <v>85.085838</v>
      </c>
      <c r="L164" s="7">
        <f>LN(B164/B163)</f>
        <v/>
      </c>
      <c r="M164" s="7">
        <f>C164-C163</f>
        <v/>
      </c>
      <c r="N164" s="7">
        <f>D164-D163</f>
        <v/>
      </c>
      <c r="O164" s="7">
        <f>LN(E164/E163)</f>
        <v/>
      </c>
      <c r="P164" s="7">
        <f>LN(F164/F163)</f>
        <v/>
      </c>
      <c r="Q164" s="7">
        <f>G164-G163</f>
        <v/>
      </c>
      <c r="R164" s="7">
        <f>H164-H163</f>
        <v/>
      </c>
      <c r="S164" s="7">
        <f>LN(I164/I163)</f>
        <v/>
      </c>
      <c r="T164" s="7">
        <f>LN(J164/J163)</f>
        <v/>
      </c>
      <c r="U164" s="7">
        <f>$W$12+$W$4*M164+$W$5*N164+$W$6*O164+$W$7*P164+$W$8*Q164+$W$9*R164+$W$10*S164+$W$11*T164</f>
        <v/>
      </c>
      <c r="AA164" s="8">
        <f>INDEX(LINEST(L105:L164,M105:T164,TRUE,TRUE),1,9)*12</f>
        <v/>
      </c>
      <c r="AB164" s="7">
        <f>INDEX(LINEST(L105:L164,M105:T164,TRUE,TRUE),1,8)</f>
        <v/>
      </c>
      <c r="AC164" s="7">
        <f>INDEX(LINEST(L105:L164,M105:T164,TRUE,TRUE),1,7)</f>
        <v/>
      </c>
      <c r="AD164" s="7">
        <f>INDEX(LINEST(L105:L164,M105:T164,TRUE,TRUE),1,6)</f>
        <v/>
      </c>
      <c r="AE164" s="7">
        <f>INDEX(LINEST(L105:L164,M105:T164,TRUE,TRUE),1,5)</f>
        <v/>
      </c>
      <c r="AF164" s="7">
        <f>INDEX(LINEST(L105:L164,M105:T164,TRUE,TRUE),1,4)</f>
        <v/>
      </c>
      <c r="AG164" s="7">
        <f>INDEX(LINEST(L105:L164,M105:T164,TRUE,TRUE),1,3)</f>
        <v/>
      </c>
      <c r="AH164" s="7">
        <f>INDEX(LINEST(L105:L164,M105:T164,TRUE,TRUE),1,2)</f>
        <v/>
      </c>
      <c r="AI164" s="7">
        <f>INDEX(LINEST(L105:L164,M105:T164,TRUE,TRUE),1,1)</f>
        <v/>
      </c>
      <c r="AJ164" s="8">
        <f>INDEX(LINEST(L105:L164,M105:T164,TRUE,TRUE),3,1)</f>
        <v/>
      </c>
    </row>
    <row r="165">
      <c r="A165" s="5" t="n">
        <v>42582</v>
      </c>
      <c r="B165" s="6" t="n">
        <v>1342</v>
      </c>
      <c r="C165" s="6" t="n">
        <v>1.49</v>
      </c>
      <c r="D165" s="6" t="n">
        <v>-0.03</v>
      </c>
      <c r="E165" s="6" t="n">
        <v>95.529999</v>
      </c>
      <c r="F165" s="6" t="n">
        <v>41.54</v>
      </c>
      <c r="G165" s="6" t="n">
        <v>11.87</v>
      </c>
      <c r="H165" s="6" t="n">
        <v>64.150002</v>
      </c>
      <c r="I165" s="6" t="n">
        <v>2173.600098</v>
      </c>
      <c r="J165" s="6" t="n">
        <v>85.549065</v>
      </c>
      <c r="L165" s="7">
        <f>LN(B165/B164)</f>
        <v/>
      </c>
      <c r="M165" s="7">
        <f>C165-C164</f>
        <v/>
      </c>
      <c r="N165" s="7">
        <f>D165-D164</f>
        <v/>
      </c>
      <c r="O165" s="7">
        <f>LN(E165/E164)</f>
        <v/>
      </c>
      <c r="P165" s="7">
        <f>LN(F165/F164)</f>
        <v/>
      </c>
      <c r="Q165" s="7">
        <f>G165-G164</f>
        <v/>
      </c>
      <c r="R165" s="7">
        <f>H165-H164</f>
        <v/>
      </c>
      <c r="S165" s="7">
        <f>LN(I165/I164)</f>
        <v/>
      </c>
      <c r="T165" s="7">
        <f>LN(J165/J164)</f>
        <v/>
      </c>
      <c r="U165" s="7">
        <f>$W$12+$W$4*M165+$W$5*N165+$W$6*O165+$W$7*P165+$W$8*Q165+$W$9*R165+$W$10*S165+$W$11*T165</f>
        <v/>
      </c>
      <c r="AA165" s="8">
        <f>INDEX(LINEST(L106:L165,M106:T165,TRUE,TRUE),1,9)*12</f>
        <v/>
      </c>
      <c r="AB165" s="7">
        <f>INDEX(LINEST(L106:L165,M106:T165,TRUE,TRUE),1,8)</f>
        <v/>
      </c>
      <c r="AC165" s="7">
        <f>INDEX(LINEST(L106:L165,M106:T165,TRUE,TRUE),1,7)</f>
        <v/>
      </c>
      <c r="AD165" s="7">
        <f>INDEX(LINEST(L106:L165,M106:T165,TRUE,TRUE),1,6)</f>
        <v/>
      </c>
      <c r="AE165" s="7">
        <f>INDEX(LINEST(L106:L165,M106:T165,TRUE,TRUE),1,5)</f>
        <v/>
      </c>
      <c r="AF165" s="7">
        <f>INDEX(LINEST(L106:L165,M106:T165,TRUE,TRUE),1,4)</f>
        <v/>
      </c>
      <c r="AG165" s="7">
        <f>INDEX(LINEST(L106:L165,M106:T165,TRUE,TRUE),1,3)</f>
        <v/>
      </c>
      <c r="AH165" s="7">
        <f>INDEX(LINEST(L106:L165,M106:T165,TRUE,TRUE),1,2)</f>
        <v/>
      </c>
      <c r="AI165" s="7">
        <f>INDEX(LINEST(L106:L165,M106:T165,TRUE,TRUE),1,1)</f>
        <v/>
      </c>
      <c r="AJ165" s="8">
        <f>INDEX(LINEST(L106:L165,M106:T165,TRUE,TRUE),3,1)</f>
        <v/>
      </c>
    </row>
    <row r="166">
      <c r="A166" s="5" t="n">
        <v>42613</v>
      </c>
      <c r="B166" s="6" t="n">
        <v>1309.25</v>
      </c>
      <c r="C166" s="6" t="n">
        <v>1.47</v>
      </c>
      <c r="D166" s="6" t="n">
        <v>0.11</v>
      </c>
      <c r="E166" s="6" t="n">
        <v>96.019997</v>
      </c>
      <c r="F166" s="6" t="n">
        <v>44.68</v>
      </c>
      <c r="G166" s="6" t="n">
        <v>13.42</v>
      </c>
      <c r="H166" s="6" t="n">
        <v>69.08000199999999</v>
      </c>
      <c r="I166" s="6" t="n">
        <v>2170.949951</v>
      </c>
      <c r="J166" s="6" t="n">
        <v>85.364799</v>
      </c>
      <c r="L166" s="7">
        <f>LN(B166/B165)</f>
        <v/>
      </c>
      <c r="M166" s="7">
        <f>C166-C165</f>
        <v/>
      </c>
      <c r="N166" s="7">
        <f>D166-D165</f>
        <v/>
      </c>
      <c r="O166" s="7">
        <f>LN(E166/E165)</f>
        <v/>
      </c>
      <c r="P166" s="7">
        <f>LN(F166/F165)</f>
        <v/>
      </c>
      <c r="Q166" s="7">
        <f>G166-G165</f>
        <v/>
      </c>
      <c r="R166" s="7">
        <f>H166-H165</f>
        <v/>
      </c>
      <c r="S166" s="7">
        <f>LN(I166/I165)</f>
        <v/>
      </c>
      <c r="T166" s="7">
        <f>LN(J166/J165)</f>
        <v/>
      </c>
      <c r="U166" s="7">
        <f>$W$12+$W$4*M166+$W$5*N166+$W$6*O166+$W$7*P166+$W$8*Q166+$W$9*R166+$W$10*S166+$W$11*T166</f>
        <v/>
      </c>
      <c r="AA166" s="8">
        <f>INDEX(LINEST(L107:L166,M107:T166,TRUE,TRUE),1,9)*12</f>
        <v/>
      </c>
      <c r="AB166" s="7">
        <f>INDEX(LINEST(L107:L166,M107:T166,TRUE,TRUE),1,8)</f>
        <v/>
      </c>
      <c r="AC166" s="7">
        <f>INDEX(LINEST(L107:L166,M107:T166,TRUE,TRUE),1,7)</f>
        <v/>
      </c>
      <c r="AD166" s="7">
        <f>INDEX(LINEST(L107:L166,M107:T166,TRUE,TRUE),1,6)</f>
        <v/>
      </c>
      <c r="AE166" s="7">
        <f>INDEX(LINEST(L107:L166,M107:T166,TRUE,TRUE),1,5)</f>
        <v/>
      </c>
      <c r="AF166" s="7">
        <f>INDEX(LINEST(L107:L166,M107:T166,TRUE,TRUE),1,4)</f>
        <v/>
      </c>
      <c r="AG166" s="7">
        <f>INDEX(LINEST(L107:L166,M107:T166,TRUE,TRUE),1,3)</f>
        <v/>
      </c>
      <c r="AH166" s="7">
        <f>INDEX(LINEST(L107:L166,M107:T166,TRUE,TRUE),1,2)</f>
        <v/>
      </c>
      <c r="AI166" s="7">
        <f>INDEX(LINEST(L107:L166,M107:T166,TRUE,TRUE),1,1)</f>
        <v/>
      </c>
      <c r="AJ166" s="8">
        <f>INDEX(LINEST(L107:L166,M107:T166,TRUE,TRUE),3,1)</f>
        <v/>
      </c>
    </row>
    <row r="167">
      <c r="A167" s="5" t="n">
        <v>42643</v>
      </c>
      <c r="B167" s="6" t="n">
        <v>1322.5</v>
      </c>
      <c r="C167" s="6" t="n">
        <v>1.6</v>
      </c>
      <c r="D167" s="6" t="n">
        <v>0</v>
      </c>
      <c r="E167" s="6" t="n">
        <v>95.459999</v>
      </c>
      <c r="F167" s="6" t="n">
        <v>47.72</v>
      </c>
      <c r="G167" s="6" t="n">
        <v>13.29</v>
      </c>
      <c r="H167" s="6" t="n">
        <v>60.560001</v>
      </c>
      <c r="I167" s="6" t="n">
        <v>2168.27002</v>
      </c>
      <c r="J167" s="6" t="n">
        <v>85.408829</v>
      </c>
      <c r="L167" s="7">
        <f>LN(B167/B166)</f>
        <v/>
      </c>
      <c r="M167" s="7">
        <f>C167-C166</f>
        <v/>
      </c>
      <c r="N167" s="7">
        <f>D167-D166</f>
        <v/>
      </c>
      <c r="O167" s="7">
        <f>LN(E167/E166)</f>
        <v/>
      </c>
      <c r="P167" s="7">
        <f>LN(F167/F166)</f>
        <v/>
      </c>
      <c r="Q167" s="7">
        <f>G167-G166</f>
        <v/>
      </c>
      <c r="R167" s="7">
        <f>H167-H166</f>
        <v/>
      </c>
      <c r="S167" s="7">
        <f>LN(I167/I166)</f>
        <v/>
      </c>
      <c r="T167" s="7">
        <f>LN(J167/J166)</f>
        <v/>
      </c>
      <c r="U167" s="7">
        <f>$W$12+$W$4*M167+$W$5*N167+$W$6*O167+$W$7*P167+$W$8*Q167+$W$9*R167+$W$10*S167+$W$11*T167</f>
        <v/>
      </c>
      <c r="AA167" s="8">
        <f>INDEX(LINEST(L108:L167,M108:T167,TRUE,TRUE),1,9)*12</f>
        <v/>
      </c>
      <c r="AB167" s="7">
        <f>INDEX(LINEST(L108:L167,M108:T167,TRUE,TRUE),1,8)</f>
        <v/>
      </c>
      <c r="AC167" s="7">
        <f>INDEX(LINEST(L108:L167,M108:T167,TRUE,TRUE),1,7)</f>
        <v/>
      </c>
      <c r="AD167" s="7">
        <f>INDEX(LINEST(L108:L167,M108:T167,TRUE,TRUE),1,6)</f>
        <v/>
      </c>
      <c r="AE167" s="7">
        <f>INDEX(LINEST(L108:L167,M108:T167,TRUE,TRUE),1,5)</f>
        <v/>
      </c>
      <c r="AF167" s="7">
        <f>INDEX(LINEST(L108:L167,M108:T167,TRUE,TRUE),1,4)</f>
        <v/>
      </c>
      <c r="AG167" s="7">
        <f>INDEX(LINEST(L108:L167,M108:T167,TRUE,TRUE),1,3)</f>
        <v/>
      </c>
      <c r="AH167" s="7">
        <f>INDEX(LINEST(L108:L167,M108:T167,TRUE,TRUE),1,2)</f>
        <v/>
      </c>
      <c r="AI167" s="7">
        <f>INDEX(LINEST(L108:L167,M108:T167,TRUE,TRUE),1,1)</f>
        <v/>
      </c>
      <c r="AJ167" s="8">
        <f>INDEX(LINEST(L108:L167,M108:T167,TRUE,TRUE),3,1)</f>
        <v/>
      </c>
    </row>
    <row r="168">
      <c r="A168" s="5" t="n">
        <v>42674</v>
      </c>
      <c r="B168" s="6" t="n">
        <v>1272</v>
      </c>
      <c r="C168" s="6" t="n">
        <v>1.73</v>
      </c>
      <c r="D168" s="6" t="n">
        <v>0.11</v>
      </c>
      <c r="E168" s="6" t="n">
        <v>98.449997</v>
      </c>
      <c r="F168" s="6" t="n">
        <v>46.83</v>
      </c>
      <c r="G168" s="6" t="n">
        <v>17.06</v>
      </c>
      <c r="H168" s="6" t="n">
        <v>65.470001</v>
      </c>
      <c r="I168" s="6" t="n">
        <v>2126.149902</v>
      </c>
      <c r="J168" s="6" t="n">
        <v>84.710892</v>
      </c>
      <c r="L168" s="7">
        <f>LN(B168/B167)</f>
        <v/>
      </c>
      <c r="M168" s="7">
        <f>C168-C167</f>
        <v/>
      </c>
      <c r="N168" s="7">
        <f>D168-D167</f>
        <v/>
      </c>
      <c r="O168" s="7">
        <f>LN(E168/E167)</f>
        <v/>
      </c>
      <c r="P168" s="7">
        <f>LN(F168/F167)</f>
        <v/>
      </c>
      <c r="Q168" s="7">
        <f>G168-G167</f>
        <v/>
      </c>
      <c r="R168" s="7">
        <f>H168-H167</f>
        <v/>
      </c>
      <c r="S168" s="7">
        <f>LN(I168/I167)</f>
        <v/>
      </c>
      <c r="T168" s="7">
        <f>LN(J168/J167)</f>
        <v/>
      </c>
      <c r="U168" s="7">
        <f>$W$12+$W$4*M168+$W$5*N168+$W$6*O168+$W$7*P168+$W$8*Q168+$W$9*R168+$W$10*S168+$W$11*T168</f>
        <v/>
      </c>
      <c r="AA168" s="8">
        <f>INDEX(LINEST(L109:L168,M109:T168,TRUE,TRUE),1,9)*12</f>
        <v/>
      </c>
      <c r="AB168" s="7">
        <f>INDEX(LINEST(L109:L168,M109:T168,TRUE,TRUE),1,8)</f>
        <v/>
      </c>
      <c r="AC168" s="7">
        <f>INDEX(LINEST(L109:L168,M109:T168,TRUE,TRUE),1,7)</f>
        <v/>
      </c>
      <c r="AD168" s="7">
        <f>INDEX(LINEST(L109:L168,M109:T168,TRUE,TRUE),1,6)</f>
        <v/>
      </c>
      <c r="AE168" s="7">
        <f>INDEX(LINEST(L109:L168,M109:T168,TRUE,TRUE),1,5)</f>
        <v/>
      </c>
      <c r="AF168" s="7">
        <f>INDEX(LINEST(L109:L168,M109:T168,TRUE,TRUE),1,4)</f>
        <v/>
      </c>
      <c r="AG168" s="7">
        <f>INDEX(LINEST(L109:L168,M109:T168,TRUE,TRUE),1,3)</f>
        <v/>
      </c>
      <c r="AH168" s="7">
        <f>INDEX(LINEST(L109:L168,M109:T168,TRUE,TRUE),1,2)</f>
        <v/>
      </c>
      <c r="AI168" s="7">
        <f>INDEX(LINEST(L109:L168,M109:T168,TRUE,TRUE),1,1)</f>
        <v/>
      </c>
      <c r="AJ168" s="8">
        <f>INDEX(LINEST(L109:L168,M109:T168,TRUE,TRUE),3,1)</f>
        <v/>
      </c>
    </row>
    <row r="169">
      <c r="A169" s="5" t="n">
        <v>42704</v>
      </c>
      <c r="B169" s="6" t="n">
        <v>1178.1</v>
      </c>
      <c r="C169" s="6" t="n">
        <v>1.94</v>
      </c>
      <c r="D169" s="6" t="n">
        <v>0.43</v>
      </c>
      <c r="E169" s="6" t="n">
        <v>101.5</v>
      </c>
      <c r="F169" s="6" t="n">
        <v>49.41</v>
      </c>
      <c r="G169" s="6" t="n">
        <v>13.33</v>
      </c>
      <c r="H169" s="6" t="n">
        <v>80.959999</v>
      </c>
      <c r="I169" s="6" t="n">
        <v>2198.810059</v>
      </c>
      <c r="J169" s="6" t="n">
        <v>82.53769699999999</v>
      </c>
      <c r="L169" s="7">
        <f>LN(B169/B168)</f>
        <v/>
      </c>
      <c r="M169" s="7">
        <f>C169-C168</f>
        <v/>
      </c>
      <c r="N169" s="7">
        <f>D169-D168</f>
        <v/>
      </c>
      <c r="O169" s="7">
        <f>LN(E169/E168)</f>
        <v/>
      </c>
      <c r="P169" s="7">
        <f>LN(F169/F168)</f>
        <v/>
      </c>
      <c r="Q169" s="7">
        <f>G169-G168</f>
        <v/>
      </c>
      <c r="R169" s="7">
        <f>H169-H168</f>
        <v/>
      </c>
      <c r="S169" s="7">
        <f>LN(I169/I168)</f>
        <v/>
      </c>
      <c r="T169" s="7">
        <f>LN(J169/J168)</f>
        <v/>
      </c>
      <c r="U169" s="7">
        <f>$W$12+$W$4*M169+$W$5*N169+$W$6*O169+$W$7*P169+$W$8*Q169+$W$9*R169+$W$10*S169+$W$11*T169</f>
        <v/>
      </c>
      <c r="AA169" s="8">
        <f>INDEX(LINEST(L110:L169,M110:T169,TRUE,TRUE),1,9)*12</f>
        <v/>
      </c>
      <c r="AB169" s="7">
        <f>INDEX(LINEST(L110:L169,M110:T169,TRUE,TRUE),1,8)</f>
        <v/>
      </c>
      <c r="AC169" s="7">
        <f>INDEX(LINEST(L110:L169,M110:T169,TRUE,TRUE),1,7)</f>
        <v/>
      </c>
      <c r="AD169" s="7">
        <f>INDEX(LINEST(L110:L169,M110:T169,TRUE,TRUE),1,6)</f>
        <v/>
      </c>
      <c r="AE169" s="7">
        <f>INDEX(LINEST(L110:L169,M110:T169,TRUE,TRUE),1,5)</f>
        <v/>
      </c>
      <c r="AF169" s="7">
        <f>INDEX(LINEST(L110:L169,M110:T169,TRUE,TRUE),1,4)</f>
        <v/>
      </c>
      <c r="AG169" s="7">
        <f>INDEX(LINEST(L110:L169,M110:T169,TRUE,TRUE),1,3)</f>
        <v/>
      </c>
      <c r="AH169" s="7">
        <f>INDEX(LINEST(L110:L169,M110:T169,TRUE,TRUE),1,2)</f>
        <v/>
      </c>
      <c r="AI169" s="7">
        <f>INDEX(LINEST(L110:L169,M110:T169,TRUE,TRUE),1,1)</f>
        <v/>
      </c>
      <c r="AJ169" s="8">
        <f>INDEX(LINEST(L110:L169,M110:T169,TRUE,TRUE),3,1)</f>
        <v/>
      </c>
    </row>
    <row r="170">
      <c r="A170" s="5" t="n">
        <v>42735</v>
      </c>
      <c r="B170" s="6" t="n">
        <v>1145.9</v>
      </c>
      <c r="C170" s="6" t="n">
        <v>1.95</v>
      </c>
      <c r="D170" s="6" t="n">
        <v>0.5</v>
      </c>
      <c r="E170" s="6" t="n">
        <v>102.389999</v>
      </c>
      <c r="F170" s="6" t="n">
        <v>53.75</v>
      </c>
      <c r="G170" s="6" t="n">
        <v>14.04</v>
      </c>
      <c r="H170" s="6" t="n">
        <v>71.629997</v>
      </c>
      <c r="I170" s="6" t="n">
        <v>2238.830078</v>
      </c>
      <c r="J170" s="6" t="n">
        <v>82.74741400000001</v>
      </c>
      <c r="L170" s="7">
        <f>LN(B170/B169)</f>
        <v/>
      </c>
      <c r="M170" s="7">
        <f>C170-C169</f>
        <v/>
      </c>
      <c r="N170" s="7">
        <f>D170-D169</f>
        <v/>
      </c>
      <c r="O170" s="7">
        <f>LN(E170/E169)</f>
        <v/>
      </c>
      <c r="P170" s="7">
        <f>LN(F170/F169)</f>
        <v/>
      </c>
      <c r="Q170" s="7">
        <f>G170-G169</f>
        <v/>
      </c>
      <c r="R170" s="7">
        <f>H170-H169</f>
        <v/>
      </c>
      <c r="S170" s="7">
        <f>LN(I170/I169)</f>
        <v/>
      </c>
      <c r="T170" s="7">
        <f>LN(J170/J169)</f>
        <v/>
      </c>
      <c r="U170" s="7">
        <f>$W$12+$W$4*M170+$W$5*N170+$W$6*O170+$W$7*P170+$W$8*Q170+$W$9*R170+$W$10*S170+$W$11*T170</f>
        <v/>
      </c>
      <c r="AA170" s="8">
        <f>INDEX(LINEST(L111:L170,M111:T170,TRUE,TRUE),1,9)*12</f>
        <v/>
      </c>
      <c r="AB170" s="7">
        <f>INDEX(LINEST(L111:L170,M111:T170,TRUE,TRUE),1,8)</f>
        <v/>
      </c>
      <c r="AC170" s="7">
        <f>INDEX(LINEST(L111:L170,M111:T170,TRUE,TRUE),1,7)</f>
        <v/>
      </c>
      <c r="AD170" s="7">
        <f>INDEX(LINEST(L111:L170,M111:T170,TRUE,TRUE),1,6)</f>
        <v/>
      </c>
      <c r="AE170" s="7">
        <f>INDEX(LINEST(L111:L170,M111:T170,TRUE,TRUE),1,5)</f>
        <v/>
      </c>
      <c r="AF170" s="7">
        <f>INDEX(LINEST(L111:L170,M111:T170,TRUE,TRUE),1,4)</f>
        <v/>
      </c>
      <c r="AG170" s="7">
        <f>INDEX(LINEST(L111:L170,M111:T170,TRUE,TRUE),1,3)</f>
        <v/>
      </c>
      <c r="AH170" s="7">
        <f>INDEX(LINEST(L111:L170,M111:T170,TRUE,TRUE),1,2)</f>
        <v/>
      </c>
      <c r="AI170" s="7">
        <f>INDEX(LINEST(L111:L170,M111:T170,TRUE,TRUE),1,1)</f>
        <v/>
      </c>
      <c r="AJ170" s="8">
        <f>INDEX(LINEST(L111:L170,M111:T170,TRUE,TRUE),3,1)</f>
        <v/>
      </c>
    </row>
    <row r="171">
      <c r="A171" s="5" t="n">
        <v>42766</v>
      </c>
      <c r="B171" s="6" t="n">
        <v>1212.8</v>
      </c>
      <c r="C171" s="6" t="n">
        <v>2.05</v>
      </c>
      <c r="D171" s="6" t="n">
        <v>0.4</v>
      </c>
      <c r="E171" s="6" t="n">
        <v>99.510002</v>
      </c>
      <c r="F171" s="6" t="n">
        <v>52.75</v>
      </c>
      <c r="G171" s="6" t="n">
        <v>11.99</v>
      </c>
      <c r="H171" s="6" t="n">
        <v>72.519997</v>
      </c>
      <c r="I171" s="6" t="n">
        <v>2278.870117</v>
      </c>
      <c r="J171" s="6" t="n">
        <v>82.923485</v>
      </c>
      <c r="L171" s="7">
        <f>LN(B171/B170)</f>
        <v/>
      </c>
      <c r="M171" s="7">
        <f>C171-C170</f>
        <v/>
      </c>
      <c r="N171" s="7">
        <f>D171-D170</f>
        <v/>
      </c>
      <c r="O171" s="7">
        <f>LN(E171/E170)</f>
        <v/>
      </c>
      <c r="P171" s="7">
        <f>LN(F171/F170)</f>
        <v/>
      </c>
      <c r="Q171" s="7">
        <f>G171-G170</f>
        <v/>
      </c>
      <c r="R171" s="7">
        <f>H171-H170</f>
        <v/>
      </c>
      <c r="S171" s="7">
        <f>LN(I171/I170)</f>
        <v/>
      </c>
      <c r="T171" s="7">
        <f>LN(J171/J170)</f>
        <v/>
      </c>
      <c r="U171" s="7">
        <f>$W$12+$W$4*M171+$W$5*N171+$W$6*O171+$W$7*P171+$W$8*Q171+$W$9*R171+$W$10*S171+$W$11*T171</f>
        <v/>
      </c>
      <c r="AA171" s="8">
        <f>INDEX(LINEST(L112:L171,M112:T171,TRUE,TRUE),1,9)*12</f>
        <v/>
      </c>
      <c r="AB171" s="7">
        <f>INDEX(LINEST(L112:L171,M112:T171,TRUE,TRUE),1,8)</f>
        <v/>
      </c>
      <c r="AC171" s="7">
        <f>INDEX(LINEST(L112:L171,M112:T171,TRUE,TRUE),1,7)</f>
        <v/>
      </c>
      <c r="AD171" s="7">
        <f>INDEX(LINEST(L112:L171,M112:T171,TRUE,TRUE),1,6)</f>
        <v/>
      </c>
      <c r="AE171" s="7">
        <f>INDEX(LINEST(L112:L171,M112:T171,TRUE,TRUE),1,5)</f>
        <v/>
      </c>
      <c r="AF171" s="7">
        <f>INDEX(LINEST(L112:L171,M112:T171,TRUE,TRUE),1,4)</f>
        <v/>
      </c>
      <c r="AG171" s="7">
        <f>INDEX(LINEST(L112:L171,M112:T171,TRUE,TRUE),1,3)</f>
        <v/>
      </c>
      <c r="AH171" s="7">
        <f>INDEX(LINEST(L112:L171,M112:T171,TRUE,TRUE),1,2)</f>
        <v/>
      </c>
      <c r="AI171" s="7">
        <f>INDEX(LINEST(L112:L171,M112:T171,TRUE,TRUE),1,1)</f>
        <v/>
      </c>
      <c r="AJ171" s="8">
        <f>INDEX(LINEST(L112:L171,M112:T171,TRUE,TRUE),3,1)</f>
        <v/>
      </c>
    </row>
    <row r="172">
      <c r="A172" s="5" t="n">
        <v>42794</v>
      </c>
      <c r="B172" s="6" t="n">
        <v>1255.6</v>
      </c>
      <c r="C172" s="6" t="n">
        <v>2.02</v>
      </c>
      <c r="D172" s="6" t="n">
        <v>0.34</v>
      </c>
      <c r="E172" s="6" t="n">
        <v>101.120003</v>
      </c>
      <c r="F172" s="6" t="n">
        <v>54</v>
      </c>
      <c r="G172" s="6" t="n">
        <v>12.92</v>
      </c>
      <c r="H172" s="6" t="n">
        <v>70.889999</v>
      </c>
      <c r="I172" s="6" t="n">
        <v>2363.639893</v>
      </c>
      <c r="J172" s="6" t="n">
        <v>83.459084</v>
      </c>
      <c r="L172" s="7">
        <f>LN(B172/B171)</f>
        <v/>
      </c>
      <c r="M172" s="7">
        <f>C172-C171</f>
        <v/>
      </c>
      <c r="N172" s="7">
        <f>D172-D171</f>
        <v/>
      </c>
      <c r="O172" s="7">
        <f>LN(E172/E171)</f>
        <v/>
      </c>
      <c r="P172" s="7">
        <f>LN(F172/F171)</f>
        <v/>
      </c>
      <c r="Q172" s="7">
        <f>G172-G171</f>
        <v/>
      </c>
      <c r="R172" s="7">
        <f>H172-H171</f>
        <v/>
      </c>
      <c r="S172" s="7">
        <f>LN(I172/I171)</f>
        <v/>
      </c>
      <c r="T172" s="7">
        <f>LN(J172/J171)</f>
        <v/>
      </c>
      <c r="U172" s="7">
        <f>$W$12+$W$4*M172+$W$5*N172+$W$6*O172+$W$7*P172+$W$8*Q172+$W$9*R172+$W$10*S172+$W$11*T172</f>
        <v/>
      </c>
      <c r="AA172" s="8">
        <f>INDEX(LINEST(L113:L172,M113:T172,TRUE,TRUE),1,9)*12</f>
        <v/>
      </c>
      <c r="AB172" s="7">
        <f>INDEX(LINEST(L113:L172,M113:T172,TRUE,TRUE),1,8)</f>
        <v/>
      </c>
      <c r="AC172" s="7">
        <f>INDEX(LINEST(L113:L172,M113:T172,TRUE,TRUE),1,7)</f>
        <v/>
      </c>
      <c r="AD172" s="7">
        <f>INDEX(LINEST(L113:L172,M113:T172,TRUE,TRUE),1,6)</f>
        <v/>
      </c>
      <c r="AE172" s="7">
        <f>INDEX(LINEST(L113:L172,M113:T172,TRUE,TRUE),1,5)</f>
        <v/>
      </c>
      <c r="AF172" s="7">
        <f>INDEX(LINEST(L113:L172,M113:T172,TRUE,TRUE),1,4)</f>
        <v/>
      </c>
      <c r="AG172" s="7">
        <f>INDEX(LINEST(L113:L172,M113:T172,TRUE,TRUE),1,3)</f>
        <v/>
      </c>
      <c r="AH172" s="7">
        <f>INDEX(LINEST(L113:L172,M113:T172,TRUE,TRUE),1,2)</f>
        <v/>
      </c>
      <c r="AI172" s="7">
        <f>INDEX(LINEST(L113:L172,M113:T172,TRUE,TRUE),1,1)</f>
        <v/>
      </c>
      <c r="AJ172" s="8">
        <f>INDEX(LINEST(L113:L172,M113:T172,TRUE,TRUE),3,1)</f>
        <v/>
      </c>
    </row>
    <row r="173">
      <c r="A173" s="5" t="n">
        <v>42825</v>
      </c>
      <c r="B173" s="6" t="n">
        <v>1244.85</v>
      </c>
      <c r="C173" s="6" t="n">
        <v>1.97</v>
      </c>
      <c r="D173" s="6" t="n">
        <v>0.43</v>
      </c>
      <c r="E173" s="6" t="n">
        <v>100.349998</v>
      </c>
      <c r="F173" s="6" t="n">
        <v>50.54</v>
      </c>
      <c r="G173" s="6" t="n">
        <v>12.37</v>
      </c>
      <c r="H173" s="6" t="n">
        <v>60.700001</v>
      </c>
      <c r="I173" s="6" t="n">
        <v>2362.719971</v>
      </c>
      <c r="J173" s="6" t="n">
        <v>83.412971</v>
      </c>
      <c r="L173" s="7">
        <f>LN(B173/B172)</f>
        <v/>
      </c>
      <c r="M173" s="7">
        <f>C173-C172</f>
        <v/>
      </c>
      <c r="N173" s="7">
        <f>D173-D172</f>
        <v/>
      </c>
      <c r="O173" s="7">
        <f>LN(E173/E172)</f>
        <v/>
      </c>
      <c r="P173" s="7">
        <f>LN(F173/F172)</f>
        <v/>
      </c>
      <c r="Q173" s="7">
        <f>G173-G172</f>
        <v/>
      </c>
      <c r="R173" s="7">
        <f>H173-H172</f>
        <v/>
      </c>
      <c r="S173" s="7">
        <f>LN(I173/I172)</f>
        <v/>
      </c>
      <c r="T173" s="7">
        <f>LN(J173/J172)</f>
        <v/>
      </c>
      <c r="U173" s="7">
        <f>$W$12+$W$4*M173+$W$5*N173+$W$6*O173+$W$7*P173+$W$8*Q173+$W$9*R173+$W$10*S173+$W$11*T173</f>
        <v/>
      </c>
      <c r="AA173" s="8">
        <f>INDEX(LINEST(L114:L173,M114:T173,TRUE,TRUE),1,9)*12</f>
        <v/>
      </c>
      <c r="AB173" s="7">
        <f>INDEX(LINEST(L114:L173,M114:T173,TRUE,TRUE),1,8)</f>
        <v/>
      </c>
      <c r="AC173" s="7">
        <f>INDEX(LINEST(L114:L173,M114:T173,TRUE,TRUE),1,7)</f>
        <v/>
      </c>
      <c r="AD173" s="7">
        <f>INDEX(LINEST(L114:L173,M114:T173,TRUE,TRUE),1,6)</f>
        <v/>
      </c>
      <c r="AE173" s="7">
        <f>INDEX(LINEST(L114:L173,M114:T173,TRUE,TRUE),1,5)</f>
        <v/>
      </c>
      <c r="AF173" s="7">
        <f>INDEX(LINEST(L114:L173,M114:T173,TRUE,TRUE),1,4)</f>
        <v/>
      </c>
      <c r="AG173" s="7">
        <f>INDEX(LINEST(L114:L173,M114:T173,TRUE,TRUE),1,3)</f>
        <v/>
      </c>
      <c r="AH173" s="7">
        <f>INDEX(LINEST(L114:L173,M114:T173,TRUE,TRUE),1,2)</f>
        <v/>
      </c>
      <c r="AI173" s="7">
        <f>INDEX(LINEST(L114:L173,M114:T173,TRUE,TRUE),1,1)</f>
        <v/>
      </c>
      <c r="AJ173" s="8">
        <f>INDEX(LINEST(L114:L173,M114:T173,TRUE,TRUE),3,1)</f>
        <v/>
      </c>
    </row>
    <row r="174">
      <c r="A174" s="5" t="n">
        <v>42855</v>
      </c>
      <c r="B174" s="6" t="n">
        <v>1266.45</v>
      </c>
      <c r="C174" s="6" t="n">
        <v>1.92</v>
      </c>
      <c r="D174" s="6" t="n">
        <v>0.37</v>
      </c>
      <c r="E174" s="6" t="n">
        <v>99.050003</v>
      </c>
      <c r="F174" s="6" t="n">
        <v>49.31</v>
      </c>
      <c r="G174" s="6" t="n">
        <v>10.82</v>
      </c>
      <c r="H174" s="6" t="n">
        <v>60.189999</v>
      </c>
      <c r="I174" s="6" t="n">
        <v>2384.199951</v>
      </c>
      <c r="J174" s="6" t="n">
        <v>84.16954</v>
      </c>
      <c r="L174" s="7">
        <f>LN(B174/B173)</f>
        <v/>
      </c>
      <c r="M174" s="7">
        <f>C174-C173</f>
        <v/>
      </c>
      <c r="N174" s="7">
        <f>D174-D173</f>
        <v/>
      </c>
      <c r="O174" s="7">
        <f>LN(E174/E173)</f>
        <v/>
      </c>
      <c r="P174" s="7">
        <f>LN(F174/F173)</f>
        <v/>
      </c>
      <c r="Q174" s="7">
        <f>G174-G173</f>
        <v/>
      </c>
      <c r="R174" s="7">
        <f>H174-H173</f>
        <v/>
      </c>
      <c r="S174" s="7">
        <f>LN(I174/I173)</f>
        <v/>
      </c>
      <c r="T174" s="7">
        <f>LN(J174/J173)</f>
        <v/>
      </c>
      <c r="U174" s="7">
        <f>$W$12+$W$4*M174+$W$5*N174+$W$6*O174+$W$7*P174+$W$8*Q174+$W$9*R174+$W$10*S174+$W$11*T174</f>
        <v/>
      </c>
      <c r="AA174" s="8">
        <f>INDEX(LINEST(L115:L174,M115:T174,TRUE,TRUE),1,9)*12</f>
        <v/>
      </c>
      <c r="AB174" s="7">
        <f>INDEX(LINEST(L115:L174,M115:T174,TRUE,TRUE),1,8)</f>
        <v/>
      </c>
      <c r="AC174" s="7">
        <f>INDEX(LINEST(L115:L174,M115:T174,TRUE,TRUE),1,7)</f>
        <v/>
      </c>
      <c r="AD174" s="7">
        <f>INDEX(LINEST(L115:L174,M115:T174,TRUE,TRUE),1,6)</f>
        <v/>
      </c>
      <c r="AE174" s="7">
        <f>INDEX(LINEST(L115:L174,M115:T174,TRUE,TRUE),1,5)</f>
        <v/>
      </c>
      <c r="AF174" s="7">
        <f>INDEX(LINEST(L115:L174,M115:T174,TRUE,TRUE),1,4)</f>
        <v/>
      </c>
      <c r="AG174" s="7">
        <f>INDEX(LINEST(L115:L174,M115:T174,TRUE,TRUE),1,3)</f>
        <v/>
      </c>
      <c r="AH174" s="7">
        <f>INDEX(LINEST(L115:L174,M115:T174,TRUE,TRUE),1,2)</f>
        <v/>
      </c>
      <c r="AI174" s="7">
        <f>INDEX(LINEST(L115:L174,M115:T174,TRUE,TRUE),1,1)</f>
        <v/>
      </c>
      <c r="AJ174" s="8">
        <f>INDEX(LINEST(L115:L174,M115:T174,TRUE,TRUE),3,1)</f>
        <v/>
      </c>
    </row>
    <row r="175">
      <c r="A175" s="5" t="n">
        <v>42886</v>
      </c>
      <c r="B175" s="6" t="n">
        <v>1266.2</v>
      </c>
      <c r="C175" s="6" t="n">
        <v>1.81</v>
      </c>
      <c r="D175" s="6" t="n">
        <v>0.4</v>
      </c>
      <c r="E175" s="6" t="n">
        <v>96.91999800000001</v>
      </c>
      <c r="F175" s="6" t="n">
        <v>48.29</v>
      </c>
      <c r="G175" s="6" t="n">
        <v>10.41</v>
      </c>
      <c r="H175" s="6" t="n">
        <v>53.950001</v>
      </c>
      <c r="I175" s="6" t="n">
        <v>2411.800049</v>
      </c>
      <c r="J175" s="6" t="n">
        <v>84.747917</v>
      </c>
      <c r="L175" s="7">
        <f>LN(B175/B174)</f>
        <v/>
      </c>
      <c r="M175" s="7">
        <f>C175-C174</f>
        <v/>
      </c>
      <c r="N175" s="7">
        <f>D175-D174</f>
        <v/>
      </c>
      <c r="O175" s="7">
        <f>LN(E175/E174)</f>
        <v/>
      </c>
      <c r="P175" s="7">
        <f>LN(F175/F174)</f>
        <v/>
      </c>
      <c r="Q175" s="7">
        <f>G175-G174</f>
        <v/>
      </c>
      <c r="R175" s="7">
        <f>H175-H174</f>
        <v/>
      </c>
      <c r="S175" s="7">
        <f>LN(I175/I174)</f>
        <v/>
      </c>
      <c r="T175" s="7">
        <f>LN(J175/J174)</f>
        <v/>
      </c>
      <c r="U175" s="7">
        <f>$W$12+$W$4*M175+$W$5*N175+$W$6*O175+$W$7*P175+$W$8*Q175+$W$9*R175+$W$10*S175+$W$11*T175</f>
        <v/>
      </c>
      <c r="AA175" s="8">
        <f>INDEX(LINEST(L116:L175,M116:T175,TRUE,TRUE),1,9)*12</f>
        <v/>
      </c>
      <c r="AB175" s="7">
        <f>INDEX(LINEST(L116:L175,M116:T175,TRUE,TRUE),1,8)</f>
        <v/>
      </c>
      <c r="AC175" s="7">
        <f>INDEX(LINEST(L116:L175,M116:T175,TRUE,TRUE),1,7)</f>
        <v/>
      </c>
      <c r="AD175" s="7">
        <f>INDEX(LINEST(L116:L175,M116:T175,TRUE,TRUE),1,6)</f>
        <v/>
      </c>
      <c r="AE175" s="7">
        <f>INDEX(LINEST(L116:L175,M116:T175,TRUE,TRUE),1,5)</f>
        <v/>
      </c>
      <c r="AF175" s="7">
        <f>INDEX(LINEST(L116:L175,M116:T175,TRUE,TRUE),1,4)</f>
        <v/>
      </c>
      <c r="AG175" s="7">
        <f>INDEX(LINEST(L116:L175,M116:T175,TRUE,TRUE),1,3)</f>
        <v/>
      </c>
      <c r="AH175" s="7">
        <f>INDEX(LINEST(L116:L175,M116:T175,TRUE,TRUE),1,2)</f>
        <v/>
      </c>
      <c r="AI175" s="7">
        <f>INDEX(LINEST(L116:L175,M116:T175,TRUE,TRUE),1,1)</f>
        <v/>
      </c>
      <c r="AJ175" s="8">
        <f>INDEX(LINEST(L116:L175,M116:T175,TRUE,TRUE),3,1)</f>
        <v/>
      </c>
    </row>
    <row r="176">
      <c r="A176" s="5" t="n">
        <v>42916</v>
      </c>
      <c r="B176" s="6" t="n">
        <v>1242.25</v>
      </c>
      <c r="C176" s="6" t="n">
        <v>1.73</v>
      </c>
      <c r="D176" s="6" t="n">
        <v>0.58</v>
      </c>
      <c r="E176" s="6" t="n">
        <v>95.660004</v>
      </c>
      <c r="F176" s="6" t="n">
        <v>46.02</v>
      </c>
      <c r="G176" s="6" t="n">
        <v>11.18</v>
      </c>
      <c r="H176" s="6" t="n">
        <v>55.220001</v>
      </c>
      <c r="I176" s="6" t="n">
        <v>2423.409912</v>
      </c>
      <c r="J176" s="6" t="n">
        <v>84.732399</v>
      </c>
      <c r="L176" s="7">
        <f>LN(B176/B175)</f>
        <v/>
      </c>
      <c r="M176" s="7">
        <f>C176-C175</f>
        <v/>
      </c>
      <c r="N176" s="7">
        <f>D176-D175</f>
        <v/>
      </c>
      <c r="O176" s="7">
        <f>LN(E176/E175)</f>
        <v/>
      </c>
      <c r="P176" s="7">
        <f>LN(F176/F175)</f>
        <v/>
      </c>
      <c r="Q176" s="7">
        <f>G176-G175</f>
        <v/>
      </c>
      <c r="R176" s="7">
        <f>H176-H175</f>
        <v/>
      </c>
      <c r="S176" s="7">
        <f>LN(I176/I175)</f>
        <v/>
      </c>
      <c r="T176" s="7">
        <f>LN(J176/J175)</f>
        <v/>
      </c>
      <c r="U176" s="7">
        <f>$W$12+$W$4*M176+$W$5*N176+$W$6*O176+$W$7*P176+$W$8*Q176+$W$9*R176+$W$10*S176+$W$11*T176</f>
        <v/>
      </c>
      <c r="AA176" s="8">
        <f>INDEX(LINEST(L117:L176,M117:T176,TRUE,TRUE),1,9)*12</f>
        <v/>
      </c>
      <c r="AB176" s="7">
        <f>INDEX(LINEST(L117:L176,M117:T176,TRUE,TRUE),1,8)</f>
        <v/>
      </c>
      <c r="AC176" s="7">
        <f>INDEX(LINEST(L117:L176,M117:T176,TRUE,TRUE),1,7)</f>
        <v/>
      </c>
      <c r="AD176" s="7">
        <f>INDEX(LINEST(L117:L176,M117:T176,TRUE,TRUE),1,6)</f>
        <v/>
      </c>
      <c r="AE176" s="7">
        <f>INDEX(LINEST(L117:L176,M117:T176,TRUE,TRUE),1,5)</f>
        <v/>
      </c>
      <c r="AF176" s="7">
        <f>INDEX(LINEST(L117:L176,M117:T176,TRUE,TRUE),1,4)</f>
        <v/>
      </c>
      <c r="AG176" s="7">
        <f>INDEX(LINEST(L117:L176,M117:T176,TRUE,TRUE),1,3)</f>
        <v/>
      </c>
      <c r="AH176" s="7">
        <f>INDEX(LINEST(L117:L176,M117:T176,TRUE,TRUE),1,2)</f>
        <v/>
      </c>
      <c r="AI176" s="7">
        <f>INDEX(LINEST(L117:L176,M117:T176,TRUE,TRUE),1,1)</f>
        <v/>
      </c>
      <c r="AJ176" s="8">
        <f>INDEX(LINEST(L117:L176,M117:T176,TRUE,TRUE),3,1)</f>
        <v/>
      </c>
    </row>
    <row r="177">
      <c r="A177" s="5" t="n">
        <v>42947</v>
      </c>
      <c r="B177" s="6" t="n">
        <v>1267.55</v>
      </c>
      <c r="C177" s="6" t="n">
        <v>1.82</v>
      </c>
      <c r="D177" s="6" t="n">
        <v>0.48</v>
      </c>
      <c r="E177" s="6" t="n">
        <v>92.860001</v>
      </c>
      <c r="F177" s="6" t="n">
        <v>50.21</v>
      </c>
      <c r="G177" s="6" t="n">
        <v>10.26</v>
      </c>
      <c r="H177" s="6" t="n">
        <v>48.139999</v>
      </c>
      <c r="I177" s="6" t="n">
        <v>2470.300049</v>
      </c>
      <c r="J177" s="6" t="n">
        <v>85.015388</v>
      </c>
      <c r="L177" s="7">
        <f>LN(B177/B176)</f>
        <v/>
      </c>
      <c r="M177" s="7">
        <f>C177-C176</f>
        <v/>
      </c>
      <c r="N177" s="7">
        <f>D177-D176</f>
        <v/>
      </c>
      <c r="O177" s="7">
        <f>LN(E177/E176)</f>
        <v/>
      </c>
      <c r="P177" s="7">
        <f>LN(F177/F176)</f>
        <v/>
      </c>
      <c r="Q177" s="7">
        <f>G177-G176</f>
        <v/>
      </c>
      <c r="R177" s="7">
        <f>H177-H176</f>
        <v/>
      </c>
      <c r="S177" s="7">
        <f>LN(I177/I176)</f>
        <v/>
      </c>
      <c r="T177" s="7">
        <f>LN(J177/J176)</f>
        <v/>
      </c>
      <c r="U177" s="7">
        <f>$W$12+$W$4*M177+$W$5*N177+$W$6*O177+$W$7*P177+$W$8*Q177+$W$9*R177+$W$10*S177+$W$11*T177</f>
        <v/>
      </c>
      <c r="AA177" s="8">
        <f>INDEX(LINEST(L118:L177,M118:T177,TRUE,TRUE),1,9)*12</f>
        <v/>
      </c>
      <c r="AB177" s="7">
        <f>INDEX(LINEST(L118:L177,M118:T177,TRUE,TRUE),1,8)</f>
        <v/>
      </c>
      <c r="AC177" s="7">
        <f>INDEX(LINEST(L118:L177,M118:T177,TRUE,TRUE),1,7)</f>
        <v/>
      </c>
      <c r="AD177" s="7">
        <f>INDEX(LINEST(L118:L177,M118:T177,TRUE,TRUE),1,6)</f>
        <v/>
      </c>
      <c r="AE177" s="7">
        <f>INDEX(LINEST(L118:L177,M118:T177,TRUE,TRUE),1,5)</f>
        <v/>
      </c>
      <c r="AF177" s="7">
        <f>INDEX(LINEST(L118:L177,M118:T177,TRUE,TRUE),1,4)</f>
        <v/>
      </c>
      <c r="AG177" s="7">
        <f>INDEX(LINEST(L118:L177,M118:T177,TRUE,TRUE),1,3)</f>
        <v/>
      </c>
      <c r="AH177" s="7">
        <f>INDEX(LINEST(L118:L177,M118:T177,TRUE,TRUE),1,2)</f>
        <v/>
      </c>
      <c r="AI177" s="7">
        <f>INDEX(LINEST(L118:L177,M118:T177,TRUE,TRUE),1,1)</f>
        <v/>
      </c>
      <c r="AJ177" s="8">
        <f>INDEX(LINEST(L118:L177,M118:T177,TRUE,TRUE),3,1)</f>
        <v/>
      </c>
    </row>
    <row r="178">
      <c r="A178" s="5" t="n">
        <v>42978</v>
      </c>
      <c r="B178" s="6" t="n">
        <v>1311.75</v>
      </c>
      <c r="C178" s="6" t="n">
        <v>1.76</v>
      </c>
      <c r="D178" s="6" t="n">
        <v>0.36</v>
      </c>
      <c r="E178" s="6" t="n">
        <v>92.66999800000001</v>
      </c>
      <c r="F178" s="6" t="n">
        <v>47.26</v>
      </c>
      <c r="G178" s="6" t="n">
        <v>10.59</v>
      </c>
      <c r="H178" s="6" t="n">
        <v>51.130001</v>
      </c>
      <c r="I178" s="6" t="n">
        <v>2471.649902</v>
      </c>
      <c r="J178" s="6" t="n">
        <v>85.815636</v>
      </c>
      <c r="L178" s="7">
        <f>LN(B178/B177)</f>
        <v/>
      </c>
      <c r="M178" s="7">
        <f>C178-C177</f>
        <v/>
      </c>
      <c r="N178" s="7">
        <f>D178-D177</f>
        <v/>
      </c>
      <c r="O178" s="7">
        <f>LN(E178/E177)</f>
        <v/>
      </c>
      <c r="P178" s="7">
        <f>LN(F178/F177)</f>
        <v/>
      </c>
      <c r="Q178" s="7">
        <f>G178-G177</f>
        <v/>
      </c>
      <c r="R178" s="7">
        <f>H178-H177</f>
        <v/>
      </c>
      <c r="S178" s="7">
        <f>LN(I178/I177)</f>
        <v/>
      </c>
      <c r="T178" s="7">
        <f>LN(J178/J177)</f>
        <v/>
      </c>
      <c r="U178" s="7">
        <f>$W$12+$W$4*M178+$W$5*N178+$W$6*O178+$W$7*P178+$W$8*Q178+$W$9*R178+$W$10*S178+$W$11*T178</f>
        <v/>
      </c>
      <c r="AA178" s="8">
        <f>INDEX(LINEST(L119:L178,M119:T178,TRUE,TRUE),1,9)*12</f>
        <v/>
      </c>
      <c r="AB178" s="7">
        <f>INDEX(LINEST(L119:L178,M119:T178,TRUE,TRUE),1,8)</f>
        <v/>
      </c>
      <c r="AC178" s="7">
        <f>INDEX(LINEST(L119:L178,M119:T178,TRUE,TRUE),1,7)</f>
        <v/>
      </c>
      <c r="AD178" s="7">
        <f>INDEX(LINEST(L119:L178,M119:T178,TRUE,TRUE),1,6)</f>
        <v/>
      </c>
      <c r="AE178" s="7">
        <f>INDEX(LINEST(L119:L178,M119:T178,TRUE,TRUE),1,5)</f>
        <v/>
      </c>
      <c r="AF178" s="7">
        <f>INDEX(LINEST(L119:L178,M119:T178,TRUE,TRUE),1,4)</f>
        <v/>
      </c>
      <c r="AG178" s="7">
        <f>INDEX(LINEST(L119:L178,M119:T178,TRUE,TRUE),1,3)</f>
        <v/>
      </c>
      <c r="AH178" s="7">
        <f>INDEX(LINEST(L119:L178,M119:T178,TRUE,TRUE),1,2)</f>
        <v/>
      </c>
      <c r="AI178" s="7">
        <f>INDEX(LINEST(L119:L178,M119:T178,TRUE,TRUE),1,1)</f>
        <v/>
      </c>
      <c r="AJ178" s="8">
        <f>INDEX(LINEST(L119:L178,M119:T178,TRUE,TRUE),3,1)</f>
        <v/>
      </c>
    </row>
    <row r="179">
      <c r="A179" s="5" t="n">
        <v>43008</v>
      </c>
      <c r="B179" s="6" t="n">
        <v>1283.1</v>
      </c>
      <c r="C179" s="6" t="n">
        <v>1.84</v>
      </c>
      <c r="D179" s="6" t="n">
        <v>0.49</v>
      </c>
      <c r="E179" s="6" t="n">
        <v>93.08000199999999</v>
      </c>
      <c r="F179" s="6" t="n">
        <v>51.67</v>
      </c>
      <c r="G179" s="6" t="n">
        <v>9.51</v>
      </c>
      <c r="H179" s="6" t="n">
        <v>52.880001</v>
      </c>
      <c r="I179" s="6" t="n">
        <v>2519.360107</v>
      </c>
      <c r="J179" s="6" t="n">
        <v>85.325165</v>
      </c>
      <c r="L179" s="7">
        <f>LN(B179/B178)</f>
        <v/>
      </c>
      <c r="M179" s="7">
        <f>C179-C178</f>
        <v/>
      </c>
      <c r="N179" s="7">
        <f>D179-D178</f>
        <v/>
      </c>
      <c r="O179" s="7">
        <f>LN(E179/E178)</f>
        <v/>
      </c>
      <c r="P179" s="7">
        <f>LN(F179/F178)</f>
        <v/>
      </c>
      <c r="Q179" s="7">
        <f>G179-G178</f>
        <v/>
      </c>
      <c r="R179" s="7">
        <f>H179-H178</f>
        <v/>
      </c>
      <c r="S179" s="7">
        <f>LN(I179/I178)</f>
        <v/>
      </c>
      <c r="T179" s="7">
        <f>LN(J179/J178)</f>
        <v/>
      </c>
      <c r="U179" s="7">
        <f>$W$12+$W$4*M179+$W$5*N179+$W$6*O179+$W$7*P179+$W$8*Q179+$W$9*R179+$W$10*S179+$W$11*T179</f>
        <v/>
      </c>
      <c r="AA179" s="8">
        <f>INDEX(LINEST(L120:L179,M120:T179,TRUE,TRUE),1,9)*12</f>
        <v/>
      </c>
      <c r="AB179" s="7">
        <f>INDEX(LINEST(L120:L179,M120:T179,TRUE,TRUE),1,8)</f>
        <v/>
      </c>
      <c r="AC179" s="7">
        <f>INDEX(LINEST(L120:L179,M120:T179,TRUE,TRUE),1,7)</f>
        <v/>
      </c>
      <c r="AD179" s="7">
        <f>INDEX(LINEST(L120:L179,M120:T179,TRUE,TRUE),1,6)</f>
        <v/>
      </c>
      <c r="AE179" s="7">
        <f>INDEX(LINEST(L120:L179,M120:T179,TRUE,TRUE),1,5)</f>
        <v/>
      </c>
      <c r="AF179" s="7">
        <f>INDEX(LINEST(L120:L179,M120:T179,TRUE,TRUE),1,4)</f>
        <v/>
      </c>
      <c r="AG179" s="7">
        <f>INDEX(LINEST(L120:L179,M120:T179,TRUE,TRUE),1,3)</f>
        <v/>
      </c>
      <c r="AH179" s="7">
        <f>INDEX(LINEST(L120:L179,M120:T179,TRUE,TRUE),1,2)</f>
        <v/>
      </c>
      <c r="AI179" s="7">
        <f>INDEX(LINEST(L120:L179,M120:T179,TRUE,TRUE),1,1)</f>
        <v/>
      </c>
      <c r="AJ179" s="8">
        <f>INDEX(LINEST(L120:L179,M120:T179,TRUE,TRUE),3,1)</f>
        <v/>
      </c>
    </row>
    <row r="180">
      <c r="A180" s="5" t="n">
        <v>43039</v>
      </c>
      <c r="B180" s="6" t="n">
        <v>1270.15</v>
      </c>
      <c r="C180" s="6" t="n">
        <v>1.88</v>
      </c>
      <c r="D180" s="6" t="n">
        <v>0.5</v>
      </c>
      <c r="E180" s="6" t="n">
        <v>94.550003</v>
      </c>
      <c r="F180" s="6" t="n">
        <v>54.36</v>
      </c>
      <c r="G180" s="6" t="n">
        <v>10.18</v>
      </c>
      <c r="H180" s="6" t="n">
        <v>51.150002</v>
      </c>
      <c r="I180" s="6" t="n">
        <v>2575.26001</v>
      </c>
      <c r="J180" s="6" t="n">
        <v>85.40863</v>
      </c>
      <c r="L180" s="7">
        <f>LN(B180/B179)</f>
        <v/>
      </c>
      <c r="M180" s="7">
        <f>C180-C179</f>
        <v/>
      </c>
      <c r="N180" s="7">
        <f>D180-D179</f>
        <v/>
      </c>
      <c r="O180" s="7">
        <f>LN(E180/E179)</f>
        <v/>
      </c>
      <c r="P180" s="7">
        <f>LN(F180/F179)</f>
        <v/>
      </c>
      <c r="Q180" s="7">
        <f>G180-G179</f>
        <v/>
      </c>
      <c r="R180" s="7">
        <f>H180-H179</f>
        <v/>
      </c>
      <c r="S180" s="7">
        <f>LN(I180/I179)</f>
        <v/>
      </c>
      <c r="T180" s="7">
        <f>LN(J180/J179)</f>
        <v/>
      </c>
      <c r="U180" s="7">
        <f>$W$12+$W$4*M180+$W$5*N180+$W$6*O180+$W$7*P180+$W$8*Q180+$W$9*R180+$W$10*S180+$W$11*T180</f>
        <v/>
      </c>
      <c r="AA180" s="8">
        <f>INDEX(LINEST(L121:L180,M121:T180,TRUE,TRUE),1,9)*12</f>
        <v/>
      </c>
      <c r="AB180" s="7">
        <f>INDEX(LINEST(L121:L180,M121:T180,TRUE,TRUE),1,8)</f>
        <v/>
      </c>
      <c r="AC180" s="7">
        <f>INDEX(LINEST(L121:L180,M121:T180,TRUE,TRUE),1,7)</f>
        <v/>
      </c>
      <c r="AD180" s="7">
        <f>INDEX(LINEST(L121:L180,M121:T180,TRUE,TRUE),1,6)</f>
        <v/>
      </c>
      <c r="AE180" s="7">
        <f>INDEX(LINEST(L121:L180,M121:T180,TRUE,TRUE),1,5)</f>
        <v/>
      </c>
      <c r="AF180" s="7">
        <f>INDEX(LINEST(L121:L180,M121:T180,TRUE,TRUE),1,4)</f>
        <v/>
      </c>
      <c r="AG180" s="7">
        <f>INDEX(LINEST(L121:L180,M121:T180,TRUE,TRUE),1,3)</f>
        <v/>
      </c>
      <c r="AH180" s="7">
        <f>INDEX(LINEST(L121:L180,M121:T180,TRUE,TRUE),1,2)</f>
        <v/>
      </c>
      <c r="AI180" s="7">
        <f>INDEX(LINEST(L121:L180,M121:T180,TRUE,TRUE),1,1)</f>
        <v/>
      </c>
      <c r="AJ180" s="8">
        <f>INDEX(LINEST(L121:L180,M121:T180,TRUE,TRUE),3,1)</f>
        <v/>
      </c>
    </row>
    <row r="181">
      <c r="A181" s="5" t="n">
        <v>43069</v>
      </c>
      <c r="B181" s="6" t="n">
        <v>1280.2</v>
      </c>
      <c r="C181" s="6" t="n">
        <v>1.86</v>
      </c>
      <c r="D181" s="6" t="n">
        <v>0.5600000000000001</v>
      </c>
      <c r="E181" s="6" t="n">
        <v>93.010002</v>
      </c>
      <c r="F181" s="6" t="n">
        <v>57.4</v>
      </c>
      <c r="G181" s="6" t="n">
        <v>11.28</v>
      </c>
      <c r="H181" s="6" t="n">
        <v>46.830002</v>
      </c>
      <c r="I181" s="6" t="n">
        <v>2647.580078</v>
      </c>
      <c r="J181" s="6" t="n">
        <v>85.28196</v>
      </c>
      <c r="L181" s="7">
        <f>LN(B181/B180)</f>
        <v/>
      </c>
      <c r="M181" s="7">
        <f>C181-C180</f>
        <v/>
      </c>
      <c r="N181" s="7">
        <f>D181-D180</f>
        <v/>
      </c>
      <c r="O181" s="7">
        <f>LN(E181/E180)</f>
        <v/>
      </c>
      <c r="P181" s="7">
        <f>LN(F181/F180)</f>
        <v/>
      </c>
      <c r="Q181" s="7">
        <f>G181-G180</f>
        <v/>
      </c>
      <c r="R181" s="7">
        <f>H181-H180</f>
        <v/>
      </c>
      <c r="S181" s="7">
        <f>LN(I181/I180)</f>
        <v/>
      </c>
      <c r="T181" s="7">
        <f>LN(J181/J180)</f>
        <v/>
      </c>
      <c r="U181" s="7">
        <f>$W$12+$W$4*M181+$W$5*N181+$W$6*O181+$W$7*P181+$W$8*Q181+$W$9*R181+$W$10*S181+$W$11*T181</f>
        <v/>
      </c>
      <c r="AA181" s="8">
        <f>INDEX(LINEST(L122:L181,M122:T181,TRUE,TRUE),1,9)*12</f>
        <v/>
      </c>
      <c r="AB181" s="7">
        <f>INDEX(LINEST(L122:L181,M122:T181,TRUE,TRUE),1,8)</f>
        <v/>
      </c>
      <c r="AC181" s="7">
        <f>INDEX(LINEST(L122:L181,M122:T181,TRUE,TRUE),1,7)</f>
        <v/>
      </c>
      <c r="AD181" s="7">
        <f>INDEX(LINEST(L122:L181,M122:T181,TRUE,TRUE),1,6)</f>
        <v/>
      </c>
      <c r="AE181" s="7">
        <f>INDEX(LINEST(L122:L181,M122:T181,TRUE,TRUE),1,5)</f>
        <v/>
      </c>
      <c r="AF181" s="7">
        <f>INDEX(LINEST(L122:L181,M122:T181,TRUE,TRUE),1,4)</f>
        <v/>
      </c>
      <c r="AG181" s="7">
        <f>INDEX(LINEST(L122:L181,M122:T181,TRUE,TRUE),1,3)</f>
        <v/>
      </c>
      <c r="AH181" s="7">
        <f>INDEX(LINEST(L122:L181,M122:T181,TRUE,TRUE),1,2)</f>
        <v/>
      </c>
      <c r="AI181" s="7">
        <f>INDEX(LINEST(L122:L181,M122:T181,TRUE,TRUE),1,1)</f>
        <v/>
      </c>
      <c r="AJ181" s="8">
        <f>INDEX(LINEST(L122:L181,M122:T181,TRUE,TRUE),3,1)</f>
        <v/>
      </c>
    </row>
    <row r="182">
      <c r="A182" s="5" t="n">
        <v>43100</v>
      </c>
      <c r="B182" s="6" t="n">
        <v>1291</v>
      </c>
      <c r="C182" s="6" t="n">
        <v>1.96</v>
      </c>
      <c r="D182" s="6" t="n">
        <v>0.44</v>
      </c>
      <c r="E182" s="6" t="n">
        <v>92.120003</v>
      </c>
      <c r="F182" s="6" t="n">
        <v>60.46</v>
      </c>
      <c r="G182" s="6" t="n">
        <v>11.04</v>
      </c>
      <c r="H182" s="6" t="n">
        <v>46.599998</v>
      </c>
      <c r="I182" s="6" t="n">
        <v>2673.610107</v>
      </c>
      <c r="J182" s="6" t="n">
        <v>85.687195</v>
      </c>
      <c r="L182" s="7">
        <f>LN(B182/B181)</f>
        <v/>
      </c>
      <c r="M182" s="7">
        <f>C182-C181</f>
        <v/>
      </c>
      <c r="N182" s="7">
        <f>D182-D181</f>
        <v/>
      </c>
      <c r="O182" s="7">
        <f>LN(E182/E181)</f>
        <v/>
      </c>
      <c r="P182" s="7">
        <f>LN(F182/F181)</f>
        <v/>
      </c>
      <c r="Q182" s="7">
        <f>G182-G181</f>
        <v/>
      </c>
      <c r="R182" s="7">
        <f>H182-H181</f>
        <v/>
      </c>
      <c r="S182" s="7">
        <f>LN(I182/I181)</f>
        <v/>
      </c>
      <c r="T182" s="7">
        <f>LN(J182/J181)</f>
        <v/>
      </c>
      <c r="U182" s="7">
        <f>$W$12+$W$4*M182+$W$5*N182+$W$6*O182+$W$7*P182+$W$8*Q182+$W$9*R182+$W$10*S182+$W$11*T182</f>
        <v/>
      </c>
      <c r="AA182" s="8">
        <f>INDEX(LINEST(L123:L182,M123:T182,TRUE,TRUE),1,9)*12</f>
        <v/>
      </c>
      <c r="AB182" s="7">
        <f>INDEX(LINEST(L123:L182,M123:T182,TRUE,TRUE),1,8)</f>
        <v/>
      </c>
      <c r="AC182" s="7">
        <f>INDEX(LINEST(L123:L182,M123:T182,TRUE,TRUE),1,7)</f>
        <v/>
      </c>
      <c r="AD182" s="7">
        <f>INDEX(LINEST(L123:L182,M123:T182,TRUE,TRUE),1,6)</f>
        <v/>
      </c>
      <c r="AE182" s="7">
        <f>INDEX(LINEST(L123:L182,M123:T182,TRUE,TRUE),1,5)</f>
        <v/>
      </c>
      <c r="AF182" s="7">
        <f>INDEX(LINEST(L123:L182,M123:T182,TRUE,TRUE),1,4)</f>
        <v/>
      </c>
      <c r="AG182" s="7">
        <f>INDEX(LINEST(L123:L182,M123:T182,TRUE,TRUE),1,3)</f>
        <v/>
      </c>
      <c r="AH182" s="7">
        <f>INDEX(LINEST(L123:L182,M123:T182,TRUE,TRUE),1,2)</f>
        <v/>
      </c>
      <c r="AI182" s="7">
        <f>INDEX(LINEST(L123:L182,M123:T182,TRUE,TRUE),1,1)</f>
        <v/>
      </c>
      <c r="AJ182" s="8">
        <f>INDEX(LINEST(L123:L182,M123:T182,TRUE,TRUE),3,1)</f>
        <v/>
      </c>
    </row>
    <row r="183">
      <c r="A183" s="5" t="n">
        <v>43131</v>
      </c>
      <c r="B183" s="6" t="n">
        <v>1345.05</v>
      </c>
      <c r="C183" s="6" t="n">
        <v>2.11</v>
      </c>
      <c r="D183" s="6" t="n">
        <v>0.61</v>
      </c>
      <c r="E183" s="6" t="n">
        <v>89.129997</v>
      </c>
      <c r="F183" s="6" t="n">
        <v>64.81999999999999</v>
      </c>
      <c r="G183" s="6" t="n">
        <v>13.54</v>
      </c>
      <c r="H183" s="6" t="n">
        <v>57.200001</v>
      </c>
      <c r="I183" s="6" t="n">
        <v>2823.810059</v>
      </c>
      <c r="J183" s="6" t="n">
        <v>84.723213</v>
      </c>
      <c r="L183" s="7">
        <f>LN(B183/B182)</f>
        <v/>
      </c>
      <c r="M183" s="7">
        <f>C183-C182</f>
        <v/>
      </c>
      <c r="N183" s="7">
        <f>D183-D182</f>
        <v/>
      </c>
      <c r="O183" s="7">
        <f>LN(E183/E182)</f>
        <v/>
      </c>
      <c r="P183" s="7">
        <f>LN(F183/F182)</f>
        <v/>
      </c>
      <c r="Q183" s="7">
        <f>G183-G182</f>
        <v/>
      </c>
      <c r="R183" s="7">
        <f>H183-H182</f>
        <v/>
      </c>
      <c r="S183" s="7">
        <f>LN(I183/I182)</f>
        <v/>
      </c>
      <c r="T183" s="7">
        <f>LN(J183/J182)</f>
        <v/>
      </c>
      <c r="U183" s="7">
        <f>$W$12+$W$4*M183+$W$5*N183+$W$6*O183+$W$7*P183+$W$8*Q183+$W$9*R183+$W$10*S183+$W$11*T183</f>
        <v/>
      </c>
      <c r="AA183" s="8">
        <f>INDEX(LINEST(L124:L183,M124:T183,TRUE,TRUE),1,9)*12</f>
        <v/>
      </c>
      <c r="AB183" s="7">
        <f>INDEX(LINEST(L124:L183,M124:T183,TRUE,TRUE),1,8)</f>
        <v/>
      </c>
      <c r="AC183" s="7">
        <f>INDEX(LINEST(L124:L183,M124:T183,TRUE,TRUE),1,7)</f>
        <v/>
      </c>
      <c r="AD183" s="7">
        <f>INDEX(LINEST(L124:L183,M124:T183,TRUE,TRUE),1,6)</f>
        <v/>
      </c>
      <c r="AE183" s="7">
        <f>INDEX(LINEST(L124:L183,M124:T183,TRUE,TRUE),1,5)</f>
        <v/>
      </c>
      <c r="AF183" s="7">
        <f>INDEX(LINEST(L124:L183,M124:T183,TRUE,TRUE),1,4)</f>
        <v/>
      </c>
      <c r="AG183" s="7">
        <f>INDEX(LINEST(L124:L183,M124:T183,TRUE,TRUE),1,3)</f>
        <v/>
      </c>
      <c r="AH183" s="7">
        <f>INDEX(LINEST(L124:L183,M124:T183,TRUE,TRUE),1,2)</f>
        <v/>
      </c>
      <c r="AI183" s="7">
        <f>INDEX(LINEST(L124:L183,M124:T183,TRUE,TRUE),1,1)</f>
        <v/>
      </c>
      <c r="AJ183" s="8">
        <f>INDEX(LINEST(L124:L183,M124:T183,TRUE,TRUE),3,1)</f>
        <v/>
      </c>
    </row>
    <row r="184">
      <c r="A184" s="5" t="n">
        <v>43159</v>
      </c>
      <c r="B184" s="6" t="n">
        <v>1317.85</v>
      </c>
      <c r="C184" s="6" t="n">
        <v>2.12</v>
      </c>
      <c r="D184" s="6" t="n">
        <v>0.75</v>
      </c>
      <c r="E184" s="6" t="n">
        <v>90.610001</v>
      </c>
      <c r="F184" s="6" t="n">
        <v>61.43</v>
      </c>
      <c r="G184" s="6" t="n">
        <v>19.85</v>
      </c>
      <c r="H184" s="6" t="n">
        <v>62.970001</v>
      </c>
      <c r="I184" s="6" t="n">
        <v>2713.830078</v>
      </c>
      <c r="J184" s="6" t="n">
        <v>83.868515</v>
      </c>
      <c r="L184" s="7">
        <f>LN(B184/B183)</f>
        <v/>
      </c>
      <c r="M184" s="7">
        <f>C184-C183</f>
        <v/>
      </c>
      <c r="N184" s="7">
        <f>D184-D183</f>
        <v/>
      </c>
      <c r="O184" s="7">
        <f>LN(E184/E183)</f>
        <v/>
      </c>
      <c r="P184" s="7">
        <f>LN(F184/F183)</f>
        <v/>
      </c>
      <c r="Q184" s="7">
        <f>G184-G183</f>
        <v/>
      </c>
      <c r="R184" s="7">
        <f>H184-H183</f>
        <v/>
      </c>
      <c r="S184" s="7">
        <f>LN(I184/I183)</f>
        <v/>
      </c>
      <c r="T184" s="7">
        <f>LN(J184/J183)</f>
        <v/>
      </c>
      <c r="U184" s="7">
        <f>$W$12+$W$4*M184+$W$5*N184+$W$6*O184+$W$7*P184+$W$8*Q184+$W$9*R184+$W$10*S184+$W$11*T184</f>
        <v/>
      </c>
      <c r="AA184" s="8">
        <f>INDEX(LINEST(L125:L184,M125:T184,TRUE,TRUE),1,9)*12</f>
        <v/>
      </c>
      <c r="AB184" s="7">
        <f>INDEX(LINEST(L125:L184,M125:T184,TRUE,TRUE),1,8)</f>
        <v/>
      </c>
      <c r="AC184" s="7">
        <f>INDEX(LINEST(L125:L184,M125:T184,TRUE,TRUE),1,7)</f>
        <v/>
      </c>
      <c r="AD184" s="7">
        <f>INDEX(LINEST(L125:L184,M125:T184,TRUE,TRUE),1,6)</f>
        <v/>
      </c>
      <c r="AE184" s="7">
        <f>INDEX(LINEST(L125:L184,M125:T184,TRUE,TRUE),1,5)</f>
        <v/>
      </c>
      <c r="AF184" s="7">
        <f>INDEX(LINEST(L125:L184,M125:T184,TRUE,TRUE),1,4)</f>
        <v/>
      </c>
      <c r="AG184" s="7">
        <f>INDEX(LINEST(L125:L184,M125:T184,TRUE,TRUE),1,3)</f>
        <v/>
      </c>
      <c r="AH184" s="7">
        <f>INDEX(LINEST(L125:L184,M125:T184,TRUE,TRUE),1,2)</f>
        <v/>
      </c>
      <c r="AI184" s="7">
        <f>INDEX(LINEST(L125:L184,M125:T184,TRUE,TRUE),1,1)</f>
        <v/>
      </c>
      <c r="AJ184" s="8">
        <f>INDEX(LINEST(L125:L184,M125:T184,TRUE,TRUE),3,1)</f>
        <v/>
      </c>
    </row>
    <row r="185">
      <c r="A185" s="5" t="n">
        <v>43190</v>
      </c>
      <c r="B185" s="6" t="n">
        <v>1323.85</v>
      </c>
      <c r="C185" s="6" t="n">
        <v>2.05</v>
      </c>
      <c r="D185" s="6" t="n">
        <v>0.6899999999999999</v>
      </c>
      <c r="E185" s="6" t="n">
        <v>90.150002</v>
      </c>
      <c r="F185" s="6" t="n">
        <v>64.87</v>
      </c>
      <c r="G185" s="6" t="n">
        <v>19.97</v>
      </c>
      <c r="H185" s="6" t="n">
        <v>58.540001</v>
      </c>
      <c r="I185" s="6" t="n">
        <v>2640.870117</v>
      </c>
      <c r="J185" s="6" t="n">
        <v>84.431442</v>
      </c>
      <c r="L185" s="7">
        <f>LN(B185/B184)</f>
        <v/>
      </c>
      <c r="M185" s="7">
        <f>C185-C184</f>
        <v/>
      </c>
      <c r="N185" s="7">
        <f>D185-D184</f>
        <v/>
      </c>
      <c r="O185" s="7">
        <f>LN(E185/E184)</f>
        <v/>
      </c>
      <c r="P185" s="7">
        <f>LN(F185/F184)</f>
        <v/>
      </c>
      <c r="Q185" s="7">
        <f>G185-G184</f>
        <v/>
      </c>
      <c r="R185" s="7">
        <f>H185-H184</f>
        <v/>
      </c>
      <c r="S185" s="7">
        <f>LN(I185/I184)</f>
        <v/>
      </c>
      <c r="T185" s="7">
        <f>LN(J185/J184)</f>
        <v/>
      </c>
      <c r="U185" s="7">
        <f>$W$12+$W$4*M185+$W$5*N185+$W$6*O185+$W$7*P185+$W$8*Q185+$W$9*R185+$W$10*S185+$W$11*T185</f>
        <v/>
      </c>
      <c r="AA185" s="8">
        <f>INDEX(LINEST(L126:L185,M126:T185,TRUE,TRUE),1,9)*12</f>
        <v/>
      </c>
      <c r="AB185" s="7">
        <f>INDEX(LINEST(L126:L185,M126:T185,TRUE,TRUE),1,8)</f>
        <v/>
      </c>
      <c r="AC185" s="7">
        <f>INDEX(LINEST(L126:L185,M126:T185,TRUE,TRUE),1,7)</f>
        <v/>
      </c>
      <c r="AD185" s="7">
        <f>INDEX(LINEST(L126:L185,M126:T185,TRUE,TRUE),1,6)</f>
        <v/>
      </c>
      <c r="AE185" s="7">
        <f>INDEX(LINEST(L126:L185,M126:T185,TRUE,TRUE),1,5)</f>
        <v/>
      </c>
      <c r="AF185" s="7">
        <f>INDEX(LINEST(L126:L185,M126:T185,TRUE,TRUE),1,4)</f>
        <v/>
      </c>
      <c r="AG185" s="7">
        <f>INDEX(LINEST(L126:L185,M126:T185,TRUE,TRUE),1,3)</f>
        <v/>
      </c>
      <c r="AH185" s="7">
        <f>INDEX(LINEST(L126:L185,M126:T185,TRUE,TRUE),1,2)</f>
        <v/>
      </c>
      <c r="AI185" s="7">
        <f>INDEX(LINEST(L126:L185,M126:T185,TRUE,TRUE),1,1)</f>
        <v/>
      </c>
      <c r="AJ185" s="8">
        <f>INDEX(LINEST(L126:L185,M126:T185,TRUE,TRUE),3,1)</f>
        <v/>
      </c>
    </row>
    <row r="186">
      <c r="A186" s="5" t="n">
        <v>43220</v>
      </c>
      <c r="B186" s="6" t="n">
        <v>1313.2</v>
      </c>
      <c r="C186" s="6" t="n">
        <v>2.17</v>
      </c>
      <c r="D186" s="6" t="n">
        <v>0.78</v>
      </c>
      <c r="E186" s="6" t="n">
        <v>91.839996</v>
      </c>
      <c r="F186" s="6" t="n">
        <v>68.56</v>
      </c>
      <c r="G186" s="6" t="n">
        <v>15.93</v>
      </c>
      <c r="H186" s="6" t="n">
        <v>50.349998</v>
      </c>
      <c r="I186" s="6" t="n">
        <v>2648.050049</v>
      </c>
      <c r="J186" s="6" t="n">
        <v>83.636864</v>
      </c>
      <c r="L186" s="7">
        <f>LN(B186/B185)</f>
        <v/>
      </c>
      <c r="M186" s="7">
        <f>C186-C185</f>
        <v/>
      </c>
      <c r="N186" s="7">
        <f>D186-D185</f>
        <v/>
      </c>
      <c r="O186" s="7">
        <f>LN(E186/E185)</f>
        <v/>
      </c>
      <c r="P186" s="7">
        <f>LN(F186/F185)</f>
        <v/>
      </c>
      <c r="Q186" s="7">
        <f>G186-G185</f>
        <v/>
      </c>
      <c r="R186" s="7">
        <f>H186-H185</f>
        <v/>
      </c>
      <c r="S186" s="7">
        <f>LN(I186/I185)</f>
        <v/>
      </c>
      <c r="T186" s="7">
        <f>LN(J186/J185)</f>
        <v/>
      </c>
      <c r="U186" s="7">
        <f>$W$12+$W$4*M186+$W$5*N186+$W$6*O186+$W$7*P186+$W$8*Q186+$W$9*R186+$W$10*S186+$W$11*T186</f>
        <v/>
      </c>
      <c r="AA186" s="8">
        <f>INDEX(LINEST(L127:L186,M127:T186,TRUE,TRUE),1,9)*12</f>
        <v/>
      </c>
      <c r="AB186" s="7">
        <f>INDEX(LINEST(L127:L186,M127:T186,TRUE,TRUE),1,8)</f>
        <v/>
      </c>
      <c r="AC186" s="7">
        <f>INDEX(LINEST(L127:L186,M127:T186,TRUE,TRUE),1,7)</f>
        <v/>
      </c>
      <c r="AD186" s="7">
        <f>INDEX(LINEST(L127:L186,M127:T186,TRUE,TRUE),1,6)</f>
        <v/>
      </c>
      <c r="AE186" s="7">
        <f>INDEX(LINEST(L127:L186,M127:T186,TRUE,TRUE),1,5)</f>
        <v/>
      </c>
      <c r="AF186" s="7">
        <f>INDEX(LINEST(L127:L186,M127:T186,TRUE,TRUE),1,4)</f>
        <v/>
      </c>
      <c r="AG186" s="7">
        <f>INDEX(LINEST(L127:L186,M127:T186,TRUE,TRUE),1,3)</f>
        <v/>
      </c>
      <c r="AH186" s="7">
        <f>INDEX(LINEST(L127:L186,M127:T186,TRUE,TRUE),1,2)</f>
        <v/>
      </c>
      <c r="AI186" s="7">
        <f>INDEX(LINEST(L127:L186,M127:T186,TRUE,TRUE),1,1)</f>
        <v/>
      </c>
      <c r="AJ186" s="8">
        <f>INDEX(LINEST(L127:L186,M127:T186,TRUE,TRUE),3,1)</f>
        <v/>
      </c>
    </row>
    <row r="187">
      <c r="A187" s="5" t="n">
        <v>43251</v>
      </c>
      <c r="B187" s="6" t="n">
        <v>1305.35</v>
      </c>
      <c r="C187" s="6" t="n">
        <v>2.07</v>
      </c>
      <c r="D187" s="6" t="n">
        <v>0.76</v>
      </c>
      <c r="E187" s="6" t="n">
        <v>93.989998</v>
      </c>
      <c r="F187" s="6" t="n">
        <v>66.98</v>
      </c>
      <c r="G187" s="6" t="n">
        <v>15.43</v>
      </c>
      <c r="H187" s="6" t="n">
        <v>60.540001</v>
      </c>
      <c r="I187" s="6" t="n">
        <v>2705.27002</v>
      </c>
      <c r="J187" s="6" t="n">
        <v>84.190468</v>
      </c>
      <c r="L187" s="7">
        <f>LN(B187/B186)</f>
        <v/>
      </c>
      <c r="M187" s="7">
        <f>C187-C186</f>
        <v/>
      </c>
      <c r="N187" s="7">
        <f>D187-D186</f>
        <v/>
      </c>
      <c r="O187" s="7">
        <f>LN(E187/E186)</f>
        <v/>
      </c>
      <c r="P187" s="7">
        <f>LN(F187/F186)</f>
        <v/>
      </c>
      <c r="Q187" s="7">
        <f>G187-G186</f>
        <v/>
      </c>
      <c r="R187" s="7">
        <f>H187-H186</f>
        <v/>
      </c>
      <c r="S187" s="7">
        <f>LN(I187/I186)</f>
        <v/>
      </c>
      <c r="T187" s="7">
        <f>LN(J187/J186)</f>
        <v/>
      </c>
      <c r="U187" s="7">
        <f>$W$12+$W$4*M187+$W$5*N187+$W$6*O187+$W$7*P187+$W$8*Q187+$W$9*R187+$W$10*S187+$W$11*T187</f>
        <v/>
      </c>
      <c r="AA187" s="8">
        <f>INDEX(LINEST(L128:L187,M128:T187,TRUE,TRUE),1,9)*12</f>
        <v/>
      </c>
      <c r="AB187" s="7">
        <f>INDEX(LINEST(L128:L187,M128:T187,TRUE,TRUE),1,8)</f>
        <v/>
      </c>
      <c r="AC187" s="7">
        <f>INDEX(LINEST(L128:L187,M128:T187,TRUE,TRUE),1,7)</f>
        <v/>
      </c>
      <c r="AD187" s="7">
        <f>INDEX(LINEST(L128:L187,M128:T187,TRUE,TRUE),1,6)</f>
        <v/>
      </c>
      <c r="AE187" s="7">
        <f>INDEX(LINEST(L128:L187,M128:T187,TRUE,TRUE),1,5)</f>
        <v/>
      </c>
      <c r="AF187" s="7">
        <f>INDEX(LINEST(L128:L187,M128:T187,TRUE,TRUE),1,4)</f>
        <v/>
      </c>
      <c r="AG187" s="7">
        <f>INDEX(LINEST(L128:L187,M128:T187,TRUE,TRUE),1,3)</f>
        <v/>
      </c>
      <c r="AH187" s="7">
        <f>INDEX(LINEST(L128:L187,M128:T187,TRUE,TRUE),1,2)</f>
        <v/>
      </c>
      <c r="AI187" s="7">
        <f>INDEX(LINEST(L128:L187,M128:T187,TRUE,TRUE),1,1)</f>
        <v/>
      </c>
      <c r="AJ187" s="8">
        <f>INDEX(LINEST(L128:L187,M128:T187,TRUE,TRUE),3,1)</f>
        <v/>
      </c>
    </row>
    <row r="188">
      <c r="A188" s="5" t="n">
        <v>43281</v>
      </c>
      <c r="B188" s="6" t="n">
        <v>1250.45</v>
      </c>
      <c r="C188" s="6" t="n">
        <v>2.11</v>
      </c>
      <c r="D188" s="6" t="n">
        <v>0.74</v>
      </c>
      <c r="E188" s="6" t="n">
        <v>94.629997</v>
      </c>
      <c r="F188" s="6" t="n">
        <v>74.13</v>
      </c>
      <c r="G188" s="6" t="n">
        <v>16.09</v>
      </c>
      <c r="H188" s="6" t="n">
        <v>51.169998</v>
      </c>
      <c r="I188" s="6" t="n">
        <v>2718.370117</v>
      </c>
      <c r="J188" s="6" t="n">
        <v>84.276825</v>
      </c>
      <c r="L188" s="7">
        <f>LN(B188/B187)</f>
        <v/>
      </c>
      <c r="M188" s="7">
        <f>C188-C187</f>
        <v/>
      </c>
      <c r="N188" s="7">
        <f>D188-D187</f>
        <v/>
      </c>
      <c r="O188" s="7">
        <f>LN(E188/E187)</f>
        <v/>
      </c>
      <c r="P188" s="7">
        <f>LN(F188/F187)</f>
        <v/>
      </c>
      <c r="Q188" s="7">
        <f>G188-G187</f>
        <v/>
      </c>
      <c r="R188" s="7">
        <f>H188-H187</f>
        <v/>
      </c>
      <c r="S188" s="7">
        <f>LN(I188/I187)</f>
        <v/>
      </c>
      <c r="T188" s="7">
        <f>LN(J188/J187)</f>
        <v/>
      </c>
      <c r="U188" s="7">
        <f>$W$12+$W$4*M188+$W$5*N188+$W$6*O188+$W$7*P188+$W$8*Q188+$W$9*R188+$W$10*S188+$W$11*T188</f>
        <v/>
      </c>
      <c r="AA188" s="8">
        <f>INDEX(LINEST(L129:L188,M129:T188,TRUE,TRUE),1,9)*12</f>
        <v/>
      </c>
      <c r="AB188" s="7">
        <f>INDEX(LINEST(L129:L188,M129:T188,TRUE,TRUE),1,8)</f>
        <v/>
      </c>
      <c r="AC188" s="7">
        <f>INDEX(LINEST(L129:L188,M129:T188,TRUE,TRUE),1,7)</f>
        <v/>
      </c>
      <c r="AD188" s="7">
        <f>INDEX(LINEST(L129:L188,M129:T188,TRUE,TRUE),1,6)</f>
        <v/>
      </c>
      <c r="AE188" s="7">
        <f>INDEX(LINEST(L129:L188,M129:T188,TRUE,TRUE),1,5)</f>
        <v/>
      </c>
      <c r="AF188" s="7">
        <f>INDEX(LINEST(L129:L188,M129:T188,TRUE,TRUE),1,4)</f>
        <v/>
      </c>
      <c r="AG188" s="7">
        <f>INDEX(LINEST(L129:L188,M129:T188,TRUE,TRUE),1,3)</f>
        <v/>
      </c>
      <c r="AH188" s="7">
        <f>INDEX(LINEST(L129:L188,M129:T188,TRUE,TRUE),1,2)</f>
        <v/>
      </c>
      <c r="AI188" s="7">
        <f>INDEX(LINEST(L129:L188,M129:T188,TRUE,TRUE),1,1)</f>
        <v/>
      </c>
      <c r="AJ188" s="8">
        <f>INDEX(LINEST(L129:L188,M129:T188,TRUE,TRUE),3,1)</f>
        <v/>
      </c>
    </row>
    <row r="189">
      <c r="A189" s="5" t="n">
        <v>43312</v>
      </c>
      <c r="B189" s="6" t="n">
        <v>1220.95</v>
      </c>
      <c r="C189" s="6" t="n">
        <v>2.12</v>
      </c>
      <c r="D189" s="6" t="n">
        <v>0.84</v>
      </c>
      <c r="E189" s="6" t="n">
        <v>94.489998</v>
      </c>
      <c r="F189" s="6" t="n">
        <v>69.88</v>
      </c>
      <c r="G189" s="6" t="n">
        <v>12.83</v>
      </c>
      <c r="H189" s="6" t="n">
        <v>46.5</v>
      </c>
      <c r="I189" s="6" t="n">
        <v>2816.290039</v>
      </c>
      <c r="J189" s="6" t="n">
        <v>84.252213</v>
      </c>
      <c r="L189" s="7">
        <f>LN(B189/B188)</f>
        <v/>
      </c>
      <c r="M189" s="7">
        <f>C189-C188</f>
        <v/>
      </c>
      <c r="N189" s="7">
        <f>D189-D188</f>
        <v/>
      </c>
      <c r="O189" s="7">
        <f>LN(E189/E188)</f>
        <v/>
      </c>
      <c r="P189" s="7">
        <f>LN(F189/F188)</f>
        <v/>
      </c>
      <c r="Q189" s="7">
        <f>G189-G188</f>
        <v/>
      </c>
      <c r="R189" s="7">
        <f>H189-H188</f>
        <v/>
      </c>
      <c r="S189" s="7">
        <f>LN(I189/I188)</f>
        <v/>
      </c>
      <c r="T189" s="7">
        <f>LN(J189/J188)</f>
        <v/>
      </c>
      <c r="U189" s="7">
        <f>$W$12+$W$4*M189+$W$5*N189+$W$6*O189+$W$7*P189+$W$8*Q189+$W$9*R189+$W$10*S189+$W$11*T189</f>
        <v/>
      </c>
      <c r="AA189" s="8">
        <f>INDEX(LINEST(L130:L189,M130:T189,TRUE,TRUE),1,9)*12</f>
        <v/>
      </c>
      <c r="AB189" s="7">
        <f>INDEX(LINEST(L130:L189,M130:T189,TRUE,TRUE),1,8)</f>
        <v/>
      </c>
      <c r="AC189" s="7">
        <f>INDEX(LINEST(L130:L189,M130:T189,TRUE,TRUE),1,7)</f>
        <v/>
      </c>
      <c r="AD189" s="7">
        <f>INDEX(LINEST(L130:L189,M130:T189,TRUE,TRUE),1,6)</f>
        <v/>
      </c>
      <c r="AE189" s="7">
        <f>INDEX(LINEST(L130:L189,M130:T189,TRUE,TRUE),1,5)</f>
        <v/>
      </c>
      <c r="AF189" s="7">
        <f>INDEX(LINEST(L130:L189,M130:T189,TRUE,TRUE),1,4)</f>
        <v/>
      </c>
      <c r="AG189" s="7">
        <f>INDEX(LINEST(L130:L189,M130:T189,TRUE,TRUE),1,3)</f>
        <v/>
      </c>
      <c r="AH189" s="7">
        <f>INDEX(LINEST(L130:L189,M130:T189,TRUE,TRUE),1,2)</f>
        <v/>
      </c>
      <c r="AI189" s="7">
        <f>INDEX(LINEST(L130:L189,M130:T189,TRUE,TRUE),1,1)</f>
        <v/>
      </c>
      <c r="AJ189" s="8">
        <f>INDEX(LINEST(L130:L189,M130:T189,TRUE,TRUE),3,1)</f>
        <v/>
      </c>
    </row>
    <row r="190">
      <c r="A190" s="5" t="n">
        <v>43343</v>
      </c>
      <c r="B190" s="6" t="n">
        <v>1202.45</v>
      </c>
      <c r="C190" s="6" t="n">
        <v>2.08</v>
      </c>
      <c r="D190" s="6" t="n">
        <v>0.78</v>
      </c>
      <c r="E190" s="6" t="n">
        <v>95.139999</v>
      </c>
      <c r="F190" s="6" t="n">
        <v>69.84</v>
      </c>
      <c r="G190" s="6" t="n">
        <v>12.86</v>
      </c>
      <c r="H190" s="6" t="n">
        <v>50.709999</v>
      </c>
      <c r="I190" s="6" t="n">
        <v>2901.52002</v>
      </c>
      <c r="J190" s="6" t="n">
        <v>84.730774</v>
      </c>
      <c r="L190" s="7">
        <f>LN(B190/B189)</f>
        <v/>
      </c>
      <c r="M190" s="7">
        <f>C190-C189</f>
        <v/>
      </c>
      <c r="N190" s="7">
        <f>D190-D189</f>
        <v/>
      </c>
      <c r="O190" s="7">
        <f>LN(E190/E189)</f>
        <v/>
      </c>
      <c r="P190" s="7">
        <f>LN(F190/F189)</f>
        <v/>
      </c>
      <c r="Q190" s="7">
        <f>G190-G189</f>
        <v/>
      </c>
      <c r="R190" s="7">
        <f>H190-H189</f>
        <v/>
      </c>
      <c r="S190" s="7">
        <f>LN(I190/I189)</f>
        <v/>
      </c>
      <c r="T190" s="7">
        <f>LN(J190/J189)</f>
        <v/>
      </c>
      <c r="U190" s="7">
        <f>$W$12+$W$4*M190+$W$5*N190+$W$6*O190+$W$7*P190+$W$8*Q190+$W$9*R190+$W$10*S190+$W$11*T190</f>
        <v/>
      </c>
      <c r="AA190" s="8">
        <f>INDEX(LINEST(L131:L190,M131:T190,TRUE,TRUE),1,9)*12</f>
        <v/>
      </c>
      <c r="AB190" s="7">
        <f>INDEX(LINEST(L131:L190,M131:T190,TRUE,TRUE),1,8)</f>
        <v/>
      </c>
      <c r="AC190" s="7">
        <f>INDEX(LINEST(L131:L190,M131:T190,TRUE,TRUE),1,7)</f>
        <v/>
      </c>
      <c r="AD190" s="7">
        <f>INDEX(LINEST(L131:L190,M131:T190,TRUE,TRUE),1,6)</f>
        <v/>
      </c>
      <c r="AE190" s="7">
        <f>INDEX(LINEST(L131:L190,M131:T190,TRUE,TRUE),1,5)</f>
        <v/>
      </c>
      <c r="AF190" s="7">
        <f>INDEX(LINEST(L131:L190,M131:T190,TRUE,TRUE),1,4)</f>
        <v/>
      </c>
      <c r="AG190" s="7">
        <f>INDEX(LINEST(L131:L190,M131:T190,TRUE,TRUE),1,3)</f>
        <v/>
      </c>
      <c r="AH190" s="7">
        <f>INDEX(LINEST(L131:L190,M131:T190,TRUE,TRUE),1,2)</f>
        <v/>
      </c>
      <c r="AI190" s="7">
        <f>INDEX(LINEST(L131:L190,M131:T190,TRUE,TRUE),1,1)</f>
        <v/>
      </c>
      <c r="AJ190" s="8">
        <f>INDEX(LINEST(L131:L190,M131:T190,TRUE,TRUE),3,1)</f>
        <v/>
      </c>
    </row>
    <row r="191">
      <c r="A191" s="5" t="n">
        <v>43373</v>
      </c>
      <c r="B191" s="6" t="n">
        <v>1187.25</v>
      </c>
      <c r="C191" s="6" t="n">
        <v>2.14</v>
      </c>
      <c r="D191" s="6" t="n">
        <v>0.91</v>
      </c>
      <c r="E191" s="6" t="n">
        <v>95.19000200000001</v>
      </c>
      <c r="F191" s="6" t="n">
        <v>73.16</v>
      </c>
      <c r="G191" s="6" t="n">
        <v>12.12</v>
      </c>
      <c r="H191" s="6" t="n">
        <v>46.16</v>
      </c>
      <c r="I191" s="6" t="n">
        <v>2913.97998</v>
      </c>
      <c r="J191" s="6" t="n">
        <v>84.20568799999999</v>
      </c>
      <c r="L191" s="7">
        <f>LN(B191/B190)</f>
        <v/>
      </c>
      <c r="M191" s="7">
        <f>C191-C190</f>
        <v/>
      </c>
      <c r="N191" s="7">
        <f>D191-D190</f>
        <v/>
      </c>
      <c r="O191" s="7">
        <f>LN(E191/E190)</f>
        <v/>
      </c>
      <c r="P191" s="7">
        <f>LN(F191/F190)</f>
        <v/>
      </c>
      <c r="Q191" s="7">
        <f>G191-G190</f>
        <v/>
      </c>
      <c r="R191" s="7">
        <f>H191-H190</f>
        <v/>
      </c>
      <c r="S191" s="7">
        <f>LN(I191/I190)</f>
        <v/>
      </c>
      <c r="T191" s="7">
        <f>LN(J191/J190)</f>
        <v/>
      </c>
      <c r="U191" s="7">
        <f>$W$12+$W$4*M191+$W$5*N191+$W$6*O191+$W$7*P191+$W$8*Q191+$W$9*R191+$W$10*S191+$W$11*T191</f>
        <v/>
      </c>
      <c r="AA191" s="8">
        <f>INDEX(LINEST(L132:L191,M132:T191,TRUE,TRUE),1,9)*12</f>
        <v/>
      </c>
      <c r="AB191" s="7">
        <f>INDEX(LINEST(L132:L191,M132:T191,TRUE,TRUE),1,8)</f>
        <v/>
      </c>
      <c r="AC191" s="7">
        <f>INDEX(LINEST(L132:L191,M132:T191,TRUE,TRUE),1,7)</f>
        <v/>
      </c>
      <c r="AD191" s="7">
        <f>INDEX(LINEST(L132:L191,M132:T191,TRUE,TRUE),1,6)</f>
        <v/>
      </c>
      <c r="AE191" s="7">
        <f>INDEX(LINEST(L132:L191,M132:T191,TRUE,TRUE),1,5)</f>
        <v/>
      </c>
      <c r="AF191" s="7">
        <f>INDEX(LINEST(L132:L191,M132:T191,TRUE,TRUE),1,4)</f>
        <v/>
      </c>
      <c r="AG191" s="7">
        <f>INDEX(LINEST(L132:L191,M132:T191,TRUE,TRUE),1,3)</f>
        <v/>
      </c>
      <c r="AH191" s="7">
        <f>INDEX(LINEST(L132:L191,M132:T191,TRUE,TRUE),1,2)</f>
        <v/>
      </c>
      <c r="AI191" s="7">
        <f>INDEX(LINEST(L132:L191,M132:T191,TRUE,TRUE),1,1)</f>
        <v/>
      </c>
      <c r="AJ191" s="8">
        <f>INDEX(LINEST(L132:L191,M132:T191,TRUE,TRUE),3,1)</f>
        <v/>
      </c>
    </row>
    <row r="192">
      <c r="A192" s="5" t="n">
        <v>43404</v>
      </c>
      <c r="B192" s="6" t="n">
        <v>1214.95</v>
      </c>
      <c r="C192" s="6" t="n">
        <v>2.05</v>
      </c>
      <c r="D192" s="6" t="n">
        <v>1.1</v>
      </c>
      <c r="E192" s="6" t="n">
        <v>97.129997</v>
      </c>
      <c r="F192" s="6" t="n">
        <v>65.31</v>
      </c>
      <c r="G192" s="6" t="n">
        <v>21.23</v>
      </c>
      <c r="H192" s="6" t="n">
        <v>60.130001</v>
      </c>
      <c r="I192" s="6" t="n">
        <v>2711.73999</v>
      </c>
      <c r="J192" s="6" t="n">
        <v>83.66333</v>
      </c>
      <c r="L192" s="7">
        <f>LN(B192/B191)</f>
        <v/>
      </c>
      <c r="M192" s="7">
        <f>C192-C191</f>
        <v/>
      </c>
      <c r="N192" s="7">
        <f>D192-D191</f>
        <v/>
      </c>
      <c r="O192" s="7">
        <f>LN(E192/E191)</f>
        <v/>
      </c>
      <c r="P192" s="7">
        <f>LN(F192/F191)</f>
        <v/>
      </c>
      <c r="Q192" s="7">
        <f>G192-G191</f>
        <v/>
      </c>
      <c r="R192" s="7">
        <f>H192-H191</f>
        <v/>
      </c>
      <c r="S192" s="7">
        <f>LN(I192/I191)</f>
        <v/>
      </c>
      <c r="T192" s="7">
        <f>LN(J192/J191)</f>
        <v/>
      </c>
      <c r="U192" s="7">
        <f>$W$12+$W$4*M192+$W$5*N192+$W$6*O192+$W$7*P192+$W$8*Q192+$W$9*R192+$W$10*S192+$W$11*T192</f>
        <v/>
      </c>
      <c r="AA192" s="8">
        <f>INDEX(LINEST(L133:L192,M133:T192,TRUE,TRUE),1,9)*12</f>
        <v/>
      </c>
      <c r="AB192" s="7">
        <f>INDEX(LINEST(L133:L192,M133:T192,TRUE,TRUE),1,8)</f>
        <v/>
      </c>
      <c r="AC192" s="7">
        <f>INDEX(LINEST(L133:L192,M133:T192,TRUE,TRUE),1,7)</f>
        <v/>
      </c>
      <c r="AD192" s="7">
        <f>INDEX(LINEST(L133:L192,M133:T192,TRUE,TRUE),1,6)</f>
        <v/>
      </c>
      <c r="AE192" s="7">
        <f>INDEX(LINEST(L133:L192,M133:T192,TRUE,TRUE),1,5)</f>
        <v/>
      </c>
      <c r="AF192" s="7">
        <f>INDEX(LINEST(L133:L192,M133:T192,TRUE,TRUE),1,4)</f>
        <v/>
      </c>
      <c r="AG192" s="7">
        <f>INDEX(LINEST(L133:L192,M133:T192,TRUE,TRUE),1,3)</f>
        <v/>
      </c>
      <c r="AH192" s="7">
        <f>INDEX(LINEST(L133:L192,M133:T192,TRUE,TRUE),1,2)</f>
        <v/>
      </c>
      <c r="AI192" s="7">
        <f>INDEX(LINEST(L133:L192,M133:T192,TRUE,TRUE),1,1)</f>
        <v/>
      </c>
      <c r="AJ192" s="8">
        <f>INDEX(LINEST(L133:L192,M133:T192,TRUE,TRUE),3,1)</f>
        <v/>
      </c>
    </row>
    <row r="193">
      <c r="A193" s="5" t="n">
        <v>43434</v>
      </c>
      <c r="B193" s="6" t="n">
        <v>1217.55</v>
      </c>
      <c r="C193" s="6" t="n">
        <v>1.97</v>
      </c>
      <c r="D193" s="6" t="n">
        <v>1.04</v>
      </c>
      <c r="E193" s="6" t="n">
        <v>97.269997</v>
      </c>
      <c r="F193" s="6" t="n">
        <v>50.78</v>
      </c>
      <c r="G193" s="6" t="n">
        <v>18.07</v>
      </c>
      <c r="H193" s="6" t="n">
        <v>52.43</v>
      </c>
      <c r="I193" s="6" t="n">
        <v>2760.169922</v>
      </c>
      <c r="J193" s="6" t="n">
        <v>84.30886099999999</v>
      </c>
      <c r="L193" s="7">
        <f>LN(B193/B192)</f>
        <v/>
      </c>
      <c r="M193" s="7">
        <f>C193-C192</f>
        <v/>
      </c>
      <c r="N193" s="7">
        <f>D193-D192</f>
        <v/>
      </c>
      <c r="O193" s="7">
        <f>LN(E193/E192)</f>
        <v/>
      </c>
      <c r="P193" s="7">
        <f>LN(F193/F192)</f>
        <v/>
      </c>
      <c r="Q193" s="7">
        <f>G193-G192</f>
        <v/>
      </c>
      <c r="R193" s="7">
        <f>H193-H192</f>
        <v/>
      </c>
      <c r="S193" s="7">
        <f>LN(I193/I192)</f>
        <v/>
      </c>
      <c r="T193" s="7">
        <f>LN(J193/J192)</f>
        <v/>
      </c>
      <c r="U193" s="7">
        <f>$W$12+$W$4*M193+$W$5*N193+$W$6*O193+$W$7*P193+$W$8*Q193+$W$9*R193+$W$10*S193+$W$11*T193</f>
        <v/>
      </c>
      <c r="AA193" s="8">
        <f>INDEX(LINEST(L134:L193,M134:T193,TRUE,TRUE),1,9)*12</f>
        <v/>
      </c>
      <c r="AB193" s="7">
        <f>INDEX(LINEST(L134:L193,M134:T193,TRUE,TRUE),1,8)</f>
        <v/>
      </c>
      <c r="AC193" s="7">
        <f>INDEX(LINEST(L134:L193,M134:T193,TRUE,TRUE),1,7)</f>
        <v/>
      </c>
      <c r="AD193" s="7">
        <f>INDEX(LINEST(L134:L193,M134:T193,TRUE,TRUE),1,6)</f>
        <v/>
      </c>
      <c r="AE193" s="7">
        <f>INDEX(LINEST(L134:L193,M134:T193,TRUE,TRUE),1,5)</f>
        <v/>
      </c>
      <c r="AF193" s="7">
        <f>INDEX(LINEST(L134:L193,M134:T193,TRUE,TRUE),1,4)</f>
        <v/>
      </c>
      <c r="AG193" s="7">
        <f>INDEX(LINEST(L134:L193,M134:T193,TRUE,TRUE),1,3)</f>
        <v/>
      </c>
      <c r="AH193" s="7">
        <f>INDEX(LINEST(L134:L193,M134:T193,TRUE,TRUE),1,2)</f>
        <v/>
      </c>
      <c r="AI193" s="7">
        <f>INDEX(LINEST(L134:L193,M134:T193,TRUE,TRUE),1,1)</f>
        <v/>
      </c>
      <c r="AJ193" s="8">
        <f>INDEX(LINEST(L134:L193,M134:T193,TRUE,TRUE),3,1)</f>
        <v/>
      </c>
    </row>
    <row r="194">
      <c r="A194" s="5" t="n">
        <v>43465</v>
      </c>
      <c r="B194" s="6" t="n">
        <v>1279</v>
      </c>
      <c r="C194" s="6" t="n">
        <v>1.71</v>
      </c>
      <c r="D194" s="6" t="n">
        <v>0.98</v>
      </c>
      <c r="E194" s="6" t="n">
        <v>96.16999800000001</v>
      </c>
      <c r="F194" s="6" t="n">
        <v>45.15</v>
      </c>
      <c r="G194" s="6" t="n">
        <v>25.42</v>
      </c>
      <c r="H194" s="6" t="n">
        <v>66.58000199999999</v>
      </c>
      <c r="I194" s="6" t="n">
        <v>2506.850098</v>
      </c>
      <c r="J194" s="6" t="n">
        <v>85.979187</v>
      </c>
      <c r="L194" s="7">
        <f>LN(B194/B193)</f>
        <v/>
      </c>
      <c r="M194" s="7">
        <f>C194-C193</f>
        <v/>
      </c>
      <c r="N194" s="7">
        <f>D194-D193</f>
        <v/>
      </c>
      <c r="O194" s="7">
        <f>LN(E194/E193)</f>
        <v/>
      </c>
      <c r="P194" s="7">
        <f>LN(F194/F193)</f>
        <v/>
      </c>
      <c r="Q194" s="7">
        <f>G194-G193</f>
        <v/>
      </c>
      <c r="R194" s="7">
        <f>H194-H193</f>
        <v/>
      </c>
      <c r="S194" s="7">
        <f>LN(I194/I193)</f>
        <v/>
      </c>
      <c r="T194" s="7">
        <f>LN(J194/J193)</f>
        <v/>
      </c>
      <c r="U194" s="7">
        <f>$W$12+$W$4*M194+$W$5*N194+$W$6*O194+$W$7*P194+$W$8*Q194+$W$9*R194+$W$10*S194+$W$11*T194</f>
        <v/>
      </c>
      <c r="AA194" s="8">
        <f>INDEX(LINEST(L135:L194,M135:T194,TRUE,TRUE),1,9)*12</f>
        <v/>
      </c>
      <c r="AB194" s="7">
        <f>INDEX(LINEST(L135:L194,M135:T194,TRUE,TRUE),1,8)</f>
        <v/>
      </c>
      <c r="AC194" s="7">
        <f>INDEX(LINEST(L135:L194,M135:T194,TRUE,TRUE),1,7)</f>
        <v/>
      </c>
      <c r="AD194" s="7">
        <f>INDEX(LINEST(L135:L194,M135:T194,TRUE,TRUE),1,6)</f>
        <v/>
      </c>
      <c r="AE194" s="7">
        <f>INDEX(LINEST(L135:L194,M135:T194,TRUE,TRUE),1,5)</f>
        <v/>
      </c>
      <c r="AF194" s="7">
        <f>INDEX(LINEST(L135:L194,M135:T194,TRUE,TRUE),1,4)</f>
        <v/>
      </c>
      <c r="AG194" s="7">
        <f>INDEX(LINEST(L135:L194,M135:T194,TRUE,TRUE),1,3)</f>
        <v/>
      </c>
      <c r="AH194" s="7">
        <f>INDEX(LINEST(L135:L194,M135:T194,TRUE,TRUE),1,2)</f>
        <v/>
      </c>
      <c r="AI194" s="7">
        <f>INDEX(LINEST(L135:L194,M135:T194,TRUE,TRUE),1,1)</f>
        <v/>
      </c>
      <c r="AJ194" s="8">
        <f>INDEX(LINEST(L135:L194,M135:T194,TRUE,TRUE),3,1)</f>
        <v/>
      </c>
    </row>
    <row r="195">
      <c r="A195" s="5" t="n">
        <v>43496</v>
      </c>
      <c r="B195" s="6" t="n">
        <v>1323.25</v>
      </c>
      <c r="C195" s="6" t="n">
        <v>1.85</v>
      </c>
      <c r="D195" s="6" t="n">
        <v>0.78</v>
      </c>
      <c r="E195" s="6" t="n">
        <v>95.58000199999999</v>
      </c>
      <c r="F195" s="6" t="n">
        <v>53.84</v>
      </c>
      <c r="G195" s="6" t="n">
        <v>16.57</v>
      </c>
      <c r="H195" s="6" t="n">
        <v>49.810001</v>
      </c>
      <c r="I195" s="6" t="n">
        <v>2704.100098</v>
      </c>
      <c r="J195" s="6" t="n">
        <v>86.762321</v>
      </c>
      <c r="L195" s="7">
        <f>LN(B195/B194)</f>
        <v/>
      </c>
      <c r="M195" s="7">
        <f>C195-C194</f>
        <v/>
      </c>
      <c r="N195" s="7">
        <f>D195-D194</f>
        <v/>
      </c>
      <c r="O195" s="7">
        <f>LN(E195/E194)</f>
        <v/>
      </c>
      <c r="P195" s="7">
        <f>LN(F195/F194)</f>
        <v/>
      </c>
      <c r="Q195" s="7">
        <f>G195-G194</f>
        <v/>
      </c>
      <c r="R195" s="7">
        <f>H195-H194</f>
        <v/>
      </c>
      <c r="S195" s="7">
        <f>LN(I195/I194)</f>
        <v/>
      </c>
      <c r="T195" s="7">
        <f>LN(J195/J194)</f>
        <v/>
      </c>
      <c r="U195" s="7">
        <f>$W$12+$W$4*M195+$W$5*N195+$W$6*O195+$W$7*P195+$W$8*Q195+$W$9*R195+$W$10*S195+$W$11*T195</f>
        <v/>
      </c>
      <c r="AA195" s="8">
        <f>INDEX(LINEST(L136:L195,M136:T195,TRUE,TRUE),1,9)*12</f>
        <v/>
      </c>
      <c r="AB195" s="7">
        <f>INDEX(LINEST(L136:L195,M136:T195,TRUE,TRUE),1,8)</f>
        <v/>
      </c>
      <c r="AC195" s="7">
        <f>INDEX(LINEST(L136:L195,M136:T195,TRUE,TRUE),1,7)</f>
        <v/>
      </c>
      <c r="AD195" s="7">
        <f>INDEX(LINEST(L136:L195,M136:T195,TRUE,TRUE),1,6)</f>
        <v/>
      </c>
      <c r="AE195" s="7">
        <f>INDEX(LINEST(L136:L195,M136:T195,TRUE,TRUE),1,5)</f>
        <v/>
      </c>
      <c r="AF195" s="7">
        <f>INDEX(LINEST(L136:L195,M136:T195,TRUE,TRUE),1,4)</f>
        <v/>
      </c>
      <c r="AG195" s="7">
        <f>INDEX(LINEST(L136:L195,M136:T195,TRUE,TRUE),1,3)</f>
        <v/>
      </c>
      <c r="AH195" s="7">
        <f>INDEX(LINEST(L136:L195,M136:T195,TRUE,TRUE),1,2)</f>
        <v/>
      </c>
      <c r="AI195" s="7">
        <f>INDEX(LINEST(L136:L195,M136:T195,TRUE,TRUE),1,1)</f>
        <v/>
      </c>
      <c r="AJ195" s="8">
        <f>INDEX(LINEST(L136:L195,M136:T195,TRUE,TRUE),3,1)</f>
        <v/>
      </c>
    </row>
    <row r="196">
      <c r="A196" s="5" t="n">
        <v>43524</v>
      </c>
      <c r="B196" s="6" t="n">
        <v>1319.15</v>
      </c>
      <c r="C196" s="6" t="n">
        <v>1.95</v>
      </c>
      <c r="D196" s="6" t="n">
        <v>0.78</v>
      </c>
      <c r="E196" s="6" t="n">
        <v>96.160004</v>
      </c>
      <c r="F196" s="6" t="n">
        <v>57.21</v>
      </c>
      <c r="G196" s="6" t="n">
        <v>14.78</v>
      </c>
      <c r="H196" s="6" t="n">
        <v>47.220001</v>
      </c>
      <c r="I196" s="6" t="n">
        <v>2784.48999</v>
      </c>
      <c r="J196" s="6" t="n">
        <v>86.66361999999999</v>
      </c>
      <c r="L196" s="7">
        <f>LN(B196/B195)</f>
        <v/>
      </c>
      <c r="M196" s="7">
        <f>C196-C195</f>
        <v/>
      </c>
      <c r="N196" s="7">
        <f>D196-D195</f>
        <v/>
      </c>
      <c r="O196" s="7">
        <f>LN(E196/E195)</f>
        <v/>
      </c>
      <c r="P196" s="7">
        <f>LN(F196/F195)</f>
        <v/>
      </c>
      <c r="Q196" s="7">
        <f>G196-G195</f>
        <v/>
      </c>
      <c r="R196" s="7">
        <f>H196-H195</f>
        <v/>
      </c>
      <c r="S196" s="7">
        <f>LN(I196/I195)</f>
        <v/>
      </c>
      <c r="T196" s="7">
        <f>LN(J196/J195)</f>
        <v/>
      </c>
      <c r="U196" s="7">
        <f>$W$12+$W$4*M196+$W$5*N196+$W$6*O196+$W$7*P196+$W$8*Q196+$W$9*R196+$W$10*S196+$W$11*T196</f>
        <v/>
      </c>
      <c r="AA196" s="8">
        <f>INDEX(LINEST(L137:L196,M137:T196,TRUE,TRUE),1,9)*12</f>
        <v/>
      </c>
      <c r="AB196" s="7">
        <f>INDEX(LINEST(L137:L196,M137:T196,TRUE,TRUE),1,8)</f>
        <v/>
      </c>
      <c r="AC196" s="7">
        <f>INDEX(LINEST(L137:L196,M137:T196,TRUE,TRUE),1,7)</f>
        <v/>
      </c>
      <c r="AD196" s="7">
        <f>INDEX(LINEST(L137:L196,M137:T196,TRUE,TRUE),1,6)</f>
        <v/>
      </c>
      <c r="AE196" s="7">
        <f>INDEX(LINEST(L137:L196,M137:T196,TRUE,TRUE),1,5)</f>
        <v/>
      </c>
      <c r="AF196" s="7">
        <f>INDEX(LINEST(L137:L196,M137:T196,TRUE,TRUE),1,4)</f>
        <v/>
      </c>
      <c r="AG196" s="7">
        <f>INDEX(LINEST(L137:L196,M137:T196,TRUE,TRUE),1,3)</f>
        <v/>
      </c>
      <c r="AH196" s="7">
        <f>INDEX(LINEST(L137:L196,M137:T196,TRUE,TRUE),1,2)</f>
        <v/>
      </c>
      <c r="AI196" s="7">
        <f>INDEX(LINEST(L137:L196,M137:T196,TRUE,TRUE),1,1)</f>
        <v/>
      </c>
      <c r="AJ196" s="8">
        <f>INDEX(LINEST(L137:L196,M137:T196,TRUE,TRUE),3,1)</f>
        <v/>
      </c>
    </row>
    <row r="197">
      <c r="A197" s="5" t="n">
        <v>43555</v>
      </c>
      <c r="B197" s="6" t="n">
        <v>1295.4</v>
      </c>
      <c r="C197" s="6" t="n">
        <v>1.88</v>
      </c>
      <c r="D197" s="6" t="n">
        <v>0.53</v>
      </c>
      <c r="E197" s="6" t="n">
        <v>97.279999</v>
      </c>
      <c r="F197" s="6" t="n">
        <v>60.19</v>
      </c>
      <c r="G197" s="6" t="n">
        <v>13.71</v>
      </c>
      <c r="H197" s="6" t="n">
        <v>58.549999</v>
      </c>
      <c r="I197" s="6" t="n">
        <v>2834.399902</v>
      </c>
      <c r="J197" s="6" t="n">
        <v>88.503128</v>
      </c>
      <c r="L197" s="7">
        <f>LN(B197/B196)</f>
        <v/>
      </c>
      <c r="M197" s="7">
        <f>C197-C196</f>
        <v/>
      </c>
      <c r="N197" s="7">
        <f>D197-D196</f>
        <v/>
      </c>
      <c r="O197" s="7">
        <f>LN(E197/E196)</f>
        <v/>
      </c>
      <c r="P197" s="7">
        <f>LN(F197/F196)</f>
        <v/>
      </c>
      <c r="Q197" s="7">
        <f>G197-G196</f>
        <v/>
      </c>
      <c r="R197" s="7">
        <f>H197-H196</f>
        <v/>
      </c>
      <c r="S197" s="7">
        <f>LN(I197/I196)</f>
        <v/>
      </c>
      <c r="T197" s="7">
        <f>LN(J197/J196)</f>
        <v/>
      </c>
      <c r="U197" s="7">
        <f>$W$12+$W$4*M197+$W$5*N197+$W$6*O197+$W$7*P197+$W$8*Q197+$W$9*R197+$W$10*S197+$W$11*T197</f>
        <v/>
      </c>
      <c r="AA197" s="8">
        <f>INDEX(LINEST(L138:L197,M138:T197,TRUE,TRUE),1,9)*12</f>
        <v/>
      </c>
      <c r="AB197" s="7">
        <f>INDEX(LINEST(L138:L197,M138:T197,TRUE,TRUE),1,8)</f>
        <v/>
      </c>
      <c r="AC197" s="7">
        <f>INDEX(LINEST(L138:L197,M138:T197,TRUE,TRUE),1,7)</f>
        <v/>
      </c>
      <c r="AD197" s="7">
        <f>INDEX(LINEST(L138:L197,M138:T197,TRUE,TRUE),1,6)</f>
        <v/>
      </c>
      <c r="AE197" s="7">
        <f>INDEX(LINEST(L138:L197,M138:T197,TRUE,TRUE),1,5)</f>
        <v/>
      </c>
      <c r="AF197" s="7">
        <f>INDEX(LINEST(L138:L197,M138:T197,TRUE,TRUE),1,4)</f>
        <v/>
      </c>
      <c r="AG197" s="7">
        <f>INDEX(LINEST(L138:L197,M138:T197,TRUE,TRUE),1,3)</f>
        <v/>
      </c>
      <c r="AH197" s="7">
        <f>INDEX(LINEST(L138:L197,M138:T197,TRUE,TRUE),1,2)</f>
        <v/>
      </c>
      <c r="AI197" s="7">
        <f>INDEX(LINEST(L138:L197,M138:T197,TRUE,TRUE),1,1)</f>
        <v/>
      </c>
      <c r="AJ197" s="8">
        <f>INDEX(LINEST(L138:L197,M138:T197,TRUE,TRUE),3,1)</f>
        <v/>
      </c>
    </row>
    <row r="198">
      <c r="A198" s="5" t="n">
        <v>43585</v>
      </c>
      <c r="B198" s="6" t="n">
        <v>1282.3</v>
      </c>
      <c r="C198" s="6" t="n">
        <v>1.95</v>
      </c>
      <c r="D198" s="6" t="n">
        <v>0.5600000000000001</v>
      </c>
      <c r="E198" s="6" t="n">
        <v>97.480003</v>
      </c>
      <c r="F198" s="6" t="n">
        <v>63.83</v>
      </c>
      <c r="G198" s="6" t="n">
        <v>13.12</v>
      </c>
      <c r="H198" s="6" t="n">
        <v>49.470001</v>
      </c>
      <c r="I198" s="6" t="n">
        <v>2945.830078</v>
      </c>
      <c r="J198" s="6" t="n">
        <v>88.32579800000001</v>
      </c>
      <c r="L198" s="7">
        <f>LN(B198/B197)</f>
        <v/>
      </c>
      <c r="M198" s="7">
        <f>C198-C197</f>
        <v/>
      </c>
      <c r="N198" s="7">
        <f>D198-D197</f>
        <v/>
      </c>
      <c r="O198" s="7">
        <f>LN(E198/E197)</f>
        <v/>
      </c>
      <c r="P198" s="7">
        <f>LN(F198/F197)</f>
        <v/>
      </c>
      <c r="Q198" s="7">
        <f>G198-G197</f>
        <v/>
      </c>
      <c r="R198" s="7">
        <f>H198-H197</f>
        <v/>
      </c>
      <c r="S198" s="7">
        <f>LN(I198/I197)</f>
        <v/>
      </c>
      <c r="T198" s="7">
        <f>LN(J198/J197)</f>
        <v/>
      </c>
      <c r="U198" s="7">
        <f>$W$12+$W$4*M198+$W$5*N198+$W$6*O198+$W$7*P198+$W$8*Q198+$W$9*R198+$W$10*S198+$W$11*T198</f>
        <v/>
      </c>
      <c r="AA198" s="8">
        <f>INDEX(LINEST(L139:L198,M139:T198,TRUE,TRUE),1,9)*12</f>
        <v/>
      </c>
      <c r="AB198" s="7">
        <f>INDEX(LINEST(L139:L198,M139:T198,TRUE,TRUE),1,8)</f>
        <v/>
      </c>
      <c r="AC198" s="7">
        <f>INDEX(LINEST(L139:L198,M139:T198,TRUE,TRUE),1,7)</f>
        <v/>
      </c>
      <c r="AD198" s="7">
        <f>INDEX(LINEST(L139:L198,M139:T198,TRUE,TRUE),1,6)</f>
        <v/>
      </c>
      <c r="AE198" s="7">
        <f>INDEX(LINEST(L139:L198,M139:T198,TRUE,TRUE),1,5)</f>
        <v/>
      </c>
      <c r="AF198" s="7">
        <f>INDEX(LINEST(L139:L198,M139:T198,TRUE,TRUE),1,4)</f>
        <v/>
      </c>
      <c r="AG198" s="7">
        <f>INDEX(LINEST(L139:L198,M139:T198,TRUE,TRUE),1,3)</f>
        <v/>
      </c>
      <c r="AH198" s="7">
        <f>INDEX(LINEST(L139:L198,M139:T198,TRUE,TRUE),1,2)</f>
        <v/>
      </c>
      <c r="AI198" s="7">
        <f>INDEX(LINEST(L139:L198,M139:T198,TRUE,TRUE),1,1)</f>
        <v/>
      </c>
      <c r="AJ198" s="8">
        <f>INDEX(LINEST(L139:L198,M139:T198,TRUE,TRUE),3,1)</f>
        <v/>
      </c>
    </row>
    <row r="199">
      <c r="A199" s="5" t="n">
        <v>43616</v>
      </c>
      <c r="B199" s="6" t="n">
        <v>1295.55</v>
      </c>
      <c r="C199" s="6" t="n">
        <v>1.74</v>
      </c>
      <c r="D199" s="6" t="n">
        <v>0.4</v>
      </c>
      <c r="E199" s="6" t="n">
        <v>97.75</v>
      </c>
      <c r="F199" s="6" t="n">
        <v>53.49</v>
      </c>
      <c r="G199" s="6" t="n">
        <v>18.71</v>
      </c>
      <c r="H199" s="6" t="n">
        <v>72.68000000000001</v>
      </c>
      <c r="I199" s="6" t="n">
        <v>2752.060059</v>
      </c>
      <c r="J199" s="6" t="n">
        <v>90.01355</v>
      </c>
      <c r="L199" s="7">
        <f>LN(B199/B198)</f>
        <v/>
      </c>
      <c r="M199" s="7">
        <f>C199-C198</f>
        <v/>
      </c>
      <c r="N199" s="7">
        <f>D199-D198</f>
        <v/>
      </c>
      <c r="O199" s="7">
        <f>LN(E199/E198)</f>
        <v/>
      </c>
      <c r="P199" s="7">
        <f>LN(F199/F198)</f>
        <v/>
      </c>
      <c r="Q199" s="7">
        <f>G199-G198</f>
        <v/>
      </c>
      <c r="R199" s="7">
        <f>H199-H198</f>
        <v/>
      </c>
      <c r="S199" s="7">
        <f>LN(I199/I198)</f>
        <v/>
      </c>
      <c r="T199" s="7">
        <f>LN(J199/J198)</f>
        <v/>
      </c>
      <c r="U199" s="7">
        <f>$W$12+$W$4*M199+$W$5*N199+$W$6*O199+$W$7*P199+$W$8*Q199+$W$9*R199+$W$10*S199+$W$11*T199</f>
        <v/>
      </c>
      <c r="AA199" s="8">
        <f>INDEX(LINEST(L140:L199,M140:T199,TRUE,TRUE),1,9)*12</f>
        <v/>
      </c>
      <c r="AB199" s="7">
        <f>INDEX(LINEST(L140:L199,M140:T199,TRUE,TRUE),1,8)</f>
        <v/>
      </c>
      <c r="AC199" s="7">
        <f>INDEX(LINEST(L140:L199,M140:T199,TRUE,TRUE),1,7)</f>
        <v/>
      </c>
      <c r="AD199" s="7">
        <f>INDEX(LINEST(L140:L199,M140:T199,TRUE,TRUE),1,6)</f>
        <v/>
      </c>
      <c r="AE199" s="7">
        <f>INDEX(LINEST(L140:L199,M140:T199,TRUE,TRUE),1,5)</f>
        <v/>
      </c>
      <c r="AF199" s="7">
        <f>INDEX(LINEST(L140:L199,M140:T199,TRUE,TRUE),1,4)</f>
        <v/>
      </c>
      <c r="AG199" s="7">
        <f>INDEX(LINEST(L140:L199,M140:T199,TRUE,TRUE),1,3)</f>
        <v/>
      </c>
      <c r="AH199" s="7">
        <f>INDEX(LINEST(L140:L199,M140:T199,TRUE,TRUE),1,2)</f>
        <v/>
      </c>
      <c r="AI199" s="7">
        <f>INDEX(LINEST(L140:L199,M140:T199,TRUE,TRUE),1,1)</f>
        <v/>
      </c>
      <c r="AJ199" s="8">
        <f>INDEX(LINEST(L140:L199,M140:T199,TRUE,TRUE),3,1)</f>
        <v/>
      </c>
    </row>
    <row r="200">
      <c r="A200" s="5" t="n">
        <v>43646</v>
      </c>
      <c r="B200" s="6" t="n">
        <v>1409</v>
      </c>
      <c r="C200" s="6" t="n">
        <v>1.69</v>
      </c>
      <c r="D200" s="6" t="n">
        <v>0.31</v>
      </c>
      <c r="E200" s="6" t="n">
        <v>96.129997</v>
      </c>
      <c r="F200" s="6" t="n">
        <v>58.2</v>
      </c>
      <c r="G200" s="6" t="n">
        <v>15.08</v>
      </c>
      <c r="H200" s="6" t="n">
        <v>70.43000000000001</v>
      </c>
      <c r="I200" s="6" t="n">
        <v>2941.76001</v>
      </c>
      <c r="J200" s="6" t="n">
        <v>91.002441</v>
      </c>
      <c r="L200" s="7">
        <f>LN(B200/B199)</f>
        <v/>
      </c>
      <c r="M200" s="7">
        <f>C200-C199</f>
        <v/>
      </c>
      <c r="N200" s="7">
        <f>D200-D199</f>
        <v/>
      </c>
      <c r="O200" s="7">
        <f>LN(E200/E199)</f>
        <v/>
      </c>
      <c r="P200" s="7">
        <f>LN(F200/F199)</f>
        <v/>
      </c>
      <c r="Q200" s="7">
        <f>G200-G199</f>
        <v/>
      </c>
      <c r="R200" s="7">
        <f>H200-H199</f>
        <v/>
      </c>
      <c r="S200" s="7">
        <f>LN(I200/I199)</f>
        <v/>
      </c>
      <c r="T200" s="7">
        <f>LN(J200/J199)</f>
        <v/>
      </c>
      <c r="U200" s="7">
        <f>$W$12+$W$4*M200+$W$5*N200+$W$6*O200+$W$7*P200+$W$8*Q200+$W$9*R200+$W$10*S200+$W$11*T200</f>
        <v/>
      </c>
      <c r="AA200" s="8">
        <f>INDEX(LINEST(L141:L200,M141:T200,TRUE,TRUE),1,9)*12</f>
        <v/>
      </c>
      <c r="AB200" s="7">
        <f>INDEX(LINEST(L141:L200,M141:T200,TRUE,TRUE),1,8)</f>
        <v/>
      </c>
      <c r="AC200" s="7">
        <f>INDEX(LINEST(L141:L200,M141:T200,TRUE,TRUE),1,7)</f>
        <v/>
      </c>
      <c r="AD200" s="7">
        <f>INDEX(LINEST(L141:L200,M141:T200,TRUE,TRUE),1,6)</f>
        <v/>
      </c>
      <c r="AE200" s="7">
        <f>INDEX(LINEST(L141:L200,M141:T200,TRUE,TRUE),1,5)</f>
        <v/>
      </c>
      <c r="AF200" s="7">
        <f>INDEX(LINEST(L141:L200,M141:T200,TRUE,TRUE),1,4)</f>
        <v/>
      </c>
      <c r="AG200" s="7">
        <f>INDEX(LINEST(L141:L200,M141:T200,TRUE,TRUE),1,3)</f>
        <v/>
      </c>
      <c r="AH200" s="7">
        <f>INDEX(LINEST(L141:L200,M141:T200,TRUE,TRUE),1,2)</f>
        <v/>
      </c>
      <c r="AI200" s="7">
        <f>INDEX(LINEST(L141:L200,M141:T200,TRUE,TRUE),1,1)</f>
        <v/>
      </c>
      <c r="AJ200" s="8">
        <f>INDEX(LINEST(L141:L200,M141:T200,TRUE,TRUE),3,1)</f>
        <v/>
      </c>
    </row>
    <row r="201">
      <c r="A201" s="5" t="n">
        <v>43677</v>
      </c>
      <c r="B201" s="6" t="n">
        <v>1427.55</v>
      </c>
      <c r="C201" s="6" t="n">
        <v>1.76</v>
      </c>
      <c r="D201" s="6" t="n">
        <v>0.26</v>
      </c>
      <c r="E201" s="6" t="n">
        <v>98.519997</v>
      </c>
      <c r="F201" s="6" t="n">
        <v>58.53</v>
      </c>
      <c r="G201" s="6" t="n">
        <v>16.12</v>
      </c>
      <c r="H201" s="6" t="n">
        <v>55.25</v>
      </c>
      <c r="I201" s="6" t="n">
        <v>2980.379883</v>
      </c>
      <c r="J201" s="6" t="n">
        <v>91.1679</v>
      </c>
      <c r="L201" s="7">
        <f>LN(B201/B200)</f>
        <v/>
      </c>
      <c r="M201" s="7">
        <f>C201-C200</f>
        <v/>
      </c>
      <c r="N201" s="7">
        <f>D201-D200</f>
        <v/>
      </c>
      <c r="O201" s="7">
        <f>LN(E201/E200)</f>
        <v/>
      </c>
      <c r="P201" s="7">
        <f>LN(F201/F200)</f>
        <v/>
      </c>
      <c r="Q201" s="7">
        <f>G201-G200</f>
        <v/>
      </c>
      <c r="R201" s="7">
        <f>H201-H200</f>
        <v/>
      </c>
      <c r="S201" s="7">
        <f>LN(I201/I200)</f>
        <v/>
      </c>
      <c r="T201" s="7">
        <f>LN(J201/J200)</f>
        <v/>
      </c>
      <c r="U201" s="7">
        <f>$W$12+$W$4*M201+$W$5*N201+$W$6*O201+$W$7*P201+$W$8*Q201+$W$9*R201+$W$10*S201+$W$11*T201</f>
        <v/>
      </c>
      <c r="AA201" s="8">
        <f>INDEX(LINEST(L142:L201,M142:T201,TRUE,TRUE),1,9)*12</f>
        <v/>
      </c>
      <c r="AB201" s="7">
        <f>INDEX(LINEST(L142:L201,M142:T201,TRUE,TRUE),1,8)</f>
        <v/>
      </c>
      <c r="AC201" s="7">
        <f>INDEX(LINEST(L142:L201,M142:T201,TRUE,TRUE),1,7)</f>
        <v/>
      </c>
      <c r="AD201" s="7">
        <f>INDEX(LINEST(L142:L201,M142:T201,TRUE,TRUE),1,6)</f>
        <v/>
      </c>
      <c r="AE201" s="7">
        <f>INDEX(LINEST(L142:L201,M142:T201,TRUE,TRUE),1,5)</f>
        <v/>
      </c>
      <c r="AF201" s="7">
        <f>INDEX(LINEST(L142:L201,M142:T201,TRUE,TRUE),1,4)</f>
        <v/>
      </c>
      <c r="AG201" s="7">
        <f>INDEX(LINEST(L142:L201,M142:T201,TRUE,TRUE),1,3)</f>
        <v/>
      </c>
      <c r="AH201" s="7">
        <f>INDEX(LINEST(L142:L201,M142:T201,TRUE,TRUE),1,2)</f>
        <v/>
      </c>
      <c r="AI201" s="7">
        <f>INDEX(LINEST(L142:L201,M142:T201,TRUE,TRUE),1,1)</f>
        <v/>
      </c>
      <c r="AJ201" s="8">
        <f>INDEX(LINEST(L142:L201,M142:T201,TRUE,TRUE),3,1)</f>
        <v/>
      </c>
    </row>
    <row r="202">
      <c r="A202" s="5" t="n">
        <v>43708</v>
      </c>
      <c r="B202" s="6" t="n">
        <v>1528.4</v>
      </c>
      <c r="C202" s="6" t="n">
        <v>1.55</v>
      </c>
      <c r="D202" s="6" t="n">
        <v>-0.05</v>
      </c>
      <c r="E202" s="6" t="n">
        <v>98.91999800000001</v>
      </c>
      <c r="F202" s="6" t="n">
        <v>55.07</v>
      </c>
      <c r="G202" s="6" t="n">
        <v>18.98</v>
      </c>
      <c r="H202" s="6" t="n">
        <v>86.889999</v>
      </c>
      <c r="I202" s="6" t="n">
        <v>2926.459961</v>
      </c>
      <c r="J202" s="6" t="n">
        <v>93.704926</v>
      </c>
      <c r="L202" s="7">
        <f>LN(B202/B201)</f>
        <v/>
      </c>
      <c r="M202" s="7">
        <f>C202-C201</f>
        <v/>
      </c>
      <c r="N202" s="7">
        <f>D202-D201</f>
        <v/>
      </c>
      <c r="O202" s="7">
        <f>LN(E202/E201)</f>
        <v/>
      </c>
      <c r="P202" s="7">
        <f>LN(F202/F201)</f>
        <v/>
      </c>
      <c r="Q202" s="7">
        <f>G202-G201</f>
        <v/>
      </c>
      <c r="R202" s="7">
        <f>H202-H201</f>
        <v/>
      </c>
      <c r="S202" s="7">
        <f>LN(I202/I201)</f>
        <v/>
      </c>
      <c r="T202" s="7">
        <f>LN(J202/J201)</f>
        <v/>
      </c>
      <c r="U202" s="7">
        <f>$W$12+$W$4*M202+$W$5*N202+$W$6*O202+$W$7*P202+$W$8*Q202+$W$9*R202+$W$10*S202+$W$11*T202</f>
        <v/>
      </c>
      <c r="AA202" s="8">
        <f>INDEX(LINEST(L143:L202,M143:T202,TRUE,TRUE),1,9)*12</f>
        <v/>
      </c>
      <c r="AB202" s="7">
        <f>INDEX(LINEST(L143:L202,M143:T202,TRUE,TRUE),1,8)</f>
        <v/>
      </c>
      <c r="AC202" s="7">
        <f>INDEX(LINEST(L143:L202,M143:T202,TRUE,TRUE),1,7)</f>
        <v/>
      </c>
      <c r="AD202" s="7">
        <f>INDEX(LINEST(L143:L202,M143:T202,TRUE,TRUE),1,6)</f>
        <v/>
      </c>
      <c r="AE202" s="7">
        <f>INDEX(LINEST(L143:L202,M143:T202,TRUE,TRUE),1,5)</f>
        <v/>
      </c>
      <c r="AF202" s="7">
        <f>INDEX(LINEST(L143:L202,M143:T202,TRUE,TRUE),1,4)</f>
        <v/>
      </c>
      <c r="AG202" s="7">
        <f>INDEX(LINEST(L143:L202,M143:T202,TRUE,TRUE),1,3)</f>
        <v/>
      </c>
      <c r="AH202" s="7">
        <f>INDEX(LINEST(L143:L202,M143:T202,TRUE,TRUE),1,2)</f>
        <v/>
      </c>
      <c r="AI202" s="7">
        <f>INDEX(LINEST(L143:L202,M143:T202,TRUE,TRUE),1,1)</f>
        <v/>
      </c>
      <c r="AJ202" s="8">
        <f>INDEX(LINEST(L143:L202,M143:T202,TRUE,TRUE),3,1)</f>
        <v/>
      </c>
    </row>
    <row r="203">
      <c r="A203" s="5" t="n">
        <v>43738</v>
      </c>
      <c r="B203" s="6" t="n">
        <v>1485.3</v>
      </c>
      <c r="C203" s="6" t="n">
        <v>1.53</v>
      </c>
      <c r="D203" s="6" t="n">
        <v>0.15</v>
      </c>
      <c r="E203" s="6" t="n">
        <v>99.379997</v>
      </c>
      <c r="F203" s="6" t="n">
        <v>54.09</v>
      </c>
      <c r="G203" s="6" t="n">
        <v>16.24</v>
      </c>
      <c r="H203" s="6" t="n">
        <v>77.199997</v>
      </c>
      <c r="I203" s="6" t="n">
        <v>2976.73999</v>
      </c>
      <c r="J203" s="6" t="n">
        <v>93.131332</v>
      </c>
      <c r="L203" s="7">
        <f>LN(B203/B202)</f>
        <v/>
      </c>
      <c r="M203" s="7">
        <f>C203-C202</f>
        <v/>
      </c>
      <c r="N203" s="7">
        <f>D203-D202</f>
        <v/>
      </c>
      <c r="O203" s="7">
        <f>LN(E203/E202)</f>
        <v/>
      </c>
      <c r="P203" s="7">
        <f>LN(F203/F202)</f>
        <v/>
      </c>
      <c r="Q203" s="7">
        <f>G203-G202</f>
        <v/>
      </c>
      <c r="R203" s="7">
        <f>H203-H202</f>
        <v/>
      </c>
      <c r="S203" s="7">
        <f>LN(I203/I202)</f>
        <v/>
      </c>
      <c r="T203" s="7">
        <f>LN(J203/J202)</f>
        <v/>
      </c>
      <c r="U203" s="7">
        <f>$W$12+$W$4*M203+$W$5*N203+$W$6*O203+$W$7*P203+$W$8*Q203+$W$9*R203+$W$10*S203+$W$11*T203</f>
        <v/>
      </c>
      <c r="AA203" s="8">
        <f>INDEX(LINEST(L144:L203,M144:T203,TRUE,TRUE),1,9)*12</f>
        <v/>
      </c>
      <c r="AB203" s="7">
        <f>INDEX(LINEST(L144:L203,M144:T203,TRUE,TRUE),1,8)</f>
        <v/>
      </c>
      <c r="AC203" s="7">
        <f>INDEX(LINEST(L144:L203,M144:T203,TRUE,TRUE),1,7)</f>
        <v/>
      </c>
      <c r="AD203" s="7">
        <f>INDEX(LINEST(L144:L203,M144:T203,TRUE,TRUE),1,6)</f>
        <v/>
      </c>
      <c r="AE203" s="7">
        <f>INDEX(LINEST(L144:L203,M144:T203,TRUE,TRUE),1,5)</f>
        <v/>
      </c>
      <c r="AF203" s="7">
        <f>INDEX(LINEST(L144:L203,M144:T203,TRUE,TRUE),1,4)</f>
        <v/>
      </c>
      <c r="AG203" s="7">
        <f>INDEX(LINEST(L144:L203,M144:T203,TRUE,TRUE),1,3)</f>
        <v/>
      </c>
      <c r="AH203" s="7">
        <f>INDEX(LINEST(L144:L203,M144:T203,TRUE,TRUE),1,2)</f>
        <v/>
      </c>
      <c r="AI203" s="7">
        <f>INDEX(LINEST(L144:L203,M144:T203,TRUE,TRUE),1,1)</f>
        <v/>
      </c>
      <c r="AJ203" s="8">
        <f>INDEX(LINEST(L144:L203,M144:T203,TRUE,TRUE),3,1)</f>
        <v/>
      </c>
    </row>
    <row r="204">
      <c r="A204" s="5" t="n">
        <v>43769</v>
      </c>
      <c r="B204" s="6" t="n">
        <v>1510.95</v>
      </c>
      <c r="C204" s="6" t="n">
        <v>1.54</v>
      </c>
      <c r="D204" s="6" t="n">
        <v>0.15</v>
      </c>
      <c r="E204" s="6" t="n">
        <v>97.349998</v>
      </c>
      <c r="F204" s="6" t="n">
        <v>54.02</v>
      </c>
      <c r="G204" s="6" t="n">
        <v>13.22</v>
      </c>
      <c r="H204" s="6" t="n">
        <v>65.879997</v>
      </c>
      <c r="I204" s="6" t="n">
        <v>3037.560059</v>
      </c>
      <c r="J204" s="6" t="n">
        <v>93.32514999999999</v>
      </c>
      <c r="L204" s="7">
        <f>LN(B204/B203)</f>
        <v/>
      </c>
      <c r="M204" s="7">
        <f>C204-C203</f>
        <v/>
      </c>
      <c r="N204" s="7">
        <f>D204-D203</f>
        <v/>
      </c>
      <c r="O204" s="7">
        <f>LN(E204/E203)</f>
        <v/>
      </c>
      <c r="P204" s="7">
        <f>LN(F204/F203)</f>
        <v/>
      </c>
      <c r="Q204" s="7">
        <f>G204-G203</f>
        <v/>
      </c>
      <c r="R204" s="7">
        <f>H204-H203</f>
        <v/>
      </c>
      <c r="S204" s="7">
        <f>LN(I204/I203)</f>
        <v/>
      </c>
      <c r="T204" s="7">
        <f>LN(J204/J203)</f>
        <v/>
      </c>
      <c r="U204" s="7">
        <f>$W$12+$W$4*M204+$W$5*N204+$W$6*O204+$W$7*P204+$W$8*Q204+$W$9*R204+$W$10*S204+$W$11*T204</f>
        <v/>
      </c>
      <c r="AA204" s="8">
        <f>INDEX(LINEST(L145:L204,M145:T204,TRUE,TRUE),1,9)*12</f>
        <v/>
      </c>
      <c r="AB204" s="7">
        <f>INDEX(LINEST(L145:L204,M145:T204,TRUE,TRUE),1,8)</f>
        <v/>
      </c>
      <c r="AC204" s="7">
        <f>INDEX(LINEST(L145:L204,M145:T204,TRUE,TRUE),1,7)</f>
        <v/>
      </c>
      <c r="AD204" s="7">
        <f>INDEX(LINEST(L145:L204,M145:T204,TRUE,TRUE),1,6)</f>
        <v/>
      </c>
      <c r="AE204" s="7">
        <f>INDEX(LINEST(L145:L204,M145:T204,TRUE,TRUE),1,5)</f>
        <v/>
      </c>
      <c r="AF204" s="7">
        <f>INDEX(LINEST(L145:L204,M145:T204,TRUE,TRUE),1,4)</f>
        <v/>
      </c>
      <c r="AG204" s="7">
        <f>INDEX(LINEST(L145:L204,M145:T204,TRUE,TRUE),1,3)</f>
        <v/>
      </c>
      <c r="AH204" s="7">
        <f>INDEX(LINEST(L145:L204,M145:T204,TRUE,TRUE),1,2)</f>
        <v/>
      </c>
      <c r="AI204" s="7">
        <f>INDEX(LINEST(L145:L204,M145:T204,TRUE,TRUE),1,1)</f>
        <v/>
      </c>
      <c r="AJ204" s="8">
        <f>INDEX(LINEST(L145:L204,M145:T204,TRUE,TRUE),3,1)</f>
        <v/>
      </c>
    </row>
    <row r="205">
      <c r="A205" s="5" t="n">
        <v>43799</v>
      </c>
      <c r="B205" s="6" t="n">
        <v>1460.15</v>
      </c>
      <c r="C205" s="6" t="n">
        <v>1.61</v>
      </c>
      <c r="D205" s="6" t="n">
        <v>0.17</v>
      </c>
      <c r="E205" s="6" t="n">
        <v>98.269997</v>
      </c>
      <c r="F205" s="6" t="n">
        <v>58.12</v>
      </c>
      <c r="G205" s="6" t="n">
        <v>12.62</v>
      </c>
      <c r="H205" s="6" t="n">
        <v>56.57</v>
      </c>
      <c r="I205" s="6" t="n">
        <v>3140.97998</v>
      </c>
      <c r="J205" s="6" t="n">
        <v>93.29291499999999</v>
      </c>
      <c r="L205" s="7">
        <f>LN(B205/B204)</f>
        <v/>
      </c>
      <c r="M205" s="7">
        <f>C205-C204</f>
        <v/>
      </c>
      <c r="N205" s="7">
        <f>D205-D204</f>
        <v/>
      </c>
      <c r="O205" s="7">
        <f>LN(E205/E204)</f>
        <v/>
      </c>
      <c r="P205" s="7">
        <f>LN(F205/F204)</f>
        <v/>
      </c>
      <c r="Q205" s="7">
        <f>G205-G204</f>
        <v/>
      </c>
      <c r="R205" s="7">
        <f>H205-H204</f>
        <v/>
      </c>
      <c r="S205" s="7">
        <f>LN(I205/I204)</f>
        <v/>
      </c>
      <c r="T205" s="7">
        <f>LN(J205/J204)</f>
        <v/>
      </c>
      <c r="U205" s="7">
        <f>$W$12+$W$4*M205+$W$5*N205+$W$6*O205+$W$7*P205+$W$8*Q205+$W$9*R205+$W$10*S205+$W$11*T205</f>
        <v/>
      </c>
      <c r="AA205" s="8">
        <f>INDEX(LINEST(L146:L205,M146:T205,TRUE,TRUE),1,9)*12</f>
        <v/>
      </c>
      <c r="AB205" s="7">
        <f>INDEX(LINEST(L146:L205,M146:T205,TRUE,TRUE),1,8)</f>
        <v/>
      </c>
      <c r="AC205" s="7">
        <f>INDEX(LINEST(L146:L205,M146:T205,TRUE,TRUE),1,7)</f>
        <v/>
      </c>
      <c r="AD205" s="7">
        <f>INDEX(LINEST(L146:L205,M146:T205,TRUE,TRUE),1,6)</f>
        <v/>
      </c>
      <c r="AE205" s="7">
        <f>INDEX(LINEST(L146:L205,M146:T205,TRUE,TRUE),1,5)</f>
        <v/>
      </c>
      <c r="AF205" s="7">
        <f>INDEX(LINEST(L146:L205,M146:T205,TRUE,TRUE),1,4)</f>
        <v/>
      </c>
      <c r="AG205" s="7">
        <f>INDEX(LINEST(L146:L205,M146:T205,TRUE,TRUE),1,3)</f>
        <v/>
      </c>
      <c r="AH205" s="7">
        <f>INDEX(LINEST(L146:L205,M146:T205,TRUE,TRUE),1,2)</f>
        <v/>
      </c>
      <c r="AI205" s="7">
        <f>INDEX(LINEST(L146:L205,M146:T205,TRUE,TRUE),1,1)</f>
        <v/>
      </c>
      <c r="AJ205" s="8">
        <f>INDEX(LINEST(L146:L205,M146:T205,TRUE,TRUE),3,1)</f>
        <v/>
      </c>
    </row>
    <row r="206">
      <c r="A206" s="5" t="n">
        <v>43830</v>
      </c>
      <c r="B206" s="6" t="n">
        <v>1514.75</v>
      </c>
      <c r="C206" s="6" t="n">
        <v>1.77</v>
      </c>
      <c r="D206" s="6" t="n">
        <v>0.15</v>
      </c>
      <c r="E206" s="6" t="n">
        <v>96.389999</v>
      </c>
      <c r="F206" s="6" t="n">
        <v>61.14</v>
      </c>
      <c r="G206" s="6" t="n">
        <v>13.78</v>
      </c>
      <c r="H206" s="6" t="n">
        <v>58.279999</v>
      </c>
      <c r="I206" s="6" t="n">
        <v>3230.780029</v>
      </c>
      <c r="J206" s="6" t="n">
        <v>93.249306</v>
      </c>
      <c r="L206" s="7">
        <f>LN(B206/B205)</f>
        <v/>
      </c>
      <c r="M206" s="7">
        <f>C206-C205</f>
        <v/>
      </c>
      <c r="N206" s="7">
        <f>D206-D205</f>
        <v/>
      </c>
      <c r="O206" s="7">
        <f>LN(E206/E205)</f>
        <v/>
      </c>
      <c r="P206" s="7">
        <f>LN(F206/F205)</f>
        <v/>
      </c>
      <c r="Q206" s="7">
        <f>G206-G205</f>
        <v/>
      </c>
      <c r="R206" s="7">
        <f>H206-H205</f>
        <v/>
      </c>
      <c r="S206" s="7">
        <f>LN(I206/I205)</f>
        <v/>
      </c>
      <c r="T206" s="7">
        <f>LN(J206/J205)</f>
        <v/>
      </c>
      <c r="U206" s="7">
        <f>$W$12+$W$4*M206+$W$5*N206+$W$6*O206+$W$7*P206+$W$8*Q206+$W$9*R206+$W$10*S206+$W$11*T206</f>
        <v/>
      </c>
      <c r="AA206" s="8">
        <f>INDEX(LINEST(L147:L206,M147:T206,TRUE,TRUE),1,9)*12</f>
        <v/>
      </c>
      <c r="AB206" s="7">
        <f>INDEX(LINEST(L147:L206,M147:T206,TRUE,TRUE),1,8)</f>
        <v/>
      </c>
      <c r="AC206" s="7">
        <f>INDEX(LINEST(L147:L206,M147:T206,TRUE,TRUE),1,7)</f>
        <v/>
      </c>
      <c r="AD206" s="7">
        <f>INDEX(LINEST(L147:L206,M147:T206,TRUE,TRUE),1,6)</f>
        <v/>
      </c>
      <c r="AE206" s="7">
        <f>INDEX(LINEST(L147:L206,M147:T206,TRUE,TRUE),1,5)</f>
        <v/>
      </c>
      <c r="AF206" s="7">
        <f>INDEX(LINEST(L147:L206,M147:T206,TRUE,TRUE),1,4)</f>
        <v/>
      </c>
      <c r="AG206" s="7">
        <f>INDEX(LINEST(L147:L206,M147:T206,TRUE,TRUE),1,3)</f>
        <v/>
      </c>
      <c r="AH206" s="7">
        <f>INDEX(LINEST(L147:L206,M147:T206,TRUE,TRUE),1,2)</f>
        <v/>
      </c>
      <c r="AI206" s="7">
        <f>INDEX(LINEST(L147:L206,M147:T206,TRUE,TRUE),1,1)</f>
        <v/>
      </c>
      <c r="AJ206" s="8">
        <f>INDEX(LINEST(L147:L206,M147:T206,TRUE,TRUE),3,1)</f>
        <v/>
      </c>
    </row>
    <row r="207">
      <c r="A207" s="5" t="n">
        <v>43861</v>
      </c>
      <c r="B207" s="6" t="n">
        <v>1584.2</v>
      </c>
      <c r="C207" s="6" t="n">
        <v>1.65</v>
      </c>
      <c r="D207" s="6" t="n">
        <v>-0.14</v>
      </c>
      <c r="E207" s="6" t="n">
        <v>97.389999</v>
      </c>
      <c r="F207" s="6" t="n">
        <v>51.58</v>
      </c>
      <c r="G207" s="6" t="n">
        <v>18.84</v>
      </c>
      <c r="H207" s="6" t="n">
        <v>72.980003</v>
      </c>
      <c r="I207" s="6" t="n">
        <v>3225.52002</v>
      </c>
      <c r="J207" s="6" t="n">
        <v>95.141327</v>
      </c>
      <c r="L207" s="7">
        <f>LN(B207/B206)</f>
        <v/>
      </c>
      <c r="M207" s="7">
        <f>C207-C206</f>
        <v/>
      </c>
      <c r="N207" s="7">
        <f>D207-D206</f>
        <v/>
      </c>
      <c r="O207" s="7">
        <f>LN(E207/E206)</f>
        <v/>
      </c>
      <c r="P207" s="7">
        <f>LN(F207/F206)</f>
        <v/>
      </c>
      <c r="Q207" s="7">
        <f>G207-G206</f>
        <v/>
      </c>
      <c r="R207" s="7">
        <f>H207-H206</f>
        <v/>
      </c>
      <c r="S207" s="7">
        <f>LN(I207/I206)</f>
        <v/>
      </c>
      <c r="T207" s="7">
        <f>LN(J207/J206)</f>
        <v/>
      </c>
      <c r="U207" s="7">
        <f>$W$12+$W$4*M207+$W$5*N207+$W$6*O207+$W$7*P207+$W$8*Q207+$W$9*R207+$W$10*S207+$W$11*T207</f>
        <v/>
      </c>
      <c r="AA207" s="8">
        <f>INDEX(LINEST(L148:L207,M148:T207,TRUE,TRUE),1,9)*12</f>
        <v/>
      </c>
      <c r="AB207" s="7">
        <f>INDEX(LINEST(L148:L207,M148:T207,TRUE,TRUE),1,8)</f>
        <v/>
      </c>
      <c r="AC207" s="7">
        <f>INDEX(LINEST(L148:L207,M148:T207,TRUE,TRUE),1,7)</f>
        <v/>
      </c>
      <c r="AD207" s="7">
        <f>INDEX(LINEST(L148:L207,M148:T207,TRUE,TRUE),1,6)</f>
        <v/>
      </c>
      <c r="AE207" s="7">
        <f>INDEX(LINEST(L148:L207,M148:T207,TRUE,TRUE),1,5)</f>
        <v/>
      </c>
      <c r="AF207" s="7">
        <f>INDEX(LINEST(L148:L207,M148:T207,TRUE,TRUE),1,4)</f>
        <v/>
      </c>
      <c r="AG207" s="7">
        <f>INDEX(LINEST(L148:L207,M148:T207,TRUE,TRUE),1,3)</f>
        <v/>
      </c>
      <c r="AH207" s="7">
        <f>INDEX(LINEST(L148:L207,M148:T207,TRUE,TRUE),1,2)</f>
        <v/>
      </c>
      <c r="AI207" s="7">
        <f>INDEX(LINEST(L148:L207,M148:T207,TRUE,TRUE),1,1)</f>
        <v/>
      </c>
      <c r="AJ207" s="8">
        <f>INDEX(LINEST(L148:L207,M148:T207,TRUE,TRUE),3,1)</f>
        <v/>
      </c>
    </row>
    <row r="208">
      <c r="A208" s="5" t="n">
        <v>43890</v>
      </c>
      <c r="B208" s="6" t="n">
        <v>1609.85</v>
      </c>
      <c r="C208" s="6" t="n">
        <v>1.41</v>
      </c>
      <c r="D208" s="6" t="n">
        <v>-0.28</v>
      </c>
      <c r="E208" s="6" t="n">
        <v>98.129997</v>
      </c>
      <c r="F208" s="6" t="n">
        <v>44.83</v>
      </c>
      <c r="G208" s="6" t="n">
        <v>40.11</v>
      </c>
      <c r="H208" s="6" t="n">
        <v>109.669998</v>
      </c>
      <c r="I208" s="6" t="n">
        <v>2954.219971</v>
      </c>
      <c r="J208" s="6" t="n">
        <v>96.649017</v>
      </c>
      <c r="L208" s="7">
        <f>LN(B208/B207)</f>
        <v/>
      </c>
      <c r="M208" s="7">
        <f>C208-C207</f>
        <v/>
      </c>
      <c r="N208" s="7">
        <f>D208-D207</f>
        <v/>
      </c>
      <c r="O208" s="7">
        <f>LN(E208/E207)</f>
        <v/>
      </c>
      <c r="P208" s="7">
        <f>LN(F208/F207)</f>
        <v/>
      </c>
      <c r="Q208" s="7">
        <f>G208-G207</f>
        <v/>
      </c>
      <c r="R208" s="7">
        <f>H208-H207</f>
        <v/>
      </c>
      <c r="S208" s="7">
        <f>LN(I208/I207)</f>
        <v/>
      </c>
      <c r="T208" s="7">
        <f>LN(J208/J207)</f>
        <v/>
      </c>
      <c r="U208" s="7">
        <f>$W$12+$W$4*M208+$W$5*N208+$W$6*O208+$W$7*P208+$W$8*Q208+$W$9*R208+$W$10*S208+$W$11*T208</f>
        <v/>
      </c>
      <c r="AA208" s="8">
        <f>INDEX(LINEST(L149:L208,M149:T208,TRUE,TRUE),1,9)*12</f>
        <v/>
      </c>
      <c r="AB208" s="7">
        <f>INDEX(LINEST(L149:L208,M149:T208,TRUE,TRUE),1,8)</f>
        <v/>
      </c>
      <c r="AC208" s="7">
        <f>INDEX(LINEST(L149:L208,M149:T208,TRUE,TRUE),1,7)</f>
        <v/>
      </c>
      <c r="AD208" s="7">
        <f>INDEX(LINEST(L149:L208,M149:T208,TRUE,TRUE),1,6)</f>
        <v/>
      </c>
      <c r="AE208" s="7">
        <f>INDEX(LINEST(L149:L208,M149:T208,TRUE,TRUE),1,5)</f>
        <v/>
      </c>
      <c r="AF208" s="7">
        <f>INDEX(LINEST(L149:L208,M149:T208,TRUE,TRUE),1,4)</f>
        <v/>
      </c>
      <c r="AG208" s="7">
        <f>INDEX(LINEST(L149:L208,M149:T208,TRUE,TRUE),1,3)</f>
        <v/>
      </c>
      <c r="AH208" s="7">
        <f>INDEX(LINEST(L149:L208,M149:T208,TRUE,TRUE),1,2)</f>
        <v/>
      </c>
      <c r="AI208" s="7">
        <f>INDEX(LINEST(L149:L208,M149:T208,TRUE,TRUE),1,1)</f>
        <v/>
      </c>
      <c r="AJ208" s="8">
        <f>INDEX(LINEST(L149:L208,M149:T208,TRUE,TRUE),3,1)</f>
        <v/>
      </c>
    </row>
    <row r="209">
      <c r="A209" s="5" t="n">
        <v>43921</v>
      </c>
      <c r="B209" s="6" t="n">
        <v>1608.95</v>
      </c>
      <c r="C209" s="6" t="n">
        <v>0.87</v>
      </c>
      <c r="D209" s="6" t="n">
        <v>-0.17</v>
      </c>
      <c r="E209" s="6" t="n">
        <v>99.050003</v>
      </c>
      <c r="F209" s="6" t="n">
        <v>20.51</v>
      </c>
      <c r="G209" s="6" t="n">
        <v>53.54</v>
      </c>
      <c r="H209" s="6" t="n">
        <v>83.870003</v>
      </c>
      <c r="I209" s="6" t="n">
        <v>2584.590088</v>
      </c>
      <c r="J209" s="6" t="n">
        <v>96.13986199999999</v>
      </c>
      <c r="L209" s="7">
        <f>LN(B209/B208)</f>
        <v/>
      </c>
      <c r="M209" s="7">
        <f>C209-C208</f>
        <v/>
      </c>
      <c r="N209" s="7">
        <f>D209-D208</f>
        <v/>
      </c>
      <c r="O209" s="7">
        <f>LN(E209/E208)</f>
        <v/>
      </c>
      <c r="P209" s="7">
        <f>LN(F209/F208)</f>
        <v/>
      </c>
      <c r="Q209" s="7">
        <f>G209-G208</f>
        <v/>
      </c>
      <c r="R209" s="7">
        <f>H209-H208</f>
        <v/>
      </c>
      <c r="S209" s="7">
        <f>LN(I209/I208)</f>
        <v/>
      </c>
      <c r="T209" s="7">
        <f>LN(J209/J208)</f>
        <v/>
      </c>
      <c r="U209" s="7">
        <f>$W$12+$W$4*M209+$W$5*N209+$W$6*O209+$W$7*P209+$W$8*Q209+$W$9*R209+$W$10*S209+$W$11*T209</f>
        <v/>
      </c>
      <c r="AA209" s="8">
        <f>INDEX(LINEST(L150:L209,M150:T209,TRUE,TRUE),1,9)*12</f>
        <v/>
      </c>
      <c r="AB209" s="7">
        <f>INDEX(LINEST(L150:L209,M150:T209,TRUE,TRUE),1,8)</f>
        <v/>
      </c>
      <c r="AC209" s="7">
        <f>INDEX(LINEST(L150:L209,M150:T209,TRUE,TRUE),1,7)</f>
        <v/>
      </c>
      <c r="AD209" s="7">
        <f>INDEX(LINEST(L150:L209,M150:T209,TRUE,TRUE),1,6)</f>
        <v/>
      </c>
      <c r="AE209" s="7">
        <f>INDEX(LINEST(L150:L209,M150:T209,TRUE,TRUE),1,5)</f>
        <v/>
      </c>
      <c r="AF209" s="7">
        <f>INDEX(LINEST(L150:L209,M150:T209,TRUE,TRUE),1,4)</f>
        <v/>
      </c>
      <c r="AG209" s="7">
        <f>INDEX(LINEST(L150:L209,M150:T209,TRUE,TRUE),1,3)</f>
        <v/>
      </c>
      <c r="AH209" s="7">
        <f>INDEX(LINEST(L150:L209,M150:T209,TRUE,TRUE),1,2)</f>
        <v/>
      </c>
      <c r="AI209" s="7">
        <f>INDEX(LINEST(L150:L209,M150:T209,TRUE,TRUE),1,1)</f>
        <v/>
      </c>
      <c r="AJ209" s="8">
        <f>INDEX(LINEST(L150:L209,M150:T209,TRUE,TRUE),3,1)</f>
        <v/>
      </c>
    </row>
    <row r="210">
      <c r="A210" s="5" t="n">
        <v>43951</v>
      </c>
      <c r="B210" s="6" t="n">
        <v>1702.75</v>
      </c>
      <c r="C210" s="6" t="n">
        <v>1.07</v>
      </c>
      <c r="D210" s="6" t="n">
        <v>-0.43</v>
      </c>
      <c r="E210" s="6" t="n">
        <v>99.019997</v>
      </c>
      <c r="F210" s="6" t="n">
        <v>19.23</v>
      </c>
      <c r="G210" s="6" t="n">
        <v>34.15</v>
      </c>
      <c r="H210" s="6" t="n">
        <v>53.59</v>
      </c>
      <c r="I210" s="6" t="n">
        <v>2912.429932</v>
      </c>
      <c r="J210" s="6" t="n">
        <v>97.792542</v>
      </c>
      <c r="L210" s="7">
        <f>LN(B210/B209)</f>
        <v/>
      </c>
      <c r="M210" s="7">
        <f>C210-C209</f>
        <v/>
      </c>
      <c r="N210" s="7">
        <f>D210-D209</f>
        <v/>
      </c>
      <c r="O210" s="7">
        <f>LN(E210/E209)</f>
        <v/>
      </c>
      <c r="P210" s="7">
        <f>LN(F210/F209)</f>
        <v/>
      </c>
      <c r="Q210" s="7">
        <f>G210-G209</f>
        <v/>
      </c>
      <c r="R210" s="7">
        <f>H210-H209</f>
        <v/>
      </c>
      <c r="S210" s="7">
        <f>LN(I210/I209)</f>
        <v/>
      </c>
      <c r="T210" s="7">
        <f>LN(J210/J209)</f>
        <v/>
      </c>
      <c r="U210" s="7">
        <f>$W$12+$W$4*M210+$W$5*N210+$W$6*O210+$W$7*P210+$W$8*Q210+$W$9*R210+$W$10*S210+$W$11*T210</f>
        <v/>
      </c>
      <c r="AA210" s="8">
        <f>INDEX(LINEST(L151:L210,M151:T210,TRUE,TRUE),1,9)*12</f>
        <v/>
      </c>
      <c r="AB210" s="7">
        <f>INDEX(LINEST(L151:L210,M151:T210,TRUE,TRUE),1,8)</f>
        <v/>
      </c>
      <c r="AC210" s="7">
        <f>INDEX(LINEST(L151:L210,M151:T210,TRUE,TRUE),1,7)</f>
        <v/>
      </c>
      <c r="AD210" s="7">
        <f>INDEX(LINEST(L151:L210,M151:T210,TRUE,TRUE),1,6)</f>
        <v/>
      </c>
      <c r="AE210" s="7">
        <f>INDEX(LINEST(L151:L210,M151:T210,TRUE,TRUE),1,5)</f>
        <v/>
      </c>
      <c r="AF210" s="7">
        <f>INDEX(LINEST(L151:L210,M151:T210,TRUE,TRUE),1,4)</f>
        <v/>
      </c>
      <c r="AG210" s="7">
        <f>INDEX(LINEST(L151:L210,M151:T210,TRUE,TRUE),1,3)</f>
        <v/>
      </c>
      <c r="AH210" s="7">
        <f>INDEX(LINEST(L151:L210,M151:T210,TRUE,TRUE),1,2)</f>
        <v/>
      </c>
      <c r="AI210" s="7">
        <f>INDEX(LINEST(L151:L210,M151:T210,TRUE,TRUE),1,1)</f>
        <v/>
      </c>
      <c r="AJ210" s="8">
        <f>INDEX(LINEST(L151:L210,M151:T210,TRUE,TRUE),3,1)</f>
        <v/>
      </c>
    </row>
    <row r="211">
      <c r="A211" s="5" t="n">
        <v>43982</v>
      </c>
      <c r="B211" s="6" t="n">
        <v>1728.7</v>
      </c>
      <c r="C211" s="6" t="n">
        <v>1.15</v>
      </c>
      <c r="D211" s="6" t="n">
        <v>-0.5</v>
      </c>
      <c r="E211" s="6" t="n">
        <v>98.339996</v>
      </c>
      <c r="F211" s="6" t="n">
        <v>35.57</v>
      </c>
      <c r="G211" s="6" t="n">
        <v>27.51</v>
      </c>
      <c r="H211" s="6" t="n">
        <v>51.549999</v>
      </c>
      <c r="I211" s="6" t="n">
        <v>3044.310059</v>
      </c>
      <c r="J211" s="6" t="n">
        <v>98.450294</v>
      </c>
      <c r="L211" s="7">
        <f>LN(B211/B210)</f>
        <v/>
      </c>
      <c r="M211" s="7">
        <f>C211-C210</f>
        <v/>
      </c>
      <c r="N211" s="7">
        <f>D211-D210</f>
        <v/>
      </c>
      <c r="O211" s="7">
        <f>LN(E211/E210)</f>
        <v/>
      </c>
      <c r="P211" s="7">
        <f>LN(F211/F210)</f>
        <v/>
      </c>
      <c r="Q211" s="7">
        <f>G211-G210</f>
        <v/>
      </c>
      <c r="R211" s="7">
        <f>H211-H210</f>
        <v/>
      </c>
      <c r="S211" s="7">
        <f>LN(I211/I210)</f>
        <v/>
      </c>
      <c r="T211" s="7">
        <f>LN(J211/J210)</f>
        <v/>
      </c>
      <c r="U211" s="7">
        <f>$W$12+$W$4*M211+$W$5*N211+$W$6*O211+$W$7*P211+$W$8*Q211+$W$9*R211+$W$10*S211+$W$11*T211</f>
        <v/>
      </c>
      <c r="AA211" s="8">
        <f>INDEX(LINEST(L152:L211,M152:T211,TRUE,TRUE),1,9)*12</f>
        <v/>
      </c>
      <c r="AB211" s="7">
        <f>INDEX(LINEST(L152:L211,M152:T211,TRUE,TRUE),1,8)</f>
        <v/>
      </c>
      <c r="AC211" s="7">
        <f>INDEX(LINEST(L152:L211,M152:T211,TRUE,TRUE),1,7)</f>
        <v/>
      </c>
      <c r="AD211" s="7">
        <f>INDEX(LINEST(L152:L211,M152:T211,TRUE,TRUE),1,6)</f>
        <v/>
      </c>
      <c r="AE211" s="7">
        <f>INDEX(LINEST(L152:L211,M152:T211,TRUE,TRUE),1,5)</f>
        <v/>
      </c>
      <c r="AF211" s="7">
        <f>INDEX(LINEST(L152:L211,M152:T211,TRUE,TRUE),1,4)</f>
        <v/>
      </c>
      <c r="AG211" s="7">
        <f>INDEX(LINEST(L152:L211,M152:T211,TRUE,TRUE),1,3)</f>
        <v/>
      </c>
      <c r="AH211" s="7">
        <f>INDEX(LINEST(L152:L211,M152:T211,TRUE,TRUE),1,2)</f>
        <v/>
      </c>
      <c r="AI211" s="7">
        <f>INDEX(LINEST(L152:L211,M152:T211,TRUE,TRUE),1,1)</f>
        <v/>
      </c>
      <c r="AJ211" s="8">
        <f>INDEX(LINEST(L152:L211,M152:T211,TRUE,TRUE),3,1)</f>
        <v/>
      </c>
    </row>
    <row r="212">
      <c r="A212" s="5" t="n">
        <v>44012</v>
      </c>
      <c r="B212" s="6" t="n">
        <v>1768.1</v>
      </c>
      <c r="C212" s="6" t="n">
        <v>1.34</v>
      </c>
      <c r="D212" s="6" t="n">
        <v>-0.68</v>
      </c>
      <c r="E212" s="6" t="n">
        <v>97.389999</v>
      </c>
      <c r="F212" s="6" t="n">
        <v>39.27</v>
      </c>
      <c r="G212" s="6" t="n">
        <v>30.43</v>
      </c>
      <c r="H212" s="6" t="n">
        <v>54.130001</v>
      </c>
      <c r="I212" s="6" t="n">
        <v>3100.290039</v>
      </c>
      <c r="J212" s="6" t="n">
        <v>99.099182</v>
      </c>
      <c r="L212" s="7">
        <f>LN(B212/B211)</f>
        <v/>
      </c>
      <c r="M212" s="7">
        <f>C212-C211</f>
        <v/>
      </c>
      <c r="N212" s="7">
        <f>D212-D211</f>
        <v/>
      </c>
      <c r="O212" s="7">
        <f>LN(E212/E211)</f>
        <v/>
      </c>
      <c r="P212" s="7">
        <f>LN(F212/F211)</f>
        <v/>
      </c>
      <c r="Q212" s="7">
        <f>G212-G211</f>
        <v/>
      </c>
      <c r="R212" s="7">
        <f>H212-H211</f>
        <v/>
      </c>
      <c r="S212" s="7">
        <f>LN(I212/I211)</f>
        <v/>
      </c>
      <c r="T212" s="7">
        <f>LN(J212/J211)</f>
        <v/>
      </c>
      <c r="U212" s="7">
        <f>$W$12+$W$4*M212+$W$5*N212+$W$6*O212+$W$7*P212+$W$8*Q212+$W$9*R212+$W$10*S212+$W$11*T212</f>
        <v/>
      </c>
      <c r="AA212" s="8">
        <f>INDEX(LINEST(L153:L212,M153:T212,TRUE,TRUE),1,9)*12</f>
        <v/>
      </c>
      <c r="AB212" s="7">
        <f>INDEX(LINEST(L153:L212,M153:T212,TRUE,TRUE),1,8)</f>
        <v/>
      </c>
      <c r="AC212" s="7">
        <f>INDEX(LINEST(L153:L212,M153:T212,TRUE,TRUE),1,7)</f>
        <v/>
      </c>
      <c r="AD212" s="7">
        <f>INDEX(LINEST(L153:L212,M153:T212,TRUE,TRUE),1,6)</f>
        <v/>
      </c>
      <c r="AE212" s="7">
        <f>INDEX(LINEST(L153:L212,M153:T212,TRUE,TRUE),1,5)</f>
        <v/>
      </c>
      <c r="AF212" s="7">
        <f>INDEX(LINEST(L153:L212,M153:T212,TRUE,TRUE),1,4)</f>
        <v/>
      </c>
      <c r="AG212" s="7">
        <f>INDEX(LINEST(L153:L212,M153:T212,TRUE,TRUE),1,3)</f>
        <v/>
      </c>
      <c r="AH212" s="7">
        <f>INDEX(LINEST(L153:L212,M153:T212,TRUE,TRUE),1,2)</f>
        <v/>
      </c>
      <c r="AI212" s="7">
        <f>INDEX(LINEST(L153:L212,M153:T212,TRUE,TRUE),1,1)</f>
        <v/>
      </c>
      <c r="AJ212" s="8">
        <f>INDEX(LINEST(L153:L212,M153:T212,TRUE,TRUE),3,1)</f>
        <v/>
      </c>
    </row>
    <row r="213">
      <c r="A213" s="5" t="n">
        <v>44043</v>
      </c>
      <c r="B213" s="6" t="n">
        <v>1964.9</v>
      </c>
      <c r="C213" s="6" t="n">
        <v>1.55</v>
      </c>
      <c r="D213" s="6" t="n">
        <v>-1</v>
      </c>
      <c r="E213" s="6" t="n">
        <v>93.489998</v>
      </c>
      <c r="F213" s="6" t="n">
        <v>40.1</v>
      </c>
      <c r="G213" s="6" t="n">
        <v>24.46</v>
      </c>
      <c r="H213" s="6" t="n">
        <v>41.98</v>
      </c>
      <c r="I213" s="6" t="n">
        <v>3271.120117</v>
      </c>
      <c r="J213" s="6" t="n">
        <v>100.420334</v>
      </c>
      <c r="L213" s="7">
        <f>LN(B213/B212)</f>
        <v/>
      </c>
      <c r="M213" s="7">
        <f>C213-C212</f>
        <v/>
      </c>
      <c r="N213" s="7">
        <f>D213-D212</f>
        <v/>
      </c>
      <c r="O213" s="7">
        <f>LN(E213/E212)</f>
        <v/>
      </c>
      <c r="P213" s="7">
        <f>LN(F213/F212)</f>
        <v/>
      </c>
      <c r="Q213" s="7">
        <f>G213-G212</f>
        <v/>
      </c>
      <c r="R213" s="7">
        <f>H213-H212</f>
        <v/>
      </c>
      <c r="S213" s="7">
        <f>LN(I213/I212)</f>
        <v/>
      </c>
      <c r="T213" s="7">
        <f>LN(J213/J212)</f>
        <v/>
      </c>
      <c r="U213" s="7">
        <f>$W$12+$W$4*M213+$W$5*N213+$W$6*O213+$W$7*P213+$W$8*Q213+$W$9*R213+$W$10*S213+$W$11*T213</f>
        <v/>
      </c>
      <c r="AA213" s="8">
        <f>INDEX(LINEST(L154:L213,M154:T213,TRUE,TRUE),1,9)*12</f>
        <v/>
      </c>
      <c r="AB213" s="7">
        <f>INDEX(LINEST(L154:L213,M154:T213,TRUE,TRUE),1,8)</f>
        <v/>
      </c>
      <c r="AC213" s="7">
        <f>INDEX(LINEST(L154:L213,M154:T213,TRUE,TRUE),1,7)</f>
        <v/>
      </c>
      <c r="AD213" s="7">
        <f>INDEX(LINEST(L154:L213,M154:T213,TRUE,TRUE),1,6)</f>
        <v/>
      </c>
      <c r="AE213" s="7">
        <f>INDEX(LINEST(L154:L213,M154:T213,TRUE,TRUE),1,5)</f>
        <v/>
      </c>
      <c r="AF213" s="7">
        <f>INDEX(LINEST(L154:L213,M154:T213,TRUE,TRUE),1,4)</f>
        <v/>
      </c>
      <c r="AG213" s="7">
        <f>INDEX(LINEST(L154:L213,M154:T213,TRUE,TRUE),1,3)</f>
        <v/>
      </c>
      <c r="AH213" s="7">
        <f>INDEX(LINEST(L154:L213,M154:T213,TRUE,TRUE),1,2)</f>
        <v/>
      </c>
      <c r="AI213" s="7">
        <f>INDEX(LINEST(L154:L213,M154:T213,TRUE,TRUE),1,1)</f>
        <v/>
      </c>
      <c r="AJ213" s="8">
        <f>INDEX(LINEST(L154:L213,M154:T213,TRUE,TRUE),3,1)</f>
        <v/>
      </c>
    </row>
    <row r="214">
      <c r="A214" s="5" t="n">
        <v>44074</v>
      </c>
      <c r="B214" s="6" t="n">
        <v>1957.35</v>
      </c>
      <c r="C214" s="6" t="n">
        <v>1.8</v>
      </c>
      <c r="D214" s="6" t="n">
        <v>-1.08</v>
      </c>
      <c r="E214" s="6" t="n">
        <v>92.139999</v>
      </c>
      <c r="F214" s="6" t="n">
        <v>42.61</v>
      </c>
      <c r="G214" s="6" t="n">
        <v>26.41</v>
      </c>
      <c r="H214" s="6" t="n">
        <v>47.02</v>
      </c>
      <c r="I214" s="6" t="n">
        <v>3500.310059</v>
      </c>
      <c r="J214" s="6" t="n">
        <v>99.593239</v>
      </c>
      <c r="L214" s="7">
        <f>LN(B214/B213)</f>
        <v/>
      </c>
      <c r="M214" s="7">
        <f>C214-C213</f>
        <v/>
      </c>
      <c r="N214" s="7">
        <f>D214-D213</f>
        <v/>
      </c>
      <c r="O214" s="7">
        <f>LN(E214/E213)</f>
        <v/>
      </c>
      <c r="P214" s="7">
        <f>LN(F214/F213)</f>
        <v/>
      </c>
      <c r="Q214" s="7">
        <f>G214-G213</f>
        <v/>
      </c>
      <c r="R214" s="7">
        <f>H214-H213</f>
        <v/>
      </c>
      <c r="S214" s="7">
        <f>LN(I214/I213)</f>
        <v/>
      </c>
      <c r="T214" s="7">
        <f>LN(J214/J213)</f>
        <v/>
      </c>
      <c r="U214" s="7">
        <f>$W$12+$W$4*M214+$W$5*N214+$W$6*O214+$W$7*P214+$W$8*Q214+$W$9*R214+$W$10*S214+$W$11*T214</f>
        <v/>
      </c>
      <c r="AA214" s="8">
        <f>INDEX(LINEST(L155:L214,M155:T214,TRUE,TRUE),1,9)*12</f>
        <v/>
      </c>
      <c r="AB214" s="7">
        <f>INDEX(LINEST(L155:L214,M155:T214,TRUE,TRUE),1,8)</f>
        <v/>
      </c>
      <c r="AC214" s="7">
        <f>INDEX(LINEST(L155:L214,M155:T214,TRUE,TRUE),1,7)</f>
        <v/>
      </c>
      <c r="AD214" s="7">
        <f>INDEX(LINEST(L155:L214,M155:T214,TRUE,TRUE),1,6)</f>
        <v/>
      </c>
      <c r="AE214" s="7">
        <f>INDEX(LINEST(L155:L214,M155:T214,TRUE,TRUE),1,5)</f>
        <v/>
      </c>
      <c r="AF214" s="7">
        <f>INDEX(LINEST(L155:L214,M155:T214,TRUE,TRUE),1,4)</f>
        <v/>
      </c>
      <c r="AG214" s="7">
        <f>INDEX(LINEST(L155:L214,M155:T214,TRUE,TRUE),1,3)</f>
        <v/>
      </c>
      <c r="AH214" s="7">
        <f>INDEX(LINEST(L155:L214,M155:T214,TRUE,TRUE),1,2)</f>
        <v/>
      </c>
      <c r="AI214" s="7">
        <f>INDEX(LINEST(L155:L214,M155:T214,TRUE,TRUE),1,1)</f>
        <v/>
      </c>
      <c r="AJ214" s="8">
        <f>INDEX(LINEST(L155:L214,M155:T214,TRUE,TRUE),3,1)</f>
        <v/>
      </c>
    </row>
    <row r="215">
      <c r="A215" s="5" t="n">
        <v>44104</v>
      </c>
      <c r="B215" s="6" t="n">
        <v>1886.9</v>
      </c>
      <c r="C215" s="6" t="n">
        <v>1.63</v>
      </c>
      <c r="D215" s="6" t="n">
        <v>-0.9399999999999999</v>
      </c>
      <c r="E215" s="6" t="n">
        <v>93.889999</v>
      </c>
      <c r="F215" s="6" t="n">
        <v>40.05</v>
      </c>
      <c r="G215" s="6" t="n">
        <v>26.37</v>
      </c>
      <c r="H215" s="6" t="n">
        <v>39.209999</v>
      </c>
      <c r="I215" s="6" t="n">
        <v>3363</v>
      </c>
      <c r="J215" s="6" t="n">
        <v>99.496353</v>
      </c>
      <c r="L215" s="7">
        <f>LN(B215/B214)</f>
        <v/>
      </c>
      <c r="M215" s="7">
        <f>C215-C214</f>
        <v/>
      </c>
      <c r="N215" s="7">
        <f>D215-D214</f>
        <v/>
      </c>
      <c r="O215" s="7">
        <f>LN(E215/E214)</f>
        <v/>
      </c>
      <c r="P215" s="7">
        <f>LN(F215/F214)</f>
        <v/>
      </c>
      <c r="Q215" s="7">
        <f>G215-G214</f>
        <v/>
      </c>
      <c r="R215" s="7">
        <f>H215-H214</f>
        <v/>
      </c>
      <c r="S215" s="7">
        <f>LN(I215/I214)</f>
        <v/>
      </c>
      <c r="T215" s="7">
        <f>LN(J215/J214)</f>
        <v/>
      </c>
      <c r="U215" s="7">
        <f>$W$12+$W$4*M215+$W$5*N215+$W$6*O215+$W$7*P215+$W$8*Q215+$W$9*R215+$W$10*S215+$W$11*T215</f>
        <v/>
      </c>
      <c r="AA215" s="8">
        <f>INDEX(LINEST(L156:L215,M156:T215,TRUE,TRUE),1,9)*12</f>
        <v/>
      </c>
      <c r="AB215" s="7">
        <f>INDEX(LINEST(L156:L215,M156:T215,TRUE,TRUE),1,8)</f>
        <v/>
      </c>
      <c r="AC215" s="7">
        <f>INDEX(LINEST(L156:L215,M156:T215,TRUE,TRUE),1,7)</f>
        <v/>
      </c>
      <c r="AD215" s="7">
        <f>INDEX(LINEST(L156:L215,M156:T215,TRUE,TRUE),1,6)</f>
        <v/>
      </c>
      <c r="AE215" s="7">
        <f>INDEX(LINEST(L156:L215,M156:T215,TRUE,TRUE),1,5)</f>
        <v/>
      </c>
      <c r="AF215" s="7">
        <f>INDEX(LINEST(L156:L215,M156:T215,TRUE,TRUE),1,4)</f>
        <v/>
      </c>
      <c r="AG215" s="7">
        <f>INDEX(LINEST(L156:L215,M156:T215,TRUE,TRUE),1,3)</f>
        <v/>
      </c>
      <c r="AH215" s="7">
        <f>INDEX(LINEST(L156:L215,M156:T215,TRUE,TRUE),1,2)</f>
        <v/>
      </c>
      <c r="AI215" s="7">
        <f>INDEX(LINEST(L156:L215,M156:T215,TRUE,TRUE),1,1)</f>
        <v/>
      </c>
      <c r="AJ215" s="8">
        <f>INDEX(LINEST(L156:L215,M156:T215,TRUE,TRUE),3,1)</f>
        <v/>
      </c>
    </row>
    <row r="216">
      <c r="A216" s="5" t="n">
        <v>44135</v>
      </c>
      <c r="B216" s="6" t="n">
        <v>1881.85</v>
      </c>
      <c r="C216" s="6" t="n">
        <v>1.7</v>
      </c>
      <c r="D216" s="6" t="n">
        <v>-0.82</v>
      </c>
      <c r="E216" s="6" t="n">
        <v>94.040001</v>
      </c>
      <c r="F216" s="6" t="n">
        <v>35.64</v>
      </c>
      <c r="G216" s="6" t="n">
        <v>38.02</v>
      </c>
      <c r="H216" s="6" t="n">
        <v>61.91</v>
      </c>
      <c r="I216" s="6" t="n">
        <v>3269.959961</v>
      </c>
      <c r="J216" s="6" t="n">
        <v>98.94088000000001</v>
      </c>
      <c r="L216" s="7">
        <f>LN(B216/B215)</f>
        <v/>
      </c>
      <c r="M216" s="7">
        <f>C216-C215</f>
        <v/>
      </c>
      <c r="N216" s="7">
        <f>D216-D215</f>
        <v/>
      </c>
      <c r="O216" s="7">
        <f>LN(E216/E215)</f>
        <v/>
      </c>
      <c r="P216" s="7">
        <f>LN(F216/F215)</f>
        <v/>
      </c>
      <c r="Q216" s="7">
        <f>G216-G215</f>
        <v/>
      </c>
      <c r="R216" s="7">
        <f>H216-H215</f>
        <v/>
      </c>
      <c r="S216" s="7">
        <f>LN(I216/I215)</f>
        <v/>
      </c>
      <c r="T216" s="7">
        <f>LN(J216/J215)</f>
        <v/>
      </c>
      <c r="U216" s="7">
        <f>$W$12+$W$4*M216+$W$5*N216+$W$6*O216+$W$7*P216+$W$8*Q216+$W$9*R216+$W$10*S216+$W$11*T216</f>
        <v/>
      </c>
      <c r="AA216" s="8">
        <f>INDEX(LINEST(L157:L216,M157:T216,TRUE,TRUE),1,9)*12</f>
        <v/>
      </c>
      <c r="AB216" s="7">
        <f>INDEX(LINEST(L157:L216,M157:T216,TRUE,TRUE),1,8)</f>
        <v/>
      </c>
      <c r="AC216" s="7">
        <f>INDEX(LINEST(L157:L216,M157:T216,TRUE,TRUE),1,7)</f>
        <v/>
      </c>
      <c r="AD216" s="7">
        <f>INDEX(LINEST(L157:L216,M157:T216,TRUE,TRUE),1,6)</f>
        <v/>
      </c>
      <c r="AE216" s="7">
        <f>INDEX(LINEST(L157:L216,M157:T216,TRUE,TRUE),1,5)</f>
        <v/>
      </c>
      <c r="AF216" s="7">
        <f>INDEX(LINEST(L157:L216,M157:T216,TRUE,TRUE),1,4)</f>
        <v/>
      </c>
      <c r="AG216" s="7">
        <f>INDEX(LINEST(L157:L216,M157:T216,TRUE,TRUE),1,3)</f>
        <v/>
      </c>
      <c r="AH216" s="7">
        <f>INDEX(LINEST(L157:L216,M157:T216,TRUE,TRUE),1,2)</f>
        <v/>
      </c>
      <c r="AI216" s="7">
        <f>INDEX(LINEST(L157:L216,M157:T216,TRUE,TRUE),1,1)</f>
        <v/>
      </c>
      <c r="AJ216" s="8">
        <f>INDEX(LINEST(L157:L216,M157:T216,TRUE,TRUE),3,1)</f>
        <v/>
      </c>
    </row>
    <row r="217">
      <c r="A217" s="5" t="n">
        <v>44165</v>
      </c>
      <c r="B217" s="6" t="n">
        <v>1762.55</v>
      </c>
      <c r="C217" s="6" t="n">
        <v>1.77</v>
      </c>
      <c r="D217" s="6" t="n">
        <v>-0.93</v>
      </c>
      <c r="E217" s="6" t="n">
        <v>91.870003</v>
      </c>
      <c r="F217" s="6" t="n">
        <v>45.2</v>
      </c>
      <c r="G217" s="6" t="n">
        <v>20.57</v>
      </c>
      <c r="H217" s="6" t="n">
        <v>40.84</v>
      </c>
      <c r="I217" s="6" t="n">
        <v>3621.629883</v>
      </c>
      <c r="J217" s="6" t="n">
        <v>100.134834</v>
      </c>
      <c r="L217" s="7">
        <f>LN(B217/B216)</f>
        <v/>
      </c>
      <c r="M217" s="7">
        <f>C217-C216</f>
        <v/>
      </c>
      <c r="N217" s="7">
        <f>D217-D216</f>
        <v/>
      </c>
      <c r="O217" s="7">
        <f>LN(E217/E216)</f>
        <v/>
      </c>
      <c r="P217" s="7">
        <f>LN(F217/F216)</f>
        <v/>
      </c>
      <c r="Q217" s="7">
        <f>G217-G216</f>
        <v/>
      </c>
      <c r="R217" s="7">
        <f>H217-H216</f>
        <v/>
      </c>
      <c r="S217" s="7">
        <f>LN(I217/I216)</f>
        <v/>
      </c>
      <c r="T217" s="7">
        <f>LN(J217/J216)</f>
        <v/>
      </c>
      <c r="U217" s="7">
        <f>$W$12+$W$4*M217+$W$5*N217+$W$6*O217+$W$7*P217+$W$8*Q217+$W$9*R217+$W$10*S217+$W$11*T217</f>
        <v/>
      </c>
      <c r="AA217" s="8">
        <f>INDEX(LINEST(L158:L217,M158:T217,TRUE,TRUE),1,9)*12</f>
        <v/>
      </c>
      <c r="AB217" s="7">
        <f>INDEX(LINEST(L158:L217,M158:T217,TRUE,TRUE),1,8)</f>
        <v/>
      </c>
      <c r="AC217" s="7">
        <f>INDEX(LINEST(L158:L217,M158:T217,TRUE,TRUE),1,7)</f>
        <v/>
      </c>
      <c r="AD217" s="7">
        <f>INDEX(LINEST(L158:L217,M158:T217,TRUE,TRUE),1,6)</f>
        <v/>
      </c>
      <c r="AE217" s="7">
        <f>INDEX(LINEST(L158:L217,M158:T217,TRUE,TRUE),1,5)</f>
        <v/>
      </c>
      <c r="AF217" s="7">
        <f>INDEX(LINEST(L158:L217,M158:T217,TRUE,TRUE),1,4)</f>
        <v/>
      </c>
      <c r="AG217" s="7">
        <f>INDEX(LINEST(L158:L217,M158:T217,TRUE,TRUE),1,3)</f>
        <v/>
      </c>
      <c r="AH217" s="7">
        <f>INDEX(LINEST(L158:L217,M158:T217,TRUE,TRUE),1,2)</f>
        <v/>
      </c>
      <c r="AI217" s="7">
        <f>INDEX(LINEST(L158:L217,M158:T217,TRUE,TRUE),1,1)</f>
        <v/>
      </c>
      <c r="AJ217" s="8">
        <f>INDEX(LINEST(L158:L217,M158:T217,TRUE,TRUE),3,1)</f>
        <v/>
      </c>
    </row>
    <row r="218">
      <c r="A218" s="5" t="n">
        <v>44196</v>
      </c>
      <c r="B218" s="6" t="n">
        <v>1887.6</v>
      </c>
      <c r="C218" s="6" t="n">
        <v>1.99</v>
      </c>
      <c r="D218" s="6" t="n">
        <v>-1.06</v>
      </c>
      <c r="E218" s="6" t="n">
        <v>89.94000200000001</v>
      </c>
      <c r="F218" s="6" t="n">
        <v>48.35</v>
      </c>
      <c r="G218" s="6" t="n">
        <v>22.75</v>
      </c>
      <c r="H218" s="6" t="n">
        <v>48.98</v>
      </c>
      <c r="I218" s="6" t="n">
        <v>3756.070068</v>
      </c>
      <c r="J218" s="6" t="n">
        <v>100.220718</v>
      </c>
      <c r="L218" s="7">
        <f>LN(B218/B217)</f>
        <v/>
      </c>
      <c r="M218" s="7">
        <f>C218-C217</f>
        <v/>
      </c>
      <c r="N218" s="7">
        <f>D218-D217</f>
        <v/>
      </c>
      <c r="O218" s="7">
        <f>LN(E218/E217)</f>
        <v/>
      </c>
      <c r="P218" s="7">
        <f>LN(F218/F217)</f>
        <v/>
      </c>
      <c r="Q218" s="7">
        <f>G218-G217</f>
        <v/>
      </c>
      <c r="R218" s="7">
        <f>H218-H217</f>
        <v/>
      </c>
      <c r="S218" s="7">
        <f>LN(I218/I217)</f>
        <v/>
      </c>
      <c r="T218" s="7">
        <f>LN(J218/J217)</f>
        <v/>
      </c>
      <c r="U218" s="7">
        <f>$W$12+$W$4*M218+$W$5*N218+$W$6*O218+$W$7*P218+$W$8*Q218+$W$9*R218+$W$10*S218+$W$11*T218</f>
        <v/>
      </c>
      <c r="AA218" s="8">
        <f>INDEX(LINEST(L159:L218,M159:T218,TRUE,TRUE),1,9)*12</f>
        <v/>
      </c>
      <c r="AB218" s="7">
        <f>INDEX(LINEST(L159:L218,M159:T218,TRUE,TRUE),1,8)</f>
        <v/>
      </c>
      <c r="AC218" s="7">
        <f>INDEX(LINEST(L159:L218,M159:T218,TRUE,TRUE),1,7)</f>
        <v/>
      </c>
      <c r="AD218" s="7">
        <f>INDEX(LINEST(L159:L218,M159:T218,TRUE,TRUE),1,6)</f>
        <v/>
      </c>
      <c r="AE218" s="7">
        <f>INDEX(LINEST(L159:L218,M159:T218,TRUE,TRUE),1,5)</f>
        <v/>
      </c>
      <c r="AF218" s="7">
        <f>INDEX(LINEST(L159:L218,M159:T218,TRUE,TRUE),1,4)</f>
        <v/>
      </c>
      <c r="AG218" s="7">
        <f>INDEX(LINEST(L159:L218,M159:T218,TRUE,TRUE),1,3)</f>
        <v/>
      </c>
      <c r="AH218" s="7">
        <f>INDEX(LINEST(L159:L218,M159:T218,TRUE,TRUE),1,2)</f>
        <v/>
      </c>
      <c r="AI218" s="7">
        <f>INDEX(LINEST(L159:L218,M159:T218,TRUE,TRUE),1,1)</f>
        <v/>
      </c>
      <c r="AJ218" s="8">
        <f>INDEX(LINEST(L159:L218,M159:T218,TRUE,TRUE),3,1)</f>
        <v/>
      </c>
    </row>
    <row r="219">
      <c r="A219" s="5" t="n">
        <v>44227</v>
      </c>
      <c r="B219" s="6" t="n">
        <v>1863.8</v>
      </c>
      <c r="C219" s="6" t="n">
        <v>2.13</v>
      </c>
      <c r="D219" s="6" t="n">
        <v>-1.02</v>
      </c>
      <c r="E219" s="6" t="n">
        <v>90.58000199999999</v>
      </c>
      <c r="F219" s="6" t="n">
        <v>52.16</v>
      </c>
      <c r="G219" s="6" t="n">
        <v>33.09</v>
      </c>
      <c r="H219" s="6" t="n">
        <v>47.41</v>
      </c>
      <c r="I219" s="6" t="n">
        <v>3714.23999</v>
      </c>
      <c r="J219" s="6" t="n">
        <v>99.474518</v>
      </c>
      <c r="L219" s="7">
        <f>LN(B219/B218)</f>
        <v/>
      </c>
      <c r="M219" s="7">
        <f>C219-C218</f>
        <v/>
      </c>
      <c r="N219" s="7">
        <f>D219-D218</f>
        <v/>
      </c>
      <c r="O219" s="7">
        <f>LN(E219/E218)</f>
        <v/>
      </c>
      <c r="P219" s="7">
        <f>LN(F219/F218)</f>
        <v/>
      </c>
      <c r="Q219" s="7">
        <f>G219-G218</f>
        <v/>
      </c>
      <c r="R219" s="7">
        <f>H219-H218</f>
        <v/>
      </c>
      <c r="S219" s="7">
        <f>LN(I219/I218)</f>
        <v/>
      </c>
      <c r="T219" s="7">
        <f>LN(J219/J218)</f>
        <v/>
      </c>
      <c r="U219" s="7">
        <f>$W$12+$W$4*M219+$W$5*N219+$W$6*O219+$W$7*P219+$W$8*Q219+$W$9*R219+$W$10*S219+$W$11*T219</f>
        <v/>
      </c>
      <c r="AA219" s="8">
        <f>INDEX(LINEST(L160:L219,M160:T219,TRUE,TRUE),1,9)*12</f>
        <v/>
      </c>
      <c r="AB219" s="7">
        <f>INDEX(LINEST(L160:L219,M160:T219,TRUE,TRUE),1,8)</f>
        <v/>
      </c>
      <c r="AC219" s="7">
        <f>INDEX(LINEST(L160:L219,M160:T219,TRUE,TRUE),1,7)</f>
        <v/>
      </c>
      <c r="AD219" s="7">
        <f>INDEX(LINEST(L160:L219,M160:T219,TRUE,TRUE),1,6)</f>
        <v/>
      </c>
      <c r="AE219" s="7">
        <f>INDEX(LINEST(L160:L219,M160:T219,TRUE,TRUE),1,5)</f>
        <v/>
      </c>
      <c r="AF219" s="7">
        <f>INDEX(LINEST(L160:L219,M160:T219,TRUE,TRUE),1,4)</f>
        <v/>
      </c>
      <c r="AG219" s="7">
        <f>INDEX(LINEST(L160:L219,M160:T219,TRUE,TRUE),1,3)</f>
        <v/>
      </c>
      <c r="AH219" s="7">
        <f>INDEX(LINEST(L160:L219,M160:T219,TRUE,TRUE),1,2)</f>
        <v/>
      </c>
      <c r="AI219" s="7">
        <f>INDEX(LINEST(L160:L219,M160:T219,TRUE,TRUE),1,1)</f>
        <v/>
      </c>
      <c r="AJ219" s="8">
        <f>INDEX(LINEST(L160:L219,M160:T219,TRUE,TRUE),3,1)</f>
        <v/>
      </c>
    </row>
    <row r="220">
      <c r="A220" s="5" t="n">
        <v>44255</v>
      </c>
      <c r="B220" s="6" t="n">
        <v>1742.85</v>
      </c>
      <c r="C220" s="6" t="n">
        <v>2.15</v>
      </c>
      <c r="D220" s="6" t="n">
        <v>-0.71</v>
      </c>
      <c r="E220" s="6" t="n">
        <v>90.93000000000001</v>
      </c>
      <c r="F220" s="6" t="n">
        <v>61.55</v>
      </c>
      <c r="G220" s="6" t="n">
        <v>27.95</v>
      </c>
      <c r="H220" s="6" t="n">
        <v>75.660004</v>
      </c>
      <c r="I220" s="6" t="n">
        <v>3811.149902</v>
      </c>
      <c r="J220" s="6" t="n">
        <v>97.964348</v>
      </c>
      <c r="L220" s="7">
        <f>LN(B220/B219)</f>
        <v/>
      </c>
      <c r="M220" s="7">
        <f>C220-C219</f>
        <v/>
      </c>
      <c r="N220" s="7">
        <f>D220-D219</f>
        <v/>
      </c>
      <c r="O220" s="7">
        <f>LN(E220/E219)</f>
        <v/>
      </c>
      <c r="P220" s="7">
        <f>LN(F220/F219)</f>
        <v/>
      </c>
      <c r="Q220" s="7">
        <f>G220-G219</f>
        <v/>
      </c>
      <c r="R220" s="7">
        <f>H220-H219</f>
        <v/>
      </c>
      <c r="S220" s="7">
        <f>LN(I220/I219)</f>
        <v/>
      </c>
      <c r="T220" s="7">
        <f>LN(J220/J219)</f>
        <v/>
      </c>
      <c r="U220" s="7">
        <f>$W$12+$W$4*M220+$W$5*N220+$W$6*O220+$W$7*P220+$W$8*Q220+$W$9*R220+$W$10*S220+$W$11*T220</f>
        <v/>
      </c>
      <c r="AA220" s="8">
        <f>INDEX(LINEST(L161:L220,M161:T220,TRUE,TRUE),1,9)*12</f>
        <v/>
      </c>
      <c r="AB220" s="7">
        <f>INDEX(LINEST(L161:L220,M161:T220,TRUE,TRUE),1,8)</f>
        <v/>
      </c>
      <c r="AC220" s="7">
        <f>INDEX(LINEST(L161:L220,M161:T220,TRUE,TRUE),1,7)</f>
        <v/>
      </c>
      <c r="AD220" s="7">
        <f>INDEX(LINEST(L161:L220,M161:T220,TRUE,TRUE),1,6)</f>
        <v/>
      </c>
      <c r="AE220" s="7">
        <f>INDEX(LINEST(L161:L220,M161:T220,TRUE,TRUE),1,5)</f>
        <v/>
      </c>
      <c r="AF220" s="7">
        <f>INDEX(LINEST(L161:L220,M161:T220,TRUE,TRUE),1,4)</f>
        <v/>
      </c>
      <c r="AG220" s="7">
        <f>INDEX(LINEST(L161:L220,M161:T220,TRUE,TRUE),1,3)</f>
        <v/>
      </c>
      <c r="AH220" s="7">
        <f>INDEX(LINEST(L161:L220,M161:T220,TRUE,TRUE),1,2)</f>
        <v/>
      </c>
      <c r="AI220" s="7">
        <f>INDEX(LINEST(L161:L220,M161:T220,TRUE,TRUE),1,1)</f>
        <v/>
      </c>
      <c r="AJ220" s="8">
        <f>INDEX(LINEST(L161:L220,M161:T220,TRUE,TRUE),3,1)</f>
        <v/>
      </c>
    </row>
    <row r="221">
      <c r="A221" s="5" t="n">
        <v>44286</v>
      </c>
      <c r="B221" s="6" t="n">
        <v>1691.05</v>
      </c>
      <c r="C221" s="6" t="n">
        <v>2.37</v>
      </c>
      <c r="D221" s="6" t="n">
        <v>-0.63</v>
      </c>
      <c r="E221" s="6" t="n">
        <v>93.230003</v>
      </c>
      <c r="F221" s="6" t="n">
        <v>59.19</v>
      </c>
      <c r="G221" s="6" t="n">
        <v>19.4</v>
      </c>
      <c r="H221" s="6" t="n">
        <v>71.269997</v>
      </c>
      <c r="I221" s="6" t="n">
        <v>3972.889893</v>
      </c>
      <c r="J221" s="6" t="n">
        <v>96.841354</v>
      </c>
      <c r="L221" s="7">
        <f>LN(B221/B220)</f>
        <v/>
      </c>
      <c r="M221" s="7">
        <f>C221-C220</f>
        <v/>
      </c>
      <c r="N221" s="7">
        <f>D221-D220</f>
        <v/>
      </c>
      <c r="O221" s="7">
        <f>LN(E221/E220)</f>
        <v/>
      </c>
      <c r="P221" s="7">
        <f>LN(F221/F220)</f>
        <v/>
      </c>
      <c r="Q221" s="7">
        <f>G221-G220</f>
        <v/>
      </c>
      <c r="R221" s="7">
        <f>H221-H220</f>
        <v/>
      </c>
      <c r="S221" s="7">
        <f>LN(I221/I220)</f>
        <v/>
      </c>
      <c r="T221" s="7">
        <f>LN(J221/J220)</f>
        <v/>
      </c>
      <c r="U221" s="7">
        <f>$W$12+$W$4*M221+$W$5*N221+$W$6*O221+$W$7*P221+$W$8*Q221+$W$9*R221+$W$10*S221+$W$11*T221</f>
        <v/>
      </c>
      <c r="AA221" s="8">
        <f>INDEX(LINEST(L162:L221,M162:T221,TRUE,TRUE),1,9)*12</f>
        <v/>
      </c>
      <c r="AB221" s="7">
        <f>INDEX(LINEST(L162:L221,M162:T221,TRUE,TRUE),1,8)</f>
        <v/>
      </c>
      <c r="AC221" s="7">
        <f>INDEX(LINEST(L162:L221,M162:T221,TRUE,TRUE),1,7)</f>
        <v/>
      </c>
      <c r="AD221" s="7">
        <f>INDEX(LINEST(L162:L221,M162:T221,TRUE,TRUE),1,6)</f>
        <v/>
      </c>
      <c r="AE221" s="7">
        <f>INDEX(LINEST(L162:L221,M162:T221,TRUE,TRUE),1,5)</f>
        <v/>
      </c>
      <c r="AF221" s="7">
        <f>INDEX(LINEST(L162:L221,M162:T221,TRUE,TRUE),1,4)</f>
        <v/>
      </c>
      <c r="AG221" s="7">
        <f>INDEX(LINEST(L162:L221,M162:T221,TRUE,TRUE),1,3)</f>
        <v/>
      </c>
      <c r="AH221" s="7">
        <f>INDEX(LINEST(L162:L221,M162:T221,TRUE,TRUE),1,2)</f>
        <v/>
      </c>
      <c r="AI221" s="7">
        <f>INDEX(LINEST(L162:L221,M162:T221,TRUE,TRUE),1,1)</f>
        <v/>
      </c>
      <c r="AJ221" s="8">
        <f>INDEX(LINEST(L162:L221,M162:T221,TRUE,TRUE),3,1)</f>
        <v/>
      </c>
    </row>
    <row r="222">
      <c r="A222" s="5" t="n">
        <v>44316</v>
      </c>
      <c r="B222" s="6" t="n">
        <v>1767.65</v>
      </c>
      <c r="C222" s="6" t="n">
        <v>2.41</v>
      </c>
      <c r="D222" s="6" t="n">
        <v>-0.76</v>
      </c>
      <c r="E222" s="6" t="n">
        <v>91.279999</v>
      </c>
      <c r="F222" s="6" t="n">
        <v>63.5</v>
      </c>
      <c r="G222" s="6" t="n">
        <v>18.61</v>
      </c>
      <c r="H222" s="6" t="n">
        <v>58.130001</v>
      </c>
      <c r="I222" s="6" t="n">
        <v>4181.169922</v>
      </c>
      <c r="J222" s="6" t="n">
        <v>97.550262</v>
      </c>
      <c r="L222" s="7">
        <f>LN(B222/B221)</f>
        <v/>
      </c>
      <c r="M222" s="7">
        <f>C222-C221</f>
        <v/>
      </c>
      <c r="N222" s="7">
        <f>D222-D221</f>
        <v/>
      </c>
      <c r="O222" s="7">
        <f>LN(E222/E221)</f>
        <v/>
      </c>
      <c r="P222" s="7">
        <f>LN(F222/F221)</f>
        <v/>
      </c>
      <c r="Q222" s="7">
        <f>G222-G221</f>
        <v/>
      </c>
      <c r="R222" s="7">
        <f>H222-H221</f>
        <v/>
      </c>
      <c r="S222" s="7">
        <f>LN(I222/I221)</f>
        <v/>
      </c>
      <c r="T222" s="7">
        <f>LN(J222/J221)</f>
        <v/>
      </c>
      <c r="U222" s="7">
        <f>$W$12+$W$4*M222+$W$5*N222+$W$6*O222+$W$7*P222+$W$8*Q222+$W$9*R222+$W$10*S222+$W$11*T222</f>
        <v/>
      </c>
      <c r="AA222" s="8">
        <f>INDEX(LINEST(L163:L222,M163:T222,TRUE,TRUE),1,9)*12</f>
        <v/>
      </c>
      <c r="AB222" s="7">
        <f>INDEX(LINEST(L163:L222,M163:T222,TRUE,TRUE),1,8)</f>
        <v/>
      </c>
      <c r="AC222" s="7">
        <f>INDEX(LINEST(L163:L222,M163:T222,TRUE,TRUE),1,7)</f>
        <v/>
      </c>
      <c r="AD222" s="7">
        <f>INDEX(LINEST(L163:L222,M163:T222,TRUE,TRUE),1,6)</f>
        <v/>
      </c>
      <c r="AE222" s="7">
        <f>INDEX(LINEST(L163:L222,M163:T222,TRUE,TRUE),1,5)</f>
        <v/>
      </c>
      <c r="AF222" s="7">
        <f>INDEX(LINEST(L163:L222,M163:T222,TRUE,TRUE),1,4)</f>
        <v/>
      </c>
      <c r="AG222" s="7">
        <f>INDEX(LINEST(L163:L222,M163:T222,TRUE,TRUE),1,3)</f>
        <v/>
      </c>
      <c r="AH222" s="7">
        <f>INDEX(LINEST(L163:L222,M163:T222,TRUE,TRUE),1,2)</f>
        <v/>
      </c>
      <c r="AI222" s="7">
        <f>INDEX(LINEST(L163:L222,M163:T222,TRUE,TRUE),1,1)</f>
        <v/>
      </c>
      <c r="AJ222" s="8">
        <f>INDEX(LINEST(L163:L222,M163:T222,TRUE,TRUE),3,1)</f>
        <v/>
      </c>
    </row>
    <row r="223">
      <c r="A223" s="5" t="n">
        <v>44347</v>
      </c>
      <c r="B223" s="6" t="n">
        <v>1899.95</v>
      </c>
      <c r="C223" s="6" t="n">
        <v>2.42</v>
      </c>
      <c r="D223" s="6" t="n">
        <v>-0.84</v>
      </c>
      <c r="E223" s="6" t="n">
        <v>90.029999</v>
      </c>
      <c r="F223" s="6" t="n">
        <v>66.31</v>
      </c>
      <c r="G223" s="6" t="n">
        <v>16.76</v>
      </c>
      <c r="H223" s="6" t="n">
        <v>52.040001</v>
      </c>
      <c r="I223" s="6" t="n">
        <v>4204.109863</v>
      </c>
      <c r="J223" s="6" t="n">
        <v>97.749115</v>
      </c>
      <c r="L223" s="7">
        <f>LN(B223/B222)</f>
        <v/>
      </c>
      <c r="M223" s="7">
        <f>C223-C222</f>
        <v/>
      </c>
      <c r="N223" s="7">
        <f>D223-D222</f>
        <v/>
      </c>
      <c r="O223" s="7">
        <f>LN(E223/E222)</f>
        <v/>
      </c>
      <c r="P223" s="7">
        <f>LN(F223/F222)</f>
        <v/>
      </c>
      <c r="Q223" s="7">
        <f>G223-G222</f>
        <v/>
      </c>
      <c r="R223" s="7">
        <f>H223-H222</f>
        <v/>
      </c>
      <c r="S223" s="7">
        <f>LN(I223/I222)</f>
        <v/>
      </c>
      <c r="T223" s="7">
        <f>LN(J223/J222)</f>
        <v/>
      </c>
      <c r="U223" s="7">
        <f>$W$12+$W$4*M223+$W$5*N223+$W$6*O223+$W$7*P223+$W$8*Q223+$W$9*R223+$W$10*S223+$W$11*T223</f>
        <v/>
      </c>
      <c r="AA223" s="8">
        <f>INDEX(LINEST(L164:L223,M164:T223,TRUE,TRUE),1,9)*12</f>
        <v/>
      </c>
      <c r="AB223" s="7">
        <f>INDEX(LINEST(L164:L223,M164:T223,TRUE,TRUE),1,8)</f>
        <v/>
      </c>
      <c r="AC223" s="7">
        <f>INDEX(LINEST(L164:L223,M164:T223,TRUE,TRUE),1,7)</f>
        <v/>
      </c>
      <c r="AD223" s="7">
        <f>INDEX(LINEST(L164:L223,M164:T223,TRUE,TRUE),1,6)</f>
        <v/>
      </c>
      <c r="AE223" s="7">
        <f>INDEX(LINEST(L164:L223,M164:T223,TRUE,TRUE),1,5)</f>
        <v/>
      </c>
      <c r="AF223" s="7">
        <f>INDEX(LINEST(L164:L223,M164:T223,TRUE,TRUE),1,4)</f>
        <v/>
      </c>
      <c r="AG223" s="7">
        <f>INDEX(LINEST(L164:L223,M164:T223,TRUE,TRUE),1,3)</f>
        <v/>
      </c>
      <c r="AH223" s="7">
        <f>INDEX(LINEST(L164:L223,M164:T223,TRUE,TRUE),1,2)</f>
        <v/>
      </c>
      <c r="AI223" s="7">
        <f>INDEX(LINEST(L164:L223,M164:T223,TRUE,TRUE),1,1)</f>
        <v/>
      </c>
      <c r="AJ223" s="8">
        <f>INDEX(LINEST(L164:L223,M164:T223,TRUE,TRUE),3,1)</f>
        <v/>
      </c>
    </row>
    <row r="224">
      <c r="A224" s="5" t="n">
        <v>44377</v>
      </c>
      <c r="B224" s="6" t="n">
        <v>1763.15</v>
      </c>
      <c r="C224" s="6" t="n">
        <v>2.32</v>
      </c>
      <c r="D224" s="6" t="n">
        <v>-0.87</v>
      </c>
      <c r="E224" s="6" t="n">
        <v>92.44000200000001</v>
      </c>
      <c r="F224" s="6" t="n">
        <v>73.52</v>
      </c>
      <c r="G224" s="6" t="n">
        <v>15.83</v>
      </c>
      <c r="H224" s="6" t="n">
        <v>57.27</v>
      </c>
      <c r="I224" s="6" t="n">
        <v>4297.5</v>
      </c>
      <c r="J224" s="6" t="n">
        <v>98.55832700000001</v>
      </c>
      <c r="L224" s="7">
        <f>LN(B224/B223)</f>
        <v/>
      </c>
      <c r="M224" s="7">
        <f>C224-C223</f>
        <v/>
      </c>
      <c r="N224" s="7">
        <f>D224-D223</f>
        <v/>
      </c>
      <c r="O224" s="7">
        <f>LN(E224/E223)</f>
        <v/>
      </c>
      <c r="P224" s="7">
        <f>LN(F224/F223)</f>
        <v/>
      </c>
      <c r="Q224" s="7">
        <f>G224-G223</f>
        <v/>
      </c>
      <c r="R224" s="7">
        <f>H224-H223</f>
        <v/>
      </c>
      <c r="S224" s="7">
        <f>LN(I224/I223)</f>
        <v/>
      </c>
      <c r="T224" s="7">
        <f>LN(J224/J223)</f>
        <v/>
      </c>
      <c r="U224" s="7">
        <f>$W$12+$W$4*M224+$W$5*N224+$W$6*O224+$W$7*P224+$W$8*Q224+$W$9*R224+$W$10*S224+$W$11*T224</f>
        <v/>
      </c>
      <c r="AA224" s="8">
        <f>INDEX(LINEST(L165:L224,M165:T224,TRUE,TRUE),1,9)*12</f>
        <v/>
      </c>
      <c r="AB224" s="7">
        <f>INDEX(LINEST(L165:L224,M165:T224,TRUE,TRUE),1,8)</f>
        <v/>
      </c>
      <c r="AC224" s="7">
        <f>INDEX(LINEST(L165:L224,M165:T224,TRUE,TRUE),1,7)</f>
        <v/>
      </c>
      <c r="AD224" s="7">
        <f>INDEX(LINEST(L165:L224,M165:T224,TRUE,TRUE),1,6)</f>
        <v/>
      </c>
      <c r="AE224" s="7">
        <f>INDEX(LINEST(L165:L224,M165:T224,TRUE,TRUE),1,5)</f>
        <v/>
      </c>
      <c r="AF224" s="7">
        <f>INDEX(LINEST(L165:L224,M165:T224,TRUE,TRUE),1,4)</f>
        <v/>
      </c>
      <c r="AG224" s="7">
        <f>INDEX(LINEST(L165:L224,M165:T224,TRUE,TRUE),1,3)</f>
        <v/>
      </c>
      <c r="AH224" s="7">
        <f>INDEX(LINEST(L165:L224,M165:T224,TRUE,TRUE),1,2)</f>
        <v/>
      </c>
      <c r="AI224" s="7">
        <f>INDEX(LINEST(L165:L224,M165:T224,TRUE,TRUE),1,1)</f>
        <v/>
      </c>
      <c r="AJ224" s="8">
        <f>INDEX(LINEST(L165:L224,M165:T224,TRUE,TRUE),3,1)</f>
        <v/>
      </c>
    </row>
    <row r="225">
      <c r="A225" s="5" t="n">
        <v>44408</v>
      </c>
      <c r="B225" s="6" t="n">
        <v>1825.75</v>
      </c>
      <c r="C225" s="6" t="n">
        <v>2.4</v>
      </c>
      <c r="D225" s="6" t="n">
        <v>-1.16</v>
      </c>
      <c r="E225" s="6" t="n">
        <v>92.16999800000001</v>
      </c>
      <c r="F225" s="6" t="n">
        <v>73.93000000000001</v>
      </c>
      <c r="G225" s="6" t="n">
        <v>18.24</v>
      </c>
      <c r="H225" s="6" t="n">
        <v>61.189999</v>
      </c>
      <c r="I225" s="6" t="n">
        <v>4395.259766</v>
      </c>
      <c r="J225" s="6" t="n">
        <v>99.658821</v>
      </c>
      <c r="L225" s="7">
        <f>LN(B225/B224)</f>
        <v/>
      </c>
      <c r="M225" s="7">
        <f>C225-C224</f>
        <v/>
      </c>
      <c r="N225" s="7">
        <f>D225-D224</f>
        <v/>
      </c>
      <c r="O225" s="7">
        <f>LN(E225/E224)</f>
        <v/>
      </c>
      <c r="P225" s="7">
        <f>LN(F225/F224)</f>
        <v/>
      </c>
      <c r="Q225" s="7">
        <f>G225-G224</f>
        <v/>
      </c>
      <c r="R225" s="7">
        <f>H225-H224</f>
        <v/>
      </c>
      <c r="S225" s="7">
        <f>LN(I225/I224)</f>
        <v/>
      </c>
      <c r="T225" s="7">
        <f>LN(J225/J224)</f>
        <v/>
      </c>
      <c r="U225" s="7">
        <f>$W$12+$W$4*M225+$W$5*N225+$W$6*O225+$W$7*P225+$W$8*Q225+$W$9*R225+$W$10*S225+$W$11*T225</f>
        <v/>
      </c>
      <c r="AA225" s="8">
        <f>INDEX(LINEST(L166:L225,M166:T225,TRUE,TRUE),1,9)*12</f>
        <v/>
      </c>
      <c r="AB225" s="7">
        <f>INDEX(LINEST(L166:L225,M166:T225,TRUE,TRUE),1,8)</f>
        <v/>
      </c>
      <c r="AC225" s="7">
        <f>INDEX(LINEST(L166:L225,M166:T225,TRUE,TRUE),1,7)</f>
        <v/>
      </c>
      <c r="AD225" s="7">
        <f>INDEX(LINEST(L166:L225,M166:T225,TRUE,TRUE),1,6)</f>
        <v/>
      </c>
      <c r="AE225" s="7">
        <f>INDEX(LINEST(L166:L225,M166:T225,TRUE,TRUE),1,5)</f>
        <v/>
      </c>
      <c r="AF225" s="7">
        <f>INDEX(LINEST(L166:L225,M166:T225,TRUE,TRUE),1,4)</f>
        <v/>
      </c>
      <c r="AG225" s="7">
        <f>INDEX(LINEST(L166:L225,M166:T225,TRUE,TRUE),1,3)</f>
        <v/>
      </c>
      <c r="AH225" s="7">
        <f>INDEX(LINEST(L166:L225,M166:T225,TRUE,TRUE),1,2)</f>
        <v/>
      </c>
      <c r="AI225" s="7">
        <f>INDEX(LINEST(L166:L225,M166:T225,TRUE,TRUE),1,1)</f>
        <v/>
      </c>
      <c r="AJ225" s="8">
        <f>INDEX(LINEST(L166:L225,M166:T225,TRUE,TRUE),3,1)</f>
        <v/>
      </c>
    </row>
    <row r="226">
      <c r="A226" s="5" t="n">
        <v>44439</v>
      </c>
      <c r="B226" s="6" t="n">
        <v>1814.85</v>
      </c>
      <c r="C226" s="6" t="n">
        <v>2.33</v>
      </c>
      <c r="D226" s="6" t="n">
        <v>-1.03</v>
      </c>
      <c r="E226" s="6" t="n">
        <v>92.629997</v>
      </c>
      <c r="F226" s="6" t="n">
        <v>68.43000000000001</v>
      </c>
      <c r="G226" s="6" t="n">
        <v>16.48</v>
      </c>
      <c r="H226" s="6" t="n">
        <v>59.540001</v>
      </c>
      <c r="I226" s="6" t="n">
        <v>4522.680176</v>
      </c>
      <c r="J226" s="6" t="n">
        <v>99.45916</v>
      </c>
      <c r="L226" s="7">
        <f>LN(B226/B225)</f>
        <v/>
      </c>
      <c r="M226" s="7">
        <f>C226-C225</f>
        <v/>
      </c>
      <c r="N226" s="7">
        <f>D226-D225</f>
        <v/>
      </c>
      <c r="O226" s="7">
        <f>LN(E226/E225)</f>
        <v/>
      </c>
      <c r="P226" s="7">
        <f>LN(F226/F225)</f>
        <v/>
      </c>
      <c r="Q226" s="7">
        <f>G226-G225</f>
        <v/>
      </c>
      <c r="R226" s="7">
        <f>H226-H225</f>
        <v/>
      </c>
      <c r="S226" s="7">
        <f>LN(I226/I225)</f>
        <v/>
      </c>
      <c r="T226" s="7">
        <f>LN(J226/J225)</f>
        <v/>
      </c>
      <c r="U226" s="7">
        <f>$W$12+$W$4*M226+$W$5*N226+$W$6*O226+$W$7*P226+$W$8*Q226+$W$9*R226+$W$10*S226+$W$11*T226</f>
        <v/>
      </c>
      <c r="AA226" s="8">
        <f>INDEX(LINEST(L167:L226,M167:T226,TRUE,TRUE),1,9)*12</f>
        <v/>
      </c>
      <c r="AB226" s="7">
        <f>INDEX(LINEST(L167:L226,M167:T226,TRUE,TRUE),1,8)</f>
        <v/>
      </c>
      <c r="AC226" s="7">
        <f>INDEX(LINEST(L167:L226,M167:T226,TRUE,TRUE),1,7)</f>
        <v/>
      </c>
      <c r="AD226" s="7">
        <f>INDEX(LINEST(L167:L226,M167:T226,TRUE,TRUE),1,6)</f>
        <v/>
      </c>
      <c r="AE226" s="7">
        <f>INDEX(LINEST(L167:L226,M167:T226,TRUE,TRUE),1,5)</f>
        <v/>
      </c>
      <c r="AF226" s="7">
        <f>INDEX(LINEST(L167:L226,M167:T226,TRUE,TRUE),1,4)</f>
        <v/>
      </c>
      <c r="AG226" s="7">
        <f>INDEX(LINEST(L167:L226,M167:T226,TRUE,TRUE),1,3)</f>
        <v/>
      </c>
      <c r="AH226" s="7">
        <f>INDEX(LINEST(L167:L226,M167:T226,TRUE,TRUE),1,2)</f>
        <v/>
      </c>
      <c r="AI226" s="7">
        <f>INDEX(LINEST(L167:L226,M167:T226,TRUE,TRUE),1,1)</f>
        <v/>
      </c>
      <c r="AJ226" s="8">
        <f>INDEX(LINEST(L167:L226,M167:T226,TRUE,TRUE),3,1)</f>
        <v/>
      </c>
    </row>
    <row r="227">
      <c r="A227" s="5" t="n">
        <v>44469</v>
      </c>
      <c r="B227" s="6" t="n">
        <v>1742.8</v>
      </c>
      <c r="C227" s="6" t="n">
        <v>2.37</v>
      </c>
      <c r="D227" s="6" t="n">
        <v>-0.85</v>
      </c>
      <c r="E227" s="6" t="n">
        <v>94.25</v>
      </c>
      <c r="F227" s="6" t="n">
        <v>75.22</v>
      </c>
      <c r="G227" s="6" t="n">
        <v>23.14</v>
      </c>
      <c r="H227" s="6" t="n">
        <v>61.07</v>
      </c>
      <c r="I227" s="6" t="n">
        <v>4307.540039</v>
      </c>
      <c r="J227" s="6" t="n">
        <v>98.546898</v>
      </c>
      <c r="L227" s="7">
        <f>LN(B227/B226)</f>
        <v/>
      </c>
      <c r="M227" s="7">
        <f>C227-C226</f>
        <v/>
      </c>
      <c r="N227" s="7">
        <f>D227-D226</f>
        <v/>
      </c>
      <c r="O227" s="7">
        <f>LN(E227/E226)</f>
        <v/>
      </c>
      <c r="P227" s="7">
        <f>LN(F227/F226)</f>
        <v/>
      </c>
      <c r="Q227" s="7">
        <f>G227-G226</f>
        <v/>
      </c>
      <c r="R227" s="7">
        <f>H227-H226</f>
        <v/>
      </c>
      <c r="S227" s="7">
        <f>LN(I227/I226)</f>
        <v/>
      </c>
      <c r="T227" s="7">
        <f>LN(J227/J226)</f>
        <v/>
      </c>
      <c r="U227" s="7">
        <f>$W$12+$W$4*M227+$W$5*N227+$W$6*O227+$W$7*P227+$W$8*Q227+$W$9*R227+$W$10*S227+$W$11*T227</f>
        <v/>
      </c>
      <c r="AA227" s="8">
        <f>INDEX(LINEST(L168:L227,M168:T227,TRUE,TRUE),1,9)*12</f>
        <v/>
      </c>
      <c r="AB227" s="7">
        <f>INDEX(LINEST(L168:L227,M168:T227,TRUE,TRUE),1,8)</f>
        <v/>
      </c>
      <c r="AC227" s="7">
        <f>INDEX(LINEST(L168:L227,M168:T227,TRUE,TRUE),1,7)</f>
        <v/>
      </c>
      <c r="AD227" s="7">
        <f>INDEX(LINEST(L168:L227,M168:T227,TRUE,TRUE),1,6)</f>
        <v/>
      </c>
      <c r="AE227" s="7">
        <f>INDEX(LINEST(L168:L227,M168:T227,TRUE,TRUE),1,5)</f>
        <v/>
      </c>
      <c r="AF227" s="7">
        <f>INDEX(LINEST(L168:L227,M168:T227,TRUE,TRUE),1,4)</f>
        <v/>
      </c>
      <c r="AG227" s="7">
        <f>INDEX(LINEST(L168:L227,M168:T227,TRUE,TRUE),1,3)</f>
        <v/>
      </c>
      <c r="AH227" s="7">
        <f>INDEX(LINEST(L168:L227,M168:T227,TRUE,TRUE),1,2)</f>
        <v/>
      </c>
      <c r="AI227" s="7">
        <f>INDEX(LINEST(L168:L227,M168:T227,TRUE,TRUE),1,1)</f>
        <v/>
      </c>
      <c r="AJ227" s="8">
        <f>INDEX(LINEST(L168:L227,M168:T227,TRUE,TRUE),3,1)</f>
        <v/>
      </c>
    </row>
    <row r="228">
      <c r="A228" s="5" t="n">
        <v>44500</v>
      </c>
      <c r="B228" s="6" t="n">
        <v>1769.15</v>
      </c>
      <c r="C228" s="6" t="n">
        <v>2.51</v>
      </c>
      <c r="D228" s="6" t="n">
        <v>-0.96</v>
      </c>
      <c r="E228" s="6" t="n">
        <v>94.120003</v>
      </c>
      <c r="F228" s="6" t="n">
        <v>83.5</v>
      </c>
      <c r="G228" s="6" t="n">
        <v>16.26</v>
      </c>
      <c r="H228" s="6" t="n">
        <v>75.449997</v>
      </c>
      <c r="I228" s="6" t="n">
        <v>4605.379883</v>
      </c>
      <c r="J228" s="6" t="n">
        <v>98.538284</v>
      </c>
      <c r="L228" s="7">
        <f>LN(B228/B227)</f>
        <v/>
      </c>
      <c r="M228" s="7">
        <f>C228-C227</f>
        <v/>
      </c>
      <c r="N228" s="7">
        <f>D228-D227</f>
        <v/>
      </c>
      <c r="O228" s="7">
        <f>LN(E228/E227)</f>
        <v/>
      </c>
      <c r="P228" s="7">
        <f>LN(F228/F227)</f>
        <v/>
      </c>
      <c r="Q228" s="7">
        <f>G228-G227</f>
        <v/>
      </c>
      <c r="R228" s="7">
        <f>H228-H227</f>
        <v/>
      </c>
      <c r="S228" s="7">
        <f>LN(I228/I227)</f>
        <v/>
      </c>
      <c r="T228" s="7">
        <f>LN(J228/J227)</f>
        <v/>
      </c>
      <c r="U228" s="7">
        <f>$W$12+$W$4*M228+$W$5*N228+$W$6*O228+$W$7*P228+$W$8*Q228+$W$9*R228+$W$10*S228+$W$11*T228</f>
        <v/>
      </c>
      <c r="AA228" s="8">
        <f>INDEX(LINEST(L169:L228,M169:T228,TRUE,TRUE),1,9)*12</f>
        <v/>
      </c>
      <c r="AB228" s="7">
        <f>INDEX(LINEST(L169:L228,M169:T228,TRUE,TRUE),1,8)</f>
        <v/>
      </c>
      <c r="AC228" s="7">
        <f>INDEX(LINEST(L169:L228,M169:T228,TRUE,TRUE),1,7)</f>
        <v/>
      </c>
      <c r="AD228" s="7">
        <f>INDEX(LINEST(L169:L228,M169:T228,TRUE,TRUE),1,6)</f>
        <v/>
      </c>
      <c r="AE228" s="7">
        <f>INDEX(LINEST(L169:L228,M169:T228,TRUE,TRUE),1,5)</f>
        <v/>
      </c>
      <c r="AF228" s="7">
        <f>INDEX(LINEST(L169:L228,M169:T228,TRUE,TRUE),1,4)</f>
        <v/>
      </c>
      <c r="AG228" s="7">
        <f>INDEX(LINEST(L169:L228,M169:T228,TRUE,TRUE),1,3)</f>
        <v/>
      </c>
      <c r="AH228" s="7">
        <f>INDEX(LINEST(L169:L228,M169:T228,TRUE,TRUE),1,2)</f>
        <v/>
      </c>
      <c r="AI228" s="7">
        <f>INDEX(LINEST(L169:L228,M169:T228,TRUE,TRUE),1,1)</f>
        <v/>
      </c>
      <c r="AJ228" s="8">
        <f>INDEX(LINEST(L169:L228,M169:T228,TRUE,TRUE),3,1)</f>
        <v/>
      </c>
    </row>
    <row r="229">
      <c r="A229" s="5" t="n">
        <v>44530</v>
      </c>
      <c r="B229" s="6" t="n">
        <v>1804.4</v>
      </c>
      <c r="C229" s="6" t="n">
        <v>2.5</v>
      </c>
      <c r="D229" s="6" t="n">
        <v>-1.07</v>
      </c>
      <c r="E229" s="6" t="n">
        <v>95.989998</v>
      </c>
      <c r="F229" s="6" t="n">
        <v>66.14</v>
      </c>
      <c r="G229" s="6" t="n">
        <v>27.19</v>
      </c>
      <c r="H229" s="6" t="n">
        <v>84.040001</v>
      </c>
      <c r="I229" s="6" t="n">
        <v>4567</v>
      </c>
      <c r="J229" s="6" t="n">
        <v>98.805176</v>
      </c>
      <c r="L229" s="7">
        <f>LN(B229/B228)</f>
        <v/>
      </c>
      <c r="M229" s="7">
        <f>C229-C228</f>
        <v/>
      </c>
      <c r="N229" s="7">
        <f>D229-D228</f>
        <v/>
      </c>
      <c r="O229" s="7">
        <f>LN(E229/E228)</f>
        <v/>
      </c>
      <c r="P229" s="7">
        <f>LN(F229/F228)</f>
        <v/>
      </c>
      <c r="Q229" s="7">
        <f>G229-G228</f>
        <v/>
      </c>
      <c r="R229" s="7">
        <f>H229-H228</f>
        <v/>
      </c>
      <c r="S229" s="7">
        <f>LN(I229/I228)</f>
        <v/>
      </c>
      <c r="T229" s="7">
        <f>LN(J229/J228)</f>
        <v/>
      </c>
      <c r="U229" s="7">
        <f>$W$12+$W$4*M229+$W$5*N229+$W$6*O229+$W$7*P229+$W$8*Q229+$W$9*R229+$W$10*S229+$W$11*T229</f>
        <v/>
      </c>
      <c r="AA229" s="8">
        <f>INDEX(LINEST(L170:L229,M170:T229,TRUE,TRUE),1,9)*12</f>
        <v/>
      </c>
      <c r="AB229" s="7">
        <f>INDEX(LINEST(L170:L229,M170:T229,TRUE,TRUE),1,8)</f>
        <v/>
      </c>
      <c r="AC229" s="7">
        <f>INDEX(LINEST(L170:L229,M170:T229,TRUE,TRUE),1,7)</f>
        <v/>
      </c>
      <c r="AD229" s="7">
        <f>INDEX(LINEST(L170:L229,M170:T229,TRUE,TRUE),1,6)</f>
        <v/>
      </c>
      <c r="AE229" s="7">
        <f>INDEX(LINEST(L170:L229,M170:T229,TRUE,TRUE),1,5)</f>
        <v/>
      </c>
      <c r="AF229" s="7">
        <f>INDEX(LINEST(L170:L229,M170:T229,TRUE,TRUE),1,4)</f>
        <v/>
      </c>
      <c r="AG229" s="7">
        <f>INDEX(LINEST(L170:L229,M170:T229,TRUE,TRUE),1,3)</f>
        <v/>
      </c>
      <c r="AH229" s="7">
        <f>INDEX(LINEST(L170:L229,M170:T229,TRUE,TRUE),1,2)</f>
        <v/>
      </c>
      <c r="AI229" s="7">
        <f>INDEX(LINEST(L170:L229,M170:T229,TRUE,TRUE),1,1)</f>
        <v/>
      </c>
      <c r="AJ229" s="8">
        <f>INDEX(LINEST(L170:L229,M170:T229,TRUE,TRUE),3,1)</f>
        <v/>
      </c>
    </row>
    <row r="230">
      <c r="A230" s="5" t="n">
        <v>44561</v>
      </c>
      <c r="B230" s="6" t="n">
        <v>1805.85</v>
      </c>
      <c r="C230" s="6" t="n">
        <v>2.56</v>
      </c>
      <c r="D230" s="6" t="n">
        <v>-1.04</v>
      </c>
      <c r="E230" s="6" t="n">
        <v>95.66999800000001</v>
      </c>
      <c r="F230" s="6" t="n">
        <v>75.33</v>
      </c>
      <c r="G230" s="6" t="n">
        <v>17.22</v>
      </c>
      <c r="H230" s="6" t="n">
        <v>77.099998</v>
      </c>
      <c r="I230" s="6" t="n">
        <v>4766.180176</v>
      </c>
      <c r="J230" s="6" t="n">
        <v>98.450729</v>
      </c>
      <c r="L230" s="7">
        <f>LN(B230/B229)</f>
        <v/>
      </c>
      <c r="M230" s="7">
        <f>C230-C229</f>
        <v/>
      </c>
      <c r="N230" s="7">
        <f>D230-D229</f>
        <v/>
      </c>
      <c r="O230" s="7">
        <f>LN(E230/E229)</f>
        <v/>
      </c>
      <c r="P230" s="7">
        <f>LN(F230/F229)</f>
        <v/>
      </c>
      <c r="Q230" s="7">
        <f>G230-G229</f>
        <v/>
      </c>
      <c r="R230" s="7">
        <f>H230-H229</f>
        <v/>
      </c>
      <c r="S230" s="7">
        <f>LN(I230/I229)</f>
        <v/>
      </c>
      <c r="T230" s="7">
        <f>LN(J230/J229)</f>
        <v/>
      </c>
      <c r="U230" s="7">
        <f>$W$12+$W$4*M230+$W$5*N230+$W$6*O230+$W$7*P230+$W$8*Q230+$W$9*R230+$W$10*S230+$W$11*T230</f>
        <v/>
      </c>
      <c r="AA230" s="8">
        <f>INDEX(LINEST(L171:L230,M171:T230,TRUE,TRUE),1,9)*12</f>
        <v/>
      </c>
      <c r="AB230" s="7">
        <f>INDEX(LINEST(L171:L230,M171:T230,TRUE,TRUE),1,8)</f>
        <v/>
      </c>
      <c r="AC230" s="7">
        <f>INDEX(LINEST(L171:L230,M171:T230,TRUE,TRUE),1,7)</f>
        <v/>
      </c>
      <c r="AD230" s="7">
        <f>INDEX(LINEST(L171:L230,M171:T230,TRUE,TRUE),1,6)</f>
        <v/>
      </c>
      <c r="AE230" s="7">
        <f>INDEX(LINEST(L171:L230,M171:T230,TRUE,TRUE),1,5)</f>
        <v/>
      </c>
      <c r="AF230" s="7">
        <f>INDEX(LINEST(L171:L230,M171:T230,TRUE,TRUE),1,4)</f>
        <v/>
      </c>
      <c r="AG230" s="7">
        <f>INDEX(LINEST(L171:L230,M171:T230,TRUE,TRUE),1,3)</f>
        <v/>
      </c>
      <c r="AH230" s="7">
        <f>INDEX(LINEST(L171:L230,M171:T230,TRUE,TRUE),1,2)</f>
        <v/>
      </c>
      <c r="AI230" s="7">
        <f>INDEX(LINEST(L171:L230,M171:T230,TRUE,TRUE),1,1)</f>
        <v/>
      </c>
      <c r="AJ230" s="8">
        <f>INDEX(LINEST(L171:L230,M171:T230,TRUE,TRUE),3,1)</f>
        <v/>
      </c>
    </row>
    <row r="231">
      <c r="A231" s="5" t="n">
        <v>44592</v>
      </c>
      <c r="B231" s="6" t="n">
        <v>1795.25</v>
      </c>
      <c r="C231" s="6" t="n">
        <v>2.44</v>
      </c>
      <c r="D231" s="6" t="n">
        <v>-0.65</v>
      </c>
      <c r="E231" s="6" t="n">
        <v>96.540001</v>
      </c>
      <c r="F231" s="6" t="n">
        <v>89.16</v>
      </c>
      <c r="G231" s="6" t="n">
        <v>24.83</v>
      </c>
      <c r="H231" s="6" t="n">
        <v>85.139999</v>
      </c>
      <c r="I231" s="6" t="n">
        <v>4515.549805</v>
      </c>
      <c r="J231" s="6" t="n">
        <v>96.483116</v>
      </c>
      <c r="L231" s="7">
        <f>LN(B231/B230)</f>
        <v/>
      </c>
      <c r="M231" s="7">
        <f>C231-C230</f>
        <v/>
      </c>
      <c r="N231" s="7">
        <f>D231-D230</f>
        <v/>
      </c>
      <c r="O231" s="7">
        <f>LN(E231/E230)</f>
        <v/>
      </c>
      <c r="P231" s="7">
        <f>LN(F231/F230)</f>
        <v/>
      </c>
      <c r="Q231" s="7">
        <f>G231-G230</f>
        <v/>
      </c>
      <c r="R231" s="7">
        <f>H231-H230</f>
        <v/>
      </c>
      <c r="S231" s="7">
        <f>LN(I231/I230)</f>
        <v/>
      </c>
      <c r="T231" s="7">
        <f>LN(J231/J230)</f>
        <v/>
      </c>
      <c r="U231" s="7">
        <f>$W$12+$W$4*M231+$W$5*N231+$W$6*O231+$W$7*P231+$W$8*Q231+$W$9*R231+$W$10*S231+$W$11*T231</f>
        <v/>
      </c>
      <c r="AA231" s="8">
        <f>INDEX(LINEST(L172:L231,M172:T231,TRUE,TRUE),1,9)*12</f>
        <v/>
      </c>
      <c r="AB231" s="7">
        <f>INDEX(LINEST(L172:L231,M172:T231,TRUE,TRUE),1,8)</f>
        <v/>
      </c>
      <c r="AC231" s="7">
        <f>INDEX(LINEST(L172:L231,M172:T231,TRUE,TRUE),1,7)</f>
        <v/>
      </c>
      <c r="AD231" s="7">
        <f>INDEX(LINEST(L172:L231,M172:T231,TRUE,TRUE),1,6)</f>
        <v/>
      </c>
      <c r="AE231" s="7">
        <f>INDEX(LINEST(L172:L231,M172:T231,TRUE,TRUE),1,5)</f>
        <v/>
      </c>
      <c r="AF231" s="7">
        <f>INDEX(LINEST(L172:L231,M172:T231,TRUE,TRUE),1,4)</f>
        <v/>
      </c>
      <c r="AG231" s="7">
        <f>INDEX(LINEST(L172:L231,M172:T231,TRUE,TRUE),1,3)</f>
        <v/>
      </c>
      <c r="AH231" s="7">
        <f>INDEX(LINEST(L172:L231,M172:T231,TRUE,TRUE),1,2)</f>
        <v/>
      </c>
      <c r="AI231" s="7">
        <f>INDEX(LINEST(L172:L231,M172:T231,TRUE,TRUE),1,1)</f>
        <v/>
      </c>
      <c r="AJ231" s="8">
        <f>INDEX(LINEST(L172:L231,M172:T231,TRUE,TRUE),3,1)</f>
        <v/>
      </c>
    </row>
    <row r="232">
      <c r="A232" s="5" t="n">
        <v>44620</v>
      </c>
      <c r="B232" s="6" t="n">
        <v>1909.85</v>
      </c>
      <c r="C232" s="6" t="n">
        <v>2.62</v>
      </c>
      <c r="D232" s="6" t="n">
        <v>-0.79</v>
      </c>
      <c r="E232" s="6" t="n">
        <v>96.709999</v>
      </c>
      <c r="F232" s="6" t="n">
        <v>96.13</v>
      </c>
      <c r="G232" s="6" t="n">
        <v>30.15</v>
      </c>
      <c r="H232" s="6" t="n">
        <v>100.400002</v>
      </c>
      <c r="I232" s="6" t="n">
        <v>4373.939941</v>
      </c>
      <c r="J232" s="6" t="n">
        <v>95.37771600000001</v>
      </c>
      <c r="L232" s="7">
        <f>LN(B232/B231)</f>
        <v/>
      </c>
      <c r="M232" s="7">
        <f>C232-C231</f>
        <v/>
      </c>
      <c r="N232" s="7">
        <f>D232-D231</f>
        <v/>
      </c>
      <c r="O232" s="7">
        <f>LN(E232/E231)</f>
        <v/>
      </c>
      <c r="P232" s="7">
        <f>LN(F232/F231)</f>
        <v/>
      </c>
      <c r="Q232" s="7">
        <f>G232-G231</f>
        <v/>
      </c>
      <c r="R232" s="7">
        <f>H232-H231</f>
        <v/>
      </c>
      <c r="S232" s="7">
        <f>LN(I232/I231)</f>
        <v/>
      </c>
      <c r="T232" s="7">
        <f>LN(J232/J231)</f>
        <v/>
      </c>
      <c r="U232" s="7">
        <f>$W$12+$W$4*M232+$W$5*N232+$W$6*O232+$W$7*P232+$W$8*Q232+$W$9*R232+$W$10*S232+$W$11*T232</f>
        <v/>
      </c>
      <c r="AA232" s="8">
        <f>INDEX(LINEST(L173:L232,M173:T232,TRUE,TRUE),1,9)*12</f>
        <v/>
      </c>
      <c r="AB232" s="7">
        <f>INDEX(LINEST(L173:L232,M173:T232,TRUE,TRUE),1,8)</f>
        <v/>
      </c>
      <c r="AC232" s="7">
        <f>INDEX(LINEST(L173:L232,M173:T232,TRUE,TRUE),1,7)</f>
        <v/>
      </c>
      <c r="AD232" s="7">
        <f>INDEX(LINEST(L173:L232,M173:T232,TRUE,TRUE),1,6)</f>
        <v/>
      </c>
      <c r="AE232" s="7">
        <f>INDEX(LINEST(L173:L232,M173:T232,TRUE,TRUE),1,5)</f>
        <v/>
      </c>
      <c r="AF232" s="7">
        <f>INDEX(LINEST(L173:L232,M173:T232,TRUE,TRUE),1,4)</f>
        <v/>
      </c>
      <c r="AG232" s="7">
        <f>INDEX(LINEST(L173:L232,M173:T232,TRUE,TRUE),1,3)</f>
        <v/>
      </c>
      <c r="AH232" s="7">
        <f>INDEX(LINEST(L173:L232,M173:T232,TRUE,TRUE),1,2)</f>
        <v/>
      </c>
      <c r="AI232" s="7">
        <f>INDEX(LINEST(L173:L232,M173:T232,TRUE,TRUE),1,1)</f>
        <v/>
      </c>
      <c r="AJ232" s="8">
        <f>INDEX(LINEST(L173:L232,M173:T232,TRUE,TRUE),3,1)</f>
        <v/>
      </c>
    </row>
    <row r="233">
      <c r="A233" s="5" t="n">
        <v>44651</v>
      </c>
      <c r="B233" s="6" t="n">
        <v>1942.15</v>
      </c>
      <c r="C233" s="6" t="n">
        <v>2.84</v>
      </c>
      <c r="D233" s="6" t="n">
        <v>-0.52</v>
      </c>
      <c r="E233" s="6" t="n">
        <v>98.30999799999999</v>
      </c>
      <c r="F233" s="6" t="n">
        <v>100.53</v>
      </c>
      <c r="G233" s="6" t="n">
        <v>20.56</v>
      </c>
      <c r="H233" s="6" t="n">
        <v>106.879997</v>
      </c>
      <c r="I233" s="6" t="n">
        <v>4530.410156</v>
      </c>
      <c r="J233" s="6" t="n">
        <v>92.69553399999999</v>
      </c>
      <c r="L233" s="7">
        <f>LN(B233/B232)</f>
        <v/>
      </c>
      <c r="M233" s="7">
        <f>C233-C232</f>
        <v/>
      </c>
      <c r="N233" s="7">
        <f>D233-D232</f>
        <v/>
      </c>
      <c r="O233" s="7">
        <f>LN(E233/E232)</f>
        <v/>
      </c>
      <c r="P233" s="7">
        <f>LN(F233/F232)</f>
        <v/>
      </c>
      <c r="Q233" s="7">
        <f>G233-G232</f>
        <v/>
      </c>
      <c r="R233" s="7">
        <f>H233-H232</f>
        <v/>
      </c>
      <c r="S233" s="7">
        <f>LN(I233/I232)</f>
        <v/>
      </c>
      <c r="T233" s="7">
        <f>LN(J233/J232)</f>
        <v/>
      </c>
      <c r="U233" s="7">
        <f>$W$12+$W$4*M233+$W$5*N233+$W$6*O233+$W$7*P233+$W$8*Q233+$W$9*R233+$W$10*S233+$W$11*T233</f>
        <v/>
      </c>
      <c r="AA233" s="8">
        <f>INDEX(LINEST(L174:L233,M174:T233,TRUE,TRUE),1,9)*12</f>
        <v/>
      </c>
      <c r="AB233" s="7">
        <f>INDEX(LINEST(L174:L233,M174:T233,TRUE,TRUE),1,8)</f>
        <v/>
      </c>
      <c r="AC233" s="7">
        <f>INDEX(LINEST(L174:L233,M174:T233,TRUE,TRUE),1,7)</f>
        <v/>
      </c>
      <c r="AD233" s="7">
        <f>INDEX(LINEST(L174:L233,M174:T233,TRUE,TRUE),1,6)</f>
        <v/>
      </c>
      <c r="AE233" s="7">
        <f>INDEX(LINEST(L174:L233,M174:T233,TRUE,TRUE),1,5)</f>
        <v/>
      </c>
      <c r="AF233" s="7">
        <f>INDEX(LINEST(L174:L233,M174:T233,TRUE,TRUE),1,4)</f>
        <v/>
      </c>
      <c r="AG233" s="7">
        <f>INDEX(LINEST(L174:L233,M174:T233,TRUE,TRUE),1,3)</f>
        <v/>
      </c>
      <c r="AH233" s="7">
        <f>INDEX(LINEST(L174:L233,M174:T233,TRUE,TRUE),1,2)</f>
        <v/>
      </c>
      <c r="AI233" s="7">
        <f>INDEX(LINEST(L174:L233,M174:T233,TRUE,TRUE),1,1)</f>
        <v/>
      </c>
      <c r="AJ233" s="8">
        <f>INDEX(LINEST(L174:L233,M174:T233,TRUE,TRUE),3,1)</f>
        <v/>
      </c>
    </row>
    <row r="234">
      <c r="A234" s="5" t="n">
        <v>44681</v>
      </c>
      <c r="B234" s="6" t="n">
        <v>1911.3</v>
      </c>
      <c r="C234" s="6" t="n">
        <v>2.88</v>
      </c>
      <c r="D234" s="6" t="n">
        <v>0.01</v>
      </c>
      <c r="E234" s="6" t="n">
        <v>102.959999</v>
      </c>
      <c r="F234" s="6" t="n">
        <v>104.59</v>
      </c>
      <c r="G234" s="6" t="n">
        <v>33.4</v>
      </c>
      <c r="H234" s="6" t="n">
        <v>128.399994</v>
      </c>
      <c r="I234" s="6" t="n">
        <v>4131.930176</v>
      </c>
      <c r="J234" s="6" t="n">
        <v>89.167664</v>
      </c>
      <c r="L234" s="7">
        <f>LN(B234/B233)</f>
        <v/>
      </c>
      <c r="M234" s="7">
        <f>C234-C233</f>
        <v/>
      </c>
      <c r="N234" s="7">
        <f>D234-D233</f>
        <v/>
      </c>
      <c r="O234" s="7">
        <f>LN(E234/E233)</f>
        <v/>
      </c>
      <c r="P234" s="7">
        <f>LN(F234/F233)</f>
        <v/>
      </c>
      <c r="Q234" s="7">
        <f>G234-G233</f>
        <v/>
      </c>
      <c r="R234" s="7">
        <f>H234-H233</f>
        <v/>
      </c>
      <c r="S234" s="7">
        <f>LN(I234/I233)</f>
        <v/>
      </c>
      <c r="T234" s="7">
        <f>LN(J234/J233)</f>
        <v/>
      </c>
      <c r="U234" s="7">
        <f>$W$12+$W$4*M234+$W$5*N234+$W$6*O234+$W$7*P234+$W$8*Q234+$W$9*R234+$W$10*S234+$W$11*T234</f>
        <v/>
      </c>
      <c r="AA234" s="8">
        <f>INDEX(LINEST(L175:L234,M175:T234,TRUE,TRUE),1,9)*12</f>
        <v/>
      </c>
      <c r="AB234" s="7">
        <f>INDEX(LINEST(L175:L234,M175:T234,TRUE,TRUE),1,8)</f>
        <v/>
      </c>
      <c r="AC234" s="7">
        <f>INDEX(LINEST(L175:L234,M175:T234,TRUE,TRUE),1,7)</f>
        <v/>
      </c>
      <c r="AD234" s="7">
        <f>INDEX(LINEST(L175:L234,M175:T234,TRUE,TRUE),1,6)</f>
        <v/>
      </c>
      <c r="AE234" s="7">
        <f>INDEX(LINEST(L175:L234,M175:T234,TRUE,TRUE),1,5)</f>
        <v/>
      </c>
      <c r="AF234" s="7">
        <f>INDEX(LINEST(L175:L234,M175:T234,TRUE,TRUE),1,4)</f>
        <v/>
      </c>
      <c r="AG234" s="7">
        <f>INDEX(LINEST(L175:L234,M175:T234,TRUE,TRUE),1,3)</f>
        <v/>
      </c>
      <c r="AH234" s="7">
        <f>INDEX(LINEST(L175:L234,M175:T234,TRUE,TRUE),1,2)</f>
        <v/>
      </c>
      <c r="AI234" s="7">
        <f>INDEX(LINEST(L175:L234,M175:T234,TRUE,TRUE),1,1)</f>
        <v/>
      </c>
      <c r="AJ234" s="8">
        <f>INDEX(LINEST(L175:L234,M175:T234,TRUE,TRUE),3,1)</f>
        <v/>
      </c>
    </row>
    <row r="235">
      <c r="A235" s="5" t="n">
        <v>44712</v>
      </c>
      <c r="B235" s="6" t="n">
        <v>1838.7</v>
      </c>
      <c r="C235" s="6" t="n">
        <v>2.64</v>
      </c>
      <c r="D235" s="6" t="n">
        <v>0.21</v>
      </c>
      <c r="E235" s="6" t="n">
        <v>101.75</v>
      </c>
      <c r="F235" s="6" t="n">
        <v>114.38</v>
      </c>
      <c r="G235" s="6" t="n">
        <v>26.19</v>
      </c>
      <c r="H235" s="6" t="n">
        <v>107.120003</v>
      </c>
      <c r="I235" s="6" t="n">
        <v>4132.149902</v>
      </c>
      <c r="J235" s="6" t="n">
        <v>89.845825</v>
      </c>
      <c r="L235" s="7">
        <f>LN(B235/B234)</f>
        <v/>
      </c>
      <c r="M235" s="7">
        <f>C235-C234</f>
        <v/>
      </c>
      <c r="N235" s="7">
        <f>D235-D234</f>
        <v/>
      </c>
      <c r="O235" s="7">
        <f>LN(E235/E234)</f>
        <v/>
      </c>
      <c r="P235" s="7">
        <f>LN(F235/F234)</f>
        <v/>
      </c>
      <c r="Q235" s="7">
        <f>G235-G234</f>
        <v/>
      </c>
      <c r="R235" s="7">
        <f>H235-H234</f>
        <v/>
      </c>
      <c r="S235" s="7">
        <f>LN(I235/I234)</f>
        <v/>
      </c>
      <c r="T235" s="7">
        <f>LN(J235/J234)</f>
        <v/>
      </c>
      <c r="U235" s="7">
        <f>$W$12+$W$4*M235+$W$5*N235+$W$6*O235+$W$7*P235+$W$8*Q235+$W$9*R235+$W$10*S235+$W$11*T235</f>
        <v/>
      </c>
      <c r="AA235" s="8">
        <f>INDEX(LINEST(L176:L235,M176:T235,TRUE,TRUE),1,9)*12</f>
        <v/>
      </c>
      <c r="AB235" s="7">
        <f>INDEX(LINEST(L176:L235,M176:T235,TRUE,TRUE),1,8)</f>
        <v/>
      </c>
      <c r="AC235" s="7">
        <f>INDEX(LINEST(L176:L235,M176:T235,TRUE,TRUE),1,7)</f>
        <v/>
      </c>
      <c r="AD235" s="7">
        <f>INDEX(LINEST(L176:L235,M176:T235,TRUE,TRUE),1,6)</f>
        <v/>
      </c>
      <c r="AE235" s="7">
        <f>INDEX(LINEST(L176:L235,M176:T235,TRUE,TRUE),1,5)</f>
        <v/>
      </c>
      <c r="AF235" s="7">
        <f>INDEX(LINEST(L176:L235,M176:T235,TRUE,TRUE),1,4)</f>
        <v/>
      </c>
      <c r="AG235" s="7">
        <f>INDEX(LINEST(L176:L235,M176:T235,TRUE,TRUE),1,3)</f>
        <v/>
      </c>
      <c r="AH235" s="7">
        <f>INDEX(LINEST(L176:L235,M176:T235,TRUE,TRUE),1,2)</f>
        <v/>
      </c>
      <c r="AI235" s="7">
        <f>INDEX(LINEST(L176:L235,M176:T235,TRUE,TRUE),1,1)</f>
        <v/>
      </c>
      <c r="AJ235" s="8">
        <f>INDEX(LINEST(L176:L235,M176:T235,TRUE,TRUE),3,1)</f>
        <v/>
      </c>
    </row>
    <row r="236">
      <c r="A236" s="5" t="n">
        <v>44742</v>
      </c>
      <c r="B236" s="6" t="n">
        <v>1817</v>
      </c>
      <c r="C236" s="6" t="n">
        <v>2.33</v>
      </c>
      <c r="D236" s="6" t="n">
        <v>0.65</v>
      </c>
      <c r="E236" s="6" t="n">
        <v>104.690002</v>
      </c>
      <c r="F236" s="6" t="n">
        <v>107.76</v>
      </c>
      <c r="G236" s="6" t="n">
        <v>28.71</v>
      </c>
      <c r="H236" s="6" t="n">
        <v>135.5</v>
      </c>
      <c r="I236" s="6" t="n">
        <v>3785.379883</v>
      </c>
      <c r="J236" s="6" t="n">
        <v>88.450508</v>
      </c>
      <c r="L236" s="7">
        <f>LN(B236/B235)</f>
        <v/>
      </c>
      <c r="M236" s="7">
        <f>C236-C235</f>
        <v/>
      </c>
      <c r="N236" s="7">
        <f>D236-D235</f>
        <v/>
      </c>
      <c r="O236" s="7">
        <f>LN(E236/E235)</f>
        <v/>
      </c>
      <c r="P236" s="7">
        <f>LN(F236/F235)</f>
        <v/>
      </c>
      <c r="Q236" s="7">
        <f>G236-G235</f>
        <v/>
      </c>
      <c r="R236" s="7">
        <f>H236-H235</f>
        <v/>
      </c>
      <c r="S236" s="7">
        <f>LN(I236/I235)</f>
        <v/>
      </c>
      <c r="T236" s="7">
        <f>LN(J236/J235)</f>
        <v/>
      </c>
      <c r="U236" s="7">
        <f>$W$12+$W$4*M236+$W$5*N236+$W$6*O236+$W$7*P236+$W$8*Q236+$W$9*R236+$W$10*S236+$W$11*T236</f>
        <v/>
      </c>
      <c r="AA236" s="8">
        <f>INDEX(LINEST(L177:L236,M177:T236,TRUE,TRUE),1,9)*12</f>
        <v/>
      </c>
      <c r="AB236" s="7">
        <f>INDEX(LINEST(L177:L236,M177:T236,TRUE,TRUE),1,8)</f>
        <v/>
      </c>
      <c r="AC236" s="7">
        <f>INDEX(LINEST(L177:L236,M177:T236,TRUE,TRUE),1,7)</f>
        <v/>
      </c>
      <c r="AD236" s="7">
        <f>INDEX(LINEST(L177:L236,M177:T236,TRUE,TRUE),1,6)</f>
        <v/>
      </c>
      <c r="AE236" s="7">
        <f>INDEX(LINEST(L177:L236,M177:T236,TRUE,TRUE),1,5)</f>
        <v/>
      </c>
      <c r="AF236" s="7">
        <f>INDEX(LINEST(L177:L236,M177:T236,TRUE,TRUE),1,4)</f>
        <v/>
      </c>
      <c r="AG236" s="7">
        <f>INDEX(LINEST(L177:L236,M177:T236,TRUE,TRUE),1,3)</f>
        <v/>
      </c>
      <c r="AH236" s="7">
        <f>INDEX(LINEST(L177:L236,M177:T236,TRUE,TRUE),1,2)</f>
        <v/>
      </c>
      <c r="AI236" s="7">
        <f>INDEX(LINEST(L177:L236,M177:T236,TRUE,TRUE),1,1)</f>
        <v/>
      </c>
      <c r="AJ236" s="8">
        <f>INDEX(LINEST(L177:L236,M177:T236,TRUE,TRUE),3,1)</f>
        <v/>
      </c>
    </row>
    <row r="237">
      <c r="A237" s="5" t="n">
        <v>44773</v>
      </c>
      <c r="B237" s="6" t="n">
        <v>1753.4</v>
      </c>
      <c r="C237" s="6" t="n">
        <v>2.53</v>
      </c>
      <c r="D237" s="6" t="n">
        <v>0.14</v>
      </c>
      <c r="E237" s="6" t="n">
        <v>105.900002</v>
      </c>
      <c r="F237" s="6" t="n">
        <v>101.31</v>
      </c>
      <c r="G237" s="6" t="n">
        <v>21.33</v>
      </c>
      <c r="H237" s="6" t="n">
        <v>116.360001</v>
      </c>
      <c r="I237" s="6" t="n">
        <v>4130.290039</v>
      </c>
      <c r="J237" s="6" t="n">
        <v>90.69547300000001</v>
      </c>
      <c r="L237" s="7">
        <f>LN(B237/B236)</f>
        <v/>
      </c>
      <c r="M237" s="7">
        <f>C237-C236</f>
        <v/>
      </c>
      <c r="N237" s="7">
        <f>D237-D236</f>
        <v/>
      </c>
      <c r="O237" s="7">
        <f>LN(E237/E236)</f>
        <v/>
      </c>
      <c r="P237" s="7">
        <f>LN(F237/F236)</f>
        <v/>
      </c>
      <c r="Q237" s="7">
        <f>G237-G236</f>
        <v/>
      </c>
      <c r="R237" s="7">
        <f>H237-H236</f>
        <v/>
      </c>
      <c r="S237" s="7">
        <f>LN(I237/I236)</f>
        <v/>
      </c>
      <c r="T237" s="7">
        <f>LN(J237/J236)</f>
        <v/>
      </c>
      <c r="U237" s="7">
        <f>$W$12+$W$4*M237+$W$5*N237+$W$6*O237+$W$7*P237+$W$8*Q237+$W$9*R237+$W$10*S237+$W$11*T237</f>
        <v/>
      </c>
      <c r="AA237" s="8">
        <f>INDEX(LINEST(L178:L237,M178:T237,TRUE,TRUE),1,9)*12</f>
        <v/>
      </c>
      <c r="AB237" s="7">
        <f>INDEX(LINEST(L178:L237,M178:T237,TRUE,TRUE),1,8)</f>
        <v/>
      </c>
      <c r="AC237" s="7">
        <f>INDEX(LINEST(L178:L237,M178:T237,TRUE,TRUE),1,7)</f>
        <v/>
      </c>
      <c r="AD237" s="7">
        <f>INDEX(LINEST(L178:L237,M178:T237,TRUE,TRUE),1,6)</f>
        <v/>
      </c>
      <c r="AE237" s="7">
        <f>INDEX(LINEST(L178:L237,M178:T237,TRUE,TRUE),1,5)</f>
        <v/>
      </c>
      <c r="AF237" s="7">
        <f>INDEX(LINEST(L178:L237,M178:T237,TRUE,TRUE),1,4)</f>
        <v/>
      </c>
      <c r="AG237" s="7">
        <f>INDEX(LINEST(L178:L237,M178:T237,TRUE,TRUE),1,3)</f>
        <v/>
      </c>
      <c r="AH237" s="7">
        <f>INDEX(LINEST(L178:L237,M178:T237,TRUE,TRUE),1,2)</f>
        <v/>
      </c>
      <c r="AI237" s="7">
        <f>INDEX(LINEST(L178:L237,M178:T237,TRUE,TRUE),1,1)</f>
        <v/>
      </c>
      <c r="AJ237" s="8">
        <f>INDEX(LINEST(L178:L237,M178:T237,TRUE,TRUE),3,1)</f>
        <v/>
      </c>
    </row>
    <row r="238">
      <c r="A238" s="5" t="n">
        <v>44804</v>
      </c>
      <c r="B238" s="6" t="n">
        <v>1715.9</v>
      </c>
      <c r="C238" s="6" t="n">
        <v>2.48</v>
      </c>
      <c r="D238" s="6" t="n">
        <v>0.67</v>
      </c>
      <c r="E238" s="6" t="n">
        <v>108.699997</v>
      </c>
      <c r="F238" s="6" t="n">
        <v>90.09</v>
      </c>
      <c r="G238" s="6" t="n">
        <v>25.87</v>
      </c>
      <c r="H238" s="6" t="n">
        <v>124.839996</v>
      </c>
      <c r="I238" s="6" t="n">
        <v>3955</v>
      </c>
      <c r="J238" s="6" t="n">
        <v>87.93628699999999</v>
      </c>
      <c r="L238" s="7">
        <f>LN(B238/B237)</f>
        <v/>
      </c>
      <c r="M238" s="7">
        <f>C238-C237</f>
        <v/>
      </c>
      <c r="N238" s="7">
        <f>D238-D237</f>
        <v/>
      </c>
      <c r="O238" s="7">
        <f>LN(E238/E237)</f>
        <v/>
      </c>
      <c r="P238" s="7">
        <f>LN(F238/F237)</f>
        <v/>
      </c>
      <c r="Q238" s="7">
        <f>G238-G237</f>
        <v/>
      </c>
      <c r="R238" s="7">
        <f>H238-H237</f>
        <v/>
      </c>
      <c r="S238" s="7">
        <f>LN(I238/I237)</f>
        <v/>
      </c>
      <c r="T238" s="7">
        <f>LN(J238/J237)</f>
        <v/>
      </c>
      <c r="U238" s="7">
        <f>$W$12+$W$4*M238+$W$5*N238+$W$6*O238+$W$7*P238+$W$8*Q238+$W$9*R238+$W$10*S238+$W$11*T238</f>
        <v/>
      </c>
      <c r="AA238" s="8">
        <f>INDEX(LINEST(L179:L238,M179:T238,TRUE,TRUE),1,9)*12</f>
        <v/>
      </c>
      <c r="AB238" s="7">
        <f>INDEX(LINEST(L179:L238,M179:T238,TRUE,TRUE),1,8)</f>
        <v/>
      </c>
      <c r="AC238" s="7">
        <f>INDEX(LINEST(L179:L238,M179:T238,TRUE,TRUE),1,7)</f>
        <v/>
      </c>
      <c r="AD238" s="7">
        <f>INDEX(LINEST(L179:L238,M179:T238,TRUE,TRUE),1,6)</f>
        <v/>
      </c>
      <c r="AE238" s="7">
        <f>INDEX(LINEST(L179:L238,M179:T238,TRUE,TRUE),1,5)</f>
        <v/>
      </c>
      <c r="AF238" s="7">
        <f>INDEX(LINEST(L179:L238,M179:T238,TRUE,TRUE),1,4)</f>
        <v/>
      </c>
      <c r="AG238" s="7">
        <f>INDEX(LINEST(L179:L238,M179:T238,TRUE,TRUE),1,3)</f>
        <v/>
      </c>
      <c r="AH238" s="7">
        <f>INDEX(LINEST(L179:L238,M179:T238,TRUE,TRUE),1,2)</f>
        <v/>
      </c>
      <c r="AI238" s="7">
        <f>INDEX(LINEST(L179:L238,M179:T238,TRUE,TRUE),1,1)</f>
        <v/>
      </c>
      <c r="AJ238" s="8">
        <f>INDEX(LINEST(L179:L238,M179:T238,TRUE,TRUE),3,1)</f>
        <v/>
      </c>
    </row>
    <row r="239">
      <c r="A239" s="5" t="n">
        <v>44834</v>
      </c>
      <c r="B239" s="6" t="n">
        <v>1671.75</v>
      </c>
      <c r="C239" s="6" t="n">
        <v>2.15</v>
      </c>
      <c r="D239" s="6" t="n">
        <v>1.68</v>
      </c>
      <c r="E239" s="6" t="n">
        <v>112.120003</v>
      </c>
      <c r="F239" s="6" t="n">
        <v>79.91</v>
      </c>
      <c r="G239" s="6" t="n">
        <v>31.62</v>
      </c>
      <c r="H239" s="6" t="n">
        <v>141.889999</v>
      </c>
      <c r="I239" s="6" t="n">
        <v>3585.620117</v>
      </c>
      <c r="J239" s="6" t="n">
        <v>84.29128300000001</v>
      </c>
      <c r="L239" s="7">
        <f>LN(B239/B238)</f>
        <v/>
      </c>
      <c r="M239" s="7">
        <f>C239-C238</f>
        <v/>
      </c>
      <c r="N239" s="7">
        <f>D239-D238</f>
        <v/>
      </c>
      <c r="O239" s="7">
        <f>LN(E239/E238)</f>
        <v/>
      </c>
      <c r="P239" s="7">
        <f>LN(F239/F238)</f>
        <v/>
      </c>
      <c r="Q239" s="7">
        <f>G239-G238</f>
        <v/>
      </c>
      <c r="R239" s="7">
        <f>H239-H238</f>
        <v/>
      </c>
      <c r="S239" s="7">
        <f>LN(I239/I238)</f>
        <v/>
      </c>
      <c r="T239" s="7">
        <f>LN(J239/J238)</f>
        <v/>
      </c>
      <c r="U239" s="7">
        <f>$W$12+$W$4*M239+$W$5*N239+$W$6*O239+$W$7*P239+$W$8*Q239+$W$9*R239+$W$10*S239+$W$11*T239</f>
        <v/>
      </c>
      <c r="AA239" s="8">
        <f>INDEX(LINEST(L180:L239,M180:T239,TRUE,TRUE),1,9)*12</f>
        <v/>
      </c>
      <c r="AB239" s="7">
        <f>INDEX(LINEST(L180:L239,M180:T239,TRUE,TRUE),1,8)</f>
        <v/>
      </c>
      <c r="AC239" s="7">
        <f>INDEX(LINEST(L180:L239,M180:T239,TRUE,TRUE),1,7)</f>
        <v/>
      </c>
      <c r="AD239" s="7">
        <f>INDEX(LINEST(L180:L239,M180:T239,TRUE,TRUE),1,6)</f>
        <v/>
      </c>
      <c r="AE239" s="7">
        <f>INDEX(LINEST(L180:L239,M180:T239,TRUE,TRUE),1,5)</f>
        <v/>
      </c>
      <c r="AF239" s="7">
        <f>INDEX(LINEST(L180:L239,M180:T239,TRUE,TRUE),1,4)</f>
        <v/>
      </c>
      <c r="AG239" s="7">
        <f>INDEX(LINEST(L180:L239,M180:T239,TRUE,TRUE),1,3)</f>
        <v/>
      </c>
      <c r="AH239" s="7">
        <f>INDEX(LINEST(L180:L239,M180:T239,TRUE,TRUE),1,2)</f>
        <v/>
      </c>
      <c r="AI239" s="7">
        <f>INDEX(LINEST(L180:L239,M180:T239,TRUE,TRUE),1,1)</f>
        <v/>
      </c>
      <c r="AJ239" s="8">
        <f>INDEX(LINEST(L180:L239,M180:T239,TRUE,TRUE),3,1)</f>
        <v/>
      </c>
    </row>
    <row r="240">
      <c r="A240" s="5" t="n">
        <v>44865</v>
      </c>
      <c r="B240" s="6" t="n">
        <v>1639</v>
      </c>
      <c r="C240" s="6" t="n">
        <v>2.52</v>
      </c>
      <c r="D240" s="6" t="n">
        <v>1.58</v>
      </c>
      <c r="E240" s="6" t="n">
        <v>111.529999</v>
      </c>
      <c r="F240" s="6" t="n">
        <v>86.54000000000001</v>
      </c>
      <c r="G240" s="6" t="n">
        <v>25.88</v>
      </c>
      <c r="H240" s="6" t="n">
        <v>147.919998</v>
      </c>
      <c r="I240" s="6" t="n">
        <v>3871.97998</v>
      </c>
      <c r="J240" s="6" t="n">
        <v>83.213615</v>
      </c>
      <c r="L240" s="7">
        <f>LN(B240/B239)</f>
        <v/>
      </c>
      <c r="M240" s="7">
        <f>C240-C239</f>
        <v/>
      </c>
      <c r="N240" s="7">
        <f>D240-D239</f>
        <v/>
      </c>
      <c r="O240" s="7">
        <f>LN(E240/E239)</f>
        <v/>
      </c>
      <c r="P240" s="7">
        <f>LN(F240/F239)</f>
        <v/>
      </c>
      <c r="Q240" s="7">
        <f>G240-G239</f>
        <v/>
      </c>
      <c r="R240" s="7">
        <f>H240-H239</f>
        <v/>
      </c>
      <c r="S240" s="7">
        <f>LN(I240/I239)</f>
        <v/>
      </c>
      <c r="T240" s="7">
        <f>LN(J240/J239)</f>
        <v/>
      </c>
      <c r="U240" s="7">
        <f>$W$12+$W$4*M240+$W$5*N240+$W$6*O240+$W$7*P240+$W$8*Q240+$W$9*R240+$W$10*S240+$W$11*T240</f>
        <v/>
      </c>
      <c r="AA240" s="8">
        <f>INDEX(LINEST(L181:L240,M181:T240,TRUE,TRUE),1,9)*12</f>
        <v/>
      </c>
      <c r="AB240" s="7">
        <f>INDEX(LINEST(L181:L240,M181:T240,TRUE,TRUE),1,8)</f>
        <v/>
      </c>
      <c r="AC240" s="7">
        <f>INDEX(LINEST(L181:L240,M181:T240,TRUE,TRUE),1,7)</f>
        <v/>
      </c>
      <c r="AD240" s="7">
        <f>INDEX(LINEST(L181:L240,M181:T240,TRUE,TRUE),1,6)</f>
        <v/>
      </c>
      <c r="AE240" s="7">
        <f>INDEX(LINEST(L181:L240,M181:T240,TRUE,TRUE),1,5)</f>
        <v/>
      </c>
      <c r="AF240" s="7">
        <f>INDEX(LINEST(L181:L240,M181:T240,TRUE,TRUE),1,4)</f>
        <v/>
      </c>
      <c r="AG240" s="7">
        <f>INDEX(LINEST(L181:L240,M181:T240,TRUE,TRUE),1,3)</f>
        <v/>
      </c>
      <c r="AH240" s="7">
        <f>INDEX(LINEST(L181:L240,M181:T240,TRUE,TRUE),1,2)</f>
        <v/>
      </c>
      <c r="AI240" s="7">
        <f>INDEX(LINEST(L181:L240,M181:T240,TRUE,TRUE),1,1)</f>
        <v/>
      </c>
      <c r="AJ240" s="8">
        <f>INDEX(LINEST(L181:L240,M181:T240,TRUE,TRUE),3,1)</f>
        <v/>
      </c>
    </row>
    <row r="241">
      <c r="A241" s="5" t="n">
        <v>44895</v>
      </c>
      <c r="B241" s="6" t="n">
        <v>1753.5</v>
      </c>
      <c r="C241" s="6" t="n">
        <v>2.34</v>
      </c>
      <c r="D241" s="6" t="n">
        <v>1.34</v>
      </c>
      <c r="E241" s="6" t="n">
        <v>105.949997</v>
      </c>
      <c r="F241" s="6" t="n">
        <v>80.48</v>
      </c>
      <c r="G241" s="6" t="n">
        <v>20.58</v>
      </c>
      <c r="H241" s="6" t="n">
        <v>127.269997</v>
      </c>
      <c r="I241" s="6" t="n">
        <v>4080.110107</v>
      </c>
      <c r="J241" s="6" t="n">
        <v>86.38279</v>
      </c>
      <c r="L241" s="7">
        <f>LN(B241/B240)</f>
        <v/>
      </c>
      <c r="M241" s="7">
        <f>C241-C240</f>
        <v/>
      </c>
      <c r="N241" s="7">
        <f>D241-D240</f>
        <v/>
      </c>
      <c r="O241" s="7">
        <f>LN(E241/E240)</f>
        <v/>
      </c>
      <c r="P241" s="7">
        <f>LN(F241/F240)</f>
        <v/>
      </c>
      <c r="Q241" s="7">
        <f>G241-G240</f>
        <v/>
      </c>
      <c r="R241" s="7">
        <f>H241-H240</f>
        <v/>
      </c>
      <c r="S241" s="7">
        <f>LN(I241/I240)</f>
        <v/>
      </c>
      <c r="T241" s="7">
        <f>LN(J241/J240)</f>
        <v/>
      </c>
      <c r="U241" s="7">
        <f>$W$12+$W$4*M241+$W$5*N241+$W$6*O241+$W$7*P241+$W$8*Q241+$W$9*R241+$W$10*S241+$W$11*T241</f>
        <v/>
      </c>
      <c r="AA241" s="8">
        <f>INDEX(LINEST(L182:L241,M182:T241,TRUE,TRUE),1,9)*12</f>
        <v/>
      </c>
      <c r="AB241" s="7">
        <f>INDEX(LINEST(L182:L241,M182:T241,TRUE,TRUE),1,8)</f>
        <v/>
      </c>
      <c r="AC241" s="7">
        <f>INDEX(LINEST(L182:L241,M182:T241,TRUE,TRUE),1,7)</f>
        <v/>
      </c>
      <c r="AD241" s="7">
        <f>INDEX(LINEST(L182:L241,M182:T241,TRUE,TRUE),1,6)</f>
        <v/>
      </c>
      <c r="AE241" s="7">
        <f>INDEX(LINEST(L182:L241,M182:T241,TRUE,TRUE),1,5)</f>
        <v/>
      </c>
      <c r="AF241" s="7">
        <f>INDEX(LINEST(L182:L241,M182:T241,TRUE,TRUE),1,4)</f>
        <v/>
      </c>
      <c r="AG241" s="7">
        <f>INDEX(LINEST(L182:L241,M182:T241,TRUE,TRUE),1,3)</f>
        <v/>
      </c>
      <c r="AH241" s="7">
        <f>INDEX(LINEST(L182:L241,M182:T241,TRUE,TRUE),1,2)</f>
        <v/>
      </c>
      <c r="AI241" s="7">
        <f>INDEX(LINEST(L182:L241,M182:T241,TRUE,TRUE),1,1)</f>
        <v/>
      </c>
      <c r="AJ241" s="8">
        <f>INDEX(LINEST(L182:L241,M182:T241,TRUE,TRUE),3,1)</f>
        <v/>
      </c>
    </row>
    <row r="242">
      <c r="A242" s="5" t="n">
        <v>44926</v>
      </c>
      <c r="B242" s="6" t="n">
        <v>1813.75</v>
      </c>
      <c r="C242" s="6" t="n">
        <v>2.3</v>
      </c>
      <c r="D242" s="6" t="n">
        <v>1.58</v>
      </c>
      <c r="E242" s="6" t="n">
        <v>103.519997</v>
      </c>
      <c r="F242" s="6" t="n">
        <v>80.16</v>
      </c>
      <c r="G242" s="6" t="n">
        <v>21.67</v>
      </c>
      <c r="H242" s="6" t="n">
        <v>121.610001</v>
      </c>
      <c r="I242" s="6" t="n">
        <v>3839.5</v>
      </c>
      <c r="J242" s="6" t="n">
        <v>85.63082900000001</v>
      </c>
      <c r="L242" s="7">
        <f>LN(B242/B241)</f>
        <v/>
      </c>
      <c r="M242" s="7">
        <f>C242-C241</f>
        <v/>
      </c>
      <c r="N242" s="7">
        <f>D242-D241</f>
        <v/>
      </c>
      <c r="O242" s="7">
        <f>LN(E242/E241)</f>
        <v/>
      </c>
      <c r="P242" s="7">
        <f>LN(F242/F241)</f>
        <v/>
      </c>
      <c r="Q242" s="7">
        <f>G242-G241</f>
        <v/>
      </c>
      <c r="R242" s="7">
        <f>H242-H241</f>
        <v/>
      </c>
      <c r="S242" s="7">
        <f>LN(I242/I241)</f>
        <v/>
      </c>
      <c r="T242" s="7">
        <f>LN(J242/J241)</f>
        <v/>
      </c>
      <c r="U242" s="7">
        <f>$W$12+$W$4*M242+$W$5*N242+$W$6*O242+$W$7*P242+$W$8*Q242+$W$9*R242+$W$10*S242+$W$11*T242</f>
        <v/>
      </c>
      <c r="AA242" s="8">
        <f>INDEX(LINEST(L183:L242,M183:T242,TRUE,TRUE),1,9)*12</f>
        <v/>
      </c>
      <c r="AB242" s="7">
        <f>INDEX(LINEST(L183:L242,M183:T242,TRUE,TRUE),1,8)</f>
        <v/>
      </c>
      <c r="AC242" s="7">
        <f>INDEX(LINEST(L183:L242,M183:T242,TRUE,TRUE),1,7)</f>
        <v/>
      </c>
      <c r="AD242" s="7">
        <f>INDEX(LINEST(L183:L242,M183:T242,TRUE,TRUE),1,6)</f>
        <v/>
      </c>
      <c r="AE242" s="7">
        <f>INDEX(LINEST(L183:L242,M183:T242,TRUE,TRUE),1,5)</f>
        <v/>
      </c>
      <c r="AF242" s="7">
        <f>INDEX(LINEST(L183:L242,M183:T242,TRUE,TRUE),1,4)</f>
        <v/>
      </c>
      <c r="AG242" s="7">
        <f>INDEX(LINEST(L183:L242,M183:T242,TRUE,TRUE),1,3)</f>
        <v/>
      </c>
      <c r="AH242" s="7">
        <f>INDEX(LINEST(L183:L242,M183:T242,TRUE,TRUE),1,2)</f>
        <v/>
      </c>
      <c r="AI242" s="7">
        <f>INDEX(LINEST(L183:L242,M183:T242,TRUE,TRUE),1,1)</f>
        <v/>
      </c>
      <c r="AJ242" s="8">
        <f>INDEX(LINEST(L183:L242,M183:T242,TRUE,TRUE),3,1)</f>
        <v/>
      </c>
    </row>
    <row r="243">
      <c r="A243" s="5" t="n">
        <v>44957</v>
      </c>
      <c r="B243" s="6" t="n">
        <v>1923.9</v>
      </c>
      <c r="C243" s="6" t="n">
        <v>2.24</v>
      </c>
      <c r="D243" s="6" t="n">
        <v>1.28</v>
      </c>
      <c r="E243" s="6" t="n">
        <v>102.099998</v>
      </c>
      <c r="F243" s="6" t="n">
        <v>78.95</v>
      </c>
      <c r="G243" s="6" t="n">
        <v>19.4</v>
      </c>
      <c r="H243" s="6" t="n">
        <v>99.540001</v>
      </c>
      <c r="I243" s="6" t="n">
        <v>4076.600098</v>
      </c>
      <c r="J243" s="6" t="n">
        <v>88.482529</v>
      </c>
      <c r="L243" s="7">
        <f>LN(B243/B242)</f>
        <v/>
      </c>
      <c r="M243" s="7">
        <f>C243-C242</f>
        <v/>
      </c>
      <c r="N243" s="7">
        <f>D243-D242</f>
        <v/>
      </c>
      <c r="O243" s="7">
        <f>LN(E243/E242)</f>
        <v/>
      </c>
      <c r="P243" s="7">
        <f>LN(F243/F242)</f>
        <v/>
      </c>
      <c r="Q243" s="7">
        <f>G243-G242</f>
        <v/>
      </c>
      <c r="R243" s="7">
        <f>H243-H242</f>
        <v/>
      </c>
      <c r="S243" s="7">
        <f>LN(I243/I242)</f>
        <v/>
      </c>
      <c r="T243" s="7">
        <f>LN(J243/J242)</f>
        <v/>
      </c>
      <c r="U243" s="7">
        <f>$W$12+$W$4*M243+$W$5*N243+$W$6*O243+$W$7*P243+$W$8*Q243+$W$9*R243+$W$10*S243+$W$11*T243</f>
        <v/>
      </c>
      <c r="AA243" s="8">
        <f>INDEX(LINEST(L184:L243,M184:T243,TRUE,TRUE),1,9)*12</f>
        <v/>
      </c>
      <c r="AB243" s="7">
        <f>INDEX(LINEST(L184:L243,M184:T243,TRUE,TRUE),1,8)</f>
        <v/>
      </c>
      <c r="AC243" s="7">
        <f>INDEX(LINEST(L184:L243,M184:T243,TRUE,TRUE),1,7)</f>
        <v/>
      </c>
      <c r="AD243" s="7">
        <f>INDEX(LINEST(L184:L243,M184:T243,TRUE,TRUE),1,6)</f>
        <v/>
      </c>
      <c r="AE243" s="7">
        <f>INDEX(LINEST(L184:L243,M184:T243,TRUE,TRUE),1,5)</f>
        <v/>
      </c>
      <c r="AF243" s="7">
        <f>INDEX(LINEST(L184:L243,M184:T243,TRUE,TRUE),1,4)</f>
        <v/>
      </c>
      <c r="AG243" s="7">
        <f>INDEX(LINEST(L184:L243,M184:T243,TRUE,TRUE),1,3)</f>
        <v/>
      </c>
      <c r="AH243" s="7">
        <f>INDEX(LINEST(L184:L243,M184:T243,TRUE,TRUE),1,2)</f>
        <v/>
      </c>
      <c r="AI243" s="7">
        <f>INDEX(LINEST(L184:L243,M184:T243,TRUE,TRUE),1,1)</f>
        <v/>
      </c>
      <c r="AJ243" s="8">
        <f>INDEX(LINEST(L184:L243,M184:T243,TRUE,TRUE),3,1)</f>
        <v/>
      </c>
    </row>
    <row r="244">
      <c r="A244" s="5" t="n">
        <v>44985</v>
      </c>
      <c r="B244" s="6" t="n">
        <v>1824.6</v>
      </c>
      <c r="C244" s="6" t="n">
        <v>2.43</v>
      </c>
      <c r="D244" s="6" t="n">
        <v>1.49</v>
      </c>
      <c r="E244" s="6" t="n">
        <v>104.870003</v>
      </c>
      <c r="F244" s="6" t="n">
        <v>76.88</v>
      </c>
      <c r="G244" s="6" t="n">
        <v>20.7</v>
      </c>
      <c r="H244" s="6" t="n">
        <v>123.599998</v>
      </c>
      <c r="I244" s="6" t="n">
        <v>3970.149902</v>
      </c>
      <c r="J244" s="6" t="n">
        <v>86.123886</v>
      </c>
      <c r="L244" s="7">
        <f>LN(B244/B243)</f>
        <v/>
      </c>
      <c r="M244" s="7">
        <f>C244-C243</f>
        <v/>
      </c>
      <c r="N244" s="7">
        <f>D244-D243</f>
        <v/>
      </c>
      <c r="O244" s="7">
        <f>LN(E244/E243)</f>
        <v/>
      </c>
      <c r="P244" s="7">
        <f>LN(F244/F243)</f>
        <v/>
      </c>
      <c r="Q244" s="7">
        <f>G244-G243</f>
        <v/>
      </c>
      <c r="R244" s="7">
        <f>H244-H243</f>
        <v/>
      </c>
      <c r="S244" s="7">
        <f>LN(I244/I243)</f>
        <v/>
      </c>
      <c r="T244" s="7">
        <f>LN(J244/J243)</f>
        <v/>
      </c>
      <c r="U244" s="7">
        <f>$W$12+$W$4*M244+$W$5*N244+$W$6*O244+$W$7*P244+$W$8*Q244+$W$9*R244+$W$10*S244+$W$11*T244</f>
        <v/>
      </c>
      <c r="AA244" s="8">
        <f>INDEX(LINEST(L185:L244,M185:T244,TRUE,TRUE),1,9)*12</f>
        <v/>
      </c>
      <c r="AB244" s="7">
        <f>INDEX(LINEST(L185:L244,M185:T244,TRUE,TRUE),1,8)</f>
        <v/>
      </c>
      <c r="AC244" s="7">
        <f>INDEX(LINEST(L185:L244,M185:T244,TRUE,TRUE),1,7)</f>
        <v/>
      </c>
      <c r="AD244" s="7">
        <f>INDEX(LINEST(L185:L244,M185:T244,TRUE,TRUE),1,6)</f>
        <v/>
      </c>
      <c r="AE244" s="7">
        <f>INDEX(LINEST(L185:L244,M185:T244,TRUE,TRUE),1,5)</f>
        <v/>
      </c>
      <c r="AF244" s="7">
        <f>INDEX(LINEST(L185:L244,M185:T244,TRUE,TRUE),1,4)</f>
        <v/>
      </c>
      <c r="AG244" s="7">
        <f>INDEX(LINEST(L185:L244,M185:T244,TRUE,TRUE),1,3)</f>
        <v/>
      </c>
      <c r="AH244" s="7">
        <f>INDEX(LINEST(L185:L244,M185:T244,TRUE,TRUE),1,2)</f>
        <v/>
      </c>
      <c r="AI244" s="7">
        <f>INDEX(LINEST(L185:L244,M185:T244,TRUE,TRUE),1,1)</f>
        <v/>
      </c>
      <c r="AJ244" s="8">
        <f>INDEX(LINEST(L185:L244,M185:T244,TRUE,TRUE),3,1)</f>
        <v/>
      </c>
    </row>
    <row r="245">
      <c r="A245" s="5" t="n">
        <v>45016</v>
      </c>
      <c r="B245" s="6" t="n">
        <v>1979.7</v>
      </c>
      <c r="C245" s="6" t="n">
        <v>2.32</v>
      </c>
      <c r="D245" s="6" t="n">
        <v>1.16</v>
      </c>
      <c r="E245" s="6" t="n">
        <v>102.510002</v>
      </c>
      <c r="F245" s="6" t="n">
        <v>75.68000000000001</v>
      </c>
      <c r="G245" s="6" t="n">
        <v>18.7</v>
      </c>
      <c r="H245" s="6" t="n">
        <v>135.929993</v>
      </c>
      <c r="I245" s="6" t="n">
        <v>4109.310059</v>
      </c>
      <c r="J245" s="6" t="n">
        <v>88.39864300000001</v>
      </c>
      <c r="L245" s="7">
        <f>LN(B245/B244)</f>
        <v/>
      </c>
      <c r="M245" s="7">
        <f>C245-C244</f>
        <v/>
      </c>
      <c r="N245" s="7">
        <f>D245-D244</f>
        <v/>
      </c>
      <c r="O245" s="7">
        <f>LN(E245/E244)</f>
        <v/>
      </c>
      <c r="P245" s="7">
        <f>LN(F245/F244)</f>
        <v/>
      </c>
      <c r="Q245" s="7">
        <f>G245-G244</f>
        <v/>
      </c>
      <c r="R245" s="7">
        <f>H245-H244</f>
        <v/>
      </c>
      <c r="S245" s="7">
        <f>LN(I245/I244)</f>
        <v/>
      </c>
      <c r="T245" s="7">
        <f>LN(J245/J244)</f>
        <v/>
      </c>
      <c r="U245" s="7">
        <f>$W$12+$W$4*M245+$W$5*N245+$W$6*O245+$W$7*P245+$W$8*Q245+$W$9*R245+$W$10*S245+$W$11*T245</f>
        <v/>
      </c>
      <c r="AA245" s="8">
        <f>INDEX(LINEST(L186:L245,M186:T245,TRUE,TRUE),1,9)*12</f>
        <v/>
      </c>
      <c r="AB245" s="7">
        <f>INDEX(LINEST(L186:L245,M186:T245,TRUE,TRUE),1,8)</f>
        <v/>
      </c>
      <c r="AC245" s="7">
        <f>INDEX(LINEST(L186:L245,M186:T245,TRUE,TRUE),1,7)</f>
        <v/>
      </c>
      <c r="AD245" s="7">
        <f>INDEX(LINEST(L186:L245,M186:T245,TRUE,TRUE),1,6)</f>
        <v/>
      </c>
      <c r="AE245" s="7">
        <f>INDEX(LINEST(L186:L245,M186:T245,TRUE,TRUE),1,5)</f>
        <v/>
      </c>
      <c r="AF245" s="7">
        <f>INDEX(LINEST(L186:L245,M186:T245,TRUE,TRUE),1,4)</f>
        <v/>
      </c>
      <c r="AG245" s="7">
        <f>INDEX(LINEST(L186:L245,M186:T245,TRUE,TRUE),1,3)</f>
        <v/>
      </c>
      <c r="AH245" s="7">
        <f>INDEX(LINEST(L186:L245,M186:T245,TRUE,TRUE),1,2)</f>
        <v/>
      </c>
      <c r="AI245" s="7">
        <f>INDEX(LINEST(L186:L245,M186:T245,TRUE,TRUE),1,1)</f>
        <v/>
      </c>
      <c r="AJ245" s="8">
        <f>INDEX(LINEST(L186:L245,M186:T245,TRUE,TRUE),3,1)</f>
        <v/>
      </c>
    </row>
    <row r="246">
      <c r="A246" s="5" t="n">
        <v>45046</v>
      </c>
      <c r="B246" s="6" t="n">
        <v>1982.55</v>
      </c>
      <c r="C246" s="6" t="n">
        <v>2.18</v>
      </c>
      <c r="D246" s="6" t="n">
        <v>1.26</v>
      </c>
      <c r="E246" s="6" t="n">
        <v>101.669998</v>
      </c>
      <c r="F246" s="6" t="n">
        <v>76.78</v>
      </c>
      <c r="G246" s="6" t="n">
        <v>15.78</v>
      </c>
      <c r="H246" s="6" t="n">
        <v>122.459999</v>
      </c>
      <c r="I246" s="6" t="n">
        <v>4169.47998</v>
      </c>
      <c r="J246" s="6" t="n">
        <v>88.90741</v>
      </c>
      <c r="L246" s="7">
        <f>LN(B246/B245)</f>
        <v/>
      </c>
      <c r="M246" s="7">
        <f>C246-C245</f>
        <v/>
      </c>
      <c r="N246" s="7">
        <f>D246-D245</f>
        <v/>
      </c>
      <c r="O246" s="7">
        <f>LN(E246/E245)</f>
        <v/>
      </c>
      <c r="P246" s="7">
        <f>LN(F246/F245)</f>
        <v/>
      </c>
      <c r="Q246" s="7">
        <f>G246-G245</f>
        <v/>
      </c>
      <c r="R246" s="7">
        <f>H246-H245</f>
        <v/>
      </c>
      <c r="S246" s="7">
        <f>LN(I246/I245)</f>
        <v/>
      </c>
      <c r="T246" s="7">
        <f>LN(J246/J245)</f>
        <v/>
      </c>
      <c r="U246" s="7">
        <f>$W$12+$W$4*M246+$W$5*N246+$W$6*O246+$W$7*P246+$W$8*Q246+$W$9*R246+$W$10*S246+$W$11*T246</f>
        <v/>
      </c>
      <c r="AA246" s="8">
        <f>INDEX(LINEST(L187:L246,M187:T246,TRUE,TRUE),1,9)*12</f>
        <v/>
      </c>
      <c r="AB246" s="7">
        <f>INDEX(LINEST(L187:L246,M187:T246,TRUE,TRUE),1,8)</f>
        <v/>
      </c>
      <c r="AC246" s="7">
        <f>INDEX(LINEST(L187:L246,M187:T246,TRUE,TRUE),1,7)</f>
        <v/>
      </c>
      <c r="AD246" s="7">
        <f>INDEX(LINEST(L187:L246,M187:T246,TRUE,TRUE),1,6)</f>
        <v/>
      </c>
      <c r="AE246" s="7">
        <f>INDEX(LINEST(L187:L246,M187:T246,TRUE,TRUE),1,5)</f>
        <v/>
      </c>
      <c r="AF246" s="7">
        <f>INDEX(LINEST(L187:L246,M187:T246,TRUE,TRUE),1,4)</f>
        <v/>
      </c>
      <c r="AG246" s="7">
        <f>INDEX(LINEST(L187:L246,M187:T246,TRUE,TRUE),1,3)</f>
        <v/>
      </c>
      <c r="AH246" s="7">
        <f>INDEX(LINEST(L187:L246,M187:T246,TRUE,TRUE),1,2)</f>
        <v/>
      </c>
      <c r="AI246" s="7">
        <f>INDEX(LINEST(L187:L246,M187:T246,TRUE,TRUE),1,1)</f>
        <v/>
      </c>
      <c r="AJ246" s="8">
        <f>INDEX(LINEST(L187:L246,M187:T246,TRUE,TRUE),3,1)</f>
        <v/>
      </c>
    </row>
    <row r="247">
      <c r="A247" s="5" t="n">
        <v>45077</v>
      </c>
      <c r="B247" s="6" t="n">
        <v>1964.4</v>
      </c>
      <c r="C247" s="6" t="n">
        <v>2.18</v>
      </c>
      <c r="D247" s="6" t="n">
        <v>1.46</v>
      </c>
      <c r="E247" s="6" t="n">
        <v>104.32</v>
      </c>
      <c r="F247" s="6" t="n">
        <v>68.11</v>
      </c>
      <c r="G247" s="6" t="n">
        <v>17.94</v>
      </c>
      <c r="H247" s="6" t="n">
        <v>136.020004</v>
      </c>
      <c r="I247" s="6" t="n">
        <v>4179.830078</v>
      </c>
      <c r="J247" s="6" t="n">
        <v>87.89003</v>
      </c>
      <c r="L247" s="7">
        <f>LN(B247/B246)</f>
        <v/>
      </c>
      <c r="M247" s="7">
        <f>C247-C246</f>
        <v/>
      </c>
      <c r="N247" s="7">
        <f>D247-D246</f>
        <v/>
      </c>
      <c r="O247" s="7">
        <f>LN(E247/E246)</f>
        <v/>
      </c>
      <c r="P247" s="7">
        <f>LN(F247/F246)</f>
        <v/>
      </c>
      <c r="Q247" s="7">
        <f>G247-G246</f>
        <v/>
      </c>
      <c r="R247" s="7">
        <f>H247-H246</f>
        <v/>
      </c>
      <c r="S247" s="7">
        <f>LN(I247/I246)</f>
        <v/>
      </c>
      <c r="T247" s="7">
        <f>LN(J247/J246)</f>
        <v/>
      </c>
      <c r="U247" s="7">
        <f>$W$12+$W$4*M247+$W$5*N247+$W$6*O247+$W$7*P247+$W$8*Q247+$W$9*R247+$W$10*S247+$W$11*T247</f>
        <v/>
      </c>
      <c r="AA247" s="8">
        <f>INDEX(LINEST(L188:L247,M188:T247,TRUE,TRUE),1,9)*12</f>
        <v/>
      </c>
      <c r="AB247" s="7">
        <f>INDEX(LINEST(L188:L247,M188:T247,TRUE,TRUE),1,8)</f>
        <v/>
      </c>
      <c r="AC247" s="7">
        <f>INDEX(LINEST(L188:L247,M188:T247,TRUE,TRUE),1,7)</f>
        <v/>
      </c>
      <c r="AD247" s="7">
        <f>INDEX(LINEST(L188:L247,M188:T247,TRUE,TRUE),1,6)</f>
        <v/>
      </c>
      <c r="AE247" s="7">
        <f>INDEX(LINEST(L188:L247,M188:T247,TRUE,TRUE),1,5)</f>
        <v/>
      </c>
      <c r="AF247" s="7">
        <f>INDEX(LINEST(L188:L247,M188:T247,TRUE,TRUE),1,4)</f>
        <v/>
      </c>
      <c r="AG247" s="7">
        <f>INDEX(LINEST(L188:L247,M188:T247,TRUE,TRUE),1,3)</f>
        <v/>
      </c>
      <c r="AH247" s="7">
        <f>INDEX(LINEST(L188:L247,M188:T247,TRUE,TRUE),1,2)</f>
        <v/>
      </c>
      <c r="AI247" s="7">
        <f>INDEX(LINEST(L188:L247,M188:T247,TRUE,TRUE),1,1)</f>
        <v/>
      </c>
      <c r="AJ247" s="8">
        <f>INDEX(LINEST(L188:L247,M188:T247,TRUE,TRUE),3,1)</f>
        <v/>
      </c>
    </row>
    <row r="248">
      <c r="A248" s="5" t="n">
        <v>45107</v>
      </c>
      <c r="B248" s="6" t="n">
        <v>1912.25</v>
      </c>
      <c r="C248" s="6" t="n">
        <v>2.22</v>
      </c>
      <c r="D248" s="6" t="n">
        <v>1.59</v>
      </c>
      <c r="E248" s="6" t="n">
        <v>102.910004</v>
      </c>
      <c r="F248" s="6" t="n">
        <v>70.66</v>
      </c>
      <c r="G248" s="6" t="n">
        <v>13.59</v>
      </c>
      <c r="H248" s="6" t="n">
        <v>110.639999</v>
      </c>
      <c r="I248" s="6" t="n">
        <v>4450.379883</v>
      </c>
      <c r="J248" s="6" t="n">
        <v>87.566383</v>
      </c>
      <c r="L248" s="7">
        <f>LN(B248/B247)</f>
        <v/>
      </c>
      <c r="M248" s="7">
        <f>C248-C247</f>
        <v/>
      </c>
      <c r="N248" s="7">
        <f>D248-D247</f>
        <v/>
      </c>
      <c r="O248" s="7">
        <f>LN(E248/E247)</f>
        <v/>
      </c>
      <c r="P248" s="7">
        <f>LN(F248/F247)</f>
        <v/>
      </c>
      <c r="Q248" s="7">
        <f>G248-G247</f>
        <v/>
      </c>
      <c r="R248" s="7">
        <f>H248-H247</f>
        <v/>
      </c>
      <c r="S248" s="7">
        <f>LN(I248/I247)</f>
        <v/>
      </c>
      <c r="T248" s="7">
        <f>LN(J248/J247)</f>
        <v/>
      </c>
      <c r="U248" s="7">
        <f>$W$12+$W$4*M248+$W$5*N248+$W$6*O248+$W$7*P248+$W$8*Q248+$W$9*R248+$W$10*S248+$W$11*T248</f>
        <v/>
      </c>
      <c r="AA248" s="8">
        <f>INDEX(LINEST(L189:L248,M189:T248,TRUE,TRUE),1,9)*12</f>
        <v/>
      </c>
      <c r="AB248" s="7">
        <f>INDEX(LINEST(L189:L248,M189:T248,TRUE,TRUE),1,8)</f>
        <v/>
      </c>
      <c r="AC248" s="7">
        <f>INDEX(LINEST(L189:L248,M189:T248,TRUE,TRUE),1,7)</f>
        <v/>
      </c>
      <c r="AD248" s="7">
        <f>INDEX(LINEST(L189:L248,M189:T248,TRUE,TRUE),1,6)</f>
        <v/>
      </c>
      <c r="AE248" s="7">
        <f>INDEX(LINEST(L189:L248,M189:T248,TRUE,TRUE),1,5)</f>
        <v/>
      </c>
      <c r="AF248" s="7">
        <f>INDEX(LINEST(L189:L248,M189:T248,TRUE,TRUE),1,4)</f>
        <v/>
      </c>
      <c r="AG248" s="7">
        <f>INDEX(LINEST(L189:L248,M189:T248,TRUE,TRUE),1,3)</f>
        <v/>
      </c>
      <c r="AH248" s="7">
        <f>INDEX(LINEST(L189:L248,M189:T248,TRUE,TRUE),1,2)</f>
        <v/>
      </c>
      <c r="AI248" s="7">
        <f>INDEX(LINEST(L189:L248,M189:T248,TRUE,TRUE),1,1)</f>
        <v/>
      </c>
      <c r="AJ248" s="8">
        <f>INDEX(LINEST(L189:L248,M189:T248,TRUE,TRUE),3,1)</f>
        <v/>
      </c>
    </row>
    <row r="249">
      <c r="A249" s="5" t="n">
        <v>45138</v>
      </c>
      <c r="B249" s="6" t="n">
        <v>1970.65</v>
      </c>
      <c r="C249" s="6" t="n">
        <v>2.37</v>
      </c>
      <c r="D249" s="6" t="n">
        <v>1.6</v>
      </c>
      <c r="E249" s="6" t="n">
        <v>101.860001</v>
      </c>
      <c r="F249" s="6" t="n">
        <v>81.8</v>
      </c>
      <c r="G249" s="6" t="n">
        <v>13.63</v>
      </c>
      <c r="H249" s="6" t="n">
        <v>112.029999</v>
      </c>
      <c r="I249" s="6" t="n">
        <v>4588.959961</v>
      </c>
      <c r="J249" s="6" t="n">
        <v>87.55295599999999</v>
      </c>
      <c r="L249" s="7">
        <f>LN(B249/B248)</f>
        <v/>
      </c>
      <c r="M249" s="7">
        <f>C249-C248</f>
        <v/>
      </c>
      <c r="N249" s="7">
        <f>D249-D248</f>
        <v/>
      </c>
      <c r="O249" s="7">
        <f>LN(E249/E248)</f>
        <v/>
      </c>
      <c r="P249" s="7">
        <f>LN(F249/F248)</f>
        <v/>
      </c>
      <c r="Q249" s="7">
        <f>G249-G248</f>
        <v/>
      </c>
      <c r="R249" s="7">
        <f>H249-H248</f>
        <v/>
      </c>
      <c r="S249" s="7">
        <f>LN(I249/I248)</f>
        <v/>
      </c>
      <c r="T249" s="7">
        <f>LN(J249/J248)</f>
        <v/>
      </c>
      <c r="U249" s="7">
        <f>$W$12+$W$4*M249+$W$5*N249+$W$6*O249+$W$7*P249+$W$8*Q249+$W$9*R249+$W$10*S249+$W$11*T249</f>
        <v/>
      </c>
      <c r="AA249" s="8">
        <f>INDEX(LINEST(L190:L249,M190:T249,TRUE,TRUE),1,9)*12</f>
        <v/>
      </c>
      <c r="AB249" s="7">
        <f>INDEX(LINEST(L190:L249,M190:T249,TRUE,TRUE),1,8)</f>
        <v/>
      </c>
      <c r="AC249" s="7">
        <f>INDEX(LINEST(L190:L249,M190:T249,TRUE,TRUE),1,7)</f>
        <v/>
      </c>
      <c r="AD249" s="7">
        <f>INDEX(LINEST(L190:L249,M190:T249,TRUE,TRUE),1,6)</f>
        <v/>
      </c>
      <c r="AE249" s="7">
        <f>INDEX(LINEST(L190:L249,M190:T249,TRUE,TRUE),1,5)</f>
        <v/>
      </c>
      <c r="AF249" s="7">
        <f>INDEX(LINEST(L190:L249,M190:T249,TRUE,TRUE),1,4)</f>
        <v/>
      </c>
      <c r="AG249" s="7">
        <f>INDEX(LINEST(L190:L249,M190:T249,TRUE,TRUE),1,3)</f>
        <v/>
      </c>
      <c r="AH249" s="7">
        <f>INDEX(LINEST(L190:L249,M190:T249,TRUE,TRUE),1,2)</f>
        <v/>
      </c>
      <c r="AI249" s="7">
        <f>INDEX(LINEST(L190:L249,M190:T249,TRUE,TRUE),1,1)</f>
        <v/>
      </c>
      <c r="AJ249" s="8">
        <f>INDEX(LINEST(L190:L249,M190:T249,TRUE,TRUE),3,1)</f>
        <v/>
      </c>
    </row>
    <row r="250">
      <c r="A250" s="5" t="n">
        <v>45169</v>
      </c>
      <c r="B250" s="6" t="n">
        <v>1942.3</v>
      </c>
      <c r="C250" s="6" t="n">
        <v>2.24</v>
      </c>
      <c r="D250" s="6" t="n">
        <v>1.85</v>
      </c>
      <c r="E250" s="6" t="n">
        <v>103.620003</v>
      </c>
      <c r="F250" s="6" t="n">
        <v>83.55</v>
      </c>
      <c r="G250" s="6" t="n">
        <v>13.57</v>
      </c>
      <c r="H250" s="6" t="n">
        <v>107.93</v>
      </c>
      <c r="I250" s="6" t="n">
        <v>4507.660156</v>
      </c>
      <c r="J250" s="6" t="n">
        <v>87.00020600000001</v>
      </c>
      <c r="L250" s="7">
        <f>LN(B250/B249)</f>
        <v/>
      </c>
      <c r="M250" s="7">
        <f>C250-C249</f>
        <v/>
      </c>
      <c r="N250" s="7">
        <f>D250-D249</f>
        <v/>
      </c>
      <c r="O250" s="7">
        <f>LN(E250/E249)</f>
        <v/>
      </c>
      <c r="P250" s="7">
        <f>LN(F250/F249)</f>
        <v/>
      </c>
      <c r="Q250" s="7">
        <f>G250-G249</f>
        <v/>
      </c>
      <c r="R250" s="7">
        <f>H250-H249</f>
        <v/>
      </c>
      <c r="S250" s="7">
        <f>LN(I250/I249)</f>
        <v/>
      </c>
      <c r="T250" s="7">
        <f>LN(J250/J249)</f>
        <v/>
      </c>
      <c r="U250" s="7">
        <f>$W$12+$W$4*M250+$W$5*N250+$W$6*O250+$W$7*P250+$W$8*Q250+$W$9*R250+$W$10*S250+$W$11*T250</f>
        <v/>
      </c>
      <c r="AA250" s="8">
        <f>INDEX(LINEST(L191:L250,M191:T250,TRUE,TRUE),1,9)*12</f>
        <v/>
      </c>
      <c r="AB250" s="7">
        <f>INDEX(LINEST(L191:L250,M191:T250,TRUE,TRUE),1,8)</f>
        <v/>
      </c>
      <c r="AC250" s="7">
        <f>INDEX(LINEST(L191:L250,M191:T250,TRUE,TRUE),1,7)</f>
        <v/>
      </c>
      <c r="AD250" s="7">
        <f>INDEX(LINEST(L191:L250,M191:T250,TRUE,TRUE),1,6)</f>
        <v/>
      </c>
      <c r="AE250" s="7">
        <f>INDEX(LINEST(L191:L250,M191:T250,TRUE,TRUE),1,5)</f>
        <v/>
      </c>
      <c r="AF250" s="7">
        <f>INDEX(LINEST(L191:L250,M191:T250,TRUE,TRUE),1,4)</f>
        <v/>
      </c>
      <c r="AG250" s="7">
        <f>INDEX(LINEST(L191:L250,M191:T250,TRUE,TRUE),1,3)</f>
        <v/>
      </c>
      <c r="AH250" s="7">
        <f>INDEX(LINEST(L191:L250,M191:T250,TRUE,TRUE),1,2)</f>
        <v/>
      </c>
      <c r="AI250" s="7">
        <f>INDEX(LINEST(L191:L250,M191:T250,TRUE,TRUE),1,1)</f>
        <v/>
      </c>
      <c r="AJ250" s="8">
        <f>INDEX(LINEST(L191:L250,M191:T250,TRUE,TRUE),3,1)</f>
        <v/>
      </c>
    </row>
    <row r="251">
      <c r="A251" s="5" t="n">
        <v>45199</v>
      </c>
      <c r="B251" s="6" t="n">
        <v>1870.5</v>
      </c>
      <c r="C251" s="6" t="n">
        <v>2.35</v>
      </c>
      <c r="D251" s="6" t="n">
        <v>2.24</v>
      </c>
      <c r="E251" s="6" t="n">
        <v>106.169998</v>
      </c>
      <c r="F251" s="6" t="n">
        <v>90.77</v>
      </c>
      <c r="G251" s="6" t="n">
        <v>17.52</v>
      </c>
      <c r="H251" s="6" t="n">
        <v>113.550003</v>
      </c>
      <c r="I251" s="6" t="n">
        <v>4288.049805</v>
      </c>
      <c r="J251" s="6" t="n">
        <v>84.747246</v>
      </c>
      <c r="L251" s="7">
        <f>LN(B251/B250)</f>
        <v/>
      </c>
      <c r="M251" s="7">
        <f>C251-C250</f>
        <v/>
      </c>
      <c r="N251" s="7">
        <f>D251-D250</f>
        <v/>
      </c>
      <c r="O251" s="7">
        <f>LN(E251/E250)</f>
        <v/>
      </c>
      <c r="P251" s="7">
        <f>LN(F251/F250)</f>
        <v/>
      </c>
      <c r="Q251" s="7">
        <f>G251-G250</f>
        <v/>
      </c>
      <c r="R251" s="7">
        <f>H251-H250</f>
        <v/>
      </c>
      <c r="S251" s="7">
        <f>LN(I251/I250)</f>
        <v/>
      </c>
      <c r="T251" s="7">
        <f>LN(J251/J250)</f>
        <v/>
      </c>
      <c r="U251" s="7">
        <f>$W$12+$W$4*M251+$W$5*N251+$W$6*O251+$W$7*P251+$W$8*Q251+$W$9*R251+$W$10*S251+$W$11*T251</f>
        <v/>
      </c>
      <c r="AA251" s="8">
        <f>INDEX(LINEST(L192:L251,M192:T251,TRUE,TRUE),1,9)*12</f>
        <v/>
      </c>
      <c r="AB251" s="7">
        <f>INDEX(LINEST(L192:L251,M192:T251,TRUE,TRUE),1,8)</f>
        <v/>
      </c>
      <c r="AC251" s="7">
        <f>INDEX(LINEST(L192:L251,M192:T251,TRUE,TRUE),1,7)</f>
        <v/>
      </c>
      <c r="AD251" s="7">
        <f>INDEX(LINEST(L192:L251,M192:T251,TRUE,TRUE),1,6)</f>
        <v/>
      </c>
      <c r="AE251" s="7">
        <f>INDEX(LINEST(L192:L251,M192:T251,TRUE,TRUE),1,5)</f>
        <v/>
      </c>
      <c r="AF251" s="7">
        <f>INDEX(LINEST(L192:L251,M192:T251,TRUE,TRUE),1,4)</f>
        <v/>
      </c>
      <c r="AG251" s="7">
        <f>INDEX(LINEST(L192:L251,M192:T251,TRUE,TRUE),1,3)</f>
        <v/>
      </c>
      <c r="AH251" s="7">
        <f>INDEX(LINEST(L192:L251,M192:T251,TRUE,TRUE),1,2)</f>
        <v/>
      </c>
      <c r="AI251" s="7">
        <f>INDEX(LINEST(L192:L251,M192:T251,TRUE,TRUE),1,1)</f>
        <v/>
      </c>
      <c r="AJ251" s="8">
        <f>INDEX(LINEST(L192:L251,M192:T251,TRUE,TRUE),3,1)</f>
        <v/>
      </c>
    </row>
    <row r="252">
      <c r="A252" s="5" t="n">
        <v>45230</v>
      </c>
      <c r="B252" s="6" t="n">
        <v>1996.9</v>
      </c>
      <c r="C252" s="6" t="n">
        <v>2.42</v>
      </c>
      <c r="D252" s="6" t="n">
        <v>2.46</v>
      </c>
      <c r="E252" s="6" t="n">
        <v>106.660004</v>
      </c>
      <c r="F252" s="6" t="n">
        <v>81.64</v>
      </c>
      <c r="G252" s="6" t="n">
        <v>18.14</v>
      </c>
      <c r="H252" s="6" t="n">
        <v>126.860001</v>
      </c>
      <c r="I252" s="6" t="n">
        <v>4193.799805</v>
      </c>
      <c r="J252" s="6" t="n">
        <v>83.41617599999999</v>
      </c>
      <c r="L252" s="7">
        <f>LN(B252/B251)</f>
        <v/>
      </c>
      <c r="M252" s="7">
        <f>C252-C251</f>
        <v/>
      </c>
      <c r="N252" s="7">
        <f>D252-D251</f>
        <v/>
      </c>
      <c r="O252" s="7">
        <f>LN(E252/E251)</f>
        <v/>
      </c>
      <c r="P252" s="7">
        <f>LN(F252/F251)</f>
        <v/>
      </c>
      <c r="Q252" s="7">
        <f>G252-G251</f>
        <v/>
      </c>
      <c r="R252" s="7">
        <f>H252-H251</f>
        <v/>
      </c>
      <c r="S252" s="7">
        <f>LN(I252/I251)</f>
        <v/>
      </c>
      <c r="T252" s="7">
        <f>LN(J252/J251)</f>
        <v/>
      </c>
      <c r="U252" s="7">
        <f>$W$12+$W$4*M252+$W$5*N252+$W$6*O252+$W$7*P252+$W$8*Q252+$W$9*R252+$W$10*S252+$W$11*T252</f>
        <v/>
      </c>
      <c r="AA252" s="8">
        <f>INDEX(LINEST(L193:L252,M193:T252,TRUE,TRUE),1,9)*12</f>
        <v/>
      </c>
      <c r="AB252" s="7">
        <f>INDEX(LINEST(L193:L252,M193:T252,TRUE,TRUE),1,8)</f>
        <v/>
      </c>
      <c r="AC252" s="7">
        <f>INDEX(LINEST(L193:L252,M193:T252,TRUE,TRUE),1,7)</f>
        <v/>
      </c>
      <c r="AD252" s="7">
        <f>INDEX(LINEST(L193:L252,M193:T252,TRUE,TRUE),1,6)</f>
        <v/>
      </c>
      <c r="AE252" s="7">
        <f>INDEX(LINEST(L193:L252,M193:T252,TRUE,TRUE),1,5)</f>
        <v/>
      </c>
      <c r="AF252" s="7">
        <f>INDEX(LINEST(L193:L252,M193:T252,TRUE,TRUE),1,4)</f>
        <v/>
      </c>
      <c r="AG252" s="7">
        <f>INDEX(LINEST(L193:L252,M193:T252,TRUE,TRUE),1,3)</f>
        <v/>
      </c>
      <c r="AH252" s="7">
        <f>INDEX(LINEST(L193:L252,M193:T252,TRUE,TRUE),1,2)</f>
        <v/>
      </c>
      <c r="AI252" s="7">
        <f>INDEX(LINEST(L193:L252,M193:T252,TRUE,TRUE),1,1)</f>
        <v/>
      </c>
      <c r="AJ252" s="8">
        <f>INDEX(LINEST(L193:L252,M193:T252,TRUE,TRUE),3,1)</f>
        <v/>
      </c>
    </row>
    <row r="253">
      <c r="A253" s="5" t="n">
        <v>45260</v>
      </c>
      <c r="B253" s="6" t="n">
        <v>2035.45</v>
      </c>
      <c r="C253" s="6" t="n">
        <v>2.23</v>
      </c>
      <c r="D253" s="6" t="n">
        <v>2.14</v>
      </c>
      <c r="E253" s="6" t="n">
        <v>103.5</v>
      </c>
      <c r="F253" s="6" t="n">
        <v>75.66</v>
      </c>
      <c r="G253" s="6" t="n">
        <v>12.92</v>
      </c>
      <c r="H253" s="6" t="n">
        <v>115.32</v>
      </c>
      <c r="I253" s="6" t="n">
        <v>4567.799805</v>
      </c>
      <c r="J253" s="6" t="n">
        <v>87.247421</v>
      </c>
      <c r="L253" s="7">
        <f>LN(B253/B252)</f>
        <v/>
      </c>
      <c r="M253" s="7">
        <f>C253-C252</f>
        <v/>
      </c>
      <c r="N253" s="7">
        <f>D253-D252</f>
        <v/>
      </c>
      <c r="O253" s="7">
        <f>LN(E253/E252)</f>
        <v/>
      </c>
      <c r="P253" s="7">
        <f>LN(F253/F252)</f>
        <v/>
      </c>
      <c r="Q253" s="7">
        <f>G253-G252</f>
        <v/>
      </c>
      <c r="R253" s="7">
        <f>H253-H252</f>
        <v/>
      </c>
      <c r="S253" s="7">
        <f>LN(I253/I252)</f>
        <v/>
      </c>
      <c r="T253" s="7">
        <f>LN(J253/J252)</f>
        <v/>
      </c>
      <c r="U253" s="7">
        <f>$W$12+$W$4*M253+$W$5*N253+$W$6*O253+$W$7*P253+$W$8*Q253+$W$9*R253+$W$10*S253+$W$11*T253</f>
        <v/>
      </c>
      <c r="AA253" s="8">
        <f>INDEX(LINEST(L194:L253,M194:T253,TRUE,TRUE),1,9)*12</f>
        <v/>
      </c>
      <c r="AB253" s="7">
        <f>INDEX(LINEST(L194:L253,M194:T253,TRUE,TRUE),1,8)</f>
        <v/>
      </c>
      <c r="AC253" s="7">
        <f>INDEX(LINEST(L194:L253,M194:T253,TRUE,TRUE),1,7)</f>
        <v/>
      </c>
      <c r="AD253" s="7">
        <f>INDEX(LINEST(L194:L253,M194:T253,TRUE,TRUE),1,6)</f>
        <v/>
      </c>
      <c r="AE253" s="7">
        <f>INDEX(LINEST(L194:L253,M194:T253,TRUE,TRUE),1,5)</f>
        <v/>
      </c>
      <c r="AF253" s="7">
        <f>INDEX(LINEST(L194:L253,M194:T253,TRUE,TRUE),1,4)</f>
        <v/>
      </c>
      <c r="AG253" s="7">
        <f>INDEX(LINEST(L194:L253,M194:T253,TRUE,TRUE),1,3)</f>
        <v/>
      </c>
      <c r="AH253" s="7">
        <f>INDEX(LINEST(L194:L253,M194:T253,TRUE,TRUE),1,2)</f>
        <v/>
      </c>
      <c r="AI253" s="7">
        <f>INDEX(LINEST(L194:L253,M194:T253,TRUE,TRUE),1,1)</f>
        <v/>
      </c>
      <c r="AJ253" s="8">
        <f>INDEX(LINEST(L194:L253,M194:T253,TRUE,TRUE),3,1)</f>
        <v/>
      </c>
    </row>
    <row r="254">
      <c r="A254" s="5" t="n">
        <v>45291</v>
      </c>
      <c r="B254" s="6" t="n">
        <v>2078.4</v>
      </c>
      <c r="C254" s="6" t="n">
        <v>2.16</v>
      </c>
      <c r="D254" s="6" t="n">
        <v>1.72</v>
      </c>
      <c r="E254" s="6" t="n">
        <v>101.330002</v>
      </c>
      <c r="F254" s="6" t="n">
        <v>71.89</v>
      </c>
      <c r="G254" s="6" t="n">
        <v>12.45</v>
      </c>
      <c r="H254" s="6" t="n">
        <v>114.620003</v>
      </c>
      <c r="I254" s="6" t="n">
        <v>4769.830078</v>
      </c>
      <c r="J254" s="6" t="n">
        <v>90.473488</v>
      </c>
      <c r="L254" s="7">
        <f>LN(B254/B253)</f>
        <v/>
      </c>
      <c r="M254" s="7">
        <f>C254-C253</f>
        <v/>
      </c>
      <c r="N254" s="7">
        <f>D254-D253</f>
        <v/>
      </c>
      <c r="O254" s="7">
        <f>LN(E254/E253)</f>
        <v/>
      </c>
      <c r="P254" s="7">
        <f>LN(F254/F253)</f>
        <v/>
      </c>
      <c r="Q254" s="7">
        <f>G254-G253</f>
        <v/>
      </c>
      <c r="R254" s="7">
        <f>H254-H253</f>
        <v/>
      </c>
      <c r="S254" s="7">
        <f>LN(I254/I253)</f>
        <v/>
      </c>
      <c r="T254" s="7">
        <f>LN(J254/J253)</f>
        <v/>
      </c>
      <c r="U254" s="7">
        <f>$W$12+$W$4*M254+$W$5*N254+$W$6*O254+$W$7*P254+$W$8*Q254+$W$9*R254+$W$10*S254+$W$11*T254</f>
        <v/>
      </c>
      <c r="AA254" s="8">
        <f>INDEX(LINEST(L195:L254,M195:T254,TRUE,TRUE),1,9)*12</f>
        <v/>
      </c>
      <c r="AB254" s="7">
        <f>INDEX(LINEST(L195:L254,M195:T254,TRUE,TRUE),1,8)</f>
        <v/>
      </c>
      <c r="AC254" s="7">
        <f>INDEX(LINEST(L195:L254,M195:T254,TRUE,TRUE),1,7)</f>
        <v/>
      </c>
      <c r="AD254" s="7">
        <f>INDEX(LINEST(L195:L254,M195:T254,TRUE,TRUE),1,6)</f>
        <v/>
      </c>
      <c r="AE254" s="7">
        <f>INDEX(LINEST(L195:L254,M195:T254,TRUE,TRUE),1,5)</f>
        <v/>
      </c>
      <c r="AF254" s="7">
        <f>INDEX(LINEST(L195:L254,M195:T254,TRUE,TRUE),1,4)</f>
        <v/>
      </c>
      <c r="AG254" s="7">
        <f>INDEX(LINEST(L195:L254,M195:T254,TRUE,TRUE),1,3)</f>
        <v/>
      </c>
      <c r="AH254" s="7">
        <f>INDEX(LINEST(L195:L254,M195:T254,TRUE,TRUE),1,2)</f>
        <v/>
      </c>
      <c r="AI254" s="7">
        <f>INDEX(LINEST(L195:L254,M195:T254,TRUE,TRUE),1,1)</f>
        <v/>
      </c>
      <c r="AJ254" s="8">
        <f>INDEX(LINEST(L195:L254,M195:T254,TRUE,TRUE),3,1)</f>
        <v/>
      </c>
    </row>
    <row r="255">
      <c r="A255" s="5" t="n">
        <v>45322</v>
      </c>
      <c r="B255" s="6" t="n">
        <v>2053.25</v>
      </c>
      <c r="C255" s="6" t="n">
        <v>2.26</v>
      </c>
      <c r="D255" s="6" t="n">
        <v>1.73</v>
      </c>
      <c r="E255" s="6" t="n">
        <v>103.269997</v>
      </c>
      <c r="F255" s="6" t="n">
        <v>76.28</v>
      </c>
      <c r="G255" s="6" t="n">
        <v>14.35</v>
      </c>
      <c r="H255" s="6" t="n">
        <v>107.279999</v>
      </c>
      <c r="I255" s="6" t="n">
        <v>4845.649902</v>
      </c>
      <c r="J255" s="6" t="n">
        <v>90.33678399999999</v>
      </c>
      <c r="L255" s="7">
        <f>LN(B255/B254)</f>
        <v/>
      </c>
      <c r="M255" s="7">
        <f>C255-C254</f>
        <v/>
      </c>
      <c r="N255" s="7">
        <f>D255-D254</f>
        <v/>
      </c>
      <c r="O255" s="7">
        <f>LN(E255/E254)</f>
        <v/>
      </c>
      <c r="P255" s="7">
        <f>LN(F255/F254)</f>
        <v/>
      </c>
      <c r="Q255" s="7">
        <f>G255-G254</f>
        <v/>
      </c>
      <c r="R255" s="7">
        <f>H255-H254</f>
        <v/>
      </c>
      <c r="S255" s="7">
        <f>LN(I255/I254)</f>
        <v/>
      </c>
      <c r="T255" s="7">
        <f>LN(J255/J254)</f>
        <v/>
      </c>
      <c r="U255" s="7">
        <f>$W$12+$W$4*M255+$W$5*N255+$W$6*O255+$W$7*P255+$W$8*Q255+$W$9*R255+$W$10*S255+$W$11*T255</f>
        <v/>
      </c>
      <c r="AA255" s="8">
        <f>INDEX(LINEST(L196:L255,M196:T255,TRUE,TRUE),1,9)*12</f>
        <v/>
      </c>
      <c r="AB255" s="7">
        <f>INDEX(LINEST(L196:L255,M196:T255,TRUE,TRUE),1,8)</f>
        <v/>
      </c>
      <c r="AC255" s="7">
        <f>INDEX(LINEST(L196:L255,M196:T255,TRUE,TRUE),1,7)</f>
        <v/>
      </c>
      <c r="AD255" s="7">
        <f>INDEX(LINEST(L196:L255,M196:T255,TRUE,TRUE),1,6)</f>
        <v/>
      </c>
      <c r="AE255" s="7">
        <f>INDEX(LINEST(L196:L255,M196:T255,TRUE,TRUE),1,5)</f>
        <v/>
      </c>
      <c r="AF255" s="7">
        <f>INDEX(LINEST(L196:L255,M196:T255,TRUE,TRUE),1,4)</f>
        <v/>
      </c>
      <c r="AG255" s="7">
        <f>INDEX(LINEST(L196:L255,M196:T255,TRUE,TRUE),1,3)</f>
        <v/>
      </c>
      <c r="AH255" s="7">
        <f>INDEX(LINEST(L196:L255,M196:T255,TRUE,TRUE),1,2)</f>
        <v/>
      </c>
      <c r="AI255" s="7">
        <f>INDEX(LINEST(L196:L255,M196:T255,TRUE,TRUE),1,1)</f>
        <v/>
      </c>
      <c r="AJ255" s="8">
        <f>INDEX(LINEST(L196:L255,M196:T255,TRUE,TRUE),3,1)</f>
        <v/>
      </c>
    </row>
    <row r="256">
      <c r="A256" s="5" t="n">
        <v>45351</v>
      </c>
      <c r="B256" s="6" t="n">
        <v>2048.05</v>
      </c>
      <c r="C256" s="6" t="n">
        <v>2.33</v>
      </c>
      <c r="D256" s="6" t="n">
        <v>1.92</v>
      </c>
      <c r="E256" s="6" t="n">
        <v>104.160004</v>
      </c>
      <c r="F256" s="6" t="n">
        <v>79.22</v>
      </c>
      <c r="G256" s="6" t="n">
        <v>13.4</v>
      </c>
      <c r="H256" s="6" t="n">
        <v>109.099998</v>
      </c>
      <c r="I256" s="6" t="n">
        <v>5096.27002</v>
      </c>
      <c r="J256" s="6" t="n">
        <v>89.004677</v>
      </c>
      <c r="L256" s="7">
        <f>LN(B256/B255)</f>
        <v/>
      </c>
      <c r="M256" s="7">
        <f>C256-C255</f>
        <v/>
      </c>
      <c r="N256" s="7">
        <f>D256-D255</f>
        <v/>
      </c>
      <c r="O256" s="7">
        <f>LN(E256/E255)</f>
        <v/>
      </c>
      <c r="P256" s="7">
        <f>LN(F256/F255)</f>
        <v/>
      </c>
      <c r="Q256" s="7">
        <f>G256-G255</f>
        <v/>
      </c>
      <c r="R256" s="7">
        <f>H256-H255</f>
        <v/>
      </c>
      <c r="S256" s="7">
        <f>LN(I256/I255)</f>
        <v/>
      </c>
      <c r="T256" s="7">
        <f>LN(J256/J255)</f>
        <v/>
      </c>
      <c r="U256" s="7">
        <f>$W$12+$W$4*M256+$W$5*N256+$W$6*O256+$W$7*P256+$W$8*Q256+$W$9*R256+$W$10*S256+$W$11*T256</f>
        <v/>
      </c>
      <c r="AA256" s="8">
        <f>INDEX(LINEST(L197:L256,M197:T256,TRUE,TRUE),1,9)*12</f>
        <v/>
      </c>
      <c r="AB256" s="7">
        <f>INDEX(LINEST(L197:L256,M197:T256,TRUE,TRUE),1,8)</f>
        <v/>
      </c>
      <c r="AC256" s="7">
        <f>INDEX(LINEST(L197:L256,M197:T256,TRUE,TRUE),1,7)</f>
        <v/>
      </c>
      <c r="AD256" s="7">
        <f>INDEX(LINEST(L197:L256,M197:T256,TRUE,TRUE),1,6)</f>
        <v/>
      </c>
      <c r="AE256" s="7">
        <f>INDEX(LINEST(L197:L256,M197:T256,TRUE,TRUE),1,5)</f>
        <v/>
      </c>
      <c r="AF256" s="7">
        <f>INDEX(LINEST(L197:L256,M197:T256,TRUE,TRUE),1,4)</f>
        <v/>
      </c>
      <c r="AG256" s="7">
        <f>INDEX(LINEST(L197:L256,M197:T256,TRUE,TRUE),1,3)</f>
        <v/>
      </c>
      <c r="AH256" s="7">
        <f>INDEX(LINEST(L197:L256,M197:T256,TRUE,TRUE),1,2)</f>
        <v/>
      </c>
      <c r="AI256" s="7">
        <f>INDEX(LINEST(L197:L256,M197:T256,TRUE,TRUE),1,1)</f>
        <v/>
      </c>
      <c r="AJ256" s="8">
        <f>INDEX(LINEST(L197:L256,M197:T256,TRUE,TRUE),3,1)</f>
        <v/>
      </c>
    </row>
    <row r="257">
      <c r="A257" s="5" t="n">
        <v>45382</v>
      </c>
      <c r="B257" s="6" t="n">
        <v>2214.35</v>
      </c>
      <c r="C257" s="6" t="n">
        <v>2.32</v>
      </c>
      <c r="D257" s="6" t="n">
        <v>1.88</v>
      </c>
      <c r="E257" s="6" t="n">
        <v>104.550003</v>
      </c>
      <c r="F257" s="6" t="n">
        <v>83.95999999999999</v>
      </c>
      <c r="G257" s="6" t="n">
        <v>13.01</v>
      </c>
      <c r="H257" s="6" t="n">
        <v>86.379997</v>
      </c>
      <c r="I257" s="6" t="n">
        <v>5254.350098</v>
      </c>
      <c r="J257" s="6" t="n">
        <v>89.807922</v>
      </c>
      <c r="L257" s="7">
        <f>LN(B257/B256)</f>
        <v/>
      </c>
      <c r="M257" s="7">
        <f>C257-C256</f>
        <v/>
      </c>
      <c r="N257" s="7">
        <f>D257-D256</f>
        <v/>
      </c>
      <c r="O257" s="7">
        <f>LN(E257/E256)</f>
        <v/>
      </c>
      <c r="P257" s="7">
        <f>LN(F257/F256)</f>
        <v/>
      </c>
      <c r="Q257" s="7">
        <f>G257-G256</f>
        <v/>
      </c>
      <c r="R257" s="7">
        <f>H257-H256</f>
        <v/>
      </c>
      <c r="S257" s="7">
        <f>LN(I257/I256)</f>
        <v/>
      </c>
      <c r="T257" s="7">
        <f>LN(J257/J256)</f>
        <v/>
      </c>
      <c r="U257" s="7">
        <f>$W$12+$W$4*M257+$W$5*N257+$W$6*O257+$W$7*P257+$W$8*Q257+$W$9*R257+$W$10*S257+$W$11*T257</f>
        <v/>
      </c>
      <c r="AA257" s="8">
        <f>INDEX(LINEST(L198:L257,M198:T257,TRUE,TRUE),1,9)*12</f>
        <v/>
      </c>
      <c r="AB257" s="7">
        <f>INDEX(LINEST(L198:L257,M198:T257,TRUE,TRUE),1,8)</f>
        <v/>
      </c>
      <c r="AC257" s="7">
        <f>INDEX(LINEST(L198:L257,M198:T257,TRUE,TRUE),1,7)</f>
        <v/>
      </c>
      <c r="AD257" s="7">
        <f>INDEX(LINEST(L198:L257,M198:T257,TRUE,TRUE),1,6)</f>
        <v/>
      </c>
      <c r="AE257" s="7">
        <f>INDEX(LINEST(L198:L257,M198:T257,TRUE,TRUE),1,5)</f>
        <v/>
      </c>
      <c r="AF257" s="7">
        <f>INDEX(LINEST(L198:L257,M198:T257,TRUE,TRUE),1,4)</f>
        <v/>
      </c>
      <c r="AG257" s="7">
        <f>INDEX(LINEST(L198:L257,M198:T257,TRUE,TRUE),1,3)</f>
        <v/>
      </c>
      <c r="AH257" s="7">
        <f>INDEX(LINEST(L198:L257,M198:T257,TRUE,TRUE),1,2)</f>
        <v/>
      </c>
      <c r="AI257" s="7">
        <f>INDEX(LINEST(L198:L257,M198:T257,TRUE,TRUE),1,1)</f>
        <v/>
      </c>
      <c r="AJ257" s="8">
        <f>INDEX(LINEST(L198:L257,M198:T257,TRUE,TRUE),3,1)</f>
        <v/>
      </c>
    </row>
    <row r="258">
      <c r="A258" s="5" t="n">
        <v>45412</v>
      </c>
      <c r="B258" s="6" t="n">
        <v>2307</v>
      </c>
      <c r="C258" s="6" t="n">
        <v>2.41</v>
      </c>
      <c r="D258" s="6" t="n">
        <v>2.28</v>
      </c>
      <c r="E258" s="6" t="n">
        <v>106.220001</v>
      </c>
      <c r="F258" s="6" t="n">
        <v>83.48999999999999</v>
      </c>
      <c r="G258" s="6" t="n">
        <v>15.65</v>
      </c>
      <c r="H258" s="6" t="n">
        <v>107.459999</v>
      </c>
      <c r="I258" s="6" t="n">
        <v>5035.689941</v>
      </c>
      <c r="J258" s="6" t="n">
        <v>87.582291</v>
      </c>
      <c r="L258" s="7">
        <f>LN(B258/B257)</f>
        <v/>
      </c>
      <c r="M258" s="7">
        <f>C258-C257</f>
        <v/>
      </c>
      <c r="N258" s="7">
        <f>D258-D257</f>
        <v/>
      </c>
      <c r="O258" s="7">
        <f>LN(E258/E257)</f>
        <v/>
      </c>
      <c r="P258" s="7">
        <f>LN(F258/F257)</f>
        <v/>
      </c>
      <c r="Q258" s="7">
        <f>G258-G257</f>
        <v/>
      </c>
      <c r="R258" s="7">
        <f>H258-H257</f>
        <v/>
      </c>
      <c r="S258" s="7">
        <f>LN(I258/I257)</f>
        <v/>
      </c>
      <c r="T258" s="7">
        <f>LN(J258/J257)</f>
        <v/>
      </c>
      <c r="U258" s="7">
        <f>$W$12+$W$4*M258+$W$5*N258+$W$6*O258+$W$7*P258+$W$8*Q258+$W$9*R258+$W$10*S258+$W$11*T258</f>
        <v/>
      </c>
      <c r="AA258" s="8">
        <f>INDEX(LINEST(L199:L258,M199:T258,TRUE,TRUE),1,9)*12</f>
        <v/>
      </c>
      <c r="AB258" s="7">
        <f>INDEX(LINEST(L199:L258,M199:T258,TRUE,TRUE),1,8)</f>
        <v/>
      </c>
      <c r="AC258" s="7">
        <f>INDEX(LINEST(L199:L258,M199:T258,TRUE,TRUE),1,7)</f>
        <v/>
      </c>
      <c r="AD258" s="7">
        <f>INDEX(LINEST(L199:L258,M199:T258,TRUE,TRUE),1,6)</f>
        <v/>
      </c>
      <c r="AE258" s="7">
        <f>INDEX(LINEST(L199:L258,M199:T258,TRUE,TRUE),1,5)</f>
        <v/>
      </c>
      <c r="AF258" s="7">
        <f>INDEX(LINEST(L199:L258,M199:T258,TRUE,TRUE),1,4)</f>
        <v/>
      </c>
      <c r="AG258" s="7">
        <f>INDEX(LINEST(L199:L258,M199:T258,TRUE,TRUE),1,3)</f>
        <v/>
      </c>
      <c r="AH258" s="7">
        <f>INDEX(LINEST(L199:L258,M199:T258,TRUE,TRUE),1,2)</f>
        <v/>
      </c>
      <c r="AI258" s="7">
        <f>INDEX(LINEST(L199:L258,M199:T258,TRUE,TRUE),1,1)</f>
        <v/>
      </c>
      <c r="AJ258" s="8">
        <f>INDEX(LINEST(L199:L258,M199:T258,TRUE,TRUE),3,1)</f>
        <v/>
      </c>
    </row>
    <row r="259">
      <c r="A259" s="5" t="n">
        <v>45443</v>
      </c>
      <c r="B259" s="6" t="n">
        <v>2348.25</v>
      </c>
      <c r="C259" s="6" t="n">
        <v>2.35</v>
      </c>
      <c r="D259" s="6" t="n">
        <v>2.16</v>
      </c>
      <c r="E259" s="6" t="n">
        <v>104.669998</v>
      </c>
      <c r="F259" s="6" t="n">
        <v>77.97</v>
      </c>
      <c r="G259" s="6" t="n">
        <v>12.92</v>
      </c>
      <c r="H259" s="6" t="n">
        <v>91.139999</v>
      </c>
      <c r="I259" s="6" t="n">
        <v>5277.509766</v>
      </c>
      <c r="J259" s="6" t="n">
        <v>89.044518</v>
      </c>
      <c r="L259" s="7">
        <f>LN(B259/B258)</f>
        <v/>
      </c>
      <c r="M259" s="7">
        <f>C259-C258</f>
        <v/>
      </c>
      <c r="N259" s="7">
        <f>D259-D258</f>
        <v/>
      </c>
      <c r="O259" s="7">
        <f>LN(E259/E258)</f>
        <v/>
      </c>
      <c r="P259" s="7">
        <f>LN(F259/F258)</f>
        <v/>
      </c>
      <c r="Q259" s="7">
        <f>G259-G258</f>
        <v/>
      </c>
      <c r="R259" s="7">
        <f>H259-H258</f>
        <v/>
      </c>
      <c r="S259" s="7">
        <f>LN(I259/I258)</f>
        <v/>
      </c>
      <c r="T259" s="7">
        <f>LN(J259/J258)</f>
        <v/>
      </c>
      <c r="U259" s="7">
        <f>$W$12+$W$4*M259+$W$5*N259+$W$6*O259+$W$7*P259+$W$8*Q259+$W$9*R259+$W$10*S259+$W$11*T259</f>
        <v/>
      </c>
      <c r="AA259" s="8">
        <f>INDEX(LINEST(L200:L259,M200:T259,TRUE,TRUE),1,9)*12</f>
        <v/>
      </c>
      <c r="AB259" s="7">
        <f>INDEX(LINEST(L200:L259,M200:T259,TRUE,TRUE),1,8)</f>
        <v/>
      </c>
      <c r="AC259" s="7">
        <f>INDEX(LINEST(L200:L259,M200:T259,TRUE,TRUE),1,7)</f>
        <v/>
      </c>
      <c r="AD259" s="7">
        <f>INDEX(LINEST(L200:L259,M200:T259,TRUE,TRUE),1,6)</f>
        <v/>
      </c>
      <c r="AE259" s="7">
        <f>INDEX(LINEST(L200:L259,M200:T259,TRUE,TRUE),1,5)</f>
        <v/>
      </c>
      <c r="AF259" s="7">
        <f>INDEX(LINEST(L200:L259,M200:T259,TRUE,TRUE),1,4)</f>
        <v/>
      </c>
      <c r="AG259" s="7">
        <f>INDEX(LINEST(L200:L259,M200:T259,TRUE,TRUE),1,3)</f>
        <v/>
      </c>
      <c r="AH259" s="7">
        <f>INDEX(LINEST(L200:L259,M200:T259,TRUE,TRUE),1,2)</f>
        <v/>
      </c>
      <c r="AI259" s="7">
        <f>INDEX(LINEST(L200:L259,M200:T259,TRUE,TRUE),1,1)</f>
        <v/>
      </c>
      <c r="AJ259" s="8">
        <f>INDEX(LINEST(L200:L259,M200:T259,TRUE,TRUE),3,1)</f>
        <v/>
      </c>
    </row>
    <row r="260">
      <c r="A260" s="5" t="n">
        <v>45473</v>
      </c>
      <c r="B260" s="6" t="n">
        <v>2330.9</v>
      </c>
      <c r="C260" s="6" t="n">
        <v>2.28</v>
      </c>
      <c r="D260" s="6" t="n">
        <v>2.08</v>
      </c>
      <c r="E260" s="6" t="n">
        <v>105.870003</v>
      </c>
      <c r="F260" s="6" t="n">
        <v>82.83</v>
      </c>
      <c r="G260" s="6" t="n">
        <v>12.44</v>
      </c>
      <c r="H260" s="6" t="n">
        <v>98.589996</v>
      </c>
      <c r="I260" s="6" t="n">
        <v>5460.47998</v>
      </c>
      <c r="J260" s="6" t="n">
        <v>89.83300800000001</v>
      </c>
      <c r="L260" s="7">
        <f>LN(B260/B259)</f>
        <v/>
      </c>
      <c r="M260" s="7">
        <f>C260-C259</f>
        <v/>
      </c>
      <c r="N260" s="7">
        <f>D260-D259</f>
        <v/>
      </c>
      <c r="O260" s="7">
        <f>LN(E260/E259)</f>
        <v/>
      </c>
      <c r="P260" s="7">
        <f>LN(F260/F259)</f>
        <v/>
      </c>
      <c r="Q260" s="7">
        <f>G260-G259</f>
        <v/>
      </c>
      <c r="R260" s="7">
        <f>H260-H259</f>
        <v/>
      </c>
      <c r="S260" s="7">
        <f>LN(I260/I259)</f>
        <v/>
      </c>
      <c r="T260" s="7">
        <f>LN(J260/J259)</f>
        <v/>
      </c>
      <c r="U260" s="7">
        <f>$W$12+$W$4*M260+$W$5*N260+$W$6*O260+$W$7*P260+$W$8*Q260+$W$9*R260+$W$10*S260+$W$11*T260</f>
        <v/>
      </c>
      <c r="AA260" s="8">
        <f>INDEX(LINEST(L201:L260,M201:T260,TRUE,TRUE),1,9)*12</f>
        <v/>
      </c>
      <c r="AB260" s="7">
        <f>INDEX(LINEST(L201:L260,M201:T260,TRUE,TRUE),1,8)</f>
        <v/>
      </c>
      <c r="AC260" s="7">
        <f>INDEX(LINEST(L201:L260,M201:T260,TRUE,TRUE),1,7)</f>
        <v/>
      </c>
      <c r="AD260" s="7">
        <f>INDEX(LINEST(L201:L260,M201:T260,TRUE,TRUE),1,6)</f>
        <v/>
      </c>
      <c r="AE260" s="7">
        <f>INDEX(LINEST(L201:L260,M201:T260,TRUE,TRUE),1,5)</f>
        <v/>
      </c>
      <c r="AF260" s="7">
        <f>INDEX(LINEST(L201:L260,M201:T260,TRUE,TRUE),1,4)</f>
        <v/>
      </c>
      <c r="AG260" s="7">
        <f>INDEX(LINEST(L201:L260,M201:T260,TRUE,TRUE),1,3)</f>
        <v/>
      </c>
      <c r="AH260" s="7">
        <f>INDEX(LINEST(L201:L260,M201:T260,TRUE,TRUE),1,2)</f>
        <v/>
      </c>
      <c r="AI260" s="7">
        <f>INDEX(LINEST(L201:L260,M201:T260,TRUE,TRUE),1,1)</f>
        <v/>
      </c>
      <c r="AJ260" s="8">
        <f>INDEX(LINEST(L201:L260,M201:T260,TRUE,TRUE),3,1)</f>
        <v/>
      </c>
    </row>
    <row r="261">
      <c r="A261" s="5" t="n">
        <v>45504</v>
      </c>
      <c r="B261" s="6" t="n">
        <v>2426.3</v>
      </c>
      <c r="C261" s="6" t="n">
        <v>2.24</v>
      </c>
      <c r="D261" s="6" t="n">
        <v>1.85</v>
      </c>
      <c r="E261" s="6" t="n">
        <v>104.099998</v>
      </c>
      <c r="F261" s="6" t="n">
        <v>79.36</v>
      </c>
      <c r="G261" s="6" t="n">
        <v>16.36</v>
      </c>
      <c r="H261" s="6" t="n">
        <v>99.410004</v>
      </c>
      <c r="I261" s="6" t="n">
        <v>5522.299805</v>
      </c>
      <c r="J261" s="6" t="n">
        <v>92.006218</v>
      </c>
      <c r="L261" s="7">
        <f>LN(B261/B260)</f>
        <v/>
      </c>
      <c r="M261" s="7">
        <f>C261-C260</f>
        <v/>
      </c>
      <c r="N261" s="7">
        <f>D261-D260</f>
        <v/>
      </c>
      <c r="O261" s="7">
        <f>LN(E261/E260)</f>
        <v/>
      </c>
      <c r="P261" s="7">
        <f>LN(F261/F260)</f>
        <v/>
      </c>
      <c r="Q261" s="7">
        <f>G261-G260</f>
        <v/>
      </c>
      <c r="R261" s="7">
        <f>H261-H260</f>
        <v/>
      </c>
      <c r="S261" s="7">
        <f>LN(I261/I260)</f>
        <v/>
      </c>
      <c r="T261" s="7">
        <f>LN(J261/J260)</f>
        <v/>
      </c>
      <c r="U261" s="7">
        <f>$W$12+$W$4*M261+$W$5*N261+$W$6*O261+$W$7*P261+$W$8*Q261+$W$9*R261+$W$10*S261+$W$11*T261</f>
        <v/>
      </c>
      <c r="AA261" s="8">
        <f>INDEX(LINEST(L202:L261,M202:T261,TRUE,TRUE),1,9)*12</f>
        <v/>
      </c>
      <c r="AB261" s="7">
        <f>INDEX(LINEST(L202:L261,M202:T261,TRUE,TRUE),1,8)</f>
        <v/>
      </c>
      <c r="AC261" s="7">
        <f>INDEX(LINEST(L202:L261,M202:T261,TRUE,TRUE),1,7)</f>
        <v/>
      </c>
      <c r="AD261" s="7">
        <f>INDEX(LINEST(L202:L261,M202:T261,TRUE,TRUE),1,6)</f>
        <v/>
      </c>
      <c r="AE261" s="7">
        <f>INDEX(LINEST(L202:L261,M202:T261,TRUE,TRUE),1,5)</f>
        <v/>
      </c>
      <c r="AF261" s="7">
        <f>INDEX(LINEST(L202:L261,M202:T261,TRUE,TRUE),1,4)</f>
        <v/>
      </c>
      <c r="AG261" s="7">
        <f>INDEX(LINEST(L202:L261,M202:T261,TRUE,TRUE),1,3)</f>
        <v/>
      </c>
      <c r="AH261" s="7">
        <f>INDEX(LINEST(L202:L261,M202:T261,TRUE,TRUE),1,2)</f>
        <v/>
      </c>
      <c r="AI261" s="7">
        <f>INDEX(LINEST(L202:L261,M202:T261,TRUE,TRUE),1,1)</f>
        <v/>
      </c>
      <c r="AJ261" s="8">
        <f>INDEX(LINEST(L202:L261,M202:T261,TRUE,TRUE),3,1)</f>
        <v/>
      </c>
    </row>
    <row r="262">
      <c r="A262" s="5" t="n">
        <v>45535</v>
      </c>
      <c r="B262" s="6" t="n">
        <v>2513.35</v>
      </c>
      <c r="C262" s="6" t="n">
        <v>2.15</v>
      </c>
      <c r="D262" s="6" t="n">
        <v>1.76</v>
      </c>
      <c r="E262" s="6" t="n">
        <v>101.699997</v>
      </c>
      <c r="F262" s="6" t="n">
        <v>74.52</v>
      </c>
      <c r="G262" s="6" t="n">
        <v>15</v>
      </c>
      <c r="H262" s="6" t="n">
        <v>107.769997</v>
      </c>
      <c r="I262" s="6" t="n">
        <v>5648.399902</v>
      </c>
      <c r="J262" s="6" t="n">
        <v>93.350838</v>
      </c>
      <c r="L262" s="7">
        <f>LN(B262/B261)</f>
        <v/>
      </c>
      <c r="M262" s="7">
        <f>C262-C261</f>
        <v/>
      </c>
      <c r="N262" s="7">
        <f>D262-D261</f>
        <v/>
      </c>
      <c r="O262" s="7">
        <f>LN(E262/E261)</f>
        <v/>
      </c>
      <c r="P262" s="7">
        <f>LN(F262/F261)</f>
        <v/>
      </c>
      <c r="Q262" s="7">
        <f>G262-G261</f>
        <v/>
      </c>
      <c r="R262" s="7">
        <f>H262-H261</f>
        <v/>
      </c>
      <c r="S262" s="7">
        <f>LN(I262/I261)</f>
        <v/>
      </c>
      <c r="T262" s="7">
        <f>LN(J262/J261)</f>
        <v/>
      </c>
      <c r="U262" s="7">
        <f>$W$12+$W$4*M262+$W$5*N262+$W$6*O262+$W$7*P262+$W$8*Q262+$W$9*R262+$W$10*S262+$W$11*T262</f>
        <v/>
      </c>
      <c r="AA262" s="8">
        <f>INDEX(LINEST(L203:L262,M203:T262,TRUE,TRUE),1,9)*12</f>
        <v/>
      </c>
      <c r="AB262" s="7">
        <f>INDEX(LINEST(L203:L262,M203:T262,TRUE,TRUE),1,8)</f>
        <v/>
      </c>
      <c r="AC262" s="7">
        <f>INDEX(LINEST(L203:L262,M203:T262,TRUE,TRUE),1,7)</f>
        <v/>
      </c>
      <c r="AD262" s="7">
        <f>INDEX(LINEST(L203:L262,M203:T262,TRUE,TRUE),1,6)</f>
        <v/>
      </c>
      <c r="AE262" s="7">
        <f>INDEX(LINEST(L203:L262,M203:T262,TRUE,TRUE),1,5)</f>
        <v/>
      </c>
      <c r="AF262" s="7">
        <f>INDEX(LINEST(L203:L262,M203:T262,TRUE,TRUE),1,4)</f>
        <v/>
      </c>
      <c r="AG262" s="7">
        <f>INDEX(LINEST(L203:L262,M203:T262,TRUE,TRUE),1,3)</f>
        <v/>
      </c>
      <c r="AH262" s="7">
        <f>INDEX(LINEST(L203:L262,M203:T262,TRUE,TRUE),1,2)</f>
        <v/>
      </c>
      <c r="AI262" s="7">
        <f>INDEX(LINEST(L203:L262,M203:T262,TRUE,TRUE),1,1)</f>
        <v/>
      </c>
      <c r="AJ262" s="8">
        <f>INDEX(LINEST(L203:L262,M203:T262,TRUE,TRUE),3,1)</f>
        <v/>
      </c>
    </row>
    <row r="263">
      <c r="A263" s="5" t="n">
        <v>45565</v>
      </c>
      <c r="B263" s="6" t="n">
        <v>2629.95</v>
      </c>
      <c r="C263" s="6" t="n">
        <v>2.18</v>
      </c>
      <c r="D263" s="6" t="n">
        <v>1.63</v>
      </c>
      <c r="E263" s="6" t="n">
        <v>100.779999</v>
      </c>
      <c r="F263" s="6" t="n">
        <v>68.75</v>
      </c>
      <c r="G263" s="6" t="n">
        <v>16.73</v>
      </c>
      <c r="H263" s="6" t="n">
        <v>94.610001</v>
      </c>
      <c r="I263" s="6" t="n">
        <v>5762.47998</v>
      </c>
      <c r="J263" s="6" t="n">
        <v>94.595039</v>
      </c>
      <c r="L263" s="7">
        <f>LN(B263/B262)</f>
        <v/>
      </c>
      <c r="M263" s="7">
        <f>C263-C262</f>
        <v/>
      </c>
      <c r="N263" s="7">
        <f>D263-D262</f>
        <v/>
      </c>
      <c r="O263" s="7">
        <f>LN(E263/E262)</f>
        <v/>
      </c>
      <c r="P263" s="7">
        <f>LN(F263/F262)</f>
        <v/>
      </c>
      <c r="Q263" s="7">
        <f>G263-G262</f>
        <v/>
      </c>
      <c r="R263" s="7">
        <f>H263-H262</f>
        <v/>
      </c>
      <c r="S263" s="7">
        <f>LN(I263/I262)</f>
        <v/>
      </c>
      <c r="T263" s="7">
        <f>LN(J263/J262)</f>
        <v/>
      </c>
      <c r="U263" s="7">
        <f>$W$12+$W$4*M263+$W$5*N263+$W$6*O263+$W$7*P263+$W$8*Q263+$W$9*R263+$W$10*S263+$W$11*T263</f>
        <v/>
      </c>
      <c r="AA263" s="8">
        <f>INDEX(LINEST(L204:L263,M204:T263,TRUE,TRUE),1,9)*12</f>
        <v/>
      </c>
      <c r="AB263" s="7">
        <f>INDEX(LINEST(L204:L263,M204:T263,TRUE,TRUE),1,8)</f>
        <v/>
      </c>
      <c r="AC263" s="7">
        <f>INDEX(LINEST(L204:L263,M204:T263,TRUE,TRUE),1,7)</f>
        <v/>
      </c>
      <c r="AD263" s="7">
        <f>INDEX(LINEST(L204:L263,M204:T263,TRUE,TRUE),1,6)</f>
        <v/>
      </c>
      <c r="AE263" s="7">
        <f>INDEX(LINEST(L204:L263,M204:T263,TRUE,TRUE),1,5)</f>
        <v/>
      </c>
      <c r="AF263" s="7">
        <f>INDEX(LINEST(L204:L263,M204:T263,TRUE,TRUE),1,4)</f>
        <v/>
      </c>
      <c r="AG263" s="7">
        <f>INDEX(LINEST(L204:L263,M204:T263,TRUE,TRUE),1,3)</f>
        <v/>
      </c>
      <c r="AH263" s="7">
        <f>INDEX(LINEST(L204:L263,M204:T263,TRUE,TRUE),1,2)</f>
        <v/>
      </c>
      <c r="AI263" s="7">
        <f>INDEX(LINEST(L204:L263,M204:T263,TRUE,TRUE),1,1)</f>
        <v/>
      </c>
      <c r="AJ263" s="8">
        <f>INDEX(LINEST(L204:L263,M204:T263,TRUE,TRUE),3,1)</f>
        <v/>
      </c>
    </row>
    <row r="264">
      <c r="A264" s="5" t="n">
        <v>45596</v>
      </c>
      <c r="B264" s="6" t="n">
        <v>2734.15</v>
      </c>
      <c r="C264" s="6" t="n">
        <v>2.33</v>
      </c>
      <c r="D264" s="6" t="n">
        <v>1.95</v>
      </c>
      <c r="E264" s="6" t="n">
        <v>103.980003</v>
      </c>
      <c r="F264" s="6" t="n">
        <v>69.58</v>
      </c>
      <c r="G264" s="6" t="n">
        <v>23.16</v>
      </c>
      <c r="H264" s="6" t="n">
        <v>135.179993</v>
      </c>
      <c r="I264" s="6" t="n">
        <v>5705.450195</v>
      </c>
      <c r="J264" s="6" t="n">
        <v>92.212433</v>
      </c>
      <c r="L264" s="7">
        <f>LN(B264/B263)</f>
        <v/>
      </c>
      <c r="M264" s="7">
        <f>C264-C263</f>
        <v/>
      </c>
      <c r="N264" s="7">
        <f>D264-D263</f>
        <v/>
      </c>
      <c r="O264" s="7">
        <f>LN(E264/E263)</f>
        <v/>
      </c>
      <c r="P264" s="7">
        <f>LN(F264/F263)</f>
        <v/>
      </c>
      <c r="Q264" s="7">
        <f>G264-G263</f>
        <v/>
      </c>
      <c r="R264" s="7">
        <f>H264-H263</f>
        <v/>
      </c>
      <c r="S264" s="7">
        <f>LN(I264/I263)</f>
        <v/>
      </c>
      <c r="T264" s="7">
        <f>LN(J264/J263)</f>
        <v/>
      </c>
      <c r="U264" s="7">
        <f>$W$12+$W$4*M264+$W$5*N264+$W$6*O264+$W$7*P264+$W$8*Q264+$W$9*R264+$W$10*S264+$W$11*T264</f>
        <v/>
      </c>
      <c r="AA264" s="8">
        <f>INDEX(LINEST(L205:L264,M205:T264,TRUE,TRUE),1,9)*12</f>
        <v/>
      </c>
      <c r="AB264" s="7">
        <f>INDEX(LINEST(L205:L264,M205:T264,TRUE,TRUE),1,8)</f>
        <v/>
      </c>
      <c r="AC264" s="7">
        <f>INDEX(LINEST(L205:L264,M205:T264,TRUE,TRUE),1,7)</f>
        <v/>
      </c>
      <c r="AD264" s="7">
        <f>INDEX(LINEST(L205:L264,M205:T264,TRUE,TRUE),1,6)</f>
        <v/>
      </c>
      <c r="AE264" s="7">
        <f>INDEX(LINEST(L205:L264,M205:T264,TRUE,TRUE),1,5)</f>
        <v/>
      </c>
      <c r="AF264" s="7">
        <f>INDEX(LINEST(L205:L264,M205:T264,TRUE,TRUE),1,4)</f>
        <v/>
      </c>
      <c r="AG264" s="7">
        <f>INDEX(LINEST(L205:L264,M205:T264,TRUE,TRUE),1,3)</f>
        <v/>
      </c>
      <c r="AH264" s="7">
        <f>INDEX(LINEST(L205:L264,M205:T264,TRUE,TRUE),1,2)</f>
        <v/>
      </c>
      <c r="AI264" s="7">
        <f>INDEX(LINEST(L205:L264,M205:T264,TRUE,TRUE),1,1)</f>
        <v/>
      </c>
      <c r="AJ264" s="8">
        <f>INDEX(LINEST(L205:L264,M205:T264,TRUE,TRUE),3,1)</f>
        <v/>
      </c>
    </row>
    <row r="265">
      <c r="A265" s="5" t="n">
        <v>45626</v>
      </c>
      <c r="B265" s="6" t="n">
        <v>2651.05</v>
      </c>
      <c r="C265" s="6" t="n">
        <v>2.26</v>
      </c>
      <c r="D265" s="6" t="n">
        <v>1.92</v>
      </c>
      <c r="E265" s="6" t="n">
        <v>105.739998</v>
      </c>
      <c r="F265" s="6" t="n">
        <v>68.26000000000001</v>
      </c>
      <c r="G265" s="6" t="n">
        <v>13.51</v>
      </c>
      <c r="H265" s="6" t="n">
        <v>95.220001</v>
      </c>
      <c r="I265" s="6" t="n">
        <v>6032.379883</v>
      </c>
      <c r="J265" s="6" t="n">
        <v>93.23690000000001</v>
      </c>
      <c r="L265" s="7">
        <f>LN(B265/B264)</f>
        <v/>
      </c>
      <c r="M265" s="7">
        <f>C265-C264</f>
        <v/>
      </c>
      <c r="N265" s="7">
        <f>D265-D264</f>
        <v/>
      </c>
      <c r="O265" s="7">
        <f>LN(E265/E264)</f>
        <v/>
      </c>
      <c r="P265" s="7">
        <f>LN(F265/F264)</f>
        <v/>
      </c>
      <c r="Q265" s="7">
        <f>G265-G264</f>
        <v/>
      </c>
      <c r="R265" s="7">
        <f>H265-H264</f>
        <v/>
      </c>
      <c r="S265" s="7">
        <f>LN(I265/I264)</f>
        <v/>
      </c>
      <c r="T265" s="7">
        <f>LN(J265/J264)</f>
        <v/>
      </c>
      <c r="U265" s="7">
        <f>$W$12+$W$4*M265+$W$5*N265+$W$6*O265+$W$7*P265+$W$8*Q265+$W$9*R265+$W$10*S265+$W$11*T265</f>
        <v/>
      </c>
      <c r="AA265" s="8">
        <f>INDEX(LINEST(L206:L265,M206:T265,TRUE,TRUE),1,9)*12</f>
        <v/>
      </c>
      <c r="AB265" s="7">
        <f>INDEX(LINEST(L206:L265,M206:T265,TRUE,TRUE),1,8)</f>
        <v/>
      </c>
      <c r="AC265" s="7">
        <f>INDEX(LINEST(L206:L265,M206:T265,TRUE,TRUE),1,7)</f>
        <v/>
      </c>
      <c r="AD265" s="7">
        <f>INDEX(LINEST(L206:L265,M206:T265,TRUE,TRUE),1,6)</f>
        <v/>
      </c>
      <c r="AE265" s="7">
        <f>INDEX(LINEST(L206:L265,M206:T265,TRUE,TRUE),1,5)</f>
        <v/>
      </c>
      <c r="AF265" s="7">
        <f>INDEX(LINEST(L206:L265,M206:T265,TRUE,TRUE),1,4)</f>
        <v/>
      </c>
      <c r="AG265" s="7">
        <f>INDEX(LINEST(L206:L265,M206:T265,TRUE,TRUE),1,3)</f>
        <v/>
      </c>
      <c r="AH265" s="7">
        <f>INDEX(LINEST(L206:L265,M206:T265,TRUE,TRUE),1,2)</f>
        <v/>
      </c>
      <c r="AI265" s="7">
        <f>INDEX(LINEST(L206:L265,M206:T265,TRUE,TRUE),1,1)</f>
        <v/>
      </c>
      <c r="AJ265" s="8">
        <f>INDEX(LINEST(L206:L265,M206:T265,TRUE,TRUE),3,1)</f>
        <v/>
      </c>
    </row>
    <row r="266">
      <c r="A266" s="5" t="n">
        <v>45657</v>
      </c>
      <c r="B266" s="6" t="n">
        <v>2609.1</v>
      </c>
      <c r="C266" s="6" t="n">
        <v>2.34</v>
      </c>
      <c r="D266" s="6" t="n">
        <v>2.24</v>
      </c>
      <c r="E266" s="6" t="n">
        <v>108.489998</v>
      </c>
      <c r="F266" s="6" t="n">
        <v>72.44</v>
      </c>
      <c r="G266" s="6" t="n">
        <v>17.35</v>
      </c>
      <c r="H266" s="6" t="n">
        <v>98.800003</v>
      </c>
      <c r="I266" s="6" t="n">
        <v>5881.629883</v>
      </c>
      <c r="J266" s="6" t="n">
        <v>91.658058</v>
      </c>
      <c r="L266" s="7">
        <f>LN(B266/B265)</f>
        <v/>
      </c>
      <c r="M266" s="7">
        <f>C266-C265</f>
        <v/>
      </c>
      <c r="N266" s="7">
        <f>D266-D265</f>
        <v/>
      </c>
      <c r="O266" s="7">
        <f>LN(E266/E265)</f>
        <v/>
      </c>
      <c r="P266" s="7">
        <f>LN(F266/F265)</f>
        <v/>
      </c>
      <c r="Q266" s="7">
        <f>G266-G265</f>
        <v/>
      </c>
      <c r="R266" s="7">
        <f>H266-H265</f>
        <v/>
      </c>
      <c r="S266" s="7">
        <f>LN(I266/I265)</f>
        <v/>
      </c>
      <c r="T266" s="7">
        <f>LN(J266/J265)</f>
        <v/>
      </c>
      <c r="U266" s="7">
        <f>$W$12+$W$4*M266+$W$5*N266+$W$6*O266+$W$7*P266+$W$8*Q266+$W$9*R266+$W$10*S266+$W$11*T266</f>
        <v/>
      </c>
      <c r="AA266" s="8">
        <f>INDEX(LINEST(L207:L266,M207:T266,TRUE,TRUE),1,9)*12</f>
        <v/>
      </c>
      <c r="AB266" s="7">
        <f>INDEX(LINEST(L207:L266,M207:T266,TRUE,TRUE),1,8)</f>
        <v/>
      </c>
      <c r="AC266" s="7">
        <f>INDEX(LINEST(L207:L266,M207:T266,TRUE,TRUE),1,7)</f>
        <v/>
      </c>
      <c r="AD266" s="7">
        <f>INDEX(LINEST(L207:L266,M207:T266,TRUE,TRUE),1,6)</f>
        <v/>
      </c>
      <c r="AE266" s="7">
        <f>INDEX(LINEST(L207:L266,M207:T266,TRUE,TRUE),1,5)</f>
        <v/>
      </c>
      <c r="AF266" s="7">
        <f>INDEX(LINEST(L207:L266,M207:T266,TRUE,TRUE),1,4)</f>
        <v/>
      </c>
      <c r="AG266" s="7">
        <f>INDEX(LINEST(L207:L266,M207:T266,TRUE,TRUE),1,3)</f>
        <v/>
      </c>
      <c r="AH266" s="7">
        <f>INDEX(LINEST(L207:L266,M207:T266,TRUE,TRUE),1,2)</f>
        <v/>
      </c>
      <c r="AI266" s="7">
        <f>INDEX(LINEST(L207:L266,M207:T266,TRUE,TRUE),1,1)</f>
        <v/>
      </c>
      <c r="AJ266" s="8">
        <f>INDEX(LINEST(L207:L266,M207:T266,TRUE,TRUE),3,1)</f>
        <v/>
      </c>
    </row>
    <row r="267">
      <c r="A267" s="5" t="n">
        <v>45688</v>
      </c>
      <c r="B267" s="6" t="n">
        <v>2812.05</v>
      </c>
      <c r="C267" s="6" t="n">
        <v>2.42</v>
      </c>
      <c r="D267" s="6" t="n">
        <v>2.16</v>
      </c>
      <c r="E267" s="6" t="n">
        <v>108.370003</v>
      </c>
      <c r="F267" s="6" t="n">
        <v>72.84</v>
      </c>
      <c r="G267" s="6" t="n">
        <v>16.43</v>
      </c>
      <c r="H267" s="6" t="n">
        <v>91.760002</v>
      </c>
      <c r="I267" s="6" t="n">
        <v>6040.529785</v>
      </c>
      <c r="J267" s="6" t="n">
        <v>92.13099699999999</v>
      </c>
      <c r="L267" s="7">
        <f>LN(B267/B266)</f>
        <v/>
      </c>
      <c r="M267" s="7">
        <f>C267-C266</f>
        <v/>
      </c>
      <c r="N267" s="7">
        <f>D267-D266</f>
        <v/>
      </c>
      <c r="O267" s="7">
        <f>LN(E267/E266)</f>
        <v/>
      </c>
      <c r="P267" s="7">
        <f>LN(F267/F266)</f>
        <v/>
      </c>
      <c r="Q267" s="7">
        <f>G267-G266</f>
        <v/>
      </c>
      <c r="R267" s="7">
        <f>H267-H266</f>
        <v/>
      </c>
      <c r="S267" s="7">
        <f>LN(I267/I266)</f>
        <v/>
      </c>
      <c r="T267" s="7">
        <f>LN(J267/J266)</f>
        <v/>
      </c>
      <c r="U267" s="7">
        <f>$W$12+$W$4*M267+$W$5*N267+$W$6*O267+$W$7*P267+$W$8*Q267+$W$9*R267+$W$10*S267+$W$11*T267</f>
        <v/>
      </c>
      <c r="AA267" s="8">
        <f>INDEX(LINEST(L208:L267,M208:T267,TRUE,TRUE),1,9)*12</f>
        <v/>
      </c>
      <c r="AB267" s="7">
        <f>INDEX(LINEST(L208:L267,M208:T267,TRUE,TRUE),1,8)</f>
        <v/>
      </c>
      <c r="AC267" s="7">
        <f>INDEX(LINEST(L208:L267,M208:T267,TRUE,TRUE),1,7)</f>
        <v/>
      </c>
      <c r="AD267" s="7">
        <f>INDEX(LINEST(L208:L267,M208:T267,TRUE,TRUE),1,6)</f>
        <v/>
      </c>
      <c r="AE267" s="7">
        <f>INDEX(LINEST(L208:L267,M208:T267,TRUE,TRUE),1,5)</f>
        <v/>
      </c>
      <c r="AF267" s="7">
        <f>INDEX(LINEST(L208:L267,M208:T267,TRUE,TRUE),1,4)</f>
        <v/>
      </c>
      <c r="AG267" s="7">
        <f>INDEX(LINEST(L208:L267,M208:T267,TRUE,TRUE),1,3)</f>
        <v/>
      </c>
      <c r="AH267" s="7">
        <f>INDEX(LINEST(L208:L267,M208:T267,TRUE,TRUE),1,2)</f>
        <v/>
      </c>
      <c r="AI267" s="7">
        <f>INDEX(LINEST(L208:L267,M208:T267,TRUE,TRUE),1,1)</f>
        <v/>
      </c>
      <c r="AJ267" s="8">
        <f>INDEX(LINEST(L208:L267,M208:T267,TRUE,TRUE),3,1)</f>
        <v/>
      </c>
    </row>
    <row r="268">
      <c r="A268" s="5" t="n">
        <v>45716</v>
      </c>
      <c r="B268" s="6" t="n">
        <v>2834.55</v>
      </c>
      <c r="C268" s="6" t="n">
        <v>2.38</v>
      </c>
      <c r="D268" s="6" t="n">
        <v>1.86</v>
      </c>
      <c r="E268" s="6" t="n">
        <v>107.610001</v>
      </c>
      <c r="F268" s="6" t="n">
        <v>69.97</v>
      </c>
      <c r="G268" s="6" t="n">
        <v>19.63</v>
      </c>
      <c r="H268" s="6" t="n">
        <v>104.459999</v>
      </c>
      <c r="I268" s="6" t="n">
        <v>5954.5</v>
      </c>
      <c r="J268" s="6" t="n">
        <v>94.192307</v>
      </c>
      <c r="L268" s="7">
        <f>LN(B268/B267)</f>
        <v/>
      </c>
      <c r="M268" s="7">
        <f>C268-C267</f>
        <v/>
      </c>
      <c r="N268" s="7">
        <f>D268-D267</f>
        <v/>
      </c>
      <c r="O268" s="7">
        <f>LN(E268/E267)</f>
        <v/>
      </c>
      <c r="P268" s="7">
        <f>LN(F268/F267)</f>
        <v/>
      </c>
      <c r="Q268" s="7">
        <f>G268-G267</f>
        <v/>
      </c>
      <c r="R268" s="7">
        <f>H268-H267</f>
        <v/>
      </c>
      <c r="S268" s="7">
        <f>LN(I268/I267)</f>
        <v/>
      </c>
      <c r="T268" s="7">
        <f>LN(J268/J267)</f>
        <v/>
      </c>
      <c r="U268" s="7">
        <f>$W$12+$W$4*M268+$W$5*N268+$W$6*O268+$W$7*P268+$W$8*Q268+$W$9*R268+$W$10*S268+$W$11*T268</f>
        <v/>
      </c>
      <c r="AA268" s="8">
        <f>INDEX(LINEST(L209:L268,M209:T268,TRUE,TRUE),1,9)*12</f>
        <v/>
      </c>
      <c r="AB268" s="7">
        <f>INDEX(LINEST(L209:L268,M209:T268,TRUE,TRUE),1,8)</f>
        <v/>
      </c>
      <c r="AC268" s="7">
        <f>INDEX(LINEST(L209:L268,M209:T268,TRUE,TRUE),1,7)</f>
        <v/>
      </c>
      <c r="AD268" s="7">
        <f>INDEX(LINEST(L209:L268,M209:T268,TRUE,TRUE),1,6)</f>
        <v/>
      </c>
      <c r="AE268" s="7">
        <f>INDEX(LINEST(L209:L268,M209:T268,TRUE,TRUE),1,5)</f>
        <v/>
      </c>
      <c r="AF268" s="7">
        <f>INDEX(LINEST(L209:L268,M209:T268,TRUE,TRUE),1,4)</f>
        <v/>
      </c>
      <c r="AG268" s="7">
        <f>INDEX(LINEST(L209:L268,M209:T268,TRUE,TRUE),1,3)</f>
        <v/>
      </c>
      <c r="AH268" s="7">
        <f>INDEX(LINEST(L209:L268,M209:T268,TRUE,TRUE),1,2)</f>
        <v/>
      </c>
      <c r="AI268" s="7">
        <f>INDEX(LINEST(L209:L268,M209:T268,TRUE,TRUE),1,1)</f>
        <v/>
      </c>
      <c r="AJ268" s="8">
        <f>INDEX(LINEST(L209:L268,M209:T268,TRUE,TRUE),3,1)</f>
        <v/>
      </c>
    </row>
    <row r="269">
      <c r="A269" s="5" t="n">
        <v>45747</v>
      </c>
      <c r="B269" s="6" t="n">
        <v>3115.1</v>
      </c>
      <c r="C269" s="6" t="n">
        <v>2.38</v>
      </c>
      <c r="D269" s="6" t="n">
        <v>1.85</v>
      </c>
      <c r="E269" s="6" t="n">
        <v>104.209999</v>
      </c>
      <c r="F269" s="6" t="n">
        <v>71.87</v>
      </c>
      <c r="G269" s="6" t="n">
        <v>22.28</v>
      </c>
      <c r="H269" s="6" t="n">
        <v>101.349998</v>
      </c>
      <c r="I269" s="6" t="n">
        <v>5611.850098</v>
      </c>
      <c r="J269" s="6" t="n">
        <v>94.16754899999999</v>
      </c>
      <c r="L269" s="7">
        <f>LN(B269/B268)</f>
        <v/>
      </c>
      <c r="M269" s="7">
        <f>C269-C268</f>
        <v/>
      </c>
      <c r="N269" s="7">
        <f>D269-D268</f>
        <v/>
      </c>
      <c r="O269" s="7">
        <f>LN(E269/E268)</f>
        <v/>
      </c>
      <c r="P269" s="7">
        <f>LN(F269/F268)</f>
        <v/>
      </c>
      <c r="Q269" s="7">
        <f>G269-G268</f>
        <v/>
      </c>
      <c r="R269" s="7">
        <f>H269-H268</f>
        <v/>
      </c>
      <c r="S269" s="7">
        <f>LN(I269/I268)</f>
        <v/>
      </c>
      <c r="T269" s="7">
        <f>LN(J269/J268)</f>
        <v/>
      </c>
      <c r="U269" s="7">
        <f>$W$12+$W$4*M269+$W$5*N269+$W$6*O269+$W$7*P269+$W$8*Q269+$W$9*R269+$W$10*S269+$W$11*T269</f>
        <v/>
      </c>
      <c r="AA269" s="8">
        <f>INDEX(LINEST(L210:L269,M210:T269,TRUE,TRUE),1,9)*12</f>
        <v/>
      </c>
      <c r="AB269" s="7">
        <f>INDEX(LINEST(L210:L269,M210:T269,TRUE,TRUE),1,8)</f>
        <v/>
      </c>
      <c r="AC269" s="7">
        <f>INDEX(LINEST(L210:L269,M210:T269,TRUE,TRUE),1,7)</f>
        <v/>
      </c>
      <c r="AD269" s="7">
        <f>INDEX(LINEST(L210:L269,M210:T269,TRUE,TRUE),1,6)</f>
        <v/>
      </c>
      <c r="AE269" s="7">
        <f>INDEX(LINEST(L210:L269,M210:T269,TRUE,TRUE),1,5)</f>
        <v/>
      </c>
      <c r="AF269" s="7">
        <f>INDEX(LINEST(L210:L269,M210:T269,TRUE,TRUE),1,4)</f>
        <v/>
      </c>
      <c r="AG269" s="7">
        <f>INDEX(LINEST(L210:L269,M210:T269,TRUE,TRUE),1,3)</f>
        <v/>
      </c>
      <c r="AH269" s="7">
        <f>INDEX(LINEST(L210:L269,M210:T269,TRUE,TRUE),1,2)</f>
        <v/>
      </c>
      <c r="AI269" s="7">
        <f>INDEX(LINEST(L210:L269,M210:T269,TRUE,TRUE),1,1)</f>
        <v/>
      </c>
      <c r="AJ269" s="8">
        <f>INDEX(LINEST(L210:L269,M210:T269,TRUE,TRUE),3,1)</f>
        <v/>
      </c>
    </row>
    <row r="270">
      <c r="A270" s="5" t="n">
        <v>45777</v>
      </c>
      <c r="B270" s="6" t="n">
        <v>3302.05</v>
      </c>
      <c r="C270" s="6" t="n">
        <v>2.23</v>
      </c>
      <c r="D270" s="6" t="n">
        <v>1.94</v>
      </c>
      <c r="E270" s="6" t="n">
        <v>99.470001</v>
      </c>
      <c r="F270" s="6" t="n">
        <v>59.55</v>
      </c>
      <c r="G270" s="6" t="n">
        <v>24.7</v>
      </c>
      <c r="H270" s="6" t="n">
        <v>112.480003</v>
      </c>
      <c r="I270" s="6" t="n">
        <v>5569.060059</v>
      </c>
      <c r="J270" s="6" t="n">
        <v>94.573471</v>
      </c>
      <c r="L270" s="7">
        <f>LN(B270/B269)</f>
        <v/>
      </c>
      <c r="M270" s="7">
        <f>C270-C269</f>
        <v/>
      </c>
      <c r="N270" s="7">
        <f>D270-D269</f>
        <v/>
      </c>
      <c r="O270" s="7">
        <f>LN(E270/E269)</f>
        <v/>
      </c>
      <c r="P270" s="7">
        <f>LN(F270/F269)</f>
        <v/>
      </c>
      <c r="Q270" s="7">
        <f>G270-G269</f>
        <v/>
      </c>
      <c r="R270" s="7">
        <f>H270-H269</f>
        <v/>
      </c>
      <c r="S270" s="7">
        <f>LN(I270/I269)</f>
        <v/>
      </c>
      <c r="T270" s="7">
        <f>LN(J270/J269)</f>
        <v/>
      </c>
      <c r="U270" s="7">
        <f>$W$12+$W$4*M270+$W$5*N270+$W$6*O270+$W$7*P270+$W$8*Q270+$W$9*R270+$W$10*S270+$W$11*T270</f>
        <v/>
      </c>
      <c r="AA270" s="8">
        <f>INDEX(LINEST(L211:L270,M211:T270,TRUE,TRUE),1,9)*12</f>
        <v/>
      </c>
      <c r="AB270" s="7">
        <f>INDEX(LINEST(L211:L270,M211:T270,TRUE,TRUE),1,8)</f>
        <v/>
      </c>
      <c r="AC270" s="7">
        <f>INDEX(LINEST(L211:L270,M211:T270,TRUE,TRUE),1,7)</f>
        <v/>
      </c>
      <c r="AD270" s="7">
        <f>INDEX(LINEST(L211:L270,M211:T270,TRUE,TRUE),1,6)</f>
        <v/>
      </c>
      <c r="AE270" s="7">
        <f>INDEX(LINEST(L211:L270,M211:T270,TRUE,TRUE),1,5)</f>
        <v/>
      </c>
      <c r="AF270" s="7">
        <f>INDEX(LINEST(L211:L270,M211:T270,TRUE,TRUE),1,4)</f>
        <v/>
      </c>
      <c r="AG270" s="7">
        <f>INDEX(LINEST(L211:L270,M211:T270,TRUE,TRUE),1,3)</f>
        <v/>
      </c>
      <c r="AH270" s="7">
        <f>INDEX(LINEST(L211:L270,M211:T270,TRUE,TRUE),1,2)</f>
        <v/>
      </c>
      <c r="AI270" s="7">
        <f>INDEX(LINEST(L211:L270,M211:T270,TRUE,TRUE),1,1)</f>
        <v/>
      </c>
      <c r="AJ270" s="8">
        <f>INDEX(LINEST(L211:L270,M211:T270,TRUE,TRUE),3,1)</f>
        <v/>
      </c>
    </row>
    <row r="271">
      <c r="A271" s="5" t="n">
        <v>45808</v>
      </c>
      <c r="B271" s="6" t="n">
        <v>3277.55</v>
      </c>
      <c r="C271" s="6" t="n">
        <v>2.34</v>
      </c>
      <c r="D271" s="6" t="n">
        <v>2.07</v>
      </c>
      <c r="E271" s="6" t="n">
        <v>99.33000199999999</v>
      </c>
      <c r="F271" s="6" t="n">
        <v>61.46</v>
      </c>
      <c r="G271" s="6" t="n">
        <v>18.57</v>
      </c>
      <c r="H271" s="6" t="n">
        <v>92.110001</v>
      </c>
      <c r="I271" s="6" t="n">
        <v>5911.689941</v>
      </c>
      <c r="J271" s="6" t="n">
        <v>93.999504</v>
      </c>
      <c r="L271" s="7">
        <f>LN(B271/B270)</f>
        <v/>
      </c>
      <c r="M271" s="7">
        <f>C271-C270</f>
        <v/>
      </c>
      <c r="N271" s="7">
        <f>D271-D270</f>
        <v/>
      </c>
      <c r="O271" s="7">
        <f>LN(E271/E270)</f>
        <v/>
      </c>
      <c r="P271" s="7">
        <f>LN(F271/F270)</f>
        <v/>
      </c>
      <c r="Q271" s="7">
        <f>G271-G270</f>
        <v/>
      </c>
      <c r="R271" s="7">
        <f>H271-H270</f>
        <v/>
      </c>
      <c r="S271" s="7">
        <f>LN(I271/I270)</f>
        <v/>
      </c>
      <c r="T271" s="7">
        <f>LN(J271/J270)</f>
        <v/>
      </c>
      <c r="U271" s="7">
        <f>$W$12+$W$4*M271+$W$5*N271+$W$6*O271+$W$7*P271+$W$8*Q271+$W$9*R271+$W$10*S271+$W$11*T271</f>
        <v/>
      </c>
      <c r="AA271" s="8">
        <f>INDEX(LINEST(L212:L271,M212:T271,TRUE,TRUE),1,9)*12</f>
        <v/>
      </c>
      <c r="AB271" s="7">
        <f>INDEX(LINEST(L212:L271,M212:T271,TRUE,TRUE),1,8)</f>
        <v/>
      </c>
      <c r="AC271" s="7">
        <f>INDEX(LINEST(L212:L271,M212:T271,TRUE,TRUE),1,7)</f>
        <v/>
      </c>
      <c r="AD271" s="7">
        <f>INDEX(LINEST(L212:L271,M212:T271,TRUE,TRUE),1,6)</f>
        <v/>
      </c>
      <c r="AE271" s="7">
        <f>INDEX(LINEST(L212:L271,M212:T271,TRUE,TRUE),1,5)</f>
        <v/>
      </c>
      <c r="AF271" s="7">
        <f>INDEX(LINEST(L212:L271,M212:T271,TRUE,TRUE),1,4)</f>
        <v/>
      </c>
      <c r="AG271" s="7">
        <f>INDEX(LINEST(L212:L271,M212:T271,TRUE,TRUE),1,3)</f>
        <v/>
      </c>
      <c r="AH271" s="7">
        <f>INDEX(LINEST(L212:L271,M212:T271,TRUE,TRUE),1,2)</f>
        <v/>
      </c>
      <c r="AI271" s="7">
        <f>INDEX(LINEST(L212:L271,M212:T271,TRUE,TRUE),1,1)</f>
        <v/>
      </c>
      <c r="AJ271" s="8">
        <f>INDEX(LINEST(L212:L271,M212:T271,TRUE,TRUE),3,1)</f>
        <v/>
      </c>
    </row>
    <row r="272">
      <c r="A272" s="5" t="n">
        <v>45838</v>
      </c>
      <c r="B272" s="6" t="n">
        <v>3287.45</v>
      </c>
      <c r="C272" s="6" t="n">
        <v>2.29</v>
      </c>
      <c r="D272" s="6" t="n">
        <v>1.95</v>
      </c>
      <c r="E272" s="6" t="n">
        <v>96.879997</v>
      </c>
      <c r="F272" s="6" t="n">
        <v>66.3</v>
      </c>
      <c r="G272" s="6" t="n">
        <v>16.73</v>
      </c>
      <c r="H272" s="6" t="n">
        <v>90.260002</v>
      </c>
      <c r="I272" s="6" t="n">
        <v>6204.950195</v>
      </c>
      <c r="J272" s="6" t="n">
        <v>95.367531</v>
      </c>
      <c r="L272" s="7">
        <f>LN(B272/B271)</f>
        <v/>
      </c>
      <c r="M272" s="7">
        <f>C272-C271</f>
        <v/>
      </c>
      <c r="N272" s="7">
        <f>D272-D271</f>
        <v/>
      </c>
      <c r="O272" s="7">
        <f>LN(E272/E271)</f>
        <v/>
      </c>
      <c r="P272" s="7">
        <f>LN(F272/F271)</f>
        <v/>
      </c>
      <c r="Q272" s="7">
        <f>G272-G271</f>
        <v/>
      </c>
      <c r="R272" s="7">
        <f>H272-H271</f>
        <v/>
      </c>
      <c r="S272" s="7">
        <f>LN(I272/I271)</f>
        <v/>
      </c>
      <c r="T272" s="7">
        <f>LN(J272/J271)</f>
        <v/>
      </c>
      <c r="U272" s="7">
        <f>$W$12+$W$4*M272+$W$5*N272+$W$6*O272+$W$7*P272+$W$8*Q272+$W$9*R272+$W$10*S272+$W$11*T272</f>
        <v/>
      </c>
      <c r="AA272" s="8">
        <f>INDEX(LINEST(L213:L272,M213:T272,TRUE,TRUE),1,9)*12</f>
        <v/>
      </c>
      <c r="AB272" s="7">
        <f>INDEX(LINEST(L213:L272,M213:T272,TRUE,TRUE),1,8)</f>
        <v/>
      </c>
      <c r="AC272" s="7">
        <f>INDEX(LINEST(L213:L272,M213:T272,TRUE,TRUE),1,7)</f>
        <v/>
      </c>
      <c r="AD272" s="7">
        <f>INDEX(LINEST(L213:L272,M213:T272,TRUE,TRUE),1,6)</f>
        <v/>
      </c>
      <c r="AE272" s="7">
        <f>INDEX(LINEST(L213:L272,M213:T272,TRUE,TRUE),1,5)</f>
        <v/>
      </c>
      <c r="AF272" s="7">
        <f>INDEX(LINEST(L213:L272,M213:T272,TRUE,TRUE),1,4)</f>
        <v/>
      </c>
      <c r="AG272" s="7">
        <f>INDEX(LINEST(L213:L272,M213:T272,TRUE,TRUE),1,3)</f>
        <v/>
      </c>
      <c r="AH272" s="7">
        <f>INDEX(LINEST(L213:L272,M213:T272,TRUE,TRUE),1,2)</f>
        <v/>
      </c>
      <c r="AI272" s="7">
        <f>INDEX(LINEST(L213:L272,M213:T272,TRUE,TRUE),1,1)</f>
        <v/>
      </c>
      <c r="AJ272" s="8">
        <f>INDEX(LINEST(L213:L272,M213:T272,TRUE,TRUE),3,1)</f>
        <v/>
      </c>
    </row>
    <row r="273">
      <c r="A273" s="5" t="n">
        <v>45869</v>
      </c>
      <c r="B273" s="6" t="n">
        <v>3298.85</v>
      </c>
      <c r="C273" s="6" t="n">
        <v>2.39</v>
      </c>
      <c r="D273" s="6" t="n">
        <v>1.98</v>
      </c>
      <c r="E273" s="6" t="n">
        <v>100.029999</v>
      </c>
      <c r="F273" s="6" t="n">
        <v>70.36</v>
      </c>
      <c r="G273" s="6" t="n">
        <v>16.72</v>
      </c>
      <c r="H273" s="6" t="n">
        <v>79.839996</v>
      </c>
      <c r="I273" s="6" t="n">
        <v>6339.390137</v>
      </c>
      <c r="J273" s="6" t="n">
        <v>95.115814</v>
      </c>
      <c r="L273" s="7">
        <f>LN(B273/B272)</f>
        <v/>
      </c>
      <c r="M273" s="7">
        <f>C273-C272</f>
        <v/>
      </c>
      <c r="N273" s="7">
        <f>D273-D272</f>
        <v/>
      </c>
      <c r="O273" s="7">
        <f>LN(E273/E272)</f>
        <v/>
      </c>
      <c r="P273" s="7">
        <f>LN(F273/F272)</f>
        <v/>
      </c>
      <c r="Q273" s="7">
        <f>G273-G272</f>
        <v/>
      </c>
      <c r="R273" s="7">
        <f>H273-H272</f>
        <v/>
      </c>
      <c r="S273" s="7">
        <f>LN(I273/I272)</f>
        <v/>
      </c>
      <c r="T273" s="7">
        <f>LN(J273/J272)</f>
        <v/>
      </c>
      <c r="U273" s="7">
        <f>$W$12+$W$4*M273+$W$5*N273+$W$6*O273+$W$7*P273+$W$8*Q273+$W$9*R273+$W$10*S273+$W$11*T273</f>
        <v/>
      </c>
      <c r="AA273" s="8">
        <f>INDEX(LINEST(L214:L273,M214:T273,TRUE,TRUE),1,9)*12</f>
        <v/>
      </c>
      <c r="AB273" s="7">
        <f>INDEX(LINEST(L214:L273,M214:T273,TRUE,TRUE),1,8)</f>
        <v/>
      </c>
      <c r="AC273" s="7">
        <f>INDEX(LINEST(L214:L273,M214:T273,TRUE,TRUE),1,7)</f>
        <v/>
      </c>
      <c r="AD273" s="7">
        <f>INDEX(LINEST(L214:L273,M214:T273,TRUE,TRUE),1,6)</f>
        <v/>
      </c>
      <c r="AE273" s="7">
        <f>INDEX(LINEST(L214:L273,M214:T273,TRUE,TRUE),1,5)</f>
        <v/>
      </c>
      <c r="AF273" s="7">
        <f>INDEX(LINEST(L214:L273,M214:T273,TRUE,TRUE),1,4)</f>
        <v/>
      </c>
      <c r="AG273" s="7">
        <f>INDEX(LINEST(L214:L273,M214:T273,TRUE,TRUE),1,3)</f>
        <v/>
      </c>
      <c r="AH273" s="7">
        <f>INDEX(LINEST(L214:L273,M214:T273,TRUE,TRUE),1,2)</f>
        <v/>
      </c>
      <c r="AI273" s="7">
        <f>INDEX(LINEST(L214:L273,M214:T273,TRUE,TRUE),1,1)</f>
        <v/>
      </c>
      <c r="AJ273" s="8">
        <f>INDEX(LINEST(L214:L273,M214:T273,TRUE,TRUE),3,1)</f>
        <v/>
      </c>
    </row>
    <row r="274">
      <c r="A274" s="5" t="n">
        <v>45900</v>
      </c>
      <c r="B274" s="6" t="n">
        <v>3429.15</v>
      </c>
      <c r="C274" s="6" t="n">
        <v>2.41</v>
      </c>
      <c r="D274" s="6" t="n">
        <v>1.82</v>
      </c>
      <c r="E274" s="6" t="n">
        <v>97.769997</v>
      </c>
      <c r="F274" s="6" t="n">
        <v>64.36</v>
      </c>
      <c r="G274" s="6" t="n">
        <v>15.36</v>
      </c>
      <c r="H274" s="6" t="n">
        <v>79.389999</v>
      </c>
      <c r="I274" s="6" t="n">
        <v>6460.259766</v>
      </c>
      <c r="J274" s="6" t="n">
        <v>96.24803900000001</v>
      </c>
      <c r="L274" s="7">
        <f>LN(B274/B273)</f>
        <v/>
      </c>
      <c r="M274" s="7">
        <f>C274-C273</f>
        <v/>
      </c>
      <c r="N274" s="7">
        <f>D274-D273</f>
        <v/>
      </c>
      <c r="O274" s="7">
        <f>LN(E274/E273)</f>
        <v/>
      </c>
      <c r="P274" s="7">
        <f>LN(F274/F273)</f>
        <v/>
      </c>
      <c r="Q274" s="7">
        <f>G274-G273</f>
        <v/>
      </c>
      <c r="R274" s="7">
        <f>H274-H273</f>
        <v/>
      </c>
      <c r="S274" s="7">
        <f>LN(I274/I273)</f>
        <v/>
      </c>
      <c r="T274" s="7">
        <f>LN(J274/J273)</f>
        <v/>
      </c>
      <c r="U274" s="7">
        <f>$W$12+$W$4*M274+$W$5*N274+$W$6*O274+$W$7*P274+$W$8*Q274+$W$9*R274+$W$10*S274+$W$11*T274</f>
        <v/>
      </c>
      <c r="AA274" s="8">
        <f>INDEX(LINEST(L215:L274,M215:T274,TRUE,TRUE),1,9)*12</f>
        <v/>
      </c>
      <c r="AB274" s="7">
        <f>INDEX(LINEST(L215:L274,M215:T274,TRUE,TRUE),1,8)</f>
        <v/>
      </c>
      <c r="AC274" s="7">
        <f>INDEX(LINEST(L215:L274,M215:T274,TRUE,TRUE),1,7)</f>
        <v/>
      </c>
      <c r="AD274" s="7">
        <f>INDEX(LINEST(L215:L274,M215:T274,TRUE,TRUE),1,6)</f>
        <v/>
      </c>
      <c r="AE274" s="7">
        <f>INDEX(LINEST(L215:L274,M215:T274,TRUE,TRUE),1,5)</f>
        <v/>
      </c>
      <c r="AF274" s="7">
        <f>INDEX(LINEST(L215:L274,M215:T274,TRUE,TRUE),1,4)</f>
        <v/>
      </c>
      <c r="AG274" s="7">
        <f>INDEX(LINEST(L215:L274,M215:T274,TRUE,TRUE),1,3)</f>
        <v/>
      </c>
      <c r="AH274" s="7">
        <f>INDEX(LINEST(L215:L274,M215:T274,TRUE,TRUE),1,2)</f>
        <v/>
      </c>
      <c r="AI274" s="7">
        <f>INDEX(LINEST(L215:L274,M215:T274,TRUE,TRUE),1,1)</f>
        <v/>
      </c>
      <c r="AJ274" s="8">
        <f>INDEX(LINEST(L215:L274,M215:T274,TRUE,TRUE),3,1)</f>
        <v/>
      </c>
    </row>
    <row r="275">
      <c r="A275" s="5" t="n">
        <v>45930</v>
      </c>
      <c r="B275" s="6" t="n">
        <v>3825.3</v>
      </c>
      <c r="C275" s="6" t="n">
        <v>2.36</v>
      </c>
      <c r="D275" s="6" t="n">
        <v>1.8</v>
      </c>
      <c r="E275" s="6" t="n">
        <v>97.769997</v>
      </c>
      <c r="F275" s="6" t="n">
        <v>63.17</v>
      </c>
      <c r="G275" s="6" t="n">
        <v>16.28</v>
      </c>
      <c r="H275" s="6" t="n">
        <v>77.93000000000001</v>
      </c>
      <c r="I275" s="6" t="n">
        <v>6688.459961</v>
      </c>
      <c r="J275" s="6" t="n">
        <v>97.33251199999999</v>
      </c>
      <c r="L275" s="7">
        <f>LN(B275/B274)</f>
        <v/>
      </c>
      <c r="M275" s="7">
        <f>C275-C274</f>
        <v/>
      </c>
      <c r="N275" s="7">
        <f>D275-D274</f>
        <v/>
      </c>
      <c r="O275" s="7">
        <f>LN(E275/E274)</f>
        <v/>
      </c>
      <c r="P275" s="7">
        <f>LN(F275/F274)</f>
        <v/>
      </c>
      <c r="Q275" s="7">
        <f>G275-G274</f>
        <v/>
      </c>
      <c r="R275" s="7">
        <f>H275-H274</f>
        <v/>
      </c>
      <c r="S275" s="7">
        <f>LN(I275/I274)</f>
        <v/>
      </c>
      <c r="T275" s="7">
        <f>LN(J275/J274)</f>
        <v/>
      </c>
      <c r="U275" s="7">
        <f>$W$12+$W$4*M275+$W$5*N275+$W$6*O275+$W$7*P275+$W$8*Q275+$W$9*R275+$W$10*S275+$W$11*T275</f>
        <v/>
      </c>
      <c r="AA275" s="8">
        <f>INDEX(LINEST(L216:L275,M216:T275,TRUE,TRUE),1,9)*12</f>
        <v/>
      </c>
      <c r="AB275" s="7">
        <f>INDEX(LINEST(L216:L275,M216:T275,TRUE,TRUE),1,8)</f>
        <v/>
      </c>
      <c r="AC275" s="7">
        <f>INDEX(LINEST(L216:L275,M216:T275,TRUE,TRUE),1,7)</f>
        <v/>
      </c>
      <c r="AD275" s="7">
        <f>INDEX(LINEST(L216:L275,M216:T275,TRUE,TRUE),1,6)</f>
        <v/>
      </c>
      <c r="AE275" s="7">
        <f>INDEX(LINEST(L216:L275,M216:T275,TRUE,TRUE),1,5)</f>
        <v/>
      </c>
      <c r="AF275" s="7">
        <f>INDEX(LINEST(L216:L275,M216:T275,TRUE,TRUE),1,4)</f>
        <v/>
      </c>
      <c r="AG275" s="7">
        <f>INDEX(LINEST(L216:L275,M216:T275,TRUE,TRUE),1,3)</f>
        <v/>
      </c>
      <c r="AH275" s="7">
        <f>INDEX(LINEST(L216:L275,M216:T275,TRUE,TRUE),1,2)</f>
        <v/>
      </c>
      <c r="AI275" s="7">
        <f>INDEX(LINEST(L216:L275,M216:T275,TRUE,TRUE),1,1)</f>
        <v/>
      </c>
      <c r="AJ275" s="8">
        <f>INDEX(LINEST(L216:L275,M216:T275,TRUE,TRUE),3,1)</f>
        <v/>
      </c>
    </row>
    <row r="276">
      <c r="A276" s="5" t="n">
        <v>45961</v>
      </c>
      <c r="B276" s="6" t="n">
        <v>4011.5</v>
      </c>
      <c r="C276" s="6" t="n">
        <v>2.3</v>
      </c>
      <c r="D276" s="6" t="n">
        <v>1.81</v>
      </c>
      <c r="E276" s="6" t="n">
        <v>99.800003</v>
      </c>
      <c r="F276" s="6" t="n">
        <v>61.75</v>
      </c>
      <c r="G276" s="6" t="n">
        <v>17.44</v>
      </c>
      <c r="H276" s="6" t="n">
        <v>66.610001</v>
      </c>
      <c r="I276" s="6" t="n">
        <v>6840.200195</v>
      </c>
      <c r="J276" s="6" t="n">
        <v>97.93156399999999</v>
      </c>
      <c r="L276" s="7">
        <f>LN(B276/B275)</f>
        <v/>
      </c>
      <c r="M276" s="7">
        <f>C276-C275</f>
        <v/>
      </c>
      <c r="N276" s="7">
        <f>D276-D275</f>
        <v/>
      </c>
      <c r="O276" s="7">
        <f>LN(E276/E275)</f>
        <v/>
      </c>
      <c r="P276" s="7">
        <f>LN(F276/F275)</f>
        <v/>
      </c>
      <c r="Q276" s="7">
        <f>G276-G275</f>
        <v/>
      </c>
      <c r="R276" s="7">
        <f>H276-H275</f>
        <v/>
      </c>
      <c r="S276" s="7">
        <f>LN(I276/I275)</f>
        <v/>
      </c>
      <c r="T276" s="7">
        <f>LN(J276/J275)</f>
        <v/>
      </c>
      <c r="U276" s="7">
        <f>$W$12+$W$4*M276+$W$5*N276+$W$6*O276+$W$7*P276+$W$8*Q276+$W$9*R276+$W$10*S276+$W$11*T276</f>
        <v/>
      </c>
      <c r="AA276" s="8">
        <f>INDEX(LINEST(L217:L276,M217:T276,TRUE,TRUE),1,9)*12</f>
        <v/>
      </c>
      <c r="AB276" s="7">
        <f>INDEX(LINEST(L217:L276,M217:T276,TRUE,TRUE),1,8)</f>
        <v/>
      </c>
      <c r="AC276" s="7">
        <f>INDEX(LINEST(L217:L276,M217:T276,TRUE,TRUE),1,7)</f>
        <v/>
      </c>
      <c r="AD276" s="7">
        <f>INDEX(LINEST(L217:L276,M217:T276,TRUE,TRUE),1,6)</f>
        <v/>
      </c>
      <c r="AE276" s="7">
        <f>INDEX(LINEST(L217:L276,M217:T276,TRUE,TRUE),1,5)</f>
        <v/>
      </c>
      <c r="AF276" s="7">
        <f>INDEX(LINEST(L217:L276,M217:T276,TRUE,TRUE),1,4)</f>
        <v/>
      </c>
      <c r="AG276" s="7">
        <f>INDEX(LINEST(L217:L276,M217:T276,TRUE,TRUE),1,3)</f>
        <v/>
      </c>
      <c r="AH276" s="7">
        <f>INDEX(LINEST(L217:L276,M217:T276,TRUE,TRUE),1,2)</f>
        <v/>
      </c>
      <c r="AI276" s="7">
        <f>INDEX(LINEST(L217:L276,M217:T276,TRUE,TRUE),1,1)</f>
        <v/>
      </c>
      <c r="AJ276" s="8">
        <f>INDEX(LINEST(L217:L276,M217:T276,TRUE,TRUE),3,1)</f>
        <v/>
      </c>
    </row>
    <row r="277">
      <c r="A277" s="5" t="n">
        <v>45991</v>
      </c>
      <c r="B277" s="6" t="n">
        <v>4191.05</v>
      </c>
      <c r="C277" s="6" t="n">
        <v>2.23</v>
      </c>
      <c r="D277" s="6" t="n">
        <v>1.79</v>
      </c>
      <c r="E277" s="6" t="n">
        <v>99.459999</v>
      </c>
      <c r="F277" s="6" t="n">
        <v>58.58</v>
      </c>
      <c r="G277" s="6" t="n">
        <v>16.35</v>
      </c>
      <c r="H277" s="6" t="n">
        <v>68.949997</v>
      </c>
      <c r="I277" s="6" t="n">
        <v>6849.089844</v>
      </c>
      <c r="J277" s="6" t="n">
        <v>98.524742</v>
      </c>
      <c r="L277" s="7">
        <f>LN(B277/B276)</f>
        <v/>
      </c>
      <c r="M277" s="7">
        <f>C277-C276</f>
        <v/>
      </c>
      <c r="N277" s="7">
        <f>D277-D276</f>
        <v/>
      </c>
      <c r="O277" s="7">
        <f>LN(E277/E276)</f>
        <v/>
      </c>
      <c r="P277" s="7">
        <f>LN(F277/F276)</f>
        <v/>
      </c>
      <c r="Q277" s="7">
        <f>G277-G276</f>
        <v/>
      </c>
      <c r="R277" s="7">
        <f>H277-H276</f>
        <v/>
      </c>
      <c r="S277" s="7">
        <f>LN(I277/I276)</f>
        <v/>
      </c>
      <c r="T277" s="7">
        <f>LN(J277/J276)</f>
        <v/>
      </c>
      <c r="U277" s="7">
        <f>$W$12+$W$4*M277+$W$5*N277+$W$6*O277+$W$7*P277+$W$8*Q277+$W$9*R277+$W$10*S277+$W$11*T277</f>
        <v/>
      </c>
      <c r="AA277" s="8">
        <f>INDEX(LINEST(L218:L277,M218:T277,TRUE,TRUE),1,9)*12</f>
        <v/>
      </c>
      <c r="AB277" s="7">
        <f>INDEX(LINEST(L218:L277,M218:T277,TRUE,TRUE),1,8)</f>
        <v/>
      </c>
      <c r="AC277" s="7">
        <f>INDEX(LINEST(L218:L277,M218:T277,TRUE,TRUE),1,7)</f>
        <v/>
      </c>
      <c r="AD277" s="7">
        <f>INDEX(LINEST(L218:L277,M218:T277,TRUE,TRUE),1,6)</f>
        <v/>
      </c>
      <c r="AE277" s="7">
        <f>INDEX(LINEST(L218:L277,M218:T277,TRUE,TRUE),1,5)</f>
        <v/>
      </c>
      <c r="AF277" s="7">
        <f>INDEX(LINEST(L218:L277,M218:T277,TRUE,TRUE),1,4)</f>
        <v/>
      </c>
      <c r="AG277" s="7">
        <f>INDEX(LINEST(L218:L277,M218:T277,TRUE,TRUE),1,3)</f>
        <v/>
      </c>
      <c r="AH277" s="7">
        <f>INDEX(LINEST(L218:L277,M218:T277,TRUE,TRUE),1,2)</f>
        <v/>
      </c>
      <c r="AI277" s="7">
        <f>INDEX(LINEST(L218:L277,M218:T277,TRUE,TRUE),1,1)</f>
        <v/>
      </c>
      <c r="AJ277" s="8">
        <f>INDEX(LINEST(L218:L277,M218:T277,TRUE,TRUE),3,1)</f>
        <v/>
      </c>
    </row>
    <row r="278">
      <c r="A278" s="5" t="n">
        <v>46022</v>
      </c>
      <c r="B278" s="6" t="n">
        <v>4367.8</v>
      </c>
      <c r="C278" s="6" t="n">
        <v>2.25</v>
      </c>
      <c r="D278" s="6" t="n">
        <v>1.93</v>
      </c>
      <c r="E278" s="6" t="n">
        <v>98.279999</v>
      </c>
      <c r="F278" s="6" t="n">
        <v>57.26</v>
      </c>
      <c r="G278" s="6" t="n">
        <v>14.95</v>
      </c>
      <c r="H278" s="6" t="n">
        <v>63.959999</v>
      </c>
      <c r="I278" s="6" t="n">
        <v>6845.5</v>
      </c>
      <c r="J278" s="6" t="n">
        <v>98.249886</v>
      </c>
      <c r="L278" s="7">
        <f>LN(B278/B277)</f>
        <v/>
      </c>
      <c r="M278" s="7">
        <f>C278-C277</f>
        <v/>
      </c>
      <c r="N278" s="7">
        <f>D278-D277</f>
        <v/>
      </c>
      <c r="O278" s="7">
        <f>LN(E278/E277)</f>
        <v/>
      </c>
      <c r="P278" s="7">
        <f>LN(F278/F277)</f>
        <v/>
      </c>
      <c r="Q278" s="7">
        <f>G278-G277</f>
        <v/>
      </c>
      <c r="R278" s="7">
        <f>H278-H277</f>
        <v/>
      </c>
      <c r="S278" s="7">
        <f>LN(I278/I277)</f>
        <v/>
      </c>
      <c r="T278" s="7">
        <f>LN(J278/J277)</f>
        <v/>
      </c>
      <c r="U278" s="7">
        <f>$W$12+$W$4*M278+$W$5*N278+$W$6*O278+$W$7*P278+$W$8*Q278+$W$9*R278+$W$10*S278+$W$11*T278</f>
        <v/>
      </c>
      <c r="AA278" s="8">
        <f>INDEX(LINEST(L219:L278,M219:T278,TRUE,TRUE),1,9)*12</f>
        <v/>
      </c>
      <c r="AB278" s="7">
        <f>INDEX(LINEST(L219:L278,M219:T278,TRUE,TRUE),1,8)</f>
        <v/>
      </c>
      <c r="AC278" s="7">
        <f>INDEX(LINEST(L219:L278,M219:T278,TRUE,TRUE),1,7)</f>
        <v/>
      </c>
      <c r="AD278" s="7">
        <f>INDEX(LINEST(L219:L278,M219:T278,TRUE,TRUE),1,6)</f>
        <v/>
      </c>
      <c r="AE278" s="7">
        <f>INDEX(LINEST(L219:L278,M219:T278,TRUE,TRUE),1,5)</f>
        <v/>
      </c>
      <c r="AF278" s="7">
        <f>INDEX(LINEST(L219:L278,M219:T278,TRUE,TRUE),1,4)</f>
        <v/>
      </c>
      <c r="AG278" s="7">
        <f>INDEX(LINEST(L219:L278,M219:T278,TRUE,TRUE),1,3)</f>
        <v/>
      </c>
      <c r="AH278" s="7">
        <f>INDEX(LINEST(L219:L278,M219:T278,TRUE,TRUE),1,2)</f>
        <v/>
      </c>
      <c r="AI278" s="7">
        <f>INDEX(LINEST(L219:L278,M219:T278,TRUE,TRUE),1,1)</f>
        <v/>
      </c>
      <c r="AJ278" s="8">
        <f>INDEX(LINEST(L219:L278,M219:T278,TRUE,TRUE),3,1)</f>
        <v/>
      </c>
    </row>
    <row r="279">
      <c r="A279" s="5" t="n">
        <v>46053</v>
      </c>
      <c r="B279" s="6" t="n">
        <v>4981.85</v>
      </c>
      <c r="C279" s="6" t="n">
        <v>2.36</v>
      </c>
      <c r="D279" s="6" t="n">
        <v>1.9</v>
      </c>
      <c r="E279" s="6" t="n">
        <v>96.989998</v>
      </c>
      <c r="F279" s="6" t="n">
        <v>64.5</v>
      </c>
      <c r="G279" s="6" t="n">
        <v>17.44</v>
      </c>
      <c r="H279" s="6" t="n">
        <v>59.200001</v>
      </c>
      <c r="I279" s="6" t="n">
        <v>6939.029785</v>
      </c>
      <c r="J279" s="6" t="n">
        <v>98.495789</v>
      </c>
      <c r="L279" s="7">
        <f>LN(B279/B278)</f>
        <v/>
      </c>
      <c r="M279" s="7">
        <f>C279-C278</f>
        <v/>
      </c>
      <c r="N279" s="7">
        <f>D279-D278</f>
        <v/>
      </c>
      <c r="O279" s="7">
        <f>LN(E279/E278)</f>
        <v/>
      </c>
      <c r="P279" s="7">
        <f>LN(F279/F278)</f>
        <v/>
      </c>
      <c r="Q279" s="7">
        <f>G279-G278</f>
        <v/>
      </c>
      <c r="R279" s="7">
        <f>H279-H278</f>
        <v/>
      </c>
      <c r="S279" s="7">
        <f>LN(I279/I278)</f>
        <v/>
      </c>
      <c r="T279" s="7">
        <f>LN(J279/J278)</f>
        <v/>
      </c>
      <c r="U279" s="7">
        <f>$W$12+$W$4*M279+$W$5*N279+$W$6*O279+$W$7*P279+$W$8*Q279+$W$9*R279+$W$10*S279+$W$11*T279</f>
        <v/>
      </c>
      <c r="AA279" s="8">
        <f>INDEX(LINEST(L220:L279,M220:T279,TRUE,TRUE),1,9)*12</f>
        <v/>
      </c>
      <c r="AB279" s="7">
        <f>INDEX(LINEST(L220:L279,M220:T279,TRUE,TRUE),1,8)</f>
        <v/>
      </c>
      <c r="AC279" s="7">
        <f>INDEX(LINEST(L220:L279,M220:T279,TRUE,TRUE),1,7)</f>
        <v/>
      </c>
      <c r="AD279" s="7">
        <f>INDEX(LINEST(L220:L279,M220:T279,TRUE,TRUE),1,6)</f>
        <v/>
      </c>
      <c r="AE279" s="7">
        <f>INDEX(LINEST(L220:L279,M220:T279,TRUE,TRUE),1,5)</f>
        <v/>
      </c>
      <c r="AF279" s="7">
        <f>INDEX(LINEST(L220:L279,M220:T279,TRUE,TRUE),1,4)</f>
        <v/>
      </c>
      <c r="AG279" s="7">
        <f>INDEX(LINEST(L220:L279,M220:T279,TRUE,TRUE),1,3)</f>
        <v/>
      </c>
      <c r="AH279" s="7">
        <f>INDEX(LINEST(L220:L279,M220:T279,TRUE,TRUE),1,2)</f>
        <v/>
      </c>
      <c r="AI279" s="7">
        <f>INDEX(LINEST(L220:L279,M220:T279,TRUE,TRUE),1,1)</f>
        <v/>
      </c>
      <c r="AJ279" s="8">
        <f>INDEX(LINEST(L220:L279,M220:T279,TRUE,TRUE),3,1)</f>
        <v/>
      </c>
    </row>
    <row r="280">
      <c r="A280" s="5" t="n">
        <v>46081</v>
      </c>
      <c r="B280" s="6" t="n">
        <v>5222.3</v>
      </c>
      <c r="C280" s="6" t="n">
        <v>2.25</v>
      </c>
      <c r="D280" s="6" t="n">
        <v>1.72</v>
      </c>
      <c r="E280" s="6" t="n">
        <v>97.610001</v>
      </c>
      <c r="F280" s="6" t="n">
        <v>66.95999999999999</v>
      </c>
      <c r="G280" s="6" t="n">
        <v>19.86</v>
      </c>
      <c r="H280" s="6" t="n">
        <v>73.379997</v>
      </c>
      <c r="I280" s="6" t="n">
        <v>6878.879883</v>
      </c>
      <c r="J280" s="6" t="n">
        <v>100.069878</v>
      </c>
      <c r="L280" s="7">
        <f>LN(B280/B279)</f>
        <v/>
      </c>
      <c r="M280" s="7">
        <f>C280-C279</f>
        <v/>
      </c>
      <c r="N280" s="7">
        <f>D280-D279</f>
        <v/>
      </c>
      <c r="O280" s="7">
        <f>LN(E280/E279)</f>
        <v/>
      </c>
      <c r="P280" s="7">
        <f>LN(F280/F279)</f>
        <v/>
      </c>
      <c r="Q280" s="7">
        <f>G280-G279</f>
        <v/>
      </c>
      <c r="R280" s="7">
        <f>H280-H279</f>
        <v/>
      </c>
      <c r="S280" s="7">
        <f>LN(I280/I279)</f>
        <v/>
      </c>
      <c r="T280" s="7">
        <f>LN(J280/J279)</f>
        <v/>
      </c>
      <c r="U280" s="7">
        <f>$W$12+$W$4*M280+$W$5*N280+$W$6*O280+$W$7*P280+$W$8*Q280+$W$9*R280+$W$10*S280+$W$11*T280</f>
        <v/>
      </c>
      <c r="AA280" s="8">
        <f>INDEX(LINEST(L221:L280,M221:T280,TRUE,TRUE),1,9)*12</f>
        <v/>
      </c>
      <c r="AB280" s="7">
        <f>INDEX(LINEST(L221:L280,M221:T280,TRUE,TRUE),1,8)</f>
        <v/>
      </c>
      <c r="AC280" s="7">
        <f>INDEX(LINEST(L221:L280,M221:T280,TRUE,TRUE),1,7)</f>
        <v/>
      </c>
      <c r="AD280" s="7">
        <f>INDEX(LINEST(L221:L280,M221:T280,TRUE,TRUE),1,6)</f>
        <v/>
      </c>
      <c r="AE280" s="7">
        <f>INDEX(LINEST(L221:L280,M221:T280,TRUE,TRUE),1,5)</f>
        <v/>
      </c>
      <c r="AF280" s="7">
        <f>INDEX(LINEST(L221:L280,M221:T280,TRUE,TRUE),1,4)</f>
        <v/>
      </c>
      <c r="AG280" s="7">
        <f>INDEX(LINEST(L221:L280,M221:T280,TRUE,TRUE),1,3)</f>
        <v/>
      </c>
      <c r="AH280" s="7">
        <f>INDEX(LINEST(L221:L280,M221:T280,TRUE,TRUE),1,2)</f>
        <v/>
      </c>
      <c r="AI280" s="7">
        <f>INDEX(LINEST(L221:L280,M221:T280,TRUE,TRUE),1,1)</f>
        <v/>
      </c>
      <c r="AJ280" s="8">
        <f>INDEX(LINEST(L221:L280,M221:T280,TRUE,TRUE),3,1)</f>
        <v/>
      </c>
    </row>
    <row r="281">
      <c r="A281" s="5" t="n">
        <v>46112</v>
      </c>
      <c r="B281" s="6" t="n">
        <v>4608.35</v>
      </c>
      <c r="C281" s="6" t="n">
        <v>2.3</v>
      </c>
      <c r="D281" s="6" t="n">
        <v>2</v>
      </c>
      <c r="E281" s="6" t="n">
        <v>99.959999</v>
      </c>
      <c r="F281" s="6" t="n">
        <v>102.86</v>
      </c>
      <c r="G281" s="6" t="n">
        <v>25.25</v>
      </c>
      <c r="H281" s="6" t="n">
        <v>96.050003</v>
      </c>
      <c r="I281" s="6" t="n">
        <v>6528.52002</v>
      </c>
      <c r="J281" s="6" t="n">
        <v>98.274078</v>
      </c>
      <c r="L281" s="7">
        <f>LN(B281/B280)</f>
        <v/>
      </c>
      <c r="M281" s="7">
        <f>C281-C280</f>
        <v/>
      </c>
      <c r="N281" s="7">
        <f>D281-D280</f>
        <v/>
      </c>
      <c r="O281" s="7">
        <f>LN(E281/E280)</f>
        <v/>
      </c>
      <c r="P281" s="7">
        <f>LN(F281/F280)</f>
        <v/>
      </c>
      <c r="Q281" s="7">
        <f>G281-G280</f>
        <v/>
      </c>
      <c r="R281" s="7">
        <f>H281-H280</f>
        <v/>
      </c>
      <c r="S281" s="7">
        <f>LN(I281/I280)</f>
        <v/>
      </c>
      <c r="T281" s="7">
        <f>LN(J281/J280)</f>
        <v/>
      </c>
      <c r="U281" s="7">
        <f>$W$12+$W$4*M281+$W$5*N281+$W$6*O281+$W$7*P281+$W$8*Q281+$W$9*R281+$W$10*S281+$W$11*T281</f>
        <v/>
      </c>
      <c r="AA281" s="8">
        <f>INDEX(LINEST(L222:L281,M222:T281,TRUE,TRUE),1,9)*12</f>
        <v/>
      </c>
      <c r="AB281" s="7">
        <f>INDEX(LINEST(L222:L281,M222:T281,TRUE,TRUE),1,8)</f>
        <v/>
      </c>
      <c r="AC281" s="7">
        <f>INDEX(LINEST(L222:L281,M222:T281,TRUE,TRUE),1,7)</f>
        <v/>
      </c>
      <c r="AD281" s="7">
        <f>INDEX(LINEST(L222:L281,M222:T281,TRUE,TRUE),1,6)</f>
        <v/>
      </c>
      <c r="AE281" s="7">
        <f>INDEX(LINEST(L222:L281,M222:T281,TRUE,TRUE),1,5)</f>
        <v/>
      </c>
      <c r="AF281" s="7">
        <f>INDEX(LINEST(L222:L281,M222:T281,TRUE,TRUE),1,4)</f>
        <v/>
      </c>
      <c r="AG281" s="7">
        <f>INDEX(LINEST(L222:L281,M222:T281,TRUE,TRUE),1,3)</f>
        <v/>
      </c>
      <c r="AH281" s="7">
        <f>INDEX(LINEST(L222:L281,M222:T281,TRUE,TRUE),1,2)</f>
        <v/>
      </c>
      <c r="AI281" s="7">
        <f>INDEX(LINEST(L222:L281,M222:T281,TRUE,TRUE),1,1)</f>
        <v/>
      </c>
      <c r="AJ281" s="8">
        <f>INDEX(LINEST(L222:L281,M222:T281,TRUE,TRUE),3,1)</f>
        <v/>
      </c>
    </row>
    <row r="282">
      <c r="A282" s="5" t="n">
        <v>46142</v>
      </c>
      <c r="B282" s="6" t="n">
        <v>4611.35</v>
      </c>
      <c r="C282" s="6" t="n">
        <v>2.46</v>
      </c>
      <c r="D282" s="6" t="n">
        <v>1.94</v>
      </c>
      <c r="E282" s="6" t="n">
        <v>98.08000199999999</v>
      </c>
      <c r="F282" s="6" t="n">
        <v>108.64</v>
      </c>
      <c r="G282" s="6" t="n">
        <v>16.89</v>
      </c>
      <c r="H282" s="6" t="n">
        <v>72.06999999999999</v>
      </c>
      <c r="I282" s="6" t="n">
        <v>7209.009766</v>
      </c>
      <c r="J282" s="6" t="n">
        <v>98.439964</v>
      </c>
      <c r="L282" s="7">
        <f>LN(B282/B281)</f>
        <v/>
      </c>
      <c r="M282" s="7">
        <f>C282-C281</f>
        <v/>
      </c>
      <c r="N282" s="7">
        <f>D282-D281</f>
        <v/>
      </c>
      <c r="O282" s="7">
        <f>LN(E282/E281)</f>
        <v/>
      </c>
      <c r="P282" s="7">
        <f>LN(F282/F281)</f>
        <v/>
      </c>
      <c r="Q282" s="7">
        <f>G282-G281</f>
        <v/>
      </c>
      <c r="R282" s="7">
        <f>H282-H281</f>
        <v/>
      </c>
      <c r="S282" s="7">
        <f>LN(I282/I281)</f>
        <v/>
      </c>
      <c r="T282" s="7">
        <f>LN(J282/J281)</f>
        <v/>
      </c>
      <c r="U282" s="7">
        <f>$W$12+$W$4*M282+$W$5*N282+$W$6*O282+$W$7*P282+$W$8*Q282+$W$9*R282+$W$10*S282+$W$11*T282</f>
        <v/>
      </c>
      <c r="AA282" s="8">
        <f>INDEX(LINEST(L223:L282,M223:T282,TRUE,TRUE),1,9)*12</f>
        <v/>
      </c>
      <c r="AB282" s="7">
        <f>INDEX(LINEST(L223:L282,M223:T282,TRUE,TRUE),1,8)</f>
        <v/>
      </c>
      <c r="AC282" s="7">
        <f>INDEX(LINEST(L223:L282,M223:T282,TRUE,TRUE),1,7)</f>
        <v/>
      </c>
      <c r="AD282" s="7">
        <f>INDEX(LINEST(L223:L282,M223:T282,TRUE,TRUE),1,6)</f>
        <v/>
      </c>
      <c r="AE282" s="7">
        <f>INDEX(LINEST(L223:L282,M223:T282,TRUE,TRUE),1,5)</f>
        <v/>
      </c>
      <c r="AF282" s="7">
        <f>INDEX(LINEST(L223:L282,M223:T282,TRUE,TRUE),1,4)</f>
        <v/>
      </c>
      <c r="AG282" s="7">
        <f>INDEX(LINEST(L223:L282,M223:T282,TRUE,TRUE),1,3)</f>
        <v/>
      </c>
      <c r="AH282" s="7">
        <f>INDEX(LINEST(L223:L282,M223:T282,TRUE,TRUE),1,2)</f>
        <v/>
      </c>
      <c r="AI282" s="7">
        <f>INDEX(LINEST(L223:L282,M223:T282,TRUE,TRUE),1,1)</f>
        <v/>
      </c>
      <c r="AJ282" s="8">
        <f>INDEX(LINEST(L223:L282,M223:T282,TRUE,TRUE),3,1)</f>
        <v/>
      </c>
    </row>
    <row r="283">
      <c r="A283" s="5" t="n">
        <v>46173</v>
      </c>
      <c r="B283" s="6" t="n">
        <v>4545.95</v>
      </c>
      <c r="C283" s="6" t="n">
        <v>2.38</v>
      </c>
      <c r="D283" s="6" t="n">
        <v>2.07</v>
      </c>
      <c r="E283" s="6" t="n">
        <v>98.910004</v>
      </c>
      <c r="F283" s="6" t="n">
        <v>91.16</v>
      </c>
      <c r="G283" s="6" t="n">
        <v>15.32</v>
      </c>
      <c r="H283" s="6" t="n">
        <v>70.220001</v>
      </c>
      <c r="I283" s="6" t="n">
        <v>7580.060059</v>
      </c>
      <c r="J283" s="6" t="n">
        <v>98.728996</v>
      </c>
      <c r="L283" s="7">
        <f>LN(B283/B282)</f>
        <v/>
      </c>
      <c r="M283" s="7">
        <f>C283-C282</f>
        <v/>
      </c>
      <c r="N283" s="7">
        <f>D283-D282</f>
        <v/>
      </c>
      <c r="O283" s="7">
        <f>LN(E283/E282)</f>
        <v/>
      </c>
      <c r="P283" s="7">
        <f>LN(F283/F282)</f>
        <v/>
      </c>
      <c r="Q283" s="7">
        <f>G283-G282</f>
        <v/>
      </c>
      <c r="R283" s="7">
        <f>H283-H282</f>
        <v/>
      </c>
      <c r="S283" s="7">
        <f>LN(I283/I282)</f>
        <v/>
      </c>
      <c r="T283" s="7">
        <f>LN(J283/J282)</f>
        <v/>
      </c>
      <c r="U283" s="7">
        <f>$W$12+$W$4*M283+$W$5*N283+$W$6*O283+$W$7*P283+$W$8*Q283+$W$9*R283+$W$10*S283+$W$11*T283</f>
        <v/>
      </c>
      <c r="AA283" s="8">
        <f>INDEX(LINEST(L224:L283,M224:T283,TRUE,TRUE),1,9)*12</f>
        <v/>
      </c>
      <c r="AB283" s="7">
        <f>INDEX(LINEST(L224:L283,M224:T283,TRUE,TRUE),1,8)</f>
        <v/>
      </c>
      <c r="AC283" s="7">
        <f>INDEX(LINEST(L224:L283,M224:T283,TRUE,TRUE),1,7)</f>
        <v/>
      </c>
      <c r="AD283" s="7">
        <f>INDEX(LINEST(L224:L283,M224:T283,TRUE,TRUE),1,6)</f>
        <v/>
      </c>
      <c r="AE283" s="7">
        <f>INDEX(LINEST(L224:L283,M224:T283,TRUE,TRUE),1,5)</f>
        <v/>
      </c>
      <c r="AF283" s="7">
        <f>INDEX(LINEST(L224:L283,M224:T283,TRUE,TRUE),1,4)</f>
        <v/>
      </c>
      <c r="AG283" s="7">
        <f>INDEX(LINEST(L224:L283,M224:T283,TRUE,TRUE),1,3)</f>
        <v/>
      </c>
      <c r="AH283" s="7">
        <f>INDEX(LINEST(L224:L283,M224:T283,TRUE,TRUE),1,2)</f>
        <v/>
      </c>
      <c r="AI283" s="7">
        <f>INDEX(LINEST(L224:L283,M224:T283,TRUE,TRUE),1,1)</f>
        <v/>
      </c>
      <c r="AJ283" s="8">
        <f>INDEX(LINEST(L224:L283,M224:T283,TRUE,TRUE),3,1)</f>
        <v/>
      </c>
    </row>
    <row r="284">
      <c r="A284" s="5" t="n">
        <v>46203</v>
      </c>
      <c r="B284" s="6" t="n">
        <v>4150.9</v>
      </c>
      <c r="C284" s="6" t="n">
        <v>2.23</v>
      </c>
      <c r="D284" s="6" t="n">
        <v>2.23</v>
      </c>
      <c r="E284" s="6" t="n">
        <v>101.417</v>
      </c>
      <c r="F284" s="6" t="n">
        <v>84.65000000000001</v>
      </c>
      <c r="G284" s="6" t="n">
        <v>17.28</v>
      </c>
      <c r="H284" s="6" t="n">
        <v>68.77979999999999</v>
      </c>
      <c r="I284" s="6" t="n">
        <v>7365.459961</v>
      </c>
      <c r="J284" s="6" t="n">
        <v>98.709999</v>
      </c>
      <c r="L284" s="7">
        <f>LN(B284/B283)</f>
        <v/>
      </c>
      <c r="M284" s="7">
        <f>C284-C283</f>
        <v/>
      </c>
      <c r="N284" s="7">
        <f>D284-D283</f>
        <v/>
      </c>
      <c r="O284" s="7">
        <f>LN(E284/E283)</f>
        <v/>
      </c>
      <c r="P284" s="7">
        <f>LN(F284/F283)</f>
        <v/>
      </c>
      <c r="Q284" s="7">
        <f>G284-G283</f>
        <v/>
      </c>
      <c r="R284" s="7">
        <f>H284-H283</f>
        <v/>
      </c>
      <c r="S284" s="7">
        <f>LN(I284/I283)</f>
        <v/>
      </c>
      <c r="T284" s="7">
        <f>LN(J284/J283)</f>
        <v/>
      </c>
      <c r="U284" s="7">
        <f>$W$12+$W$4*M284+$W$5*N284+$W$6*O284+$W$7*P284+$W$8*Q284+$W$9*R284+$W$10*S284+$W$11*T284</f>
        <v/>
      </c>
      <c r="AA284" s="8">
        <f>INDEX(LINEST(L225:L284,M225:T284,TRUE,TRUE),1,9)*12</f>
        <v/>
      </c>
      <c r="AB284" s="7">
        <f>INDEX(LINEST(L225:L284,M225:T284,TRUE,TRUE),1,8)</f>
        <v/>
      </c>
      <c r="AC284" s="7">
        <f>INDEX(LINEST(L225:L284,M225:T284,TRUE,TRUE),1,7)</f>
        <v/>
      </c>
      <c r="AD284" s="7">
        <f>INDEX(LINEST(L225:L284,M225:T284,TRUE,TRUE),1,6)</f>
        <v/>
      </c>
      <c r="AE284" s="7">
        <f>INDEX(LINEST(L225:L284,M225:T284,TRUE,TRUE),1,5)</f>
        <v/>
      </c>
      <c r="AF284" s="7">
        <f>INDEX(LINEST(L225:L284,M225:T284,TRUE,TRUE),1,4)</f>
        <v/>
      </c>
      <c r="AG284" s="7">
        <f>INDEX(LINEST(L225:L284,M225:T284,TRUE,TRUE),1,3)</f>
        <v/>
      </c>
      <c r="AH284" s="7">
        <f>INDEX(LINEST(L225:L284,M225:T284,TRUE,TRUE),1,2)</f>
        <v/>
      </c>
      <c r="AI284" s="7">
        <f>INDEX(LINEST(L225:L284,M225:T284,TRUE,TRUE),1,1)</f>
        <v/>
      </c>
      <c r="AJ284" s="8">
        <f>INDEX(LINEST(L225:L284,M225:T284,TRUE,TRUE),3,1)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0" customWidth="1" min="22" max="22"/>
  </cols>
  <sheetData>
    <row r="1">
      <c r="A1" s="1" t="inlineStr">
        <is>
          <t>Gold factor regression — monthly, Bloomberg BDH (needs BBG add-in)</t>
        </is>
      </c>
    </row>
    <row r="2">
      <c r="A2" s="2" t="inlineStr">
        <is>
          <t>Date</t>
        </is>
      </c>
      <c r="B2" s="2" t="inlineStr">
        <is>
          <t>Gold (LBMA PM)</t>
        </is>
      </c>
      <c r="C2" s="2" t="inlineStr">
        <is>
          <t>10Y breakeven</t>
        </is>
      </c>
      <c r="D2" s="2" t="inlineStr">
        <is>
          <t>10Y TIPS real</t>
        </is>
      </c>
      <c r="E2" s="2" t="inlineStr">
        <is>
          <t>US Dollar Index DXY</t>
        </is>
      </c>
      <c r="F2" s="2" t="inlineStr">
        <is>
          <t>WTI crude oil</t>
        </is>
      </c>
      <c r="G2" s="2" t="inlineStr">
        <is>
          <t>Equity vol VIX</t>
        </is>
      </c>
      <c r="H2" s="2" t="inlineStr">
        <is>
          <t>Rate vol MOVE</t>
        </is>
      </c>
      <c r="I2" s="2" t="inlineStr">
        <is>
          <t>S&amp;P 500 (price)</t>
        </is>
      </c>
      <c r="J2" s="2" t="inlineStr">
        <is>
          <t>US Agg bonds TR</t>
        </is>
      </c>
      <c r="L2" s="2" t="inlineStr">
        <is>
          <t>Gold ret</t>
        </is>
      </c>
      <c r="M2" s="2" t="inlineStr">
        <is>
          <t>Δ 10Y BE</t>
        </is>
      </c>
      <c r="N2" s="2" t="inlineStr">
        <is>
          <t>Δ 10Y real</t>
        </is>
      </c>
      <c r="O2" s="2" t="inlineStr">
        <is>
          <t>DXY ret</t>
        </is>
      </c>
      <c r="P2" s="2" t="inlineStr">
        <is>
          <t>Oil ret</t>
        </is>
      </c>
      <c r="Q2" s="2" t="inlineStr">
        <is>
          <t>Δ VIX</t>
        </is>
      </c>
      <c r="R2" s="2" t="inlineStr">
        <is>
          <t>Δ MOVE</t>
        </is>
      </c>
      <c r="S2" s="2" t="inlineStr">
        <is>
          <t>S&amp;P ret</t>
        </is>
      </c>
      <c r="T2" s="2" t="inlineStr">
        <is>
          <t>Agg ret</t>
        </is>
      </c>
      <c r="U2" s="3" t="inlineStr">
        <is>
          <t>Fitted</t>
        </is>
      </c>
      <c r="V2" s="4" t="inlineStr">
        <is>
          <t>Regression (monthly, full sample)</t>
        </is>
      </c>
    </row>
    <row r="3">
      <c r="A3" s="9">
        <f>BDH("GOLDLNPM Index, USGGBE10 Index, USGGT10Y Index, DXY Curncy, CL1 Comdty, VIX Index, MOVE Index, SPX Index, LBUSTRUU Index","PX_LAST",DATE(2003,1,31),TODAY(),"Per=cm","Dts=S","Sort=A","cols=10;rows=282")</f>
        <v/>
      </c>
      <c r="V3" s="3" t="inlineStr">
        <is>
          <t>Factor</t>
        </is>
      </c>
      <c r="W3" s="3" t="inlineStr">
        <is>
          <t>β</t>
        </is>
      </c>
      <c r="X3" s="3" t="inlineStr">
        <is>
          <t>std err</t>
        </is>
      </c>
      <c r="Y3" s="3" t="inlineStr">
        <is>
          <t>t-stat</t>
        </is>
      </c>
    </row>
    <row r="4">
      <c r="L4" s="7">
        <f>LN(B4/B3)</f>
        <v/>
      </c>
      <c r="M4" s="7">
        <f>C4-C3</f>
        <v/>
      </c>
      <c r="N4" s="7">
        <f>D4-D3</f>
        <v/>
      </c>
      <c r="O4" s="7">
        <f>LN(E4/E3)</f>
        <v/>
      </c>
      <c r="P4" s="7">
        <f>LN(F4/F3)</f>
        <v/>
      </c>
      <c r="Q4" s="7">
        <f>G4-G3</f>
        <v/>
      </c>
      <c r="R4" s="7">
        <f>H4-H3</f>
        <v/>
      </c>
      <c r="S4" s="7">
        <f>LN(I4/I3)</f>
        <v/>
      </c>
      <c r="T4" s="7">
        <f>LN(J4/J3)</f>
        <v/>
      </c>
      <c r="U4" s="7">
        <f>$W$12+$W$4*M4+$W$5*N4+$W$6*O4+$W$7*P4+$W$8*Q4+$W$9*R4+$W$10*S4+$W$11*T4</f>
        <v/>
      </c>
      <c r="V4" t="inlineStr">
        <is>
          <t>10Y breakeven</t>
        </is>
      </c>
      <c r="W4" s="7">
        <f>INDEX(LINEST($L$4:$L$284,$M$4:$T$284,TRUE,TRUE),1,8)</f>
        <v/>
      </c>
      <c r="X4" s="7">
        <f>INDEX(LINEST($L$4:$L$284,$M$4:$T$284,TRUE,TRUE),2,8)</f>
        <v/>
      </c>
      <c r="Y4" s="7">
        <f>W4/X4</f>
        <v/>
      </c>
    </row>
    <row r="5">
      <c r="L5" s="7">
        <f>LN(B5/B4)</f>
        <v/>
      </c>
      <c r="M5" s="7">
        <f>C5-C4</f>
        <v/>
      </c>
      <c r="N5" s="7">
        <f>D5-D4</f>
        <v/>
      </c>
      <c r="O5" s="7">
        <f>LN(E5/E4)</f>
        <v/>
      </c>
      <c r="P5" s="7">
        <f>LN(F5/F4)</f>
        <v/>
      </c>
      <c r="Q5" s="7">
        <f>G5-G4</f>
        <v/>
      </c>
      <c r="R5" s="7">
        <f>H5-H4</f>
        <v/>
      </c>
      <c r="S5" s="7">
        <f>LN(I5/I4)</f>
        <v/>
      </c>
      <c r="T5" s="7">
        <f>LN(J5/J4)</f>
        <v/>
      </c>
      <c r="U5" s="7">
        <f>$W$12+$W$4*M5+$W$5*N5+$W$6*O5+$W$7*P5+$W$8*Q5+$W$9*R5+$W$10*S5+$W$11*T5</f>
        <v/>
      </c>
      <c r="V5" t="inlineStr">
        <is>
          <t>10Y TIPS real</t>
        </is>
      </c>
      <c r="W5" s="7">
        <f>INDEX(LINEST($L$4:$L$284,$M$4:$T$284,TRUE,TRUE),1,7)</f>
        <v/>
      </c>
      <c r="X5" s="7">
        <f>INDEX(LINEST($L$4:$L$284,$M$4:$T$284,TRUE,TRUE),2,7)</f>
        <v/>
      </c>
      <c r="Y5" s="7">
        <f>W5/X5</f>
        <v/>
      </c>
    </row>
    <row r="6">
      <c r="L6" s="7">
        <f>LN(B6/B5)</f>
        <v/>
      </c>
      <c r="M6" s="7">
        <f>C6-C5</f>
        <v/>
      </c>
      <c r="N6" s="7">
        <f>D6-D5</f>
        <v/>
      </c>
      <c r="O6" s="7">
        <f>LN(E6/E5)</f>
        <v/>
      </c>
      <c r="P6" s="7">
        <f>LN(F6/F5)</f>
        <v/>
      </c>
      <c r="Q6" s="7">
        <f>G6-G5</f>
        <v/>
      </c>
      <c r="R6" s="7">
        <f>H6-H5</f>
        <v/>
      </c>
      <c r="S6" s="7">
        <f>LN(I6/I5)</f>
        <v/>
      </c>
      <c r="T6" s="7">
        <f>LN(J6/J5)</f>
        <v/>
      </c>
      <c r="U6" s="7">
        <f>$W$12+$W$4*M6+$W$5*N6+$W$6*O6+$W$7*P6+$W$8*Q6+$W$9*R6+$W$10*S6+$W$11*T6</f>
        <v/>
      </c>
      <c r="V6" t="inlineStr">
        <is>
          <t>US Dollar Index DXY</t>
        </is>
      </c>
      <c r="W6" s="7">
        <f>INDEX(LINEST($L$4:$L$284,$M$4:$T$284,TRUE,TRUE),1,6)</f>
        <v/>
      </c>
      <c r="X6" s="7">
        <f>INDEX(LINEST($L$4:$L$284,$M$4:$T$284,TRUE,TRUE),2,6)</f>
        <v/>
      </c>
      <c r="Y6" s="7">
        <f>W6/X6</f>
        <v/>
      </c>
    </row>
    <row r="7">
      <c r="L7" s="7">
        <f>LN(B7/B6)</f>
        <v/>
      </c>
      <c r="M7" s="7">
        <f>C7-C6</f>
        <v/>
      </c>
      <c r="N7" s="7">
        <f>D7-D6</f>
        <v/>
      </c>
      <c r="O7" s="7">
        <f>LN(E7/E6)</f>
        <v/>
      </c>
      <c r="P7" s="7">
        <f>LN(F7/F6)</f>
        <v/>
      </c>
      <c r="Q7" s="7">
        <f>G7-G6</f>
        <v/>
      </c>
      <c r="R7" s="7">
        <f>H7-H6</f>
        <v/>
      </c>
      <c r="S7" s="7">
        <f>LN(I7/I6)</f>
        <v/>
      </c>
      <c r="T7" s="7">
        <f>LN(J7/J6)</f>
        <v/>
      </c>
      <c r="U7" s="7">
        <f>$W$12+$W$4*M7+$W$5*N7+$W$6*O7+$W$7*P7+$W$8*Q7+$W$9*R7+$W$10*S7+$W$11*T7</f>
        <v/>
      </c>
      <c r="V7" t="inlineStr">
        <is>
          <t>WTI crude oil</t>
        </is>
      </c>
      <c r="W7" s="7">
        <f>INDEX(LINEST($L$4:$L$284,$M$4:$T$284,TRUE,TRUE),1,5)</f>
        <v/>
      </c>
      <c r="X7" s="7">
        <f>INDEX(LINEST($L$4:$L$284,$M$4:$T$284,TRUE,TRUE),2,5)</f>
        <v/>
      </c>
      <c r="Y7" s="7">
        <f>W7/X7</f>
        <v/>
      </c>
    </row>
    <row r="8">
      <c r="L8" s="7">
        <f>LN(B8/B7)</f>
        <v/>
      </c>
      <c r="M8" s="7">
        <f>C8-C7</f>
        <v/>
      </c>
      <c r="N8" s="7">
        <f>D8-D7</f>
        <v/>
      </c>
      <c r="O8" s="7">
        <f>LN(E8/E7)</f>
        <v/>
      </c>
      <c r="P8" s="7">
        <f>LN(F8/F7)</f>
        <v/>
      </c>
      <c r="Q8" s="7">
        <f>G8-G7</f>
        <v/>
      </c>
      <c r="R8" s="7">
        <f>H8-H7</f>
        <v/>
      </c>
      <c r="S8" s="7">
        <f>LN(I8/I7)</f>
        <v/>
      </c>
      <c r="T8" s="7">
        <f>LN(J8/J7)</f>
        <v/>
      </c>
      <c r="U8" s="7">
        <f>$W$12+$W$4*M8+$W$5*N8+$W$6*O8+$W$7*P8+$W$8*Q8+$W$9*R8+$W$10*S8+$W$11*T8</f>
        <v/>
      </c>
      <c r="V8" t="inlineStr">
        <is>
          <t>Equity vol VIX</t>
        </is>
      </c>
      <c r="W8" s="7">
        <f>INDEX(LINEST($L$4:$L$284,$M$4:$T$284,TRUE,TRUE),1,4)</f>
        <v/>
      </c>
      <c r="X8" s="7">
        <f>INDEX(LINEST($L$4:$L$284,$M$4:$T$284,TRUE,TRUE),2,4)</f>
        <v/>
      </c>
      <c r="Y8" s="7">
        <f>W8/X8</f>
        <v/>
      </c>
    </row>
    <row r="9">
      <c r="L9" s="7">
        <f>LN(B9/B8)</f>
        <v/>
      </c>
      <c r="M9" s="7">
        <f>C9-C8</f>
        <v/>
      </c>
      <c r="N9" s="7">
        <f>D9-D8</f>
        <v/>
      </c>
      <c r="O9" s="7">
        <f>LN(E9/E8)</f>
        <v/>
      </c>
      <c r="P9" s="7">
        <f>LN(F9/F8)</f>
        <v/>
      </c>
      <c r="Q9" s="7">
        <f>G9-G8</f>
        <v/>
      </c>
      <c r="R9" s="7">
        <f>H9-H8</f>
        <v/>
      </c>
      <c r="S9" s="7">
        <f>LN(I9/I8)</f>
        <v/>
      </c>
      <c r="T9" s="7">
        <f>LN(J9/J8)</f>
        <v/>
      </c>
      <c r="U9" s="7">
        <f>$W$12+$W$4*M9+$W$5*N9+$W$6*O9+$W$7*P9+$W$8*Q9+$W$9*R9+$W$10*S9+$W$11*T9</f>
        <v/>
      </c>
      <c r="V9" t="inlineStr">
        <is>
          <t>Rate vol MOVE</t>
        </is>
      </c>
      <c r="W9" s="7">
        <f>INDEX(LINEST($L$4:$L$284,$M$4:$T$284,TRUE,TRUE),1,3)</f>
        <v/>
      </c>
      <c r="X9" s="7">
        <f>INDEX(LINEST($L$4:$L$284,$M$4:$T$284,TRUE,TRUE),2,3)</f>
        <v/>
      </c>
      <c r="Y9" s="7">
        <f>W9/X9</f>
        <v/>
      </c>
    </row>
    <row r="10">
      <c r="L10" s="7">
        <f>LN(B10/B9)</f>
        <v/>
      </c>
      <c r="M10" s="7">
        <f>C10-C9</f>
        <v/>
      </c>
      <c r="N10" s="7">
        <f>D10-D9</f>
        <v/>
      </c>
      <c r="O10" s="7">
        <f>LN(E10/E9)</f>
        <v/>
      </c>
      <c r="P10" s="7">
        <f>LN(F10/F9)</f>
        <v/>
      </c>
      <c r="Q10" s="7">
        <f>G10-G9</f>
        <v/>
      </c>
      <c r="R10" s="7">
        <f>H10-H9</f>
        <v/>
      </c>
      <c r="S10" s="7">
        <f>LN(I10/I9)</f>
        <v/>
      </c>
      <c r="T10" s="7">
        <f>LN(J10/J9)</f>
        <v/>
      </c>
      <c r="U10" s="7">
        <f>$W$12+$W$4*M10+$W$5*N10+$W$6*O10+$W$7*P10+$W$8*Q10+$W$9*R10+$W$10*S10+$W$11*T10</f>
        <v/>
      </c>
      <c r="V10" t="inlineStr">
        <is>
          <t>S&amp;P 500 (price)</t>
        </is>
      </c>
      <c r="W10" s="7">
        <f>INDEX(LINEST($L$4:$L$284,$M$4:$T$284,TRUE,TRUE),1,2)</f>
        <v/>
      </c>
      <c r="X10" s="7">
        <f>INDEX(LINEST($L$4:$L$284,$M$4:$T$284,TRUE,TRUE),2,2)</f>
        <v/>
      </c>
      <c r="Y10" s="7">
        <f>W10/X10</f>
        <v/>
      </c>
    </row>
    <row r="11">
      <c r="L11" s="7">
        <f>LN(B11/B10)</f>
        <v/>
      </c>
      <c r="M11" s="7">
        <f>C11-C10</f>
        <v/>
      </c>
      <c r="N11" s="7">
        <f>D11-D10</f>
        <v/>
      </c>
      <c r="O11" s="7">
        <f>LN(E11/E10)</f>
        <v/>
      </c>
      <c r="P11" s="7">
        <f>LN(F11/F10)</f>
        <v/>
      </c>
      <c r="Q11" s="7">
        <f>G11-G10</f>
        <v/>
      </c>
      <c r="R11" s="7">
        <f>H11-H10</f>
        <v/>
      </c>
      <c r="S11" s="7">
        <f>LN(I11/I10)</f>
        <v/>
      </c>
      <c r="T11" s="7">
        <f>LN(J11/J10)</f>
        <v/>
      </c>
      <c r="U11" s="7">
        <f>$W$12+$W$4*M11+$W$5*N11+$W$6*O11+$W$7*P11+$W$8*Q11+$W$9*R11+$W$10*S11+$W$11*T11</f>
        <v/>
      </c>
      <c r="V11" t="inlineStr">
        <is>
          <t>US Agg bonds TR</t>
        </is>
      </c>
      <c r="W11" s="7">
        <f>INDEX(LINEST($L$4:$L$284,$M$4:$T$284,TRUE,TRUE),1,1)</f>
        <v/>
      </c>
      <c r="X11" s="7">
        <f>INDEX(LINEST($L$4:$L$284,$M$4:$T$284,TRUE,TRUE),2,1)</f>
        <v/>
      </c>
      <c r="Y11" s="7">
        <f>W11/X11</f>
        <v/>
      </c>
    </row>
    <row r="12">
      <c r="L12" s="7">
        <f>LN(B12/B11)</f>
        <v/>
      </c>
      <c r="M12" s="7">
        <f>C12-C11</f>
        <v/>
      </c>
      <c r="N12" s="7">
        <f>D12-D11</f>
        <v/>
      </c>
      <c r="O12" s="7">
        <f>LN(E12/E11)</f>
        <v/>
      </c>
      <c r="P12" s="7">
        <f>LN(F12/F11)</f>
        <v/>
      </c>
      <c r="Q12" s="7">
        <f>G12-G11</f>
        <v/>
      </c>
      <c r="R12" s="7">
        <f>H12-H11</f>
        <v/>
      </c>
      <c r="S12" s="7">
        <f>LN(I12/I11)</f>
        <v/>
      </c>
      <c r="T12" s="7">
        <f>LN(J12/J11)</f>
        <v/>
      </c>
      <c r="U12" s="7">
        <f>$W$12+$W$4*M12+$W$5*N12+$W$6*O12+$W$7*P12+$W$8*Q12+$W$9*R12+$W$10*S12+$W$11*T12</f>
        <v/>
      </c>
      <c r="V12" t="inlineStr">
        <is>
          <t>Intercept α</t>
        </is>
      </c>
      <c r="W12" s="7">
        <f>INDEX(LINEST($L$4:$L$284,$M$4:$T$284,TRUE,TRUE),1,9)</f>
        <v/>
      </c>
      <c r="X12" s="7">
        <f>INDEX(LINEST($L$4:$L$284,$M$4:$T$284,TRUE,TRUE),2,9)</f>
        <v/>
      </c>
      <c r="Y12" s="7">
        <f>W12/X12</f>
        <v/>
      </c>
    </row>
    <row r="13">
      <c r="L13" s="7">
        <f>LN(B13/B12)</f>
        <v/>
      </c>
      <c r="M13" s="7">
        <f>C13-C12</f>
        <v/>
      </c>
      <c r="N13" s="7">
        <f>D13-D12</f>
        <v/>
      </c>
      <c r="O13" s="7">
        <f>LN(E13/E12)</f>
        <v/>
      </c>
      <c r="P13" s="7">
        <f>LN(F13/F12)</f>
        <v/>
      </c>
      <c r="Q13" s="7">
        <f>G13-G12</f>
        <v/>
      </c>
      <c r="R13" s="7">
        <f>H13-H12</f>
        <v/>
      </c>
      <c r="S13" s="7">
        <f>LN(I13/I12)</f>
        <v/>
      </c>
      <c r="T13" s="7">
        <f>LN(J13/J12)</f>
        <v/>
      </c>
      <c r="U13" s="7">
        <f>$W$12+$W$4*M13+$W$5*N13+$W$6*O13+$W$7*P13+$W$8*Q13+$W$9*R13+$W$10*S13+$W$11*T13</f>
        <v/>
      </c>
    </row>
    <row r="14">
      <c r="L14" s="7">
        <f>LN(B14/B13)</f>
        <v/>
      </c>
      <c r="M14" s="7">
        <f>C14-C13</f>
        <v/>
      </c>
      <c r="N14" s="7">
        <f>D14-D13</f>
        <v/>
      </c>
      <c r="O14" s="7">
        <f>LN(E14/E13)</f>
        <v/>
      </c>
      <c r="P14" s="7">
        <f>LN(F14/F13)</f>
        <v/>
      </c>
      <c r="Q14" s="7">
        <f>G14-G13</f>
        <v/>
      </c>
      <c r="R14" s="7">
        <f>H14-H13</f>
        <v/>
      </c>
      <c r="S14" s="7">
        <f>LN(I14/I13)</f>
        <v/>
      </c>
      <c r="T14" s="7">
        <f>LN(J14/J13)</f>
        <v/>
      </c>
      <c r="U14" s="7">
        <f>$W$12+$W$4*M14+$W$5*N14+$W$6*O14+$W$7*P14+$W$8*Q14+$W$9*R14+$W$10*S14+$W$11*T14</f>
        <v/>
      </c>
      <c r="V14" t="inlineStr">
        <is>
          <t>R²</t>
        </is>
      </c>
      <c r="W14" s="8">
        <f>INDEX(LINEST($L$4:$L$284,$M$4:$T$284,TRUE,TRUE),3,1)</f>
        <v/>
      </c>
    </row>
    <row r="15">
      <c r="L15" s="7">
        <f>LN(B15/B14)</f>
        <v/>
      </c>
      <c r="M15" s="7">
        <f>C15-C14</f>
        <v/>
      </c>
      <c r="N15" s="7">
        <f>D15-D14</f>
        <v/>
      </c>
      <c r="O15" s="7">
        <f>LN(E15/E14)</f>
        <v/>
      </c>
      <c r="P15" s="7">
        <f>LN(F15/F14)</f>
        <v/>
      </c>
      <c r="Q15" s="7">
        <f>G15-G14</f>
        <v/>
      </c>
      <c r="R15" s="7">
        <f>H15-H14</f>
        <v/>
      </c>
      <c r="S15" s="7">
        <f>LN(I15/I14)</f>
        <v/>
      </c>
      <c r="T15" s="7">
        <f>LN(J15/J14)</f>
        <v/>
      </c>
      <c r="U15" s="7">
        <f>$W$12+$W$4*M15+$W$5*N15+$W$6*O15+$W$7*P15+$W$8*Q15+$W$9*R15+$W$10*S15+$W$11*T15</f>
        <v/>
      </c>
      <c r="V15" t="inlineStr">
        <is>
          <t>α annualized</t>
        </is>
      </c>
      <c r="W15" s="8">
        <f>W12*12</f>
        <v/>
      </c>
    </row>
    <row r="16">
      <c r="L16" s="7">
        <f>LN(B16/B15)</f>
        <v/>
      </c>
      <c r="M16" s="7">
        <f>C16-C15</f>
        <v/>
      </c>
      <c r="N16" s="7">
        <f>D16-D15</f>
        <v/>
      </c>
      <c r="O16" s="7">
        <f>LN(E16/E15)</f>
        <v/>
      </c>
      <c r="P16" s="7">
        <f>LN(F16/F15)</f>
        <v/>
      </c>
      <c r="Q16" s="7">
        <f>G16-G15</f>
        <v/>
      </c>
      <c r="R16" s="7">
        <f>H16-H15</f>
        <v/>
      </c>
      <c r="S16" s="7">
        <f>LN(I16/I15)</f>
        <v/>
      </c>
      <c r="T16" s="7">
        <f>LN(J16/J15)</f>
        <v/>
      </c>
      <c r="U16" s="7">
        <f>$W$12+$W$4*M16+$W$5*N16+$W$6*O16+$W$7*P16+$W$8*Q16+$W$9*R16+$W$10*S16+$W$11*T16</f>
        <v/>
      </c>
    </row>
    <row r="17">
      <c r="L17" s="7">
        <f>LN(B17/B16)</f>
        <v/>
      </c>
      <c r="M17" s="7">
        <f>C17-C16</f>
        <v/>
      </c>
      <c r="N17" s="7">
        <f>D17-D16</f>
        <v/>
      </c>
      <c r="O17" s="7">
        <f>LN(E17/E16)</f>
        <v/>
      </c>
      <c r="P17" s="7">
        <f>LN(F17/F16)</f>
        <v/>
      </c>
      <c r="Q17" s="7">
        <f>G17-G16</f>
        <v/>
      </c>
      <c r="R17" s="7">
        <f>H17-H16</f>
        <v/>
      </c>
      <c r="S17" s="7">
        <f>LN(I17/I16)</f>
        <v/>
      </c>
      <c r="T17" s="7">
        <f>LN(J17/J16)</f>
        <v/>
      </c>
      <c r="U17" s="7">
        <f>$W$12+$W$4*M17+$W$5*N17+$W$6*O17+$W$7*P17+$W$8*Q17+$W$9*R17+$W$10*S17+$W$11*T17</f>
        <v/>
      </c>
    </row>
    <row r="18">
      <c r="L18" s="7">
        <f>LN(B18/B17)</f>
        <v/>
      </c>
      <c r="M18" s="7">
        <f>C18-C17</f>
        <v/>
      </c>
      <c r="N18" s="7">
        <f>D18-D17</f>
        <v/>
      </c>
      <c r="O18" s="7">
        <f>LN(E18/E17)</f>
        <v/>
      </c>
      <c r="P18" s="7">
        <f>LN(F18/F17)</f>
        <v/>
      </c>
      <c r="Q18" s="7">
        <f>G18-G17</f>
        <v/>
      </c>
      <c r="R18" s="7">
        <f>H18-H17</f>
        <v/>
      </c>
      <c r="S18" s="7">
        <f>LN(I18/I17)</f>
        <v/>
      </c>
      <c r="T18" s="7">
        <f>LN(J18/J17)</f>
        <v/>
      </c>
      <c r="U18" s="7">
        <f>$W$12+$W$4*M18+$W$5*N18+$W$6*O18+$W$7*P18+$W$8*Q18+$W$9*R18+$W$10*S18+$W$11*T18</f>
        <v/>
      </c>
    </row>
    <row r="19">
      <c r="L19" s="7">
        <f>LN(B19/B18)</f>
        <v/>
      </c>
      <c r="M19" s="7">
        <f>C19-C18</f>
        <v/>
      </c>
      <c r="N19" s="7">
        <f>D19-D18</f>
        <v/>
      </c>
      <c r="O19" s="7">
        <f>LN(E19/E18)</f>
        <v/>
      </c>
      <c r="P19" s="7">
        <f>LN(F19/F18)</f>
        <v/>
      </c>
      <c r="Q19" s="7">
        <f>G19-G18</f>
        <v/>
      </c>
      <c r="R19" s="7">
        <f>H19-H18</f>
        <v/>
      </c>
      <c r="S19" s="7">
        <f>LN(I19/I18)</f>
        <v/>
      </c>
      <c r="T19" s="7">
        <f>LN(J19/J18)</f>
        <v/>
      </c>
      <c r="U19" s="7">
        <f>$W$12+$W$4*M19+$W$5*N19+$W$6*O19+$W$7*P19+$W$8*Q19+$W$9*R19+$W$10*S19+$W$11*T19</f>
        <v/>
      </c>
    </row>
    <row r="20">
      <c r="L20" s="7">
        <f>LN(B20/B19)</f>
        <v/>
      </c>
      <c r="M20" s="7">
        <f>C20-C19</f>
        <v/>
      </c>
      <c r="N20" s="7">
        <f>D20-D19</f>
        <v/>
      </c>
      <c r="O20" s="7">
        <f>LN(E20/E19)</f>
        <v/>
      </c>
      <c r="P20" s="7">
        <f>LN(F20/F19)</f>
        <v/>
      </c>
      <c r="Q20" s="7">
        <f>G20-G19</f>
        <v/>
      </c>
      <c r="R20" s="7">
        <f>H20-H19</f>
        <v/>
      </c>
      <c r="S20" s="7">
        <f>LN(I20/I19)</f>
        <v/>
      </c>
      <c r="T20" s="7">
        <f>LN(J20/J19)</f>
        <v/>
      </c>
      <c r="U20" s="7">
        <f>$W$12+$W$4*M20+$W$5*N20+$W$6*O20+$W$7*P20+$W$8*Q20+$W$9*R20+$W$10*S20+$W$11*T20</f>
        <v/>
      </c>
    </row>
    <row r="21">
      <c r="L21" s="7">
        <f>LN(B21/B20)</f>
        <v/>
      </c>
      <c r="M21" s="7">
        <f>C21-C20</f>
        <v/>
      </c>
      <c r="N21" s="7">
        <f>D21-D20</f>
        <v/>
      </c>
      <c r="O21" s="7">
        <f>LN(E21/E20)</f>
        <v/>
      </c>
      <c r="P21" s="7">
        <f>LN(F21/F20)</f>
        <v/>
      </c>
      <c r="Q21" s="7">
        <f>G21-G20</f>
        <v/>
      </c>
      <c r="R21" s="7">
        <f>H21-H20</f>
        <v/>
      </c>
      <c r="S21" s="7">
        <f>LN(I21/I20)</f>
        <v/>
      </c>
      <c r="T21" s="7">
        <f>LN(J21/J20)</f>
        <v/>
      </c>
      <c r="U21" s="7">
        <f>$W$12+$W$4*M21+$W$5*N21+$W$6*O21+$W$7*P21+$W$8*Q21+$W$9*R21+$W$10*S21+$W$11*T21</f>
        <v/>
      </c>
    </row>
    <row r="22">
      <c r="L22" s="7">
        <f>LN(B22/B21)</f>
        <v/>
      </c>
      <c r="M22" s="7">
        <f>C22-C21</f>
        <v/>
      </c>
      <c r="N22" s="7">
        <f>D22-D21</f>
        <v/>
      </c>
      <c r="O22" s="7">
        <f>LN(E22/E21)</f>
        <v/>
      </c>
      <c r="P22" s="7">
        <f>LN(F22/F21)</f>
        <v/>
      </c>
      <c r="Q22" s="7">
        <f>G22-G21</f>
        <v/>
      </c>
      <c r="R22" s="7">
        <f>H22-H21</f>
        <v/>
      </c>
      <c r="S22" s="7">
        <f>LN(I22/I21)</f>
        <v/>
      </c>
      <c r="T22" s="7">
        <f>LN(J22/J21)</f>
        <v/>
      </c>
      <c r="U22" s="7">
        <f>$W$12+$W$4*M22+$W$5*N22+$W$6*O22+$W$7*P22+$W$8*Q22+$W$9*R22+$W$10*S22+$W$11*T22</f>
        <v/>
      </c>
    </row>
    <row r="23">
      <c r="L23" s="7">
        <f>LN(B23/B22)</f>
        <v/>
      </c>
      <c r="M23" s="7">
        <f>C23-C22</f>
        <v/>
      </c>
      <c r="N23" s="7">
        <f>D23-D22</f>
        <v/>
      </c>
      <c r="O23" s="7">
        <f>LN(E23/E22)</f>
        <v/>
      </c>
      <c r="P23" s="7">
        <f>LN(F23/F22)</f>
        <v/>
      </c>
      <c r="Q23" s="7">
        <f>G23-G22</f>
        <v/>
      </c>
      <c r="R23" s="7">
        <f>H23-H22</f>
        <v/>
      </c>
      <c r="S23" s="7">
        <f>LN(I23/I22)</f>
        <v/>
      </c>
      <c r="T23" s="7">
        <f>LN(J23/J22)</f>
        <v/>
      </c>
      <c r="U23" s="7">
        <f>$W$12+$W$4*M23+$W$5*N23+$W$6*O23+$W$7*P23+$W$8*Q23+$W$9*R23+$W$10*S23+$W$11*T23</f>
        <v/>
      </c>
    </row>
    <row r="24">
      <c r="L24" s="7">
        <f>LN(B24/B23)</f>
        <v/>
      </c>
      <c r="M24" s="7">
        <f>C24-C23</f>
        <v/>
      </c>
      <c r="N24" s="7">
        <f>D24-D23</f>
        <v/>
      </c>
      <c r="O24" s="7">
        <f>LN(E24/E23)</f>
        <v/>
      </c>
      <c r="P24" s="7">
        <f>LN(F24/F23)</f>
        <v/>
      </c>
      <c r="Q24" s="7">
        <f>G24-G23</f>
        <v/>
      </c>
      <c r="R24" s="7">
        <f>H24-H23</f>
        <v/>
      </c>
      <c r="S24" s="7">
        <f>LN(I24/I23)</f>
        <v/>
      </c>
      <c r="T24" s="7">
        <f>LN(J24/J23)</f>
        <v/>
      </c>
      <c r="U24" s="7">
        <f>$W$12+$W$4*M24+$W$5*N24+$W$6*O24+$W$7*P24+$W$8*Q24+$W$9*R24+$W$10*S24+$W$11*T24</f>
        <v/>
      </c>
    </row>
    <row r="25">
      <c r="L25" s="7">
        <f>LN(B25/B24)</f>
        <v/>
      </c>
      <c r="M25" s="7">
        <f>C25-C24</f>
        <v/>
      </c>
      <c r="N25" s="7">
        <f>D25-D24</f>
        <v/>
      </c>
      <c r="O25" s="7">
        <f>LN(E25/E24)</f>
        <v/>
      </c>
      <c r="P25" s="7">
        <f>LN(F25/F24)</f>
        <v/>
      </c>
      <c r="Q25" s="7">
        <f>G25-G24</f>
        <v/>
      </c>
      <c r="R25" s="7">
        <f>H25-H24</f>
        <v/>
      </c>
      <c r="S25" s="7">
        <f>LN(I25/I24)</f>
        <v/>
      </c>
      <c r="T25" s="7">
        <f>LN(J25/J24)</f>
        <v/>
      </c>
      <c r="U25" s="7">
        <f>$W$12+$W$4*M25+$W$5*N25+$W$6*O25+$W$7*P25+$W$8*Q25+$W$9*R25+$W$10*S25+$W$11*T25</f>
        <v/>
      </c>
    </row>
    <row r="26">
      <c r="L26" s="7">
        <f>LN(B26/B25)</f>
        <v/>
      </c>
      <c r="M26" s="7">
        <f>C26-C25</f>
        <v/>
      </c>
      <c r="N26" s="7">
        <f>D26-D25</f>
        <v/>
      </c>
      <c r="O26" s="7">
        <f>LN(E26/E25)</f>
        <v/>
      </c>
      <c r="P26" s="7">
        <f>LN(F26/F25)</f>
        <v/>
      </c>
      <c r="Q26" s="7">
        <f>G26-G25</f>
        <v/>
      </c>
      <c r="R26" s="7">
        <f>H26-H25</f>
        <v/>
      </c>
      <c r="S26" s="7">
        <f>LN(I26/I25)</f>
        <v/>
      </c>
      <c r="T26" s="7">
        <f>LN(J26/J25)</f>
        <v/>
      </c>
      <c r="U26" s="7">
        <f>$W$12+$W$4*M26+$W$5*N26+$W$6*O26+$W$7*P26+$W$8*Q26+$W$9*R26+$W$10*S26+$W$11*T26</f>
        <v/>
      </c>
    </row>
    <row r="27">
      <c r="L27" s="7">
        <f>LN(B27/B26)</f>
        <v/>
      </c>
      <c r="M27" s="7">
        <f>C27-C26</f>
        <v/>
      </c>
      <c r="N27" s="7">
        <f>D27-D26</f>
        <v/>
      </c>
      <c r="O27" s="7">
        <f>LN(E27/E26)</f>
        <v/>
      </c>
      <c r="P27" s="7">
        <f>LN(F27/F26)</f>
        <v/>
      </c>
      <c r="Q27" s="7">
        <f>G27-G26</f>
        <v/>
      </c>
      <c r="R27" s="7">
        <f>H27-H26</f>
        <v/>
      </c>
      <c r="S27" s="7">
        <f>LN(I27/I26)</f>
        <v/>
      </c>
      <c r="T27" s="7">
        <f>LN(J27/J26)</f>
        <v/>
      </c>
      <c r="U27" s="7">
        <f>$W$12+$W$4*M27+$W$5*N27+$W$6*O27+$W$7*P27+$W$8*Q27+$W$9*R27+$W$10*S27+$W$11*T27</f>
        <v/>
      </c>
    </row>
    <row r="28">
      <c r="L28" s="7">
        <f>LN(B28/B27)</f>
        <v/>
      </c>
      <c r="M28" s="7">
        <f>C28-C27</f>
        <v/>
      </c>
      <c r="N28" s="7">
        <f>D28-D27</f>
        <v/>
      </c>
      <c r="O28" s="7">
        <f>LN(E28/E27)</f>
        <v/>
      </c>
      <c r="P28" s="7">
        <f>LN(F28/F27)</f>
        <v/>
      </c>
      <c r="Q28" s="7">
        <f>G28-G27</f>
        <v/>
      </c>
      <c r="R28" s="7">
        <f>H28-H27</f>
        <v/>
      </c>
      <c r="S28" s="7">
        <f>LN(I28/I27)</f>
        <v/>
      </c>
      <c r="T28" s="7">
        <f>LN(J28/J27)</f>
        <v/>
      </c>
      <c r="U28" s="7">
        <f>$W$12+$W$4*M28+$W$5*N28+$W$6*O28+$W$7*P28+$W$8*Q28+$W$9*R28+$W$10*S28+$W$11*T28</f>
        <v/>
      </c>
    </row>
    <row r="29">
      <c r="L29" s="7">
        <f>LN(B29/B28)</f>
        <v/>
      </c>
      <c r="M29" s="7">
        <f>C29-C28</f>
        <v/>
      </c>
      <c r="N29" s="7">
        <f>D29-D28</f>
        <v/>
      </c>
      <c r="O29" s="7">
        <f>LN(E29/E28)</f>
        <v/>
      </c>
      <c r="P29" s="7">
        <f>LN(F29/F28)</f>
        <v/>
      </c>
      <c r="Q29" s="7">
        <f>G29-G28</f>
        <v/>
      </c>
      <c r="R29" s="7">
        <f>H29-H28</f>
        <v/>
      </c>
      <c r="S29" s="7">
        <f>LN(I29/I28)</f>
        <v/>
      </c>
      <c r="T29" s="7">
        <f>LN(J29/J28)</f>
        <v/>
      </c>
      <c r="U29" s="7">
        <f>$W$12+$W$4*M29+$W$5*N29+$W$6*O29+$W$7*P29+$W$8*Q29+$W$9*R29+$W$10*S29+$W$11*T29</f>
        <v/>
      </c>
    </row>
    <row r="30">
      <c r="L30" s="7">
        <f>LN(B30/B29)</f>
        <v/>
      </c>
      <c r="M30" s="7">
        <f>C30-C29</f>
        <v/>
      </c>
      <c r="N30" s="7">
        <f>D30-D29</f>
        <v/>
      </c>
      <c r="O30" s="7">
        <f>LN(E30/E29)</f>
        <v/>
      </c>
      <c r="P30" s="7">
        <f>LN(F30/F29)</f>
        <v/>
      </c>
      <c r="Q30" s="7">
        <f>G30-G29</f>
        <v/>
      </c>
      <c r="R30" s="7">
        <f>H30-H29</f>
        <v/>
      </c>
      <c r="S30" s="7">
        <f>LN(I30/I29)</f>
        <v/>
      </c>
      <c r="T30" s="7">
        <f>LN(J30/J29)</f>
        <v/>
      </c>
      <c r="U30" s="7">
        <f>$W$12+$W$4*M30+$W$5*N30+$W$6*O30+$W$7*P30+$W$8*Q30+$W$9*R30+$W$10*S30+$W$11*T30</f>
        <v/>
      </c>
    </row>
    <row r="31">
      <c r="L31" s="7">
        <f>LN(B31/B30)</f>
        <v/>
      </c>
      <c r="M31" s="7">
        <f>C31-C30</f>
        <v/>
      </c>
      <c r="N31" s="7">
        <f>D31-D30</f>
        <v/>
      </c>
      <c r="O31" s="7">
        <f>LN(E31/E30)</f>
        <v/>
      </c>
      <c r="P31" s="7">
        <f>LN(F31/F30)</f>
        <v/>
      </c>
      <c r="Q31" s="7">
        <f>G31-G30</f>
        <v/>
      </c>
      <c r="R31" s="7">
        <f>H31-H30</f>
        <v/>
      </c>
      <c r="S31" s="7">
        <f>LN(I31/I30)</f>
        <v/>
      </c>
      <c r="T31" s="7">
        <f>LN(J31/J30)</f>
        <v/>
      </c>
      <c r="U31" s="7">
        <f>$W$12+$W$4*M31+$W$5*N31+$W$6*O31+$W$7*P31+$W$8*Q31+$W$9*R31+$W$10*S31+$W$11*T31</f>
        <v/>
      </c>
    </row>
    <row r="32">
      <c r="L32" s="7">
        <f>LN(B32/B31)</f>
        <v/>
      </c>
      <c r="M32" s="7">
        <f>C32-C31</f>
        <v/>
      </c>
      <c r="N32" s="7">
        <f>D32-D31</f>
        <v/>
      </c>
      <c r="O32" s="7">
        <f>LN(E32/E31)</f>
        <v/>
      </c>
      <c r="P32" s="7">
        <f>LN(F32/F31)</f>
        <v/>
      </c>
      <c r="Q32" s="7">
        <f>G32-G31</f>
        <v/>
      </c>
      <c r="R32" s="7">
        <f>H32-H31</f>
        <v/>
      </c>
      <c r="S32" s="7">
        <f>LN(I32/I31)</f>
        <v/>
      </c>
      <c r="T32" s="7">
        <f>LN(J32/J31)</f>
        <v/>
      </c>
      <c r="U32" s="7">
        <f>$W$12+$W$4*M32+$W$5*N32+$W$6*O32+$W$7*P32+$W$8*Q32+$W$9*R32+$W$10*S32+$W$11*T32</f>
        <v/>
      </c>
    </row>
    <row r="33">
      <c r="L33" s="7">
        <f>LN(B33/B32)</f>
        <v/>
      </c>
      <c r="M33" s="7">
        <f>C33-C32</f>
        <v/>
      </c>
      <c r="N33" s="7">
        <f>D33-D32</f>
        <v/>
      </c>
      <c r="O33" s="7">
        <f>LN(E33/E32)</f>
        <v/>
      </c>
      <c r="P33" s="7">
        <f>LN(F33/F32)</f>
        <v/>
      </c>
      <c r="Q33" s="7">
        <f>G33-G32</f>
        <v/>
      </c>
      <c r="R33" s="7">
        <f>H33-H32</f>
        <v/>
      </c>
      <c r="S33" s="7">
        <f>LN(I33/I32)</f>
        <v/>
      </c>
      <c r="T33" s="7">
        <f>LN(J33/J32)</f>
        <v/>
      </c>
      <c r="U33" s="7">
        <f>$W$12+$W$4*M33+$W$5*N33+$W$6*O33+$W$7*P33+$W$8*Q33+$W$9*R33+$W$10*S33+$W$11*T33</f>
        <v/>
      </c>
    </row>
    <row r="34">
      <c r="L34" s="7">
        <f>LN(B34/B33)</f>
        <v/>
      </c>
      <c r="M34" s="7">
        <f>C34-C33</f>
        <v/>
      </c>
      <c r="N34" s="7">
        <f>D34-D33</f>
        <v/>
      </c>
      <c r="O34" s="7">
        <f>LN(E34/E33)</f>
        <v/>
      </c>
      <c r="P34" s="7">
        <f>LN(F34/F33)</f>
        <v/>
      </c>
      <c r="Q34" s="7">
        <f>G34-G33</f>
        <v/>
      </c>
      <c r="R34" s="7">
        <f>H34-H33</f>
        <v/>
      </c>
      <c r="S34" s="7">
        <f>LN(I34/I33)</f>
        <v/>
      </c>
      <c r="T34" s="7">
        <f>LN(J34/J33)</f>
        <v/>
      </c>
      <c r="U34" s="7">
        <f>$W$12+$W$4*M34+$W$5*N34+$W$6*O34+$W$7*P34+$W$8*Q34+$W$9*R34+$W$10*S34+$W$11*T34</f>
        <v/>
      </c>
    </row>
    <row r="35">
      <c r="L35" s="7">
        <f>LN(B35/B34)</f>
        <v/>
      </c>
      <c r="M35" s="7">
        <f>C35-C34</f>
        <v/>
      </c>
      <c r="N35" s="7">
        <f>D35-D34</f>
        <v/>
      </c>
      <c r="O35" s="7">
        <f>LN(E35/E34)</f>
        <v/>
      </c>
      <c r="P35" s="7">
        <f>LN(F35/F34)</f>
        <v/>
      </c>
      <c r="Q35" s="7">
        <f>G35-G34</f>
        <v/>
      </c>
      <c r="R35" s="7">
        <f>H35-H34</f>
        <v/>
      </c>
      <c r="S35" s="7">
        <f>LN(I35/I34)</f>
        <v/>
      </c>
      <c r="T35" s="7">
        <f>LN(J35/J34)</f>
        <v/>
      </c>
      <c r="U35" s="7">
        <f>$W$12+$W$4*M35+$W$5*N35+$W$6*O35+$W$7*P35+$W$8*Q35+$W$9*R35+$W$10*S35+$W$11*T35</f>
        <v/>
      </c>
    </row>
    <row r="36">
      <c r="L36" s="7">
        <f>LN(B36/B35)</f>
        <v/>
      </c>
      <c r="M36" s="7">
        <f>C36-C35</f>
        <v/>
      </c>
      <c r="N36" s="7">
        <f>D36-D35</f>
        <v/>
      </c>
      <c r="O36" s="7">
        <f>LN(E36/E35)</f>
        <v/>
      </c>
      <c r="P36" s="7">
        <f>LN(F36/F35)</f>
        <v/>
      </c>
      <c r="Q36" s="7">
        <f>G36-G35</f>
        <v/>
      </c>
      <c r="R36" s="7">
        <f>H36-H35</f>
        <v/>
      </c>
      <c r="S36" s="7">
        <f>LN(I36/I35)</f>
        <v/>
      </c>
      <c r="T36" s="7">
        <f>LN(J36/J35)</f>
        <v/>
      </c>
      <c r="U36" s="7">
        <f>$W$12+$W$4*M36+$W$5*N36+$W$6*O36+$W$7*P36+$W$8*Q36+$W$9*R36+$W$10*S36+$W$11*T36</f>
        <v/>
      </c>
    </row>
    <row r="37">
      <c r="L37" s="7">
        <f>LN(B37/B36)</f>
        <v/>
      </c>
      <c r="M37" s="7">
        <f>C37-C36</f>
        <v/>
      </c>
      <c r="N37" s="7">
        <f>D37-D36</f>
        <v/>
      </c>
      <c r="O37" s="7">
        <f>LN(E37/E36)</f>
        <v/>
      </c>
      <c r="P37" s="7">
        <f>LN(F37/F36)</f>
        <v/>
      </c>
      <c r="Q37" s="7">
        <f>G37-G36</f>
        <v/>
      </c>
      <c r="R37" s="7">
        <f>H37-H36</f>
        <v/>
      </c>
      <c r="S37" s="7">
        <f>LN(I37/I36)</f>
        <v/>
      </c>
      <c r="T37" s="7">
        <f>LN(J37/J36)</f>
        <v/>
      </c>
      <c r="U37" s="7">
        <f>$W$12+$W$4*M37+$W$5*N37+$W$6*O37+$W$7*P37+$W$8*Q37+$W$9*R37+$W$10*S37+$W$11*T37</f>
        <v/>
      </c>
    </row>
    <row r="38">
      <c r="L38" s="7">
        <f>LN(B38/B37)</f>
        <v/>
      </c>
      <c r="M38" s="7">
        <f>C38-C37</f>
        <v/>
      </c>
      <c r="N38" s="7">
        <f>D38-D37</f>
        <v/>
      </c>
      <c r="O38" s="7">
        <f>LN(E38/E37)</f>
        <v/>
      </c>
      <c r="P38" s="7">
        <f>LN(F38/F37)</f>
        <v/>
      </c>
      <c r="Q38" s="7">
        <f>G38-G37</f>
        <v/>
      </c>
      <c r="R38" s="7">
        <f>H38-H37</f>
        <v/>
      </c>
      <c r="S38" s="7">
        <f>LN(I38/I37)</f>
        <v/>
      </c>
      <c r="T38" s="7">
        <f>LN(J38/J37)</f>
        <v/>
      </c>
      <c r="U38" s="7">
        <f>$W$12+$W$4*M38+$W$5*N38+$W$6*O38+$W$7*P38+$W$8*Q38+$W$9*R38+$W$10*S38+$W$11*T38</f>
        <v/>
      </c>
    </row>
    <row r="39">
      <c r="L39" s="7">
        <f>LN(B39/B38)</f>
        <v/>
      </c>
      <c r="M39" s="7">
        <f>C39-C38</f>
        <v/>
      </c>
      <c r="N39" s="7">
        <f>D39-D38</f>
        <v/>
      </c>
      <c r="O39" s="7">
        <f>LN(E39/E38)</f>
        <v/>
      </c>
      <c r="P39" s="7">
        <f>LN(F39/F38)</f>
        <v/>
      </c>
      <c r="Q39" s="7">
        <f>G39-G38</f>
        <v/>
      </c>
      <c r="R39" s="7">
        <f>H39-H38</f>
        <v/>
      </c>
      <c r="S39" s="7">
        <f>LN(I39/I38)</f>
        <v/>
      </c>
      <c r="T39" s="7">
        <f>LN(J39/J38)</f>
        <v/>
      </c>
      <c r="U39" s="7">
        <f>$W$12+$W$4*M39+$W$5*N39+$W$6*O39+$W$7*P39+$W$8*Q39+$W$9*R39+$W$10*S39+$W$11*T39</f>
        <v/>
      </c>
    </row>
    <row r="40">
      <c r="L40" s="7">
        <f>LN(B40/B39)</f>
        <v/>
      </c>
      <c r="M40" s="7">
        <f>C40-C39</f>
        <v/>
      </c>
      <c r="N40" s="7">
        <f>D40-D39</f>
        <v/>
      </c>
      <c r="O40" s="7">
        <f>LN(E40/E39)</f>
        <v/>
      </c>
      <c r="P40" s="7">
        <f>LN(F40/F39)</f>
        <v/>
      </c>
      <c r="Q40" s="7">
        <f>G40-G39</f>
        <v/>
      </c>
      <c r="R40" s="7">
        <f>H40-H39</f>
        <v/>
      </c>
      <c r="S40" s="7">
        <f>LN(I40/I39)</f>
        <v/>
      </c>
      <c r="T40" s="7">
        <f>LN(J40/J39)</f>
        <v/>
      </c>
      <c r="U40" s="7">
        <f>$W$12+$W$4*M40+$W$5*N40+$W$6*O40+$W$7*P40+$W$8*Q40+$W$9*R40+$W$10*S40+$W$11*T40</f>
        <v/>
      </c>
    </row>
    <row r="41">
      <c r="L41" s="7">
        <f>LN(B41/B40)</f>
        <v/>
      </c>
      <c r="M41" s="7">
        <f>C41-C40</f>
        <v/>
      </c>
      <c r="N41" s="7">
        <f>D41-D40</f>
        <v/>
      </c>
      <c r="O41" s="7">
        <f>LN(E41/E40)</f>
        <v/>
      </c>
      <c r="P41" s="7">
        <f>LN(F41/F40)</f>
        <v/>
      </c>
      <c r="Q41" s="7">
        <f>G41-G40</f>
        <v/>
      </c>
      <c r="R41" s="7">
        <f>H41-H40</f>
        <v/>
      </c>
      <c r="S41" s="7">
        <f>LN(I41/I40)</f>
        <v/>
      </c>
      <c r="T41" s="7">
        <f>LN(J41/J40)</f>
        <v/>
      </c>
      <c r="U41" s="7">
        <f>$W$12+$W$4*M41+$W$5*N41+$W$6*O41+$W$7*P41+$W$8*Q41+$W$9*R41+$W$10*S41+$W$11*T41</f>
        <v/>
      </c>
    </row>
    <row r="42">
      <c r="L42" s="7">
        <f>LN(B42/B41)</f>
        <v/>
      </c>
      <c r="M42" s="7">
        <f>C42-C41</f>
        <v/>
      </c>
      <c r="N42" s="7">
        <f>D42-D41</f>
        <v/>
      </c>
      <c r="O42" s="7">
        <f>LN(E42/E41)</f>
        <v/>
      </c>
      <c r="P42" s="7">
        <f>LN(F42/F41)</f>
        <v/>
      </c>
      <c r="Q42" s="7">
        <f>G42-G41</f>
        <v/>
      </c>
      <c r="R42" s="7">
        <f>H42-H41</f>
        <v/>
      </c>
      <c r="S42" s="7">
        <f>LN(I42/I41)</f>
        <v/>
      </c>
      <c r="T42" s="7">
        <f>LN(J42/J41)</f>
        <v/>
      </c>
      <c r="U42" s="7">
        <f>$W$12+$W$4*M42+$W$5*N42+$W$6*O42+$W$7*P42+$W$8*Q42+$W$9*R42+$W$10*S42+$W$11*T42</f>
        <v/>
      </c>
    </row>
    <row r="43">
      <c r="L43" s="7">
        <f>LN(B43/B42)</f>
        <v/>
      </c>
      <c r="M43" s="7">
        <f>C43-C42</f>
        <v/>
      </c>
      <c r="N43" s="7">
        <f>D43-D42</f>
        <v/>
      </c>
      <c r="O43" s="7">
        <f>LN(E43/E42)</f>
        <v/>
      </c>
      <c r="P43" s="7">
        <f>LN(F43/F42)</f>
        <v/>
      </c>
      <c r="Q43" s="7">
        <f>G43-G42</f>
        <v/>
      </c>
      <c r="R43" s="7">
        <f>H43-H42</f>
        <v/>
      </c>
      <c r="S43" s="7">
        <f>LN(I43/I42)</f>
        <v/>
      </c>
      <c r="T43" s="7">
        <f>LN(J43/J42)</f>
        <v/>
      </c>
      <c r="U43" s="7">
        <f>$W$12+$W$4*M43+$W$5*N43+$W$6*O43+$W$7*P43+$W$8*Q43+$W$9*R43+$W$10*S43+$W$11*T43</f>
        <v/>
      </c>
    </row>
    <row r="44">
      <c r="L44" s="7">
        <f>LN(B44/B43)</f>
        <v/>
      </c>
      <c r="M44" s="7">
        <f>C44-C43</f>
        <v/>
      </c>
      <c r="N44" s="7">
        <f>D44-D43</f>
        <v/>
      </c>
      <c r="O44" s="7">
        <f>LN(E44/E43)</f>
        <v/>
      </c>
      <c r="P44" s="7">
        <f>LN(F44/F43)</f>
        <v/>
      </c>
      <c r="Q44" s="7">
        <f>G44-G43</f>
        <v/>
      </c>
      <c r="R44" s="7">
        <f>H44-H43</f>
        <v/>
      </c>
      <c r="S44" s="7">
        <f>LN(I44/I43)</f>
        <v/>
      </c>
      <c r="T44" s="7">
        <f>LN(J44/J43)</f>
        <v/>
      </c>
      <c r="U44" s="7">
        <f>$W$12+$W$4*M44+$W$5*N44+$W$6*O44+$W$7*P44+$W$8*Q44+$W$9*R44+$W$10*S44+$W$11*T44</f>
        <v/>
      </c>
    </row>
    <row r="45">
      <c r="L45" s="7">
        <f>LN(B45/B44)</f>
        <v/>
      </c>
      <c r="M45" s="7">
        <f>C45-C44</f>
        <v/>
      </c>
      <c r="N45" s="7">
        <f>D45-D44</f>
        <v/>
      </c>
      <c r="O45" s="7">
        <f>LN(E45/E44)</f>
        <v/>
      </c>
      <c r="P45" s="7">
        <f>LN(F45/F44)</f>
        <v/>
      </c>
      <c r="Q45" s="7">
        <f>G45-G44</f>
        <v/>
      </c>
      <c r="R45" s="7">
        <f>H45-H44</f>
        <v/>
      </c>
      <c r="S45" s="7">
        <f>LN(I45/I44)</f>
        <v/>
      </c>
      <c r="T45" s="7">
        <f>LN(J45/J44)</f>
        <v/>
      </c>
      <c r="U45" s="7">
        <f>$W$12+$W$4*M45+$W$5*N45+$W$6*O45+$W$7*P45+$W$8*Q45+$W$9*R45+$W$10*S45+$W$11*T45</f>
        <v/>
      </c>
    </row>
    <row r="46">
      <c r="L46" s="7">
        <f>LN(B46/B45)</f>
        <v/>
      </c>
      <c r="M46" s="7">
        <f>C46-C45</f>
        <v/>
      </c>
      <c r="N46" s="7">
        <f>D46-D45</f>
        <v/>
      </c>
      <c r="O46" s="7">
        <f>LN(E46/E45)</f>
        <v/>
      </c>
      <c r="P46" s="7">
        <f>LN(F46/F45)</f>
        <v/>
      </c>
      <c r="Q46" s="7">
        <f>G46-G45</f>
        <v/>
      </c>
      <c r="R46" s="7">
        <f>H46-H45</f>
        <v/>
      </c>
      <c r="S46" s="7">
        <f>LN(I46/I45)</f>
        <v/>
      </c>
      <c r="T46" s="7">
        <f>LN(J46/J45)</f>
        <v/>
      </c>
      <c r="U46" s="7">
        <f>$W$12+$W$4*M46+$W$5*N46+$W$6*O46+$W$7*P46+$W$8*Q46+$W$9*R46+$W$10*S46+$W$11*T46</f>
        <v/>
      </c>
    </row>
    <row r="47">
      <c r="L47" s="7">
        <f>LN(B47/B46)</f>
        <v/>
      </c>
      <c r="M47" s="7">
        <f>C47-C46</f>
        <v/>
      </c>
      <c r="N47" s="7">
        <f>D47-D46</f>
        <v/>
      </c>
      <c r="O47" s="7">
        <f>LN(E47/E46)</f>
        <v/>
      </c>
      <c r="P47" s="7">
        <f>LN(F47/F46)</f>
        <v/>
      </c>
      <c r="Q47" s="7">
        <f>G47-G46</f>
        <v/>
      </c>
      <c r="R47" s="7">
        <f>H47-H46</f>
        <v/>
      </c>
      <c r="S47" s="7">
        <f>LN(I47/I46)</f>
        <v/>
      </c>
      <c r="T47" s="7">
        <f>LN(J47/J46)</f>
        <v/>
      </c>
      <c r="U47" s="7">
        <f>$W$12+$W$4*M47+$W$5*N47+$W$6*O47+$W$7*P47+$W$8*Q47+$W$9*R47+$W$10*S47+$W$11*T47</f>
        <v/>
      </c>
    </row>
    <row r="48">
      <c r="L48" s="7">
        <f>LN(B48/B47)</f>
        <v/>
      </c>
      <c r="M48" s="7">
        <f>C48-C47</f>
        <v/>
      </c>
      <c r="N48" s="7">
        <f>D48-D47</f>
        <v/>
      </c>
      <c r="O48" s="7">
        <f>LN(E48/E47)</f>
        <v/>
      </c>
      <c r="P48" s="7">
        <f>LN(F48/F47)</f>
        <v/>
      </c>
      <c r="Q48" s="7">
        <f>G48-G47</f>
        <v/>
      </c>
      <c r="R48" s="7">
        <f>H48-H47</f>
        <v/>
      </c>
      <c r="S48" s="7">
        <f>LN(I48/I47)</f>
        <v/>
      </c>
      <c r="T48" s="7">
        <f>LN(J48/J47)</f>
        <v/>
      </c>
      <c r="U48" s="7">
        <f>$W$12+$W$4*M48+$W$5*N48+$W$6*O48+$W$7*P48+$W$8*Q48+$W$9*R48+$W$10*S48+$W$11*T48</f>
        <v/>
      </c>
    </row>
    <row r="49">
      <c r="L49" s="7">
        <f>LN(B49/B48)</f>
        <v/>
      </c>
      <c r="M49" s="7">
        <f>C49-C48</f>
        <v/>
      </c>
      <c r="N49" s="7">
        <f>D49-D48</f>
        <v/>
      </c>
      <c r="O49" s="7">
        <f>LN(E49/E48)</f>
        <v/>
      </c>
      <c r="P49" s="7">
        <f>LN(F49/F48)</f>
        <v/>
      </c>
      <c r="Q49" s="7">
        <f>G49-G48</f>
        <v/>
      </c>
      <c r="R49" s="7">
        <f>H49-H48</f>
        <v/>
      </c>
      <c r="S49" s="7">
        <f>LN(I49/I48)</f>
        <v/>
      </c>
      <c r="T49" s="7">
        <f>LN(J49/J48)</f>
        <v/>
      </c>
      <c r="U49" s="7">
        <f>$W$12+$W$4*M49+$W$5*N49+$W$6*O49+$W$7*P49+$W$8*Q49+$W$9*R49+$W$10*S49+$W$11*T49</f>
        <v/>
      </c>
    </row>
    <row r="50">
      <c r="L50" s="7">
        <f>LN(B50/B49)</f>
        <v/>
      </c>
      <c r="M50" s="7">
        <f>C50-C49</f>
        <v/>
      </c>
      <c r="N50" s="7">
        <f>D50-D49</f>
        <v/>
      </c>
      <c r="O50" s="7">
        <f>LN(E50/E49)</f>
        <v/>
      </c>
      <c r="P50" s="7">
        <f>LN(F50/F49)</f>
        <v/>
      </c>
      <c r="Q50" s="7">
        <f>G50-G49</f>
        <v/>
      </c>
      <c r="R50" s="7">
        <f>H50-H49</f>
        <v/>
      </c>
      <c r="S50" s="7">
        <f>LN(I50/I49)</f>
        <v/>
      </c>
      <c r="T50" s="7">
        <f>LN(J50/J49)</f>
        <v/>
      </c>
      <c r="U50" s="7">
        <f>$W$12+$W$4*M50+$W$5*N50+$W$6*O50+$W$7*P50+$W$8*Q50+$W$9*R50+$W$10*S50+$W$11*T50</f>
        <v/>
      </c>
    </row>
    <row r="51">
      <c r="L51" s="7">
        <f>LN(B51/B50)</f>
        <v/>
      </c>
      <c r="M51" s="7">
        <f>C51-C50</f>
        <v/>
      </c>
      <c r="N51" s="7">
        <f>D51-D50</f>
        <v/>
      </c>
      <c r="O51" s="7">
        <f>LN(E51/E50)</f>
        <v/>
      </c>
      <c r="P51" s="7">
        <f>LN(F51/F50)</f>
        <v/>
      </c>
      <c r="Q51" s="7">
        <f>G51-G50</f>
        <v/>
      </c>
      <c r="R51" s="7">
        <f>H51-H50</f>
        <v/>
      </c>
      <c r="S51" s="7">
        <f>LN(I51/I50)</f>
        <v/>
      </c>
      <c r="T51" s="7">
        <f>LN(J51/J50)</f>
        <v/>
      </c>
      <c r="U51" s="7">
        <f>$W$12+$W$4*M51+$W$5*N51+$W$6*O51+$W$7*P51+$W$8*Q51+$W$9*R51+$W$10*S51+$W$11*T51</f>
        <v/>
      </c>
    </row>
    <row r="52">
      <c r="L52" s="7">
        <f>LN(B52/B51)</f>
        <v/>
      </c>
      <c r="M52" s="7">
        <f>C52-C51</f>
        <v/>
      </c>
      <c r="N52" s="7">
        <f>D52-D51</f>
        <v/>
      </c>
      <c r="O52" s="7">
        <f>LN(E52/E51)</f>
        <v/>
      </c>
      <c r="P52" s="7">
        <f>LN(F52/F51)</f>
        <v/>
      </c>
      <c r="Q52" s="7">
        <f>G52-G51</f>
        <v/>
      </c>
      <c r="R52" s="7">
        <f>H52-H51</f>
        <v/>
      </c>
      <c r="S52" s="7">
        <f>LN(I52/I51)</f>
        <v/>
      </c>
      <c r="T52" s="7">
        <f>LN(J52/J51)</f>
        <v/>
      </c>
      <c r="U52" s="7">
        <f>$W$12+$W$4*M52+$W$5*N52+$W$6*O52+$W$7*P52+$W$8*Q52+$W$9*R52+$W$10*S52+$W$11*T52</f>
        <v/>
      </c>
    </row>
    <row r="53">
      <c r="L53" s="7">
        <f>LN(B53/B52)</f>
        <v/>
      </c>
      <c r="M53" s="7">
        <f>C53-C52</f>
        <v/>
      </c>
      <c r="N53" s="7">
        <f>D53-D52</f>
        <v/>
      </c>
      <c r="O53" s="7">
        <f>LN(E53/E52)</f>
        <v/>
      </c>
      <c r="P53" s="7">
        <f>LN(F53/F52)</f>
        <v/>
      </c>
      <c r="Q53" s="7">
        <f>G53-G52</f>
        <v/>
      </c>
      <c r="R53" s="7">
        <f>H53-H52</f>
        <v/>
      </c>
      <c r="S53" s="7">
        <f>LN(I53/I52)</f>
        <v/>
      </c>
      <c r="T53" s="7">
        <f>LN(J53/J52)</f>
        <v/>
      </c>
      <c r="U53" s="7">
        <f>$W$12+$W$4*M53+$W$5*N53+$W$6*O53+$W$7*P53+$W$8*Q53+$W$9*R53+$W$10*S53+$W$11*T53</f>
        <v/>
      </c>
    </row>
    <row r="54">
      <c r="L54" s="7">
        <f>LN(B54/B53)</f>
        <v/>
      </c>
      <c r="M54" s="7">
        <f>C54-C53</f>
        <v/>
      </c>
      <c r="N54" s="7">
        <f>D54-D53</f>
        <v/>
      </c>
      <c r="O54" s="7">
        <f>LN(E54/E53)</f>
        <v/>
      </c>
      <c r="P54" s="7">
        <f>LN(F54/F53)</f>
        <v/>
      </c>
      <c r="Q54" s="7">
        <f>G54-G53</f>
        <v/>
      </c>
      <c r="R54" s="7">
        <f>H54-H53</f>
        <v/>
      </c>
      <c r="S54" s="7">
        <f>LN(I54/I53)</f>
        <v/>
      </c>
      <c r="T54" s="7">
        <f>LN(J54/J53)</f>
        <v/>
      </c>
      <c r="U54" s="7">
        <f>$W$12+$W$4*M54+$W$5*N54+$W$6*O54+$W$7*P54+$W$8*Q54+$W$9*R54+$W$10*S54+$W$11*T54</f>
        <v/>
      </c>
    </row>
    <row r="55">
      <c r="L55" s="7">
        <f>LN(B55/B54)</f>
        <v/>
      </c>
      <c r="M55" s="7">
        <f>C55-C54</f>
        <v/>
      </c>
      <c r="N55" s="7">
        <f>D55-D54</f>
        <v/>
      </c>
      <c r="O55" s="7">
        <f>LN(E55/E54)</f>
        <v/>
      </c>
      <c r="P55" s="7">
        <f>LN(F55/F54)</f>
        <v/>
      </c>
      <c r="Q55" s="7">
        <f>G55-G54</f>
        <v/>
      </c>
      <c r="R55" s="7">
        <f>H55-H54</f>
        <v/>
      </c>
      <c r="S55" s="7">
        <f>LN(I55/I54)</f>
        <v/>
      </c>
      <c r="T55" s="7">
        <f>LN(J55/J54)</f>
        <v/>
      </c>
      <c r="U55" s="7">
        <f>$W$12+$W$4*M55+$W$5*N55+$W$6*O55+$W$7*P55+$W$8*Q55+$W$9*R55+$W$10*S55+$W$11*T55</f>
        <v/>
      </c>
    </row>
    <row r="56">
      <c r="L56" s="7">
        <f>LN(B56/B55)</f>
        <v/>
      </c>
      <c r="M56" s="7">
        <f>C56-C55</f>
        <v/>
      </c>
      <c r="N56" s="7">
        <f>D56-D55</f>
        <v/>
      </c>
      <c r="O56" s="7">
        <f>LN(E56/E55)</f>
        <v/>
      </c>
      <c r="P56" s="7">
        <f>LN(F56/F55)</f>
        <v/>
      </c>
      <c r="Q56" s="7">
        <f>G56-G55</f>
        <v/>
      </c>
      <c r="R56" s="7">
        <f>H56-H55</f>
        <v/>
      </c>
      <c r="S56" s="7">
        <f>LN(I56/I55)</f>
        <v/>
      </c>
      <c r="T56" s="7">
        <f>LN(J56/J55)</f>
        <v/>
      </c>
      <c r="U56" s="7">
        <f>$W$12+$W$4*M56+$W$5*N56+$W$6*O56+$W$7*P56+$W$8*Q56+$W$9*R56+$W$10*S56+$W$11*T56</f>
        <v/>
      </c>
    </row>
    <row r="57">
      <c r="L57" s="7">
        <f>LN(B57/B56)</f>
        <v/>
      </c>
      <c r="M57" s="7">
        <f>C57-C56</f>
        <v/>
      </c>
      <c r="N57" s="7">
        <f>D57-D56</f>
        <v/>
      </c>
      <c r="O57" s="7">
        <f>LN(E57/E56)</f>
        <v/>
      </c>
      <c r="P57" s="7">
        <f>LN(F57/F56)</f>
        <v/>
      </c>
      <c r="Q57" s="7">
        <f>G57-G56</f>
        <v/>
      </c>
      <c r="R57" s="7">
        <f>H57-H56</f>
        <v/>
      </c>
      <c r="S57" s="7">
        <f>LN(I57/I56)</f>
        <v/>
      </c>
      <c r="T57" s="7">
        <f>LN(J57/J56)</f>
        <v/>
      </c>
      <c r="U57" s="7">
        <f>$W$12+$W$4*M57+$W$5*N57+$W$6*O57+$W$7*P57+$W$8*Q57+$W$9*R57+$W$10*S57+$W$11*T57</f>
        <v/>
      </c>
    </row>
    <row r="58">
      <c r="L58" s="7">
        <f>LN(B58/B57)</f>
        <v/>
      </c>
      <c r="M58" s="7">
        <f>C58-C57</f>
        <v/>
      </c>
      <c r="N58" s="7">
        <f>D58-D57</f>
        <v/>
      </c>
      <c r="O58" s="7">
        <f>LN(E58/E57)</f>
        <v/>
      </c>
      <c r="P58" s="7">
        <f>LN(F58/F57)</f>
        <v/>
      </c>
      <c r="Q58" s="7">
        <f>G58-G57</f>
        <v/>
      </c>
      <c r="R58" s="7">
        <f>H58-H57</f>
        <v/>
      </c>
      <c r="S58" s="7">
        <f>LN(I58/I57)</f>
        <v/>
      </c>
      <c r="T58" s="7">
        <f>LN(J58/J57)</f>
        <v/>
      </c>
      <c r="U58" s="7">
        <f>$W$12+$W$4*M58+$W$5*N58+$W$6*O58+$W$7*P58+$W$8*Q58+$W$9*R58+$W$10*S58+$W$11*T58</f>
        <v/>
      </c>
    </row>
    <row r="59">
      <c r="L59" s="7">
        <f>LN(B59/B58)</f>
        <v/>
      </c>
      <c r="M59" s="7">
        <f>C59-C58</f>
        <v/>
      </c>
      <c r="N59" s="7">
        <f>D59-D58</f>
        <v/>
      </c>
      <c r="O59" s="7">
        <f>LN(E59/E58)</f>
        <v/>
      </c>
      <c r="P59" s="7">
        <f>LN(F59/F58)</f>
        <v/>
      </c>
      <c r="Q59" s="7">
        <f>G59-G58</f>
        <v/>
      </c>
      <c r="R59" s="7">
        <f>H59-H58</f>
        <v/>
      </c>
      <c r="S59" s="7">
        <f>LN(I59/I58)</f>
        <v/>
      </c>
      <c r="T59" s="7">
        <f>LN(J59/J58)</f>
        <v/>
      </c>
      <c r="U59" s="7">
        <f>$W$12+$W$4*M59+$W$5*N59+$W$6*O59+$W$7*P59+$W$8*Q59+$W$9*R59+$W$10*S59+$W$11*T59</f>
        <v/>
      </c>
    </row>
    <row r="60">
      <c r="L60" s="7">
        <f>LN(B60/B59)</f>
        <v/>
      </c>
      <c r="M60" s="7">
        <f>C60-C59</f>
        <v/>
      </c>
      <c r="N60" s="7">
        <f>D60-D59</f>
        <v/>
      </c>
      <c r="O60" s="7">
        <f>LN(E60/E59)</f>
        <v/>
      </c>
      <c r="P60" s="7">
        <f>LN(F60/F59)</f>
        <v/>
      </c>
      <c r="Q60" s="7">
        <f>G60-G59</f>
        <v/>
      </c>
      <c r="R60" s="7">
        <f>H60-H59</f>
        <v/>
      </c>
      <c r="S60" s="7">
        <f>LN(I60/I59)</f>
        <v/>
      </c>
      <c r="T60" s="7">
        <f>LN(J60/J59)</f>
        <v/>
      </c>
      <c r="U60" s="7">
        <f>$W$12+$W$4*M60+$W$5*N60+$W$6*O60+$W$7*P60+$W$8*Q60+$W$9*R60+$W$10*S60+$W$11*T60</f>
        <v/>
      </c>
    </row>
    <row r="61">
      <c r="L61" s="7">
        <f>LN(B61/B60)</f>
        <v/>
      </c>
      <c r="M61" s="7">
        <f>C61-C60</f>
        <v/>
      </c>
      <c r="N61" s="7">
        <f>D61-D60</f>
        <v/>
      </c>
      <c r="O61" s="7">
        <f>LN(E61/E60)</f>
        <v/>
      </c>
      <c r="P61" s="7">
        <f>LN(F61/F60)</f>
        <v/>
      </c>
      <c r="Q61" s="7">
        <f>G61-G60</f>
        <v/>
      </c>
      <c r="R61" s="7">
        <f>H61-H60</f>
        <v/>
      </c>
      <c r="S61" s="7">
        <f>LN(I61/I60)</f>
        <v/>
      </c>
      <c r="T61" s="7">
        <f>LN(J61/J60)</f>
        <v/>
      </c>
      <c r="U61" s="7">
        <f>$W$12+$W$4*M61+$W$5*N61+$W$6*O61+$W$7*P61+$W$8*Q61+$W$9*R61+$W$10*S61+$W$11*T61</f>
        <v/>
      </c>
    </row>
    <row r="62">
      <c r="L62" s="7">
        <f>LN(B62/B61)</f>
        <v/>
      </c>
      <c r="M62" s="7">
        <f>C62-C61</f>
        <v/>
      </c>
      <c r="N62" s="7">
        <f>D62-D61</f>
        <v/>
      </c>
      <c r="O62" s="7">
        <f>LN(E62/E61)</f>
        <v/>
      </c>
      <c r="P62" s="7">
        <f>LN(F62/F61)</f>
        <v/>
      </c>
      <c r="Q62" s="7">
        <f>G62-G61</f>
        <v/>
      </c>
      <c r="R62" s="7">
        <f>H62-H61</f>
        <v/>
      </c>
      <c r="S62" s="7">
        <f>LN(I62/I61)</f>
        <v/>
      </c>
      <c r="T62" s="7">
        <f>LN(J62/J61)</f>
        <v/>
      </c>
      <c r="U62" s="7">
        <f>$W$12+$W$4*M62+$W$5*N62+$W$6*O62+$W$7*P62+$W$8*Q62+$W$9*R62+$W$10*S62+$W$11*T62</f>
        <v/>
      </c>
    </row>
    <row r="63">
      <c r="L63" s="7">
        <f>LN(B63/B62)</f>
        <v/>
      </c>
      <c r="M63" s="7">
        <f>C63-C62</f>
        <v/>
      </c>
      <c r="N63" s="7">
        <f>D63-D62</f>
        <v/>
      </c>
      <c r="O63" s="7">
        <f>LN(E63/E62)</f>
        <v/>
      </c>
      <c r="P63" s="7">
        <f>LN(F63/F62)</f>
        <v/>
      </c>
      <c r="Q63" s="7">
        <f>G63-G62</f>
        <v/>
      </c>
      <c r="R63" s="7">
        <f>H63-H62</f>
        <v/>
      </c>
      <c r="S63" s="7">
        <f>LN(I63/I62)</f>
        <v/>
      </c>
      <c r="T63" s="7">
        <f>LN(J63/J62)</f>
        <v/>
      </c>
      <c r="U63" s="7">
        <f>$W$12+$W$4*M63+$W$5*N63+$W$6*O63+$W$7*P63+$W$8*Q63+$W$9*R63+$W$10*S63+$W$11*T63</f>
        <v/>
      </c>
      <c r="AA63" s="8">
        <f>INDEX(LINEST(L4:L63,M4:T63,TRUE,TRUE),1,9)*12</f>
        <v/>
      </c>
      <c r="AB63" s="7">
        <f>INDEX(LINEST(L4:L63,M4:T63,TRUE,TRUE),1,8)</f>
        <v/>
      </c>
      <c r="AC63" s="7">
        <f>INDEX(LINEST(L4:L63,M4:T63,TRUE,TRUE),1,7)</f>
        <v/>
      </c>
      <c r="AD63" s="7">
        <f>INDEX(LINEST(L4:L63,M4:T63,TRUE,TRUE),1,6)</f>
        <v/>
      </c>
      <c r="AE63" s="7">
        <f>INDEX(LINEST(L4:L63,M4:T63,TRUE,TRUE),1,5)</f>
        <v/>
      </c>
      <c r="AF63" s="7">
        <f>INDEX(LINEST(L4:L63,M4:T63,TRUE,TRUE),1,4)</f>
        <v/>
      </c>
      <c r="AG63" s="7">
        <f>INDEX(LINEST(L4:L63,M4:T63,TRUE,TRUE),1,3)</f>
        <v/>
      </c>
      <c r="AH63" s="7">
        <f>INDEX(LINEST(L4:L63,M4:T63,TRUE,TRUE),1,2)</f>
        <v/>
      </c>
      <c r="AI63" s="7">
        <f>INDEX(LINEST(L4:L63,M4:T63,TRUE,TRUE),1,1)</f>
        <v/>
      </c>
      <c r="AJ63" s="8">
        <f>INDEX(LINEST(L4:L63,M4:T63,TRUE,TRUE),3,1)</f>
        <v/>
      </c>
    </row>
    <row r="64">
      <c r="L64" s="7">
        <f>LN(B64/B63)</f>
        <v/>
      </c>
      <c r="M64" s="7">
        <f>C64-C63</f>
        <v/>
      </c>
      <c r="N64" s="7">
        <f>D64-D63</f>
        <v/>
      </c>
      <c r="O64" s="7">
        <f>LN(E64/E63)</f>
        <v/>
      </c>
      <c r="P64" s="7">
        <f>LN(F64/F63)</f>
        <v/>
      </c>
      <c r="Q64" s="7">
        <f>G64-G63</f>
        <v/>
      </c>
      <c r="R64" s="7">
        <f>H64-H63</f>
        <v/>
      </c>
      <c r="S64" s="7">
        <f>LN(I64/I63)</f>
        <v/>
      </c>
      <c r="T64" s="7">
        <f>LN(J64/J63)</f>
        <v/>
      </c>
      <c r="U64" s="7">
        <f>$W$12+$W$4*M64+$W$5*N64+$W$6*O64+$W$7*P64+$W$8*Q64+$W$9*R64+$W$10*S64+$W$11*T64</f>
        <v/>
      </c>
      <c r="AA64" s="8">
        <f>INDEX(LINEST(L5:L64,M5:T64,TRUE,TRUE),1,9)*12</f>
        <v/>
      </c>
      <c r="AB64" s="7">
        <f>INDEX(LINEST(L5:L64,M5:T64,TRUE,TRUE),1,8)</f>
        <v/>
      </c>
      <c r="AC64" s="7">
        <f>INDEX(LINEST(L5:L64,M5:T64,TRUE,TRUE),1,7)</f>
        <v/>
      </c>
      <c r="AD64" s="7">
        <f>INDEX(LINEST(L5:L64,M5:T64,TRUE,TRUE),1,6)</f>
        <v/>
      </c>
      <c r="AE64" s="7">
        <f>INDEX(LINEST(L5:L64,M5:T64,TRUE,TRUE),1,5)</f>
        <v/>
      </c>
      <c r="AF64" s="7">
        <f>INDEX(LINEST(L5:L64,M5:T64,TRUE,TRUE),1,4)</f>
        <v/>
      </c>
      <c r="AG64" s="7">
        <f>INDEX(LINEST(L5:L64,M5:T64,TRUE,TRUE),1,3)</f>
        <v/>
      </c>
      <c r="AH64" s="7">
        <f>INDEX(LINEST(L5:L64,M5:T64,TRUE,TRUE),1,2)</f>
        <v/>
      </c>
      <c r="AI64" s="7">
        <f>INDEX(LINEST(L5:L64,M5:T64,TRUE,TRUE),1,1)</f>
        <v/>
      </c>
      <c r="AJ64" s="8">
        <f>INDEX(LINEST(L5:L64,M5:T64,TRUE,TRUE),3,1)</f>
        <v/>
      </c>
    </row>
    <row r="65">
      <c r="L65" s="7">
        <f>LN(B65/B64)</f>
        <v/>
      </c>
      <c r="M65" s="7">
        <f>C65-C64</f>
        <v/>
      </c>
      <c r="N65" s="7">
        <f>D65-D64</f>
        <v/>
      </c>
      <c r="O65" s="7">
        <f>LN(E65/E64)</f>
        <v/>
      </c>
      <c r="P65" s="7">
        <f>LN(F65/F64)</f>
        <v/>
      </c>
      <c r="Q65" s="7">
        <f>G65-G64</f>
        <v/>
      </c>
      <c r="R65" s="7">
        <f>H65-H64</f>
        <v/>
      </c>
      <c r="S65" s="7">
        <f>LN(I65/I64)</f>
        <v/>
      </c>
      <c r="T65" s="7">
        <f>LN(J65/J64)</f>
        <v/>
      </c>
      <c r="U65" s="7">
        <f>$W$12+$W$4*M65+$W$5*N65+$W$6*O65+$W$7*P65+$W$8*Q65+$W$9*R65+$W$10*S65+$W$11*T65</f>
        <v/>
      </c>
      <c r="AA65" s="8">
        <f>INDEX(LINEST(L6:L65,M6:T65,TRUE,TRUE),1,9)*12</f>
        <v/>
      </c>
      <c r="AB65" s="7">
        <f>INDEX(LINEST(L6:L65,M6:T65,TRUE,TRUE),1,8)</f>
        <v/>
      </c>
      <c r="AC65" s="7">
        <f>INDEX(LINEST(L6:L65,M6:T65,TRUE,TRUE),1,7)</f>
        <v/>
      </c>
      <c r="AD65" s="7">
        <f>INDEX(LINEST(L6:L65,M6:T65,TRUE,TRUE),1,6)</f>
        <v/>
      </c>
      <c r="AE65" s="7">
        <f>INDEX(LINEST(L6:L65,M6:T65,TRUE,TRUE),1,5)</f>
        <v/>
      </c>
      <c r="AF65" s="7">
        <f>INDEX(LINEST(L6:L65,M6:T65,TRUE,TRUE),1,4)</f>
        <v/>
      </c>
      <c r="AG65" s="7">
        <f>INDEX(LINEST(L6:L65,M6:T65,TRUE,TRUE),1,3)</f>
        <v/>
      </c>
      <c r="AH65" s="7">
        <f>INDEX(LINEST(L6:L65,M6:T65,TRUE,TRUE),1,2)</f>
        <v/>
      </c>
      <c r="AI65" s="7">
        <f>INDEX(LINEST(L6:L65,M6:T65,TRUE,TRUE),1,1)</f>
        <v/>
      </c>
      <c r="AJ65" s="8">
        <f>INDEX(LINEST(L6:L65,M6:T65,TRUE,TRUE),3,1)</f>
        <v/>
      </c>
    </row>
    <row r="66">
      <c r="L66" s="7">
        <f>LN(B66/B65)</f>
        <v/>
      </c>
      <c r="M66" s="7">
        <f>C66-C65</f>
        <v/>
      </c>
      <c r="N66" s="7">
        <f>D66-D65</f>
        <v/>
      </c>
      <c r="O66" s="7">
        <f>LN(E66/E65)</f>
        <v/>
      </c>
      <c r="P66" s="7">
        <f>LN(F66/F65)</f>
        <v/>
      </c>
      <c r="Q66" s="7">
        <f>G66-G65</f>
        <v/>
      </c>
      <c r="R66" s="7">
        <f>H66-H65</f>
        <v/>
      </c>
      <c r="S66" s="7">
        <f>LN(I66/I65)</f>
        <v/>
      </c>
      <c r="T66" s="7">
        <f>LN(J66/J65)</f>
        <v/>
      </c>
      <c r="U66" s="7">
        <f>$W$12+$W$4*M66+$W$5*N66+$W$6*O66+$W$7*P66+$W$8*Q66+$W$9*R66+$W$10*S66+$W$11*T66</f>
        <v/>
      </c>
      <c r="AA66" s="8">
        <f>INDEX(LINEST(L7:L66,M7:T66,TRUE,TRUE),1,9)*12</f>
        <v/>
      </c>
      <c r="AB66" s="7">
        <f>INDEX(LINEST(L7:L66,M7:T66,TRUE,TRUE),1,8)</f>
        <v/>
      </c>
      <c r="AC66" s="7">
        <f>INDEX(LINEST(L7:L66,M7:T66,TRUE,TRUE),1,7)</f>
        <v/>
      </c>
      <c r="AD66" s="7">
        <f>INDEX(LINEST(L7:L66,M7:T66,TRUE,TRUE),1,6)</f>
        <v/>
      </c>
      <c r="AE66" s="7">
        <f>INDEX(LINEST(L7:L66,M7:T66,TRUE,TRUE),1,5)</f>
        <v/>
      </c>
      <c r="AF66" s="7">
        <f>INDEX(LINEST(L7:L66,M7:T66,TRUE,TRUE),1,4)</f>
        <v/>
      </c>
      <c r="AG66" s="7">
        <f>INDEX(LINEST(L7:L66,M7:T66,TRUE,TRUE),1,3)</f>
        <v/>
      </c>
      <c r="AH66" s="7">
        <f>INDEX(LINEST(L7:L66,M7:T66,TRUE,TRUE),1,2)</f>
        <v/>
      </c>
      <c r="AI66" s="7">
        <f>INDEX(LINEST(L7:L66,M7:T66,TRUE,TRUE),1,1)</f>
        <v/>
      </c>
      <c r="AJ66" s="8">
        <f>INDEX(LINEST(L7:L66,M7:T66,TRUE,TRUE),3,1)</f>
        <v/>
      </c>
    </row>
    <row r="67">
      <c r="L67" s="7">
        <f>LN(B67/B66)</f>
        <v/>
      </c>
      <c r="M67" s="7">
        <f>C67-C66</f>
        <v/>
      </c>
      <c r="N67" s="7">
        <f>D67-D66</f>
        <v/>
      </c>
      <c r="O67" s="7">
        <f>LN(E67/E66)</f>
        <v/>
      </c>
      <c r="P67" s="7">
        <f>LN(F67/F66)</f>
        <v/>
      </c>
      <c r="Q67" s="7">
        <f>G67-G66</f>
        <v/>
      </c>
      <c r="R67" s="7">
        <f>H67-H66</f>
        <v/>
      </c>
      <c r="S67" s="7">
        <f>LN(I67/I66)</f>
        <v/>
      </c>
      <c r="T67" s="7">
        <f>LN(J67/J66)</f>
        <v/>
      </c>
      <c r="U67" s="7">
        <f>$W$12+$W$4*M67+$W$5*N67+$W$6*O67+$W$7*P67+$W$8*Q67+$W$9*R67+$W$10*S67+$W$11*T67</f>
        <v/>
      </c>
      <c r="AA67" s="8">
        <f>INDEX(LINEST(L8:L67,M8:T67,TRUE,TRUE),1,9)*12</f>
        <v/>
      </c>
      <c r="AB67" s="7">
        <f>INDEX(LINEST(L8:L67,M8:T67,TRUE,TRUE),1,8)</f>
        <v/>
      </c>
      <c r="AC67" s="7">
        <f>INDEX(LINEST(L8:L67,M8:T67,TRUE,TRUE),1,7)</f>
        <v/>
      </c>
      <c r="AD67" s="7">
        <f>INDEX(LINEST(L8:L67,M8:T67,TRUE,TRUE),1,6)</f>
        <v/>
      </c>
      <c r="AE67" s="7">
        <f>INDEX(LINEST(L8:L67,M8:T67,TRUE,TRUE),1,5)</f>
        <v/>
      </c>
      <c r="AF67" s="7">
        <f>INDEX(LINEST(L8:L67,M8:T67,TRUE,TRUE),1,4)</f>
        <v/>
      </c>
      <c r="AG67" s="7">
        <f>INDEX(LINEST(L8:L67,M8:T67,TRUE,TRUE),1,3)</f>
        <v/>
      </c>
      <c r="AH67" s="7">
        <f>INDEX(LINEST(L8:L67,M8:T67,TRUE,TRUE),1,2)</f>
        <v/>
      </c>
      <c r="AI67" s="7">
        <f>INDEX(LINEST(L8:L67,M8:T67,TRUE,TRUE),1,1)</f>
        <v/>
      </c>
      <c r="AJ67" s="8">
        <f>INDEX(LINEST(L8:L67,M8:T67,TRUE,TRUE),3,1)</f>
        <v/>
      </c>
    </row>
    <row r="68">
      <c r="L68" s="7">
        <f>LN(B68/B67)</f>
        <v/>
      </c>
      <c r="M68" s="7">
        <f>C68-C67</f>
        <v/>
      </c>
      <c r="N68" s="7">
        <f>D68-D67</f>
        <v/>
      </c>
      <c r="O68" s="7">
        <f>LN(E68/E67)</f>
        <v/>
      </c>
      <c r="P68" s="7">
        <f>LN(F68/F67)</f>
        <v/>
      </c>
      <c r="Q68" s="7">
        <f>G68-G67</f>
        <v/>
      </c>
      <c r="R68" s="7">
        <f>H68-H67</f>
        <v/>
      </c>
      <c r="S68" s="7">
        <f>LN(I68/I67)</f>
        <v/>
      </c>
      <c r="T68" s="7">
        <f>LN(J68/J67)</f>
        <v/>
      </c>
      <c r="U68" s="7">
        <f>$W$12+$W$4*M68+$W$5*N68+$W$6*O68+$W$7*P68+$W$8*Q68+$W$9*R68+$W$10*S68+$W$11*T68</f>
        <v/>
      </c>
      <c r="AA68" s="8">
        <f>INDEX(LINEST(L9:L68,M9:T68,TRUE,TRUE),1,9)*12</f>
        <v/>
      </c>
      <c r="AB68" s="7">
        <f>INDEX(LINEST(L9:L68,M9:T68,TRUE,TRUE),1,8)</f>
        <v/>
      </c>
      <c r="AC68" s="7">
        <f>INDEX(LINEST(L9:L68,M9:T68,TRUE,TRUE),1,7)</f>
        <v/>
      </c>
      <c r="AD68" s="7">
        <f>INDEX(LINEST(L9:L68,M9:T68,TRUE,TRUE),1,6)</f>
        <v/>
      </c>
      <c r="AE68" s="7">
        <f>INDEX(LINEST(L9:L68,M9:T68,TRUE,TRUE),1,5)</f>
        <v/>
      </c>
      <c r="AF68" s="7">
        <f>INDEX(LINEST(L9:L68,M9:T68,TRUE,TRUE),1,4)</f>
        <v/>
      </c>
      <c r="AG68" s="7">
        <f>INDEX(LINEST(L9:L68,M9:T68,TRUE,TRUE),1,3)</f>
        <v/>
      </c>
      <c r="AH68" s="7">
        <f>INDEX(LINEST(L9:L68,M9:T68,TRUE,TRUE),1,2)</f>
        <v/>
      </c>
      <c r="AI68" s="7">
        <f>INDEX(LINEST(L9:L68,M9:T68,TRUE,TRUE),1,1)</f>
        <v/>
      </c>
      <c r="AJ68" s="8">
        <f>INDEX(LINEST(L9:L68,M9:T68,TRUE,TRUE),3,1)</f>
        <v/>
      </c>
    </row>
    <row r="69">
      <c r="L69" s="7">
        <f>LN(B69/B68)</f>
        <v/>
      </c>
      <c r="M69" s="7">
        <f>C69-C68</f>
        <v/>
      </c>
      <c r="N69" s="7">
        <f>D69-D68</f>
        <v/>
      </c>
      <c r="O69" s="7">
        <f>LN(E69/E68)</f>
        <v/>
      </c>
      <c r="P69" s="7">
        <f>LN(F69/F68)</f>
        <v/>
      </c>
      <c r="Q69" s="7">
        <f>G69-G68</f>
        <v/>
      </c>
      <c r="R69" s="7">
        <f>H69-H68</f>
        <v/>
      </c>
      <c r="S69" s="7">
        <f>LN(I69/I68)</f>
        <v/>
      </c>
      <c r="T69" s="7">
        <f>LN(J69/J68)</f>
        <v/>
      </c>
      <c r="U69" s="7">
        <f>$W$12+$W$4*M69+$W$5*N69+$W$6*O69+$W$7*P69+$W$8*Q69+$W$9*R69+$W$10*S69+$W$11*T69</f>
        <v/>
      </c>
      <c r="AA69" s="8">
        <f>INDEX(LINEST(L10:L69,M10:T69,TRUE,TRUE),1,9)*12</f>
        <v/>
      </c>
      <c r="AB69" s="7">
        <f>INDEX(LINEST(L10:L69,M10:T69,TRUE,TRUE),1,8)</f>
        <v/>
      </c>
      <c r="AC69" s="7">
        <f>INDEX(LINEST(L10:L69,M10:T69,TRUE,TRUE),1,7)</f>
        <v/>
      </c>
      <c r="AD69" s="7">
        <f>INDEX(LINEST(L10:L69,M10:T69,TRUE,TRUE),1,6)</f>
        <v/>
      </c>
      <c r="AE69" s="7">
        <f>INDEX(LINEST(L10:L69,M10:T69,TRUE,TRUE),1,5)</f>
        <v/>
      </c>
      <c r="AF69" s="7">
        <f>INDEX(LINEST(L10:L69,M10:T69,TRUE,TRUE),1,4)</f>
        <v/>
      </c>
      <c r="AG69" s="7">
        <f>INDEX(LINEST(L10:L69,M10:T69,TRUE,TRUE),1,3)</f>
        <v/>
      </c>
      <c r="AH69" s="7">
        <f>INDEX(LINEST(L10:L69,M10:T69,TRUE,TRUE),1,2)</f>
        <v/>
      </c>
      <c r="AI69" s="7">
        <f>INDEX(LINEST(L10:L69,M10:T69,TRUE,TRUE),1,1)</f>
        <v/>
      </c>
      <c r="AJ69" s="8">
        <f>INDEX(LINEST(L10:L69,M10:T69,TRUE,TRUE),3,1)</f>
        <v/>
      </c>
    </row>
    <row r="70">
      <c r="L70" s="7">
        <f>LN(B70/B69)</f>
        <v/>
      </c>
      <c r="M70" s="7">
        <f>C70-C69</f>
        <v/>
      </c>
      <c r="N70" s="7">
        <f>D70-D69</f>
        <v/>
      </c>
      <c r="O70" s="7">
        <f>LN(E70/E69)</f>
        <v/>
      </c>
      <c r="P70" s="7">
        <f>LN(F70/F69)</f>
        <v/>
      </c>
      <c r="Q70" s="7">
        <f>G70-G69</f>
        <v/>
      </c>
      <c r="R70" s="7">
        <f>H70-H69</f>
        <v/>
      </c>
      <c r="S70" s="7">
        <f>LN(I70/I69)</f>
        <v/>
      </c>
      <c r="T70" s="7">
        <f>LN(J70/J69)</f>
        <v/>
      </c>
      <c r="U70" s="7">
        <f>$W$12+$W$4*M70+$W$5*N70+$W$6*O70+$W$7*P70+$W$8*Q70+$W$9*R70+$W$10*S70+$W$11*T70</f>
        <v/>
      </c>
      <c r="AA70" s="8">
        <f>INDEX(LINEST(L11:L70,M11:T70,TRUE,TRUE),1,9)*12</f>
        <v/>
      </c>
      <c r="AB70" s="7">
        <f>INDEX(LINEST(L11:L70,M11:T70,TRUE,TRUE),1,8)</f>
        <v/>
      </c>
      <c r="AC70" s="7">
        <f>INDEX(LINEST(L11:L70,M11:T70,TRUE,TRUE),1,7)</f>
        <v/>
      </c>
      <c r="AD70" s="7">
        <f>INDEX(LINEST(L11:L70,M11:T70,TRUE,TRUE),1,6)</f>
        <v/>
      </c>
      <c r="AE70" s="7">
        <f>INDEX(LINEST(L11:L70,M11:T70,TRUE,TRUE),1,5)</f>
        <v/>
      </c>
      <c r="AF70" s="7">
        <f>INDEX(LINEST(L11:L70,M11:T70,TRUE,TRUE),1,4)</f>
        <v/>
      </c>
      <c r="AG70" s="7">
        <f>INDEX(LINEST(L11:L70,M11:T70,TRUE,TRUE),1,3)</f>
        <v/>
      </c>
      <c r="AH70" s="7">
        <f>INDEX(LINEST(L11:L70,M11:T70,TRUE,TRUE),1,2)</f>
        <v/>
      </c>
      <c r="AI70" s="7">
        <f>INDEX(LINEST(L11:L70,M11:T70,TRUE,TRUE),1,1)</f>
        <v/>
      </c>
      <c r="AJ70" s="8">
        <f>INDEX(LINEST(L11:L70,M11:T70,TRUE,TRUE),3,1)</f>
        <v/>
      </c>
    </row>
    <row r="71">
      <c r="L71" s="7">
        <f>LN(B71/B70)</f>
        <v/>
      </c>
      <c r="M71" s="7">
        <f>C71-C70</f>
        <v/>
      </c>
      <c r="N71" s="7">
        <f>D71-D70</f>
        <v/>
      </c>
      <c r="O71" s="7">
        <f>LN(E71/E70)</f>
        <v/>
      </c>
      <c r="P71" s="7">
        <f>LN(F71/F70)</f>
        <v/>
      </c>
      <c r="Q71" s="7">
        <f>G71-G70</f>
        <v/>
      </c>
      <c r="R71" s="7">
        <f>H71-H70</f>
        <v/>
      </c>
      <c r="S71" s="7">
        <f>LN(I71/I70)</f>
        <v/>
      </c>
      <c r="T71" s="7">
        <f>LN(J71/J70)</f>
        <v/>
      </c>
      <c r="U71" s="7">
        <f>$W$12+$W$4*M71+$W$5*N71+$W$6*O71+$W$7*P71+$W$8*Q71+$W$9*R71+$W$10*S71+$W$11*T71</f>
        <v/>
      </c>
      <c r="AA71" s="8">
        <f>INDEX(LINEST(L12:L71,M12:T71,TRUE,TRUE),1,9)*12</f>
        <v/>
      </c>
      <c r="AB71" s="7">
        <f>INDEX(LINEST(L12:L71,M12:T71,TRUE,TRUE),1,8)</f>
        <v/>
      </c>
      <c r="AC71" s="7">
        <f>INDEX(LINEST(L12:L71,M12:T71,TRUE,TRUE),1,7)</f>
        <v/>
      </c>
      <c r="AD71" s="7">
        <f>INDEX(LINEST(L12:L71,M12:T71,TRUE,TRUE),1,6)</f>
        <v/>
      </c>
      <c r="AE71" s="7">
        <f>INDEX(LINEST(L12:L71,M12:T71,TRUE,TRUE),1,5)</f>
        <v/>
      </c>
      <c r="AF71" s="7">
        <f>INDEX(LINEST(L12:L71,M12:T71,TRUE,TRUE),1,4)</f>
        <v/>
      </c>
      <c r="AG71" s="7">
        <f>INDEX(LINEST(L12:L71,M12:T71,TRUE,TRUE),1,3)</f>
        <v/>
      </c>
      <c r="AH71" s="7">
        <f>INDEX(LINEST(L12:L71,M12:T71,TRUE,TRUE),1,2)</f>
        <v/>
      </c>
      <c r="AI71" s="7">
        <f>INDEX(LINEST(L12:L71,M12:T71,TRUE,TRUE),1,1)</f>
        <v/>
      </c>
      <c r="AJ71" s="8">
        <f>INDEX(LINEST(L12:L71,M12:T71,TRUE,TRUE),3,1)</f>
        <v/>
      </c>
    </row>
    <row r="72">
      <c r="L72" s="7">
        <f>LN(B72/B71)</f>
        <v/>
      </c>
      <c r="M72" s="7">
        <f>C72-C71</f>
        <v/>
      </c>
      <c r="N72" s="7">
        <f>D72-D71</f>
        <v/>
      </c>
      <c r="O72" s="7">
        <f>LN(E72/E71)</f>
        <v/>
      </c>
      <c r="P72" s="7">
        <f>LN(F72/F71)</f>
        <v/>
      </c>
      <c r="Q72" s="7">
        <f>G72-G71</f>
        <v/>
      </c>
      <c r="R72" s="7">
        <f>H72-H71</f>
        <v/>
      </c>
      <c r="S72" s="7">
        <f>LN(I72/I71)</f>
        <v/>
      </c>
      <c r="T72" s="7">
        <f>LN(J72/J71)</f>
        <v/>
      </c>
      <c r="U72" s="7">
        <f>$W$12+$W$4*M72+$W$5*N72+$W$6*O72+$W$7*P72+$W$8*Q72+$W$9*R72+$W$10*S72+$W$11*T72</f>
        <v/>
      </c>
      <c r="AA72" s="8">
        <f>INDEX(LINEST(L13:L72,M13:T72,TRUE,TRUE),1,9)*12</f>
        <v/>
      </c>
      <c r="AB72" s="7">
        <f>INDEX(LINEST(L13:L72,M13:T72,TRUE,TRUE),1,8)</f>
        <v/>
      </c>
      <c r="AC72" s="7">
        <f>INDEX(LINEST(L13:L72,M13:T72,TRUE,TRUE),1,7)</f>
        <v/>
      </c>
      <c r="AD72" s="7">
        <f>INDEX(LINEST(L13:L72,M13:T72,TRUE,TRUE),1,6)</f>
        <v/>
      </c>
      <c r="AE72" s="7">
        <f>INDEX(LINEST(L13:L72,M13:T72,TRUE,TRUE),1,5)</f>
        <v/>
      </c>
      <c r="AF72" s="7">
        <f>INDEX(LINEST(L13:L72,M13:T72,TRUE,TRUE),1,4)</f>
        <v/>
      </c>
      <c r="AG72" s="7">
        <f>INDEX(LINEST(L13:L72,M13:T72,TRUE,TRUE),1,3)</f>
        <v/>
      </c>
      <c r="AH72" s="7">
        <f>INDEX(LINEST(L13:L72,M13:T72,TRUE,TRUE),1,2)</f>
        <v/>
      </c>
      <c r="AI72" s="7">
        <f>INDEX(LINEST(L13:L72,M13:T72,TRUE,TRUE),1,1)</f>
        <v/>
      </c>
      <c r="AJ72" s="8">
        <f>INDEX(LINEST(L13:L72,M13:T72,TRUE,TRUE),3,1)</f>
        <v/>
      </c>
    </row>
    <row r="73">
      <c r="L73" s="7">
        <f>LN(B73/B72)</f>
        <v/>
      </c>
      <c r="M73" s="7">
        <f>C73-C72</f>
        <v/>
      </c>
      <c r="N73" s="7">
        <f>D73-D72</f>
        <v/>
      </c>
      <c r="O73" s="7">
        <f>LN(E73/E72)</f>
        <v/>
      </c>
      <c r="P73" s="7">
        <f>LN(F73/F72)</f>
        <v/>
      </c>
      <c r="Q73" s="7">
        <f>G73-G72</f>
        <v/>
      </c>
      <c r="R73" s="7">
        <f>H73-H72</f>
        <v/>
      </c>
      <c r="S73" s="7">
        <f>LN(I73/I72)</f>
        <v/>
      </c>
      <c r="T73" s="7">
        <f>LN(J73/J72)</f>
        <v/>
      </c>
      <c r="U73" s="7">
        <f>$W$12+$W$4*M73+$W$5*N73+$W$6*O73+$W$7*P73+$W$8*Q73+$W$9*R73+$W$10*S73+$W$11*T73</f>
        <v/>
      </c>
      <c r="AA73" s="8">
        <f>INDEX(LINEST(L14:L73,M14:T73,TRUE,TRUE),1,9)*12</f>
        <v/>
      </c>
      <c r="AB73" s="7">
        <f>INDEX(LINEST(L14:L73,M14:T73,TRUE,TRUE),1,8)</f>
        <v/>
      </c>
      <c r="AC73" s="7">
        <f>INDEX(LINEST(L14:L73,M14:T73,TRUE,TRUE),1,7)</f>
        <v/>
      </c>
      <c r="AD73" s="7">
        <f>INDEX(LINEST(L14:L73,M14:T73,TRUE,TRUE),1,6)</f>
        <v/>
      </c>
      <c r="AE73" s="7">
        <f>INDEX(LINEST(L14:L73,M14:T73,TRUE,TRUE),1,5)</f>
        <v/>
      </c>
      <c r="AF73" s="7">
        <f>INDEX(LINEST(L14:L73,M14:T73,TRUE,TRUE),1,4)</f>
        <v/>
      </c>
      <c r="AG73" s="7">
        <f>INDEX(LINEST(L14:L73,M14:T73,TRUE,TRUE),1,3)</f>
        <v/>
      </c>
      <c r="AH73" s="7">
        <f>INDEX(LINEST(L14:L73,M14:T73,TRUE,TRUE),1,2)</f>
        <v/>
      </c>
      <c r="AI73" s="7">
        <f>INDEX(LINEST(L14:L73,M14:T73,TRUE,TRUE),1,1)</f>
        <v/>
      </c>
      <c r="AJ73" s="8">
        <f>INDEX(LINEST(L14:L73,M14:T73,TRUE,TRUE),3,1)</f>
        <v/>
      </c>
    </row>
    <row r="74">
      <c r="L74" s="7">
        <f>LN(B74/B73)</f>
        <v/>
      </c>
      <c r="M74" s="7">
        <f>C74-C73</f>
        <v/>
      </c>
      <c r="N74" s="7">
        <f>D74-D73</f>
        <v/>
      </c>
      <c r="O74" s="7">
        <f>LN(E74/E73)</f>
        <v/>
      </c>
      <c r="P74" s="7">
        <f>LN(F74/F73)</f>
        <v/>
      </c>
      <c r="Q74" s="7">
        <f>G74-G73</f>
        <v/>
      </c>
      <c r="R74" s="7">
        <f>H74-H73</f>
        <v/>
      </c>
      <c r="S74" s="7">
        <f>LN(I74/I73)</f>
        <v/>
      </c>
      <c r="T74" s="7">
        <f>LN(J74/J73)</f>
        <v/>
      </c>
      <c r="U74" s="7">
        <f>$W$12+$W$4*M74+$W$5*N74+$W$6*O74+$W$7*P74+$W$8*Q74+$W$9*R74+$W$10*S74+$W$11*T74</f>
        <v/>
      </c>
      <c r="AA74" s="8">
        <f>INDEX(LINEST(L15:L74,M15:T74,TRUE,TRUE),1,9)*12</f>
        <v/>
      </c>
      <c r="AB74" s="7">
        <f>INDEX(LINEST(L15:L74,M15:T74,TRUE,TRUE),1,8)</f>
        <v/>
      </c>
      <c r="AC74" s="7">
        <f>INDEX(LINEST(L15:L74,M15:T74,TRUE,TRUE),1,7)</f>
        <v/>
      </c>
      <c r="AD74" s="7">
        <f>INDEX(LINEST(L15:L74,M15:T74,TRUE,TRUE),1,6)</f>
        <v/>
      </c>
      <c r="AE74" s="7">
        <f>INDEX(LINEST(L15:L74,M15:T74,TRUE,TRUE),1,5)</f>
        <v/>
      </c>
      <c r="AF74" s="7">
        <f>INDEX(LINEST(L15:L74,M15:T74,TRUE,TRUE),1,4)</f>
        <v/>
      </c>
      <c r="AG74" s="7">
        <f>INDEX(LINEST(L15:L74,M15:T74,TRUE,TRUE),1,3)</f>
        <v/>
      </c>
      <c r="AH74" s="7">
        <f>INDEX(LINEST(L15:L74,M15:T74,TRUE,TRUE),1,2)</f>
        <v/>
      </c>
      <c r="AI74" s="7">
        <f>INDEX(LINEST(L15:L74,M15:T74,TRUE,TRUE),1,1)</f>
        <v/>
      </c>
      <c r="AJ74" s="8">
        <f>INDEX(LINEST(L15:L74,M15:T74,TRUE,TRUE),3,1)</f>
        <v/>
      </c>
    </row>
    <row r="75">
      <c r="L75" s="7">
        <f>LN(B75/B74)</f>
        <v/>
      </c>
      <c r="M75" s="7">
        <f>C75-C74</f>
        <v/>
      </c>
      <c r="N75" s="7">
        <f>D75-D74</f>
        <v/>
      </c>
      <c r="O75" s="7">
        <f>LN(E75/E74)</f>
        <v/>
      </c>
      <c r="P75" s="7">
        <f>LN(F75/F74)</f>
        <v/>
      </c>
      <c r="Q75" s="7">
        <f>G75-G74</f>
        <v/>
      </c>
      <c r="R75" s="7">
        <f>H75-H74</f>
        <v/>
      </c>
      <c r="S75" s="7">
        <f>LN(I75/I74)</f>
        <v/>
      </c>
      <c r="T75" s="7">
        <f>LN(J75/J74)</f>
        <v/>
      </c>
      <c r="U75" s="7">
        <f>$W$12+$W$4*M75+$W$5*N75+$W$6*O75+$W$7*P75+$W$8*Q75+$W$9*R75+$W$10*S75+$W$11*T75</f>
        <v/>
      </c>
      <c r="AA75" s="8">
        <f>INDEX(LINEST(L16:L75,M16:T75,TRUE,TRUE),1,9)*12</f>
        <v/>
      </c>
      <c r="AB75" s="7">
        <f>INDEX(LINEST(L16:L75,M16:T75,TRUE,TRUE),1,8)</f>
        <v/>
      </c>
      <c r="AC75" s="7">
        <f>INDEX(LINEST(L16:L75,M16:T75,TRUE,TRUE),1,7)</f>
        <v/>
      </c>
      <c r="AD75" s="7">
        <f>INDEX(LINEST(L16:L75,M16:T75,TRUE,TRUE),1,6)</f>
        <v/>
      </c>
      <c r="AE75" s="7">
        <f>INDEX(LINEST(L16:L75,M16:T75,TRUE,TRUE),1,5)</f>
        <v/>
      </c>
      <c r="AF75" s="7">
        <f>INDEX(LINEST(L16:L75,M16:T75,TRUE,TRUE),1,4)</f>
        <v/>
      </c>
      <c r="AG75" s="7">
        <f>INDEX(LINEST(L16:L75,M16:T75,TRUE,TRUE),1,3)</f>
        <v/>
      </c>
      <c r="AH75" s="7">
        <f>INDEX(LINEST(L16:L75,M16:T75,TRUE,TRUE),1,2)</f>
        <v/>
      </c>
      <c r="AI75" s="7">
        <f>INDEX(LINEST(L16:L75,M16:T75,TRUE,TRUE),1,1)</f>
        <v/>
      </c>
      <c r="AJ75" s="8">
        <f>INDEX(LINEST(L16:L75,M16:T75,TRUE,TRUE),3,1)</f>
        <v/>
      </c>
    </row>
    <row r="76">
      <c r="L76" s="7">
        <f>LN(B76/B75)</f>
        <v/>
      </c>
      <c r="M76" s="7">
        <f>C76-C75</f>
        <v/>
      </c>
      <c r="N76" s="7">
        <f>D76-D75</f>
        <v/>
      </c>
      <c r="O76" s="7">
        <f>LN(E76/E75)</f>
        <v/>
      </c>
      <c r="P76" s="7">
        <f>LN(F76/F75)</f>
        <v/>
      </c>
      <c r="Q76" s="7">
        <f>G76-G75</f>
        <v/>
      </c>
      <c r="R76" s="7">
        <f>H76-H75</f>
        <v/>
      </c>
      <c r="S76" s="7">
        <f>LN(I76/I75)</f>
        <v/>
      </c>
      <c r="T76" s="7">
        <f>LN(J76/J75)</f>
        <v/>
      </c>
      <c r="U76" s="7">
        <f>$W$12+$W$4*M76+$W$5*N76+$W$6*O76+$W$7*P76+$W$8*Q76+$W$9*R76+$W$10*S76+$W$11*T76</f>
        <v/>
      </c>
      <c r="AA76" s="8">
        <f>INDEX(LINEST(L17:L76,M17:T76,TRUE,TRUE),1,9)*12</f>
        <v/>
      </c>
      <c r="AB76" s="7">
        <f>INDEX(LINEST(L17:L76,M17:T76,TRUE,TRUE),1,8)</f>
        <v/>
      </c>
      <c r="AC76" s="7">
        <f>INDEX(LINEST(L17:L76,M17:T76,TRUE,TRUE),1,7)</f>
        <v/>
      </c>
      <c r="AD76" s="7">
        <f>INDEX(LINEST(L17:L76,M17:T76,TRUE,TRUE),1,6)</f>
        <v/>
      </c>
      <c r="AE76" s="7">
        <f>INDEX(LINEST(L17:L76,M17:T76,TRUE,TRUE),1,5)</f>
        <v/>
      </c>
      <c r="AF76" s="7">
        <f>INDEX(LINEST(L17:L76,M17:T76,TRUE,TRUE),1,4)</f>
        <v/>
      </c>
      <c r="AG76" s="7">
        <f>INDEX(LINEST(L17:L76,M17:T76,TRUE,TRUE),1,3)</f>
        <v/>
      </c>
      <c r="AH76" s="7">
        <f>INDEX(LINEST(L17:L76,M17:T76,TRUE,TRUE),1,2)</f>
        <v/>
      </c>
      <c r="AI76" s="7">
        <f>INDEX(LINEST(L17:L76,M17:T76,TRUE,TRUE),1,1)</f>
        <v/>
      </c>
      <c r="AJ76" s="8">
        <f>INDEX(LINEST(L17:L76,M17:T76,TRUE,TRUE),3,1)</f>
        <v/>
      </c>
    </row>
    <row r="77">
      <c r="L77" s="7">
        <f>LN(B77/B76)</f>
        <v/>
      </c>
      <c r="M77" s="7">
        <f>C77-C76</f>
        <v/>
      </c>
      <c r="N77" s="7">
        <f>D77-D76</f>
        <v/>
      </c>
      <c r="O77" s="7">
        <f>LN(E77/E76)</f>
        <v/>
      </c>
      <c r="P77" s="7">
        <f>LN(F77/F76)</f>
        <v/>
      </c>
      <c r="Q77" s="7">
        <f>G77-G76</f>
        <v/>
      </c>
      <c r="R77" s="7">
        <f>H77-H76</f>
        <v/>
      </c>
      <c r="S77" s="7">
        <f>LN(I77/I76)</f>
        <v/>
      </c>
      <c r="T77" s="7">
        <f>LN(J77/J76)</f>
        <v/>
      </c>
      <c r="U77" s="7">
        <f>$W$12+$W$4*M77+$W$5*N77+$W$6*O77+$W$7*P77+$W$8*Q77+$W$9*R77+$W$10*S77+$W$11*T77</f>
        <v/>
      </c>
      <c r="AA77" s="8">
        <f>INDEX(LINEST(L18:L77,M18:T77,TRUE,TRUE),1,9)*12</f>
        <v/>
      </c>
      <c r="AB77" s="7">
        <f>INDEX(LINEST(L18:L77,M18:T77,TRUE,TRUE),1,8)</f>
        <v/>
      </c>
      <c r="AC77" s="7">
        <f>INDEX(LINEST(L18:L77,M18:T77,TRUE,TRUE),1,7)</f>
        <v/>
      </c>
      <c r="AD77" s="7">
        <f>INDEX(LINEST(L18:L77,M18:T77,TRUE,TRUE),1,6)</f>
        <v/>
      </c>
      <c r="AE77" s="7">
        <f>INDEX(LINEST(L18:L77,M18:T77,TRUE,TRUE),1,5)</f>
        <v/>
      </c>
      <c r="AF77" s="7">
        <f>INDEX(LINEST(L18:L77,M18:T77,TRUE,TRUE),1,4)</f>
        <v/>
      </c>
      <c r="AG77" s="7">
        <f>INDEX(LINEST(L18:L77,M18:T77,TRUE,TRUE),1,3)</f>
        <v/>
      </c>
      <c r="AH77" s="7">
        <f>INDEX(LINEST(L18:L77,M18:T77,TRUE,TRUE),1,2)</f>
        <v/>
      </c>
      <c r="AI77" s="7">
        <f>INDEX(LINEST(L18:L77,M18:T77,TRUE,TRUE),1,1)</f>
        <v/>
      </c>
      <c r="AJ77" s="8">
        <f>INDEX(LINEST(L18:L77,M18:T77,TRUE,TRUE),3,1)</f>
        <v/>
      </c>
    </row>
    <row r="78">
      <c r="L78" s="7">
        <f>LN(B78/B77)</f>
        <v/>
      </c>
      <c r="M78" s="7">
        <f>C78-C77</f>
        <v/>
      </c>
      <c r="N78" s="7">
        <f>D78-D77</f>
        <v/>
      </c>
      <c r="O78" s="7">
        <f>LN(E78/E77)</f>
        <v/>
      </c>
      <c r="P78" s="7">
        <f>LN(F78/F77)</f>
        <v/>
      </c>
      <c r="Q78" s="7">
        <f>G78-G77</f>
        <v/>
      </c>
      <c r="R78" s="7">
        <f>H78-H77</f>
        <v/>
      </c>
      <c r="S78" s="7">
        <f>LN(I78/I77)</f>
        <v/>
      </c>
      <c r="T78" s="7">
        <f>LN(J78/J77)</f>
        <v/>
      </c>
      <c r="U78" s="7">
        <f>$W$12+$W$4*M78+$W$5*N78+$W$6*O78+$W$7*P78+$W$8*Q78+$W$9*R78+$W$10*S78+$W$11*T78</f>
        <v/>
      </c>
      <c r="AA78" s="8">
        <f>INDEX(LINEST(L19:L78,M19:T78,TRUE,TRUE),1,9)*12</f>
        <v/>
      </c>
      <c r="AB78" s="7">
        <f>INDEX(LINEST(L19:L78,M19:T78,TRUE,TRUE),1,8)</f>
        <v/>
      </c>
      <c r="AC78" s="7">
        <f>INDEX(LINEST(L19:L78,M19:T78,TRUE,TRUE),1,7)</f>
        <v/>
      </c>
      <c r="AD78" s="7">
        <f>INDEX(LINEST(L19:L78,M19:T78,TRUE,TRUE),1,6)</f>
        <v/>
      </c>
      <c r="AE78" s="7">
        <f>INDEX(LINEST(L19:L78,M19:T78,TRUE,TRUE),1,5)</f>
        <v/>
      </c>
      <c r="AF78" s="7">
        <f>INDEX(LINEST(L19:L78,M19:T78,TRUE,TRUE),1,4)</f>
        <v/>
      </c>
      <c r="AG78" s="7">
        <f>INDEX(LINEST(L19:L78,M19:T78,TRUE,TRUE),1,3)</f>
        <v/>
      </c>
      <c r="AH78" s="7">
        <f>INDEX(LINEST(L19:L78,M19:T78,TRUE,TRUE),1,2)</f>
        <v/>
      </c>
      <c r="AI78" s="7">
        <f>INDEX(LINEST(L19:L78,M19:T78,TRUE,TRUE),1,1)</f>
        <v/>
      </c>
      <c r="AJ78" s="8">
        <f>INDEX(LINEST(L19:L78,M19:T78,TRUE,TRUE),3,1)</f>
        <v/>
      </c>
    </row>
    <row r="79">
      <c r="L79" s="7">
        <f>LN(B79/B78)</f>
        <v/>
      </c>
      <c r="M79" s="7">
        <f>C79-C78</f>
        <v/>
      </c>
      <c r="N79" s="7">
        <f>D79-D78</f>
        <v/>
      </c>
      <c r="O79" s="7">
        <f>LN(E79/E78)</f>
        <v/>
      </c>
      <c r="P79" s="7">
        <f>LN(F79/F78)</f>
        <v/>
      </c>
      <c r="Q79" s="7">
        <f>G79-G78</f>
        <v/>
      </c>
      <c r="R79" s="7">
        <f>H79-H78</f>
        <v/>
      </c>
      <c r="S79" s="7">
        <f>LN(I79/I78)</f>
        <v/>
      </c>
      <c r="T79" s="7">
        <f>LN(J79/J78)</f>
        <v/>
      </c>
      <c r="U79" s="7">
        <f>$W$12+$W$4*M79+$W$5*N79+$W$6*O79+$W$7*P79+$W$8*Q79+$W$9*R79+$W$10*S79+$W$11*T79</f>
        <v/>
      </c>
      <c r="AA79" s="8">
        <f>INDEX(LINEST(L20:L79,M20:T79,TRUE,TRUE),1,9)*12</f>
        <v/>
      </c>
      <c r="AB79" s="7">
        <f>INDEX(LINEST(L20:L79,M20:T79,TRUE,TRUE),1,8)</f>
        <v/>
      </c>
      <c r="AC79" s="7">
        <f>INDEX(LINEST(L20:L79,M20:T79,TRUE,TRUE),1,7)</f>
        <v/>
      </c>
      <c r="AD79" s="7">
        <f>INDEX(LINEST(L20:L79,M20:T79,TRUE,TRUE),1,6)</f>
        <v/>
      </c>
      <c r="AE79" s="7">
        <f>INDEX(LINEST(L20:L79,M20:T79,TRUE,TRUE),1,5)</f>
        <v/>
      </c>
      <c r="AF79" s="7">
        <f>INDEX(LINEST(L20:L79,M20:T79,TRUE,TRUE),1,4)</f>
        <v/>
      </c>
      <c r="AG79" s="7">
        <f>INDEX(LINEST(L20:L79,M20:T79,TRUE,TRUE),1,3)</f>
        <v/>
      </c>
      <c r="AH79" s="7">
        <f>INDEX(LINEST(L20:L79,M20:T79,TRUE,TRUE),1,2)</f>
        <v/>
      </c>
      <c r="AI79" s="7">
        <f>INDEX(LINEST(L20:L79,M20:T79,TRUE,TRUE),1,1)</f>
        <v/>
      </c>
      <c r="AJ79" s="8">
        <f>INDEX(LINEST(L20:L79,M20:T79,TRUE,TRUE),3,1)</f>
        <v/>
      </c>
    </row>
    <row r="80">
      <c r="L80" s="7">
        <f>LN(B80/B79)</f>
        <v/>
      </c>
      <c r="M80" s="7">
        <f>C80-C79</f>
        <v/>
      </c>
      <c r="N80" s="7">
        <f>D80-D79</f>
        <v/>
      </c>
      <c r="O80" s="7">
        <f>LN(E80/E79)</f>
        <v/>
      </c>
      <c r="P80" s="7">
        <f>LN(F80/F79)</f>
        <v/>
      </c>
      <c r="Q80" s="7">
        <f>G80-G79</f>
        <v/>
      </c>
      <c r="R80" s="7">
        <f>H80-H79</f>
        <v/>
      </c>
      <c r="S80" s="7">
        <f>LN(I80/I79)</f>
        <v/>
      </c>
      <c r="T80" s="7">
        <f>LN(J80/J79)</f>
        <v/>
      </c>
      <c r="U80" s="7">
        <f>$W$12+$W$4*M80+$W$5*N80+$W$6*O80+$W$7*P80+$W$8*Q80+$W$9*R80+$W$10*S80+$W$11*T80</f>
        <v/>
      </c>
      <c r="AA80" s="8">
        <f>INDEX(LINEST(L21:L80,M21:T80,TRUE,TRUE),1,9)*12</f>
        <v/>
      </c>
      <c r="AB80" s="7">
        <f>INDEX(LINEST(L21:L80,M21:T80,TRUE,TRUE),1,8)</f>
        <v/>
      </c>
      <c r="AC80" s="7">
        <f>INDEX(LINEST(L21:L80,M21:T80,TRUE,TRUE),1,7)</f>
        <v/>
      </c>
      <c r="AD80" s="7">
        <f>INDEX(LINEST(L21:L80,M21:T80,TRUE,TRUE),1,6)</f>
        <v/>
      </c>
      <c r="AE80" s="7">
        <f>INDEX(LINEST(L21:L80,M21:T80,TRUE,TRUE),1,5)</f>
        <v/>
      </c>
      <c r="AF80" s="7">
        <f>INDEX(LINEST(L21:L80,M21:T80,TRUE,TRUE),1,4)</f>
        <v/>
      </c>
      <c r="AG80" s="7">
        <f>INDEX(LINEST(L21:L80,M21:T80,TRUE,TRUE),1,3)</f>
        <v/>
      </c>
      <c r="AH80" s="7">
        <f>INDEX(LINEST(L21:L80,M21:T80,TRUE,TRUE),1,2)</f>
        <v/>
      </c>
      <c r="AI80" s="7">
        <f>INDEX(LINEST(L21:L80,M21:T80,TRUE,TRUE),1,1)</f>
        <v/>
      </c>
      <c r="AJ80" s="8">
        <f>INDEX(LINEST(L21:L80,M21:T80,TRUE,TRUE),3,1)</f>
        <v/>
      </c>
    </row>
    <row r="81">
      <c r="L81" s="7">
        <f>LN(B81/B80)</f>
        <v/>
      </c>
      <c r="M81" s="7">
        <f>C81-C80</f>
        <v/>
      </c>
      <c r="N81" s="7">
        <f>D81-D80</f>
        <v/>
      </c>
      <c r="O81" s="7">
        <f>LN(E81/E80)</f>
        <v/>
      </c>
      <c r="P81" s="7">
        <f>LN(F81/F80)</f>
        <v/>
      </c>
      <c r="Q81" s="7">
        <f>G81-G80</f>
        <v/>
      </c>
      <c r="R81" s="7">
        <f>H81-H80</f>
        <v/>
      </c>
      <c r="S81" s="7">
        <f>LN(I81/I80)</f>
        <v/>
      </c>
      <c r="T81" s="7">
        <f>LN(J81/J80)</f>
        <v/>
      </c>
      <c r="U81" s="7">
        <f>$W$12+$W$4*M81+$W$5*N81+$W$6*O81+$W$7*P81+$W$8*Q81+$W$9*R81+$W$10*S81+$W$11*T81</f>
        <v/>
      </c>
      <c r="AA81" s="8">
        <f>INDEX(LINEST(L22:L81,M22:T81,TRUE,TRUE),1,9)*12</f>
        <v/>
      </c>
      <c r="AB81" s="7">
        <f>INDEX(LINEST(L22:L81,M22:T81,TRUE,TRUE),1,8)</f>
        <v/>
      </c>
      <c r="AC81" s="7">
        <f>INDEX(LINEST(L22:L81,M22:T81,TRUE,TRUE),1,7)</f>
        <v/>
      </c>
      <c r="AD81" s="7">
        <f>INDEX(LINEST(L22:L81,M22:T81,TRUE,TRUE),1,6)</f>
        <v/>
      </c>
      <c r="AE81" s="7">
        <f>INDEX(LINEST(L22:L81,M22:T81,TRUE,TRUE),1,5)</f>
        <v/>
      </c>
      <c r="AF81" s="7">
        <f>INDEX(LINEST(L22:L81,M22:T81,TRUE,TRUE),1,4)</f>
        <v/>
      </c>
      <c r="AG81" s="7">
        <f>INDEX(LINEST(L22:L81,M22:T81,TRUE,TRUE),1,3)</f>
        <v/>
      </c>
      <c r="AH81" s="7">
        <f>INDEX(LINEST(L22:L81,M22:T81,TRUE,TRUE),1,2)</f>
        <v/>
      </c>
      <c r="AI81" s="7">
        <f>INDEX(LINEST(L22:L81,M22:T81,TRUE,TRUE),1,1)</f>
        <v/>
      </c>
      <c r="AJ81" s="8">
        <f>INDEX(LINEST(L22:L81,M22:T81,TRUE,TRUE),3,1)</f>
        <v/>
      </c>
    </row>
    <row r="82">
      <c r="L82" s="7">
        <f>LN(B82/B81)</f>
        <v/>
      </c>
      <c r="M82" s="7">
        <f>C82-C81</f>
        <v/>
      </c>
      <c r="N82" s="7">
        <f>D82-D81</f>
        <v/>
      </c>
      <c r="O82" s="7">
        <f>LN(E82/E81)</f>
        <v/>
      </c>
      <c r="P82" s="7">
        <f>LN(F82/F81)</f>
        <v/>
      </c>
      <c r="Q82" s="7">
        <f>G82-G81</f>
        <v/>
      </c>
      <c r="R82" s="7">
        <f>H82-H81</f>
        <v/>
      </c>
      <c r="S82" s="7">
        <f>LN(I82/I81)</f>
        <v/>
      </c>
      <c r="T82" s="7">
        <f>LN(J82/J81)</f>
        <v/>
      </c>
      <c r="U82" s="7">
        <f>$W$12+$W$4*M82+$W$5*N82+$W$6*O82+$W$7*P82+$W$8*Q82+$W$9*R82+$W$10*S82+$W$11*T82</f>
        <v/>
      </c>
      <c r="AA82" s="8">
        <f>INDEX(LINEST(L23:L82,M23:T82,TRUE,TRUE),1,9)*12</f>
        <v/>
      </c>
      <c r="AB82" s="7">
        <f>INDEX(LINEST(L23:L82,M23:T82,TRUE,TRUE),1,8)</f>
        <v/>
      </c>
      <c r="AC82" s="7">
        <f>INDEX(LINEST(L23:L82,M23:T82,TRUE,TRUE),1,7)</f>
        <v/>
      </c>
      <c r="AD82" s="7">
        <f>INDEX(LINEST(L23:L82,M23:T82,TRUE,TRUE),1,6)</f>
        <v/>
      </c>
      <c r="AE82" s="7">
        <f>INDEX(LINEST(L23:L82,M23:T82,TRUE,TRUE),1,5)</f>
        <v/>
      </c>
      <c r="AF82" s="7">
        <f>INDEX(LINEST(L23:L82,M23:T82,TRUE,TRUE),1,4)</f>
        <v/>
      </c>
      <c r="AG82" s="7">
        <f>INDEX(LINEST(L23:L82,M23:T82,TRUE,TRUE),1,3)</f>
        <v/>
      </c>
      <c r="AH82" s="7">
        <f>INDEX(LINEST(L23:L82,M23:T82,TRUE,TRUE),1,2)</f>
        <v/>
      </c>
      <c r="AI82" s="7">
        <f>INDEX(LINEST(L23:L82,M23:T82,TRUE,TRUE),1,1)</f>
        <v/>
      </c>
      <c r="AJ82" s="8">
        <f>INDEX(LINEST(L23:L82,M23:T82,TRUE,TRUE),3,1)</f>
        <v/>
      </c>
    </row>
    <row r="83">
      <c r="L83" s="7">
        <f>LN(B83/B82)</f>
        <v/>
      </c>
      <c r="M83" s="7">
        <f>C83-C82</f>
        <v/>
      </c>
      <c r="N83" s="7">
        <f>D83-D82</f>
        <v/>
      </c>
      <c r="O83" s="7">
        <f>LN(E83/E82)</f>
        <v/>
      </c>
      <c r="P83" s="7">
        <f>LN(F83/F82)</f>
        <v/>
      </c>
      <c r="Q83" s="7">
        <f>G83-G82</f>
        <v/>
      </c>
      <c r="R83" s="7">
        <f>H83-H82</f>
        <v/>
      </c>
      <c r="S83" s="7">
        <f>LN(I83/I82)</f>
        <v/>
      </c>
      <c r="T83" s="7">
        <f>LN(J83/J82)</f>
        <v/>
      </c>
      <c r="U83" s="7">
        <f>$W$12+$W$4*M83+$W$5*N83+$W$6*O83+$W$7*P83+$W$8*Q83+$W$9*R83+$W$10*S83+$W$11*T83</f>
        <v/>
      </c>
      <c r="AA83" s="8">
        <f>INDEX(LINEST(L24:L83,M24:T83,TRUE,TRUE),1,9)*12</f>
        <v/>
      </c>
      <c r="AB83" s="7">
        <f>INDEX(LINEST(L24:L83,M24:T83,TRUE,TRUE),1,8)</f>
        <v/>
      </c>
      <c r="AC83" s="7">
        <f>INDEX(LINEST(L24:L83,M24:T83,TRUE,TRUE),1,7)</f>
        <v/>
      </c>
      <c r="AD83" s="7">
        <f>INDEX(LINEST(L24:L83,M24:T83,TRUE,TRUE),1,6)</f>
        <v/>
      </c>
      <c r="AE83" s="7">
        <f>INDEX(LINEST(L24:L83,M24:T83,TRUE,TRUE),1,5)</f>
        <v/>
      </c>
      <c r="AF83" s="7">
        <f>INDEX(LINEST(L24:L83,M24:T83,TRUE,TRUE),1,4)</f>
        <v/>
      </c>
      <c r="AG83" s="7">
        <f>INDEX(LINEST(L24:L83,M24:T83,TRUE,TRUE),1,3)</f>
        <v/>
      </c>
      <c r="AH83" s="7">
        <f>INDEX(LINEST(L24:L83,M24:T83,TRUE,TRUE),1,2)</f>
        <v/>
      </c>
      <c r="AI83" s="7">
        <f>INDEX(LINEST(L24:L83,M24:T83,TRUE,TRUE),1,1)</f>
        <v/>
      </c>
      <c r="AJ83" s="8">
        <f>INDEX(LINEST(L24:L83,M24:T83,TRUE,TRUE),3,1)</f>
        <v/>
      </c>
    </row>
    <row r="84">
      <c r="L84" s="7">
        <f>LN(B84/B83)</f>
        <v/>
      </c>
      <c r="M84" s="7">
        <f>C84-C83</f>
        <v/>
      </c>
      <c r="N84" s="7">
        <f>D84-D83</f>
        <v/>
      </c>
      <c r="O84" s="7">
        <f>LN(E84/E83)</f>
        <v/>
      </c>
      <c r="P84" s="7">
        <f>LN(F84/F83)</f>
        <v/>
      </c>
      <c r="Q84" s="7">
        <f>G84-G83</f>
        <v/>
      </c>
      <c r="R84" s="7">
        <f>H84-H83</f>
        <v/>
      </c>
      <c r="S84" s="7">
        <f>LN(I84/I83)</f>
        <v/>
      </c>
      <c r="T84" s="7">
        <f>LN(J84/J83)</f>
        <v/>
      </c>
      <c r="U84" s="7">
        <f>$W$12+$W$4*M84+$W$5*N84+$W$6*O84+$W$7*P84+$W$8*Q84+$W$9*R84+$W$10*S84+$W$11*T84</f>
        <v/>
      </c>
      <c r="AA84" s="8">
        <f>INDEX(LINEST(L25:L84,M25:T84,TRUE,TRUE),1,9)*12</f>
        <v/>
      </c>
      <c r="AB84" s="7">
        <f>INDEX(LINEST(L25:L84,M25:T84,TRUE,TRUE),1,8)</f>
        <v/>
      </c>
      <c r="AC84" s="7">
        <f>INDEX(LINEST(L25:L84,M25:T84,TRUE,TRUE),1,7)</f>
        <v/>
      </c>
      <c r="AD84" s="7">
        <f>INDEX(LINEST(L25:L84,M25:T84,TRUE,TRUE),1,6)</f>
        <v/>
      </c>
      <c r="AE84" s="7">
        <f>INDEX(LINEST(L25:L84,M25:T84,TRUE,TRUE),1,5)</f>
        <v/>
      </c>
      <c r="AF84" s="7">
        <f>INDEX(LINEST(L25:L84,M25:T84,TRUE,TRUE),1,4)</f>
        <v/>
      </c>
      <c r="AG84" s="7">
        <f>INDEX(LINEST(L25:L84,M25:T84,TRUE,TRUE),1,3)</f>
        <v/>
      </c>
      <c r="AH84" s="7">
        <f>INDEX(LINEST(L25:L84,M25:T84,TRUE,TRUE),1,2)</f>
        <v/>
      </c>
      <c r="AI84" s="7">
        <f>INDEX(LINEST(L25:L84,M25:T84,TRUE,TRUE),1,1)</f>
        <v/>
      </c>
      <c r="AJ84" s="8">
        <f>INDEX(LINEST(L25:L84,M25:T84,TRUE,TRUE),3,1)</f>
        <v/>
      </c>
    </row>
    <row r="85">
      <c r="L85" s="7">
        <f>LN(B85/B84)</f>
        <v/>
      </c>
      <c r="M85" s="7">
        <f>C85-C84</f>
        <v/>
      </c>
      <c r="N85" s="7">
        <f>D85-D84</f>
        <v/>
      </c>
      <c r="O85" s="7">
        <f>LN(E85/E84)</f>
        <v/>
      </c>
      <c r="P85" s="7">
        <f>LN(F85/F84)</f>
        <v/>
      </c>
      <c r="Q85" s="7">
        <f>G85-G84</f>
        <v/>
      </c>
      <c r="R85" s="7">
        <f>H85-H84</f>
        <v/>
      </c>
      <c r="S85" s="7">
        <f>LN(I85/I84)</f>
        <v/>
      </c>
      <c r="T85" s="7">
        <f>LN(J85/J84)</f>
        <v/>
      </c>
      <c r="U85" s="7">
        <f>$W$12+$W$4*M85+$W$5*N85+$W$6*O85+$W$7*P85+$W$8*Q85+$W$9*R85+$W$10*S85+$W$11*T85</f>
        <v/>
      </c>
      <c r="AA85" s="8">
        <f>INDEX(LINEST(L26:L85,M26:T85,TRUE,TRUE),1,9)*12</f>
        <v/>
      </c>
      <c r="AB85" s="7">
        <f>INDEX(LINEST(L26:L85,M26:T85,TRUE,TRUE),1,8)</f>
        <v/>
      </c>
      <c r="AC85" s="7">
        <f>INDEX(LINEST(L26:L85,M26:T85,TRUE,TRUE),1,7)</f>
        <v/>
      </c>
      <c r="AD85" s="7">
        <f>INDEX(LINEST(L26:L85,M26:T85,TRUE,TRUE),1,6)</f>
        <v/>
      </c>
      <c r="AE85" s="7">
        <f>INDEX(LINEST(L26:L85,M26:T85,TRUE,TRUE),1,5)</f>
        <v/>
      </c>
      <c r="AF85" s="7">
        <f>INDEX(LINEST(L26:L85,M26:T85,TRUE,TRUE),1,4)</f>
        <v/>
      </c>
      <c r="AG85" s="7">
        <f>INDEX(LINEST(L26:L85,M26:T85,TRUE,TRUE),1,3)</f>
        <v/>
      </c>
      <c r="AH85" s="7">
        <f>INDEX(LINEST(L26:L85,M26:T85,TRUE,TRUE),1,2)</f>
        <v/>
      </c>
      <c r="AI85" s="7">
        <f>INDEX(LINEST(L26:L85,M26:T85,TRUE,TRUE),1,1)</f>
        <v/>
      </c>
      <c r="AJ85" s="8">
        <f>INDEX(LINEST(L26:L85,M26:T85,TRUE,TRUE),3,1)</f>
        <v/>
      </c>
    </row>
    <row r="86">
      <c r="L86" s="7">
        <f>LN(B86/B85)</f>
        <v/>
      </c>
      <c r="M86" s="7">
        <f>C86-C85</f>
        <v/>
      </c>
      <c r="N86" s="7">
        <f>D86-D85</f>
        <v/>
      </c>
      <c r="O86" s="7">
        <f>LN(E86/E85)</f>
        <v/>
      </c>
      <c r="P86" s="7">
        <f>LN(F86/F85)</f>
        <v/>
      </c>
      <c r="Q86" s="7">
        <f>G86-G85</f>
        <v/>
      </c>
      <c r="R86" s="7">
        <f>H86-H85</f>
        <v/>
      </c>
      <c r="S86" s="7">
        <f>LN(I86/I85)</f>
        <v/>
      </c>
      <c r="T86" s="7">
        <f>LN(J86/J85)</f>
        <v/>
      </c>
      <c r="U86" s="7">
        <f>$W$12+$W$4*M86+$W$5*N86+$W$6*O86+$W$7*P86+$W$8*Q86+$W$9*R86+$W$10*S86+$W$11*T86</f>
        <v/>
      </c>
      <c r="AA86" s="8">
        <f>INDEX(LINEST(L27:L86,M27:T86,TRUE,TRUE),1,9)*12</f>
        <v/>
      </c>
      <c r="AB86" s="7">
        <f>INDEX(LINEST(L27:L86,M27:T86,TRUE,TRUE),1,8)</f>
        <v/>
      </c>
      <c r="AC86" s="7">
        <f>INDEX(LINEST(L27:L86,M27:T86,TRUE,TRUE),1,7)</f>
        <v/>
      </c>
      <c r="AD86" s="7">
        <f>INDEX(LINEST(L27:L86,M27:T86,TRUE,TRUE),1,6)</f>
        <v/>
      </c>
      <c r="AE86" s="7">
        <f>INDEX(LINEST(L27:L86,M27:T86,TRUE,TRUE),1,5)</f>
        <v/>
      </c>
      <c r="AF86" s="7">
        <f>INDEX(LINEST(L27:L86,M27:T86,TRUE,TRUE),1,4)</f>
        <v/>
      </c>
      <c r="AG86" s="7">
        <f>INDEX(LINEST(L27:L86,M27:T86,TRUE,TRUE),1,3)</f>
        <v/>
      </c>
      <c r="AH86" s="7">
        <f>INDEX(LINEST(L27:L86,M27:T86,TRUE,TRUE),1,2)</f>
        <v/>
      </c>
      <c r="AI86" s="7">
        <f>INDEX(LINEST(L27:L86,M27:T86,TRUE,TRUE),1,1)</f>
        <v/>
      </c>
      <c r="AJ86" s="8">
        <f>INDEX(LINEST(L27:L86,M27:T86,TRUE,TRUE),3,1)</f>
        <v/>
      </c>
    </row>
    <row r="87">
      <c r="L87" s="7">
        <f>LN(B87/B86)</f>
        <v/>
      </c>
      <c r="M87" s="7">
        <f>C87-C86</f>
        <v/>
      </c>
      <c r="N87" s="7">
        <f>D87-D86</f>
        <v/>
      </c>
      <c r="O87" s="7">
        <f>LN(E87/E86)</f>
        <v/>
      </c>
      <c r="P87" s="7">
        <f>LN(F87/F86)</f>
        <v/>
      </c>
      <c r="Q87" s="7">
        <f>G87-G86</f>
        <v/>
      </c>
      <c r="R87" s="7">
        <f>H87-H86</f>
        <v/>
      </c>
      <c r="S87" s="7">
        <f>LN(I87/I86)</f>
        <v/>
      </c>
      <c r="T87" s="7">
        <f>LN(J87/J86)</f>
        <v/>
      </c>
      <c r="U87" s="7">
        <f>$W$12+$W$4*M87+$W$5*N87+$W$6*O87+$W$7*P87+$W$8*Q87+$W$9*R87+$W$10*S87+$W$11*T87</f>
        <v/>
      </c>
      <c r="AA87" s="8">
        <f>INDEX(LINEST(L28:L87,M28:T87,TRUE,TRUE),1,9)*12</f>
        <v/>
      </c>
      <c r="AB87" s="7">
        <f>INDEX(LINEST(L28:L87,M28:T87,TRUE,TRUE),1,8)</f>
        <v/>
      </c>
      <c r="AC87" s="7">
        <f>INDEX(LINEST(L28:L87,M28:T87,TRUE,TRUE),1,7)</f>
        <v/>
      </c>
      <c r="AD87" s="7">
        <f>INDEX(LINEST(L28:L87,M28:T87,TRUE,TRUE),1,6)</f>
        <v/>
      </c>
      <c r="AE87" s="7">
        <f>INDEX(LINEST(L28:L87,M28:T87,TRUE,TRUE),1,5)</f>
        <v/>
      </c>
      <c r="AF87" s="7">
        <f>INDEX(LINEST(L28:L87,M28:T87,TRUE,TRUE),1,4)</f>
        <v/>
      </c>
      <c r="AG87" s="7">
        <f>INDEX(LINEST(L28:L87,M28:T87,TRUE,TRUE),1,3)</f>
        <v/>
      </c>
      <c r="AH87" s="7">
        <f>INDEX(LINEST(L28:L87,M28:T87,TRUE,TRUE),1,2)</f>
        <v/>
      </c>
      <c r="AI87" s="7">
        <f>INDEX(LINEST(L28:L87,M28:T87,TRUE,TRUE),1,1)</f>
        <v/>
      </c>
      <c r="AJ87" s="8">
        <f>INDEX(LINEST(L28:L87,M28:T87,TRUE,TRUE),3,1)</f>
        <v/>
      </c>
    </row>
    <row r="88">
      <c r="L88" s="7">
        <f>LN(B88/B87)</f>
        <v/>
      </c>
      <c r="M88" s="7">
        <f>C88-C87</f>
        <v/>
      </c>
      <c r="N88" s="7">
        <f>D88-D87</f>
        <v/>
      </c>
      <c r="O88" s="7">
        <f>LN(E88/E87)</f>
        <v/>
      </c>
      <c r="P88" s="7">
        <f>LN(F88/F87)</f>
        <v/>
      </c>
      <c r="Q88" s="7">
        <f>G88-G87</f>
        <v/>
      </c>
      <c r="R88" s="7">
        <f>H88-H87</f>
        <v/>
      </c>
      <c r="S88" s="7">
        <f>LN(I88/I87)</f>
        <v/>
      </c>
      <c r="T88" s="7">
        <f>LN(J88/J87)</f>
        <v/>
      </c>
      <c r="U88" s="7">
        <f>$W$12+$W$4*M88+$W$5*N88+$W$6*O88+$W$7*P88+$W$8*Q88+$W$9*R88+$W$10*S88+$W$11*T88</f>
        <v/>
      </c>
      <c r="AA88" s="8">
        <f>INDEX(LINEST(L29:L88,M29:T88,TRUE,TRUE),1,9)*12</f>
        <v/>
      </c>
      <c r="AB88" s="7">
        <f>INDEX(LINEST(L29:L88,M29:T88,TRUE,TRUE),1,8)</f>
        <v/>
      </c>
      <c r="AC88" s="7">
        <f>INDEX(LINEST(L29:L88,M29:T88,TRUE,TRUE),1,7)</f>
        <v/>
      </c>
      <c r="AD88" s="7">
        <f>INDEX(LINEST(L29:L88,M29:T88,TRUE,TRUE),1,6)</f>
        <v/>
      </c>
      <c r="AE88" s="7">
        <f>INDEX(LINEST(L29:L88,M29:T88,TRUE,TRUE),1,5)</f>
        <v/>
      </c>
      <c r="AF88" s="7">
        <f>INDEX(LINEST(L29:L88,M29:T88,TRUE,TRUE),1,4)</f>
        <v/>
      </c>
      <c r="AG88" s="7">
        <f>INDEX(LINEST(L29:L88,M29:T88,TRUE,TRUE),1,3)</f>
        <v/>
      </c>
      <c r="AH88" s="7">
        <f>INDEX(LINEST(L29:L88,M29:T88,TRUE,TRUE),1,2)</f>
        <v/>
      </c>
      <c r="AI88" s="7">
        <f>INDEX(LINEST(L29:L88,M29:T88,TRUE,TRUE),1,1)</f>
        <v/>
      </c>
      <c r="AJ88" s="8">
        <f>INDEX(LINEST(L29:L88,M29:T88,TRUE,TRUE),3,1)</f>
        <v/>
      </c>
    </row>
    <row r="89">
      <c r="L89" s="7">
        <f>LN(B89/B88)</f>
        <v/>
      </c>
      <c r="M89" s="7">
        <f>C89-C88</f>
        <v/>
      </c>
      <c r="N89" s="7">
        <f>D89-D88</f>
        <v/>
      </c>
      <c r="O89" s="7">
        <f>LN(E89/E88)</f>
        <v/>
      </c>
      <c r="P89" s="7">
        <f>LN(F89/F88)</f>
        <v/>
      </c>
      <c r="Q89" s="7">
        <f>G89-G88</f>
        <v/>
      </c>
      <c r="R89" s="7">
        <f>H89-H88</f>
        <v/>
      </c>
      <c r="S89" s="7">
        <f>LN(I89/I88)</f>
        <v/>
      </c>
      <c r="T89" s="7">
        <f>LN(J89/J88)</f>
        <v/>
      </c>
      <c r="U89" s="7">
        <f>$W$12+$W$4*M89+$W$5*N89+$W$6*O89+$W$7*P89+$W$8*Q89+$W$9*R89+$W$10*S89+$W$11*T89</f>
        <v/>
      </c>
      <c r="AA89" s="8">
        <f>INDEX(LINEST(L30:L89,M30:T89,TRUE,TRUE),1,9)*12</f>
        <v/>
      </c>
      <c r="AB89" s="7">
        <f>INDEX(LINEST(L30:L89,M30:T89,TRUE,TRUE),1,8)</f>
        <v/>
      </c>
      <c r="AC89" s="7">
        <f>INDEX(LINEST(L30:L89,M30:T89,TRUE,TRUE),1,7)</f>
        <v/>
      </c>
      <c r="AD89" s="7">
        <f>INDEX(LINEST(L30:L89,M30:T89,TRUE,TRUE),1,6)</f>
        <v/>
      </c>
      <c r="AE89" s="7">
        <f>INDEX(LINEST(L30:L89,M30:T89,TRUE,TRUE),1,5)</f>
        <v/>
      </c>
      <c r="AF89" s="7">
        <f>INDEX(LINEST(L30:L89,M30:T89,TRUE,TRUE),1,4)</f>
        <v/>
      </c>
      <c r="AG89" s="7">
        <f>INDEX(LINEST(L30:L89,M30:T89,TRUE,TRUE),1,3)</f>
        <v/>
      </c>
      <c r="AH89" s="7">
        <f>INDEX(LINEST(L30:L89,M30:T89,TRUE,TRUE),1,2)</f>
        <v/>
      </c>
      <c r="AI89" s="7">
        <f>INDEX(LINEST(L30:L89,M30:T89,TRUE,TRUE),1,1)</f>
        <v/>
      </c>
      <c r="AJ89" s="8">
        <f>INDEX(LINEST(L30:L89,M30:T89,TRUE,TRUE),3,1)</f>
        <v/>
      </c>
    </row>
    <row r="90">
      <c r="L90" s="7">
        <f>LN(B90/B89)</f>
        <v/>
      </c>
      <c r="M90" s="7">
        <f>C90-C89</f>
        <v/>
      </c>
      <c r="N90" s="7">
        <f>D90-D89</f>
        <v/>
      </c>
      <c r="O90" s="7">
        <f>LN(E90/E89)</f>
        <v/>
      </c>
      <c r="P90" s="7">
        <f>LN(F90/F89)</f>
        <v/>
      </c>
      <c r="Q90" s="7">
        <f>G90-G89</f>
        <v/>
      </c>
      <c r="R90" s="7">
        <f>H90-H89</f>
        <v/>
      </c>
      <c r="S90" s="7">
        <f>LN(I90/I89)</f>
        <v/>
      </c>
      <c r="T90" s="7">
        <f>LN(J90/J89)</f>
        <v/>
      </c>
      <c r="U90" s="7">
        <f>$W$12+$W$4*M90+$W$5*N90+$W$6*O90+$W$7*P90+$W$8*Q90+$W$9*R90+$W$10*S90+$W$11*T90</f>
        <v/>
      </c>
      <c r="AA90" s="8">
        <f>INDEX(LINEST(L31:L90,M31:T90,TRUE,TRUE),1,9)*12</f>
        <v/>
      </c>
      <c r="AB90" s="7">
        <f>INDEX(LINEST(L31:L90,M31:T90,TRUE,TRUE),1,8)</f>
        <v/>
      </c>
      <c r="AC90" s="7">
        <f>INDEX(LINEST(L31:L90,M31:T90,TRUE,TRUE),1,7)</f>
        <v/>
      </c>
      <c r="AD90" s="7">
        <f>INDEX(LINEST(L31:L90,M31:T90,TRUE,TRUE),1,6)</f>
        <v/>
      </c>
      <c r="AE90" s="7">
        <f>INDEX(LINEST(L31:L90,M31:T90,TRUE,TRUE),1,5)</f>
        <v/>
      </c>
      <c r="AF90" s="7">
        <f>INDEX(LINEST(L31:L90,M31:T90,TRUE,TRUE),1,4)</f>
        <v/>
      </c>
      <c r="AG90" s="7">
        <f>INDEX(LINEST(L31:L90,M31:T90,TRUE,TRUE),1,3)</f>
        <v/>
      </c>
      <c r="AH90" s="7">
        <f>INDEX(LINEST(L31:L90,M31:T90,TRUE,TRUE),1,2)</f>
        <v/>
      </c>
      <c r="AI90" s="7">
        <f>INDEX(LINEST(L31:L90,M31:T90,TRUE,TRUE),1,1)</f>
        <v/>
      </c>
      <c r="AJ90" s="8">
        <f>INDEX(LINEST(L31:L90,M31:T90,TRUE,TRUE),3,1)</f>
        <v/>
      </c>
    </row>
    <row r="91">
      <c r="L91" s="7">
        <f>LN(B91/B90)</f>
        <v/>
      </c>
      <c r="M91" s="7">
        <f>C91-C90</f>
        <v/>
      </c>
      <c r="N91" s="7">
        <f>D91-D90</f>
        <v/>
      </c>
      <c r="O91" s="7">
        <f>LN(E91/E90)</f>
        <v/>
      </c>
      <c r="P91" s="7">
        <f>LN(F91/F90)</f>
        <v/>
      </c>
      <c r="Q91" s="7">
        <f>G91-G90</f>
        <v/>
      </c>
      <c r="R91" s="7">
        <f>H91-H90</f>
        <v/>
      </c>
      <c r="S91" s="7">
        <f>LN(I91/I90)</f>
        <v/>
      </c>
      <c r="T91" s="7">
        <f>LN(J91/J90)</f>
        <v/>
      </c>
      <c r="U91" s="7">
        <f>$W$12+$W$4*M91+$W$5*N91+$W$6*O91+$W$7*P91+$W$8*Q91+$W$9*R91+$W$10*S91+$W$11*T91</f>
        <v/>
      </c>
      <c r="AA91" s="8">
        <f>INDEX(LINEST(L32:L91,M32:T91,TRUE,TRUE),1,9)*12</f>
        <v/>
      </c>
      <c r="AB91" s="7">
        <f>INDEX(LINEST(L32:L91,M32:T91,TRUE,TRUE),1,8)</f>
        <v/>
      </c>
      <c r="AC91" s="7">
        <f>INDEX(LINEST(L32:L91,M32:T91,TRUE,TRUE),1,7)</f>
        <v/>
      </c>
      <c r="AD91" s="7">
        <f>INDEX(LINEST(L32:L91,M32:T91,TRUE,TRUE),1,6)</f>
        <v/>
      </c>
      <c r="AE91" s="7">
        <f>INDEX(LINEST(L32:L91,M32:T91,TRUE,TRUE),1,5)</f>
        <v/>
      </c>
      <c r="AF91" s="7">
        <f>INDEX(LINEST(L32:L91,M32:T91,TRUE,TRUE),1,4)</f>
        <v/>
      </c>
      <c r="AG91" s="7">
        <f>INDEX(LINEST(L32:L91,M32:T91,TRUE,TRUE),1,3)</f>
        <v/>
      </c>
      <c r="AH91" s="7">
        <f>INDEX(LINEST(L32:L91,M32:T91,TRUE,TRUE),1,2)</f>
        <v/>
      </c>
      <c r="AI91" s="7">
        <f>INDEX(LINEST(L32:L91,M32:T91,TRUE,TRUE),1,1)</f>
        <v/>
      </c>
      <c r="AJ91" s="8">
        <f>INDEX(LINEST(L32:L91,M32:T91,TRUE,TRUE),3,1)</f>
        <v/>
      </c>
    </row>
    <row r="92">
      <c r="L92" s="7">
        <f>LN(B92/B91)</f>
        <v/>
      </c>
      <c r="M92" s="7">
        <f>C92-C91</f>
        <v/>
      </c>
      <c r="N92" s="7">
        <f>D92-D91</f>
        <v/>
      </c>
      <c r="O92" s="7">
        <f>LN(E92/E91)</f>
        <v/>
      </c>
      <c r="P92" s="7">
        <f>LN(F92/F91)</f>
        <v/>
      </c>
      <c r="Q92" s="7">
        <f>G92-G91</f>
        <v/>
      </c>
      <c r="R92" s="7">
        <f>H92-H91</f>
        <v/>
      </c>
      <c r="S92" s="7">
        <f>LN(I92/I91)</f>
        <v/>
      </c>
      <c r="T92" s="7">
        <f>LN(J92/J91)</f>
        <v/>
      </c>
      <c r="U92" s="7">
        <f>$W$12+$W$4*M92+$W$5*N92+$W$6*O92+$W$7*P92+$W$8*Q92+$W$9*R92+$W$10*S92+$W$11*T92</f>
        <v/>
      </c>
      <c r="AA92" s="8">
        <f>INDEX(LINEST(L33:L92,M33:T92,TRUE,TRUE),1,9)*12</f>
        <v/>
      </c>
      <c r="AB92" s="7">
        <f>INDEX(LINEST(L33:L92,M33:T92,TRUE,TRUE),1,8)</f>
        <v/>
      </c>
      <c r="AC92" s="7">
        <f>INDEX(LINEST(L33:L92,M33:T92,TRUE,TRUE),1,7)</f>
        <v/>
      </c>
      <c r="AD92" s="7">
        <f>INDEX(LINEST(L33:L92,M33:T92,TRUE,TRUE),1,6)</f>
        <v/>
      </c>
      <c r="AE92" s="7">
        <f>INDEX(LINEST(L33:L92,M33:T92,TRUE,TRUE),1,5)</f>
        <v/>
      </c>
      <c r="AF92" s="7">
        <f>INDEX(LINEST(L33:L92,M33:T92,TRUE,TRUE),1,4)</f>
        <v/>
      </c>
      <c r="AG92" s="7">
        <f>INDEX(LINEST(L33:L92,M33:T92,TRUE,TRUE),1,3)</f>
        <v/>
      </c>
      <c r="AH92" s="7">
        <f>INDEX(LINEST(L33:L92,M33:T92,TRUE,TRUE),1,2)</f>
        <v/>
      </c>
      <c r="AI92" s="7">
        <f>INDEX(LINEST(L33:L92,M33:T92,TRUE,TRUE),1,1)</f>
        <v/>
      </c>
      <c r="AJ92" s="8">
        <f>INDEX(LINEST(L33:L92,M33:T92,TRUE,TRUE),3,1)</f>
        <v/>
      </c>
    </row>
    <row r="93">
      <c r="L93" s="7">
        <f>LN(B93/B92)</f>
        <v/>
      </c>
      <c r="M93" s="7">
        <f>C93-C92</f>
        <v/>
      </c>
      <c r="N93" s="7">
        <f>D93-D92</f>
        <v/>
      </c>
      <c r="O93" s="7">
        <f>LN(E93/E92)</f>
        <v/>
      </c>
      <c r="P93" s="7">
        <f>LN(F93/F92)</f>
        <v/>
      </c>
      <c r="Q93" s="7">
        <f>G93-G92</f>
        <v/>
      </c>
      <c r="R93" s="7">
        <f>H93-H92</f>
        <v/>
      </c>
      <c r="S93" s="7">
        <f>LN(I93/I92)</f>
        <v/>
      </c>
      <c r="T93" s="7">
        <f>LN(J93/J92)</f>
        <v/>
      </c>
      <c r="U93" s="7">
        <f>$W$12+$W$4*M93+$W$5*N93+$W$6*O93+$W$7*P93+$W$8*Q93+$W$9*R93+$W$10*S93+$W$11*T93</f>
        <v/>
      </c>
      <c r="AA93" s="8">
        <f>INDEX(LINEST(L34:L93,M34:T93,TRUE,TRUE),1,9)*12</f>
        <v/>
      </c>
      <c r="AB93" s="7">
        <f>INDEX(LINEST(L34:L93,M34:T93,TRUE,TRUE),1,8)</f>
        <v/>
      </c>
      <c r="AC93" s="7">
        <f>INDEX(LINEST(L34:L93,M34:T93,TRUE,TRUE),1,7)</f>
        <v/>
      </c>
      <c r="AD93" s="7">
        <f>INDEX(LINEST(L34:L93,M34:T93,TRUE,TRUE),1,6)</f>
        <v/>
      </c>
      <c r="AE93" s="7">
        <f>INDEX(LINEST(L34:L93,M34:T93,TRUE,TRUE),1,5)</f>
        <v/>
      </c>
      <c r="AF93" s="7">
        <f>INDEX(LINEST(L34:L93,M34:T93,TRUE,TRUE),1,4)</f>
        <v/>
      </c>
      <c r="AG93" s="7">
        <f>INDEX(LINEST(L34:L93,M34:T93,TRUE,TRUE),1,3)</f>
        <v/>
      </c>
      <c r="AH93" s="7">
        <f>INDEX(LINEST(L34:L93,M34:T93,TRUE,TRUE),1,2)</f>
        <v/>
      </c>
      <c r="AI93" s="7">
        <f>INDEX(LINEST(L34:L93,M34:T93,TRUE,TRUE),1,1)</f>
        <v/>
      </c>
      <c r="AJ93" s="8">
        <f>INDEX(LINEST(L34:L93,M34:T93,TRUE,TRUE),3,1)</f>
        <v/>
      </c>
    </row>
    <row r="94">
      <c r="L94" s="7">
        <f>LN(B94/B93)</f>
        <v/>
      </c>
      <c r="M94" s="7">
        <f>C94-C93</f>
        <v/>
      </c>
      <c r="N94" s="7">
        <f>D94-D93</f>
        <v/>
      </c>
      <c r="O94" s="7">
        <f>LN(E94/E93)</f>
        <v/>
      </c>
      <c r="P94" s="7">
        <f>LN(F94/F93)</f>
        <v/>
      </c>
      <c r="Q94" s="7">
        <f>G94-G93</f>
        <v/>
      </c>
      <c r="R94" s="7">
        <f>H94-H93</f>
        <v/>
      </c>
      <c r="S94" s="7">
        <f>LN(I94/I93)</f>
        <v/>
      </c>
      <c r="T94" s="7">
        <f>LN(J94/J93)</f>
        <v/>
      </c>
      <c r="U94" s="7">
        <f>$W$12+$W$4*M94+$W$5*N94+$W$6*O94+$W$7*P94+$W$8*Q94+$W$9*R94+$W$10*S94+$W$11*T94</f>
        <v/>
      </c>
      <c r="AA94" s="8">
        <f>INDEX(LINEST(L35:L94,M35:T94,TRUE,TRUE),1,9)*12</f>
        <v/>
      </c>
      <c r="AB94" s="7">
        <f>INDEX(LINEST(L35:L94,M35:T94,TRUE,TRUE),1,8)</f>
        <v/>
      </c>
      <c r="AC94" s="7">
        <f>INDEX(LINEST(L35:L94,M35:T94,TRUE,TRUE),1,7)</f>
        <v/>
      </c>
      <c r="AD94" s="7">
        <f>INDEX(LINEST(L35:L94,M35:T94,TRUE,TRUE),1,6)</f>
        <v/>
      </c>
      <c r="AE94" s="7">
        <f>INDEX(LINEST(L35:L94,M35:T94,TRUE,TRUE),1,5)</f>
        <v/>
      </c>
      <c r="AF94" s="7">
        <f>INDEX(LINEST(L35:L94,M35:T94,TRUE,TRUE),1,4)</f>
        <v/>
      </c>
      <c r="AG94" s="7">
        <f>INDEX(LINEST(L35:L94,M35:T94,TRUE,TRUE),1,3)</f>
        <v/>
      </c>
      <c r="AH94" s="7">
        <f>INDEX(LINEST(L35:L94,M35:T94,TRUE,TRUE),1,2)</f>
        <v/>
      </c>
      <c r="AI94" s="7">
        <f>INDEX(LINEST(L35:L94,M35:T94,TRUE,TRUE),1,1)</f>
        <v/>
      </c>
      <c r="AJ94" s="8">
        <f>INDEX(LINEST(L35:L94,M35:T94,TRUE,TRUE),3,1)</f>
        <v/>
      </c>
    </row>
    <row r="95">
      <c r="L95" s="7">
        <f>LN(B95/B94)</f>
        <v/>
      </c>
      <c r="M95" s="7">
        <f>C95-C94</f>
        <v/>
      </c>
      <c r="N95" s="7">
        <f>D95-D94</f>
        <v/>
      </c>
      <c r="O95" s="7">
        <f>LN(E95/E94)</f>
        <v/>
      </c>
      <c r="P95" s="7">
        <f>LN(F95/F94)</f>
        <v/>
      </c>
      <c r="Q95" s="7">
        <f>G95-G94</f>
        <v/>
      </c>
      <c r="R95" s="7">
        <f>H95-H94</f>
        <v/>
      </c>
      <c r="S95" s="7">
        <f>LN(I95/I94)</f>
        <v/>
      </c>
      <c r="T95" s="7">
        <f>LN(J95/J94)</f>
        <v/>
      </c>
      <c r="U95" s="7">
        <f>$W$12+$W$4*M95+$W$5*N95+$W$6*O95+$W$7*P95+$W$8*Q95+$W$9*R95+$W$10*S95+$W$11*T95</f>
        <v/>
      </c>
      <c r="AA95" s="8">
        <f>INDEX(LINEST(L36:L95,M36:T95,TRUE,TRUE),1,9)*12</f>
        <v/>
      </c>
      <c r="AB95" s="7">
        <f>INDEX(LINEST(L36:L95,M36:T95,TRUE,TRUE),1,8)</f>
        <v/>
      </c>
      <c r="AC95" s="7">
        <f>INDEX(LINEST(L36:L95,M36:T95,TRUE,TRUE),1,7)</f>
        <v/>
      </c>
      <c r="AD95" s="7">
        <f>INDEX(LINEST(L36:L95,M36:T95,TRUE,TRUE),1,6)</f>
        <v/>
      </c>
      <c r="AE95" s="7">
        <f>INDEX(LINEST(L36:L95,M36:T95,TRUE,TRUE),1,5)</f>
        <v/>
      </c>
      <c r="AF95" s="7">
        <f>INDEX(LINEST(L36:L95,M36:T95,TRUE,TRUE),1,4)</f>
        <v/>
      </c>
      <c r="AG95" s="7">
        <f>INDEX(LINEST(L36:L95,M36:T95,TRUE,TRUE),1,3)</f>
        <v/>
      </c>
      <c r="AH95" s="7">
        <f>INDEX(LINEST(L36:L95,M36:T95,TRUE,TRUE),1,2)</f>
        <v/>
      </c>
      <c r="AI95" s="7">
        <f>INDEX(LINEST(L36:L95,M36:T95,TRUE,TRUE),1,1)</f>
        <v/>
      </c>
      <c r="AJ95" s="8">
        <f>INDEX(LINEST(L36:L95,M36:T95,TRUE,TRUE),3,1)</f>
        <v/>
      </c>
    </row>
    <row r="96">
      <c r="L96" s="7">
        <f>LN(B96/B95)</f>
        <v/>
      </c>
      <c r="M96" s="7">
        <f>C96-C95</f>
        <v/>
      </c>
      <c r="N96" s="7">
        <f>D96-D95</f>
        <v/>
      </c>
      <c r="O96" s="7">
        <f>LN(E96/E95)</f>
        <v/>
      </c>
      <c r="P96" s="7">
        <f>LN(F96/F95)</f>
        <v/>
      </c>
      <c r="Q96" s="7">
        <f>G96-G95</f>
        <v/>
      </c>
      <c r="R96" s="7">
        <f>H96-H95</f>
        <v/>
      </c>
      <c r="S96" s="7">
        <f>LN(I96/I95)</f>
        <v/>
      </c>
      <c r="T96" s="7">
        <f>LN(J96/J95)</f>
        <v/>
      </c>
      <c r="U96" s="7">
        <f>$W$12+$W$4*M96+$W$5*N96+$W$6*O96+$W$7*P96+$W$8*Q96+$W$9*R96+$W$10*S96+$W$11*T96</f>
        <v/>
      </c>
      <c r="AA96" s="8">
        <f>INDEX(LINEST(L37:L96,M37:T96,TRUE,TRUE),1,9)*12</f>
        <v/>
      </c>
      <c r="AB96" s="7">
        <f>INDEX(LINEST(L37:L96,M37:T96,TRUE,TRUE),1,8)</f>
        <v/>
      </c>
      <c r="AC96" s="7">
        <f>INDEX(LINEST(L37:L96,M37:T96,TRUE,TRUE),1,7)</f>
        <v/>
      </c>
      <c r="AD96" s="7">
        <f>INDEX(LINEST(L37:L96,M37:T96,TRUE,TRUE),1,6)</f>
        <v/>
      </c>
      <c r="AE96" s="7">
        <f>INDEX(LINEST(L37:L96,M37:T96,TRUE,TRUE),1,5)</f>
        <v/>
      </c>
      <c r="AF96" s="7">
        <f>INDEX(LINEST(L37:L96,M37:T96,TRUE,TRUE),1,4)</f>
        <v/>
      </c>
      <c r="AG96" s="7">
        <f>INDEX(LINEST(L37:L96,M37:T96,TRUE,TRUE),1,3)</f>
        <v/>
      </c>
      <c r="AH96" s="7">
        <f>INDEX(LINEST(L37:L96,M37:T96,TRUE,TRUE),1,2)</f>
        <v/>
      </c>
      <c r="AI96" s="7">
        <f>INDEX(LINEST(L37:L96,M37:T96,TRUE,TRUE),1,1)</f>
        <v/>
      </c>
      <c r="AJ96" s="8">
        <f>INDEX(LINEST(L37:L96,M37:T96,TRUE,TRUE),3,1)</f>
        <v/>
      </c>
    </row>
    <row r="97">
      <c r="L97" s="7">
        <f>LN(B97/B96)</f>
        <v/>
      </c>
      <c r="M97" s="7">
        <f>C97-C96</f>
        <v/>
      </c>
      <c r="N97" s="7">
        <f>D97-D96</f>
        <v/>
      </c>
      <c r="O97" s="7">
        <f>LN(E97/E96)</f>
        <v/>
      </c>
      <c r="P97" s="7">
        <f>LN(F97/F96)</f>
        <v/>
      </c>
      <c r="Q97" s="7">
        <f>G97-G96</f>
        <v/>
      </c>
      <c r="R97" s="7">
        <f>H97-H96</f>
        <v/>
      </c>
      <c r="S97" s="7">
        <f>LN(I97/I96)</f>
        <v/>
      </c>
      <c r="T97" s="7">
        <f>LN(J97/J96)</f>
        <v/>
      </c>
      <c r="U97" s="7">
        <f>$W$12+$W$4*M97+$W$5*N97+$W$6*O97+$W$7*P97+$W$8*Q97+$W$9*R97+$W$10*S97+$W$11*T97</f>
        <v/>
      </c>
      <c r="AA97" s="8">
        <f>INDEX(LINEST(L38:L97,M38:T97,TRUE,TRUE),1,9)*12</f>
        <v/>
      </c>
      <c r="AB97" s="7">
        <f>INDEX(LINEST(L38:L97,M38:T97,TRUE,TRUE),1,8)</f>
        <v/>
      </c>
      <c r="AC97" s="7">
        <f>INDEX(LINEST(L38:L97,M38:T97,TRUE,TRUE),1,7)</f>
        <v/>
      </c>
      <c r="AD97" s="7">
        <f>INDEX(LINEST(L38:L97,M38:T97,TRUE,TRUE),1,6)</f>
        <v/>
      </c>
      <c r="AE97" s="7">
        <f>INDEX(LINEST(L38:L97,M38:T97,TRUE,TRUE),1,5)</f>
        <v/>
      </c>
      <c r="AF97" s="7">
        <f>INDEX(LINEST(L38:L97,M38:T97,TRUE,TRUE),1,4)</f>
        <v/>
      </c>
      <c r="AG97" s="7">
        <f>INDEX(LINEST(L38:L97,M38:T97,TRUE,TRUE),1,3)</f>
        <v/>
      </c>
      <c r="AH97" s="7">
        <f>INDEX(LINEST(L38:L97,M38:T97,TRUE,TRUE),1,2)</f>
        <v/>
      </c>
      <c r="AI97" s="7">
        <f>INDEX(LINEST(L38:L97,M38:T97,TRUE,TRUE),1,1)</f>
        <v/>
      </c>
      <c r="AJ97" s="8">
        <f>INDEX(LINEST(L38:L97,M38:T97,TRUE,TRUE),3,1)</f>
        <v/>
      </c>
    </row>
    <row r="98">
      <c r="L98" s="7">
        <f>LN(B98/B97)</f>
        <v/>
      </c>
      <c r="M98" s="7">
        <f>C98-C97</f>
        <v/>
      </c>
      <c r="N98" s="7">
        <f>D98-D97</f>
        <v/>
      </c>
      <c r="O98" s="7">
        <f>LN(E98/E97)</f>
        <v/>
      </c>
      <c r="P98" s="7">
        <f>LN(F98/F97)</f>
        <v/>
      </c>
      <c r="Q98" s="7">
        <f>G98-G97</f>
        <v/>
      </c>
      <c r="R98" s="7">
        <f>H98-H97</f>
        <v/>
      </c>
      <c r="S98" s="7">
        <f>LN(I98/I97)</f>
        <v/>
      </c>
      <c r="T98" s="7">
        <f>LN(J98/J97)</f>
        <v/>
      </c>
      <c r="U98" s="7">
        <f>$W$12+$W$4*M98+$W$5*N98+$W$6*O98+$W$7*P98+$W$8*Q98+$W$9*R98+$W$10*S98+$W$11*T98</f>
        <v/>
      </c>
      <c r="AA98" s="8">
        <f>INDEX(LINEST(L39:L98,M39:T98,TRUE,TRUE),1,9)*12</f>
        <v/>
      </c>
      <c r="AB98" s="7">
        <f>INDEX(LINEST(L39:L98,M39:T98,TRUE,TRUE),1,8)</f>
        <v/>
      </c>
      <c r="AC98" s="7">
        <f>INDEX(LINEST(L39:L98,M39:T98,TRUE,TRUE),1,7)</f>
        <v/>
      </c>
      <c r="AD98" s="7">
        <f>INDEX(LINEST(L39:L98,M39:T98,TRUE,TRUE),1,6)</f>
        <v/>
      </c>
      <c r="AE98" s="7">
        <f>INDEX(LINEST(L39:L98,M39:T98,TRUE,TRUE),1,5)</f>
        <v/>
      </c>
      <c r="AF98" s="7">
        <f>INDEX(LINEST(L39:L98,M39:T98,TRUE,TRUE),1,4)</f>
        <v/>
      </c>
      <c r="AG98" s="7">
        <f>INDEX(LINEST(L39:L98,M39:T98,TRUE,TRUE),1,3)</f>
        <v/>
      </c>
      <c r="AH98" s="7">
        <f>INDEX(LINEST(L39:L98,M39:T98,TRUE,TRUE),1,2)</f>
        <v/>
      </c>
      <c r="AI98" s="7">
        <f>INDEX(LINEST(L39:L98,M39:T98,TRUE,TRUE),1,1)</f>
        <v/>
      </c>
      <c r="AJ98" s="8">
        <f>INDEX(LINEST(L39:L98,M39:T98,TRUE,TRUE),3,1)</f>
        <v/>
      </c>
    </row>
    <row r="99">
      <c r="L99" s="7">
        <f>LN(B99/B98)</f>
        <v/>
      </c>
      <c r="M99" s="7">
        <f>C99-C98</f>
        <v/>
      </c>
      <c r="N99" s="7">
        <f>D99-D98</f>
        <v/>
      </c>
      <c r="O99" s="7">
        <f>LN(E99/E98)</f>
        <v/>
      </c>
      <c r="P99" s="7">
        <f>LN(F99/F98)</f>
        <v/>
      </c>
      <c r="Q99" s="7">
        <f>G99-G98</f>
        <v/>
      </c>
      <c r="R99" s="7">
        <f>H99-H98</f>
        <v/>
      </c>
      <c r="S99" s="7">
        <f>LN(I99/I98)</f>
        <v/>
      </c>
      <c r="T99" s="7">
        <f>LN(J99/J98)</f>
        <v/>
      </c>
      <c r="U99" s="7">
        <f>$W$12+$W$4*M99+$W$5*N99+$W$6*O99+$W$7*P99+$W$8*Q99+$W$9*R99+$W$10*S99+$W$11*T99</f>
        <v/>
      </c>
      <c r="AA99" s="8">
        <f>INDEX(LINEST(L40:L99,M40:T99,TRUE,TRUE),1,9)*12</f>
        <v/>
      </c>
      <c r="AB99" s="7">
        <f>INDEX(LINEST(L40:L99,M40:T99,TRUE,TRUE),1,8)</f>
        <v/>
      </c>
      <c r="AC99" s="7">
        <f>INDEX(LINEST(L40:L99,M40:T99,TRUE,TRUE),1,7)</f>
        <v/>
      </c>
      <c r="AD99" s="7">
        <f>INDEX(LINEST(L40:L99,M40:T99,TRUE,TRUE),1,6)</f>
        <v/>
      </c>
      <c r="AE99" s="7">
        <f>INDEX(LINEST(L40:L99,M40:T99,TRUE,TRUE),1,5)</f>
        <v/>
      </c>
      <c r="AF99" s="7">
        <f>INDEX(LINEST(L40:L99,M40:T99,TRUE,TRUE),1,4)</f>
        <v/>
      </c>
      <c r="AG99" s="7">
        <f>INDEX(LINEST(L40:L99,M40:T99,TRUE,TRUE),1,3)</f>
        <v/>
      </c>
      <c r="AH99" s="7">
        <f>INDEX(LINEST(L40:L99,M40:T99,TRUE,TRUE),1,2)</f>
        <v/>
      </c>
      <c r="AI99" s="7">
        <f>INDEX(LINEST(L40:L99,M40:T99,TRUE,TRUE),1,1)</f>
        <v/>
      </c>
      <c r="AJ99" s="8">
        <f>INDEX(LINEST(L40:L99,M40:T99,TRUE,TRUE),3,1)</f>
        <v/>
      </c>
    </row>
    <row r="100">
      <c r="L100" s="7">
        <f>LN(B100/B99)</f>
        <v/>
      </c>
      <c r="M100" s="7">
        <f>C100-C99</f>
        <v/>
      </c>
      <c r="N100" s="7">
        <f>D100-D99</f>
        <v/>
      </c>
      <c r="O100" s="7">
        <f>LN(E100/E99)</f>
        <v/>
      </c>
      <c r="P100" s="7">
        <f>LN(F100/F99)</f>
        <v/>
      </c>
      <c r="Q100" s="7">
        <f>G100-G99</f>
        <v/>
      </c>
      <c r="R100" s="7">
        <f>H100-H99</f>
        <v/>
      </c>
      <c r="S100" s="7">
        <f>LN(I100/I99)</f>
        <v/>
      </c>
      <c r="T100" s="7">
        <f>LN(J100/J99)</f>
        <v/>
      </c>
      <c r="U100" s="7">
        <f>$W$12+$W$4*M100+$W$5*N100+$W$6*O100+$W$7*P100+$W$8*Q100+$W$9*R100+$W$10*S100+$W$11*T100</f>
        <v/>
      </c>
      <c r="AA100" s="8">
        <f>INDEX(LINEST(L41:L100,M41:T100,TRUE,TRUE),1,9)*12</f>
        <v/>
      </c>
      <c r="AB100" s="7">
        <f>INDEX(LINEST(L41:L100,M41:T100,TRUE,TRUE),1,8)</f>
        <v/>
      </c>
      <c r="AC100" s="7">
        <f>INDEX(LINEST(L41:L100,M41:T100,TRUE,TRUE),1,7)</f>
        <v/>
      </c>
      <c r="AD100" s="7">
        <f>INDEX(LINEST(L41:L100,M41:T100,TRUE,TRUE),1,6)</f>
        <v/>
      </c>
      <c r="AE100" s="7">
        <f>INDEX(LINEST(L41:L100,M41:T100,TRUE,TRUE),1,5)</f>
        <v/>
      </c>
      <c r="AF100" s="7">
        <f>INDEX(LINEST(L41:L100,M41:T100,TRUE,TRUE),1,4)</f>
        <v/>
      </c>
      <c r="AG100" s="7">
        <f>INDEX(LINEST(L41:L100,M41:T100,TRUE,TRUE),1,3)</f>
        <v/>
      </c>
      <c r="AH100" s="7">
        <f>INDEX(LINEST(L41:L100,M41:T100,TRUE,TRUE),1,2)</f>
        <v/>
      </c>
      <c r="AI100" s="7">
        <f>INDEX(LINEST(L41:L100,M41:T100,TRUE,TRUE),1,1)</f>
        <v/>
      </c>
      <c r="AJ100" s="8">
        <f>INDEX(LINEST(L41:L100,M41:T100,TRUE,TRUE),3,1)</f>
        <v/>
      </c>
    </row>
    <row r="101">
      <c r="L101" s="7">
        <f>LN(B101/B100)</f>
        <v/>
      </c>
      <c r="M101" s="7">
        <f>C101-C100</f>
        <v/>
      </c>
      <c r="N101" s="7">
        <f>D101-D100</f>
        <v/>
      </c>
      <c r="O101" s="7">
        <f>LN(E101/E100)</f>
        <v/>
      </c>
      <c r="P101" s="7">
        <f>LN(F101/F100)</f>
        <v/>
      </c>
      <c r="Q101" s="7">
        <f>G101-G100</f>
        <v/>
      </c>
      <c r="R101" s="7">
        <f>H101-H100</f>
        <v/>
      </c>
      <c r="S101" s="7">
        <f>LN(I101/I100)</f>
        <v/>
      </c>
      <c r="T101" s="7">
        <f>LN(J101/J100)</f>
        <v/>
      </c>
      <c r="U101" s="7">
        <f>$W$12+$W$4*M101+$W$5*N101+$W$6*O101+$W$7*P101+$W$8*Q101+$W$9*R101+$W$10*S101+$W$11*T101</f>
        <v/>
      </c>
      <c r="AA101" s="8">
        <f>INDEX(LINEST(L42:L101,M42:T101,TRUE,TRUE),1,9)*12</f>
        <v/>
      </c>
      <c r="AB101" s="7">
        <f>INDEX(LINEST(L42:L101,M42:T101,TRUE,TRUE),1,8)</f>
        <v/>
      </c>
      <c r="AC101" s="7">
        <f>INDEX(LINEST(L42:L101,M42:T101,TRUE,TRUE),1,7)</f>
        <v/>
      </c>
      <c r="AD101" s="7">
        <f>INDEX(LINEST(L42:L101,M42:T101,TRUE,TRUE),1,6)</f>
        <v/>
      </c>
      <c r="AE101" s="7">
        <f>INDEX(LINEST(L42:L101,M42:T101,TRUE,TRUE),1,5)</f>
        <v/>
      </c>
      <c r="AF101" s="7">
        <f>INDEX(LINEST(L42:L101,M42:T101,TRUE,TRUE),1,4)</f>
        <v/>
      </c>
      <c r="AG101" s="7">
        <f>INDEX(LINEST(L42:L101,M42:T101,TRUE,TRUE),1,3)</f>
        <v/>
      </c>
      <c r="AH101" s="7">
        <f>INDEX(LINEST(L42:L101,M42:T101,TRUE,TRUE),1,2)</f>
        <v/>
      </c>
      <c r="AI101" s="7">
        <f>INDEX(LINEST(L42:L101,M42:T101,TRUE,TRUE),1,1)</f>
        <v/>
      </c>
      <c r="AJ101" s="8">
        <f>INDEX(LINEST(L42:L101,M42:T101,TRUE,TRUE),3,1)</f>
        <v/>
      </c>
    </row>
    <row r="102">
      <c r="L102" s="7">
        <f>LN(B102/B101)</f>
        <v/>
      </c>
      <c r="M102" s="7">
        <f>C102-C101</f>
        <v/>
      </c>
      <c r="N102" s="7">
        <f>D102-D101</f>
        <v/>
      </c>
      <c r="O102" s="7">
        <f>LN(E102/E101)</f>
        <v/>
      </c>
      <c r="P102" s="7">
        <f>LN(F102/F101)</f>
        <v/>
      </c>
      <c r="Q102" s="7">
        <f>G102-G101</f>
        <v/>
      </c>
      <c r="R102" s="7">
        <f>H102-H101</f>
        <v/>
      </c>
      <c r="S102" s="7">
        <f>LN(I102/I101)</f>
        <v/>
      </c>
      <c r="T102" s="7">
        <f>LN(J102/J101)</f>
        <v/>
      </c>
      <c r="U102" s="7">
        <f>$W$12+$W$4*M102+$W$5*N102+$W$6*O102+$W$7*P102+$W$8*Q102+$W$9*R102+$W$10*S102+$W$11*T102</f>
        <v/>
      </c>
      <c r="AA102" s="8">
        <f>INDEX(LINEST(L43:L102,M43:T102,TRUE,TRUE),1,9)*12</f>
        <v/>
      </c>
      <c r="AB102" s="7">
        <f>INDEX(LINEST(L43:L102,M43:T102,TRUE,TRUE),1,8)</f>
        <v/>
      </c>
      <c r="AC102" s="7">
        <f>INDEX(LINEST(L43:L102,M43:T102,TRUE,TRUE),1,7)</f>
        <v/>
      </c>
      <c r="AD102" s="7">
        <f>INDEX(LINEST(L43:L102,M43:T102,TRUE,TRUE),1,6)</f>
        <v/>
      </c>
      <c r="AE102" s="7">
        <f>INDEX(LINEST(L43:L102,M43:T102,TRUE,TRUE),1,5)</f>
        <v/>
      </c>
      <c r="AF102" s="7">
        <f>INDEX(LINEST(L43:L102,M43:T102,TRUE,TRUE),1,4)</f>
        <v/>
      </c>
      <c r="AG102" s="7">
        <f>INDEX(LINEST(L43:L102,M43:T102,TRUE,TRUE),1,3)</f>
        <v/>
      </c>
      <c r="AH102" s="7">
        <f>INDEX(LINEST(L43:L102,M43:T102,TRUE,TRUE),1,2)</f>
        <v/>
      </c>
      <c r="AI102" s="7">
        <f>INDEX(LINEST(L43:L102,M43:T102,TRUE,TRUE),1,1)</f>
        <v/>
      </c>
      <c r="AJ102" s="8">
        <f>INDEX(LINEST(L43:L102,M43:T102,TRUE,TRUE),3,1)</f>
        <v/>
      </c>
    </row>
    <row r="103">
      <c r="L103" s="7">
        <f>LN(B103/B102)</f>
        <v/>
      </c>
      <c r="M103" s="7">
        <f>C103-C102</f>
        <v/>
      </c>
      <c r="N103" s="7">
        <f>D103-D102</f>
        <v/>
      </c>
      <c r="O103" s="7">
        <f>LN(E103/E102)</f>
        <v/>
      </c>
      <c r="P103" s="7">
        <f>LN(F103/F102)</f>
        <v/>
      </c>
      <c r="Q103" s="7">
        <f>G103-G102</f>
        <v/>
      </c>
      <c r="R103" s="7">
        <f>H103-H102</f>
        <v/>
      </c>
      <c r="S103" s="7">
        <f>LN(I103/I102)</f>
        <v/>
      </c>
      <c r="T103" s="7">
        <f>LN(J103/J102)</f>
        <v/>
      </c>
      <c r="U103" s="7">
        <f>$W$12+$W$4*M103+$W$5*N103+$W$6*O103+$W$7*P103+$W$8*Q103+$W$9*R103+$W$10*S103+$W$11*T103</f>
        <v/>
      </c>
      <c r="AA103" s="8">
        <f>INDEX(LINEST(L44:L103,M44:T103,TRUE,TRUE),1,9)*12</f>
        <v/>
      </c>
      <c r="AB103" s="7">
        <f>INDEX(LINEST(L44:L103,M44:T103,TRUE,TRUE),1,8)</f>
        <v/>
      </c>
      <c r="AC103" s="7">
        <f>INDEX(LINEST(L44:L103,M44:T103,TRUE,TRUE),1,7)</f>
        <v/>
      </c>
      <c r="AD103" s="7">
        <f>INDEX(LINEST(L44:L103,M44:T103,TRUE,TRUE),1,6)</f>
        <v/>
      </c>
      <c r="AE103" s="7">
        <f>INDEX(LINEST(L44:L103,M44:T103,TRUE,TRUE),1,5)</f>
        <v/>
      </c>
      <c r="AF103" s="7">
        <f>INDEX(LINEST(L44:L103,M44:T103,TRUE,TRUE),1,4)</f>
        <v/>
      </c>
      <c r="AG103" s="7">
        <f>INDEX(LINEST(L44:L103,M44:T103,TRUE,TRUE),1,3)</f>
        <v/>
      </c>
      <c r="AH103" s="7">
        <f>INDEX(LINEST(L44:L103,M44:T103,TRUE,TRUE),1,2)</f>
        <v/>
      </c>
      <c r="AI103" s="7">
        <f>INDEX(LINEST(L44:L103,M44:T103,TRUE,TRUE),1,1)</f>
        <v/>
      </c>
      <c r="AJ103" s="8">
        <f>INDEX(LINEST(L44:L103,M44:T103,TRUE,TRUE),3,1)</f>
        <v/>
      </c>
    </row>
    <row r="104">
      <c r="L104" s="7">
        <f>LN(B104/B103)</f>
        <v/>
      </c>
      <c r="M104" s="7">
        <f>C104-C103</f>
        <v/>
      </c>
      <c r="N104" s="7">
        <f>D104-D103</f>
        <v/>
      </c>
      <c r="O104" s="7">
        <f>LN(E104/E103)</f>
        <v/>
      </c>
      <c r="P104" s="7">
        <f>LN(F104/F103)</f>
        <v/>
      </c>
      <c r="Q104" s="7">
        <f>G104-G103</f>
        <v/>
      </c>
      <c r="R104" s="7">
        <f>H104-H103</f>
        <v/>
      </c>
      <c r="S104" s="7">
        <f>LN(I104/I103)</f>
        <v/>
      </c>
      <c r="T104" s="7">
        <f>LN(J104/J103)</f>
        <v/>
      </c>
      <c r="U104" s="7">
        <f>$W$12+$W$4*M104+$W$5*N104+$W$6*O104+$W$7*P104+$W$8*Q104+$W$9*R104+$W$10*S104+$W$11*T104</f>
        <v/>
      </c>
      <c r="AA104" s="8">
        <f>INDEX(LINEST(L45:L104,M45:T104,TRUE,TRUE),1,9)*12</f>
        <v/>
      </c>
      <c r="AB104" s="7">
        <f>INDEX(LINEST(L45:L104,M45:T104,TRUE,TRUE),1,8)</f>
        <v/>
      </c>
      <c r="AC104" s="7">
        <f>INDEX(LINEST(L45:L104,M45:T104,TRUE,TRUE),1,7)</f>
        <v/>
      </c>
      <c r="AD104" s="7">
        <f>INDEX(LINEST(L45:L104,M45:T104,TRUE,TRUE),1,6)</f>
        <v/>
      </c>
      <c r="AE104" s="7">
        <f>INDEX(LINEST(L45:L104,M45:T104,TRUE,TRUE),1,5)</f>
        <v/>
      </c>
      <c r="AF104" s="7">
        <f>INDEX(LINEST(L45:L104,M45:T104,TRUE,TRUE),1,4)</f>
        <v/>
      </c>
      <c r="AG104" s="7">
        <f>INDEX(LINEST(L45:L104,M45:T104,TRUE,TRUE),1,3)</f>
        <v/>
      </c>
      <c r="AH104" s="7">
        <f>INDEX(LINEST(L45:L104,M45:T104,TRUE,TRUE),1,2)</f>
        <v/>
      </c>
      <c r="AI104" s="7">
        <f>INDEX(LINEST(L45:L104,M45:T104,TRUE,TRUE),1,1)</f>
        <v/>
      </c>
      <c r="AJ104" s="8">
        <f>INDEX(LINEST(L45:L104,M45:T104,TRUE,TRUE),3,1)</f>
        <v/>
      </c>
    </row>
    <row r="105">
      <c r="L105" s="7">
        <f>LN(B105/B104)</f>
        <v/>
      </c>
      <c r="M105" s="7">
        <f>C105-C104</f>
        <v/>
      </c>
      <c r="N105" s="7">
        <f>D105-D104</f>
        <v/>
      </c>
      <c r="O105" s="7">
        <f>LN(E105/E104)</f>
        <v/>
      </c>
      <c r="P105" s="7">
        <f>LN(F105/F104)</f>
        <v/>
      </c>
      <c r="Q105" s="7">
        <f>G105-G104</f>
        <v/>
      </c>
      <c r="R105" s="7">
        <f>H105-H104</f>
        <v/>
      </c>
      <c r="S105" s="7">
        <f>LN(I105/I104)</f>
        <v/>
      </c>
      <c r="T105" s="7">
        <f>LN(J105/J104)</f>
        <v/>
      </c>
      <c r="U105" s="7">
        <f>$W$12+$W$4*M105+$W$5*N105+$W$6*O105+$W$7*P105+$W$8*Q105+$W$9*R105+$W$10*S105+$W$11*T105</f>
        <v/>
      </c>
      <c r="AA105" s="8">
        <f>INDEX(LINEST(L46:L105,M46:T105,TRUE,TRUE),1,9)*12</f>
        <v/>
      </c>
      <c r="AB105" s="7">
        <f>INDEX(LINEST(L46:L105,M46:T105,TRUE,TRUE),1,8)</f>
        <v/>
      </c>
      <c r="AC105" s="7">
        <f>INDEX(LINEST(L46:L105,M46:T105,TRUE,TRUE),1,7)</f>
        <v/>
      </c>
      <c r="AD105" s="7">
        <f>INDEX(LINEST(L46:L105,M46:T105,TRUE,TRUE),1,6)</f>
        <v/>
      </c>
      <c r="AE105" s="7">
        <f>INDEX(LINEST(L46:L105,M46:T105,TRUE,TRUE),1,5)</f>
        <v/>
      </c>
      <c r="AF105" s="7">
        <f>INDEX(LINEST(L46:L105,M46:T105,TRUE,TRUE),1,4)</f>
        <v/>
      </c>
      <c r="AG105" s="7">
        <f>INDEX(LINEST(L46:L105,M46:T105,TRUE,TRUE),1,3)</f>
        <v/>
      </c>
      <c r="AH105" s="7">
        <f>INDEX(LINEST(L46:L105,M46:T105,TRUE,TRUE),1,2)</f>
        <v/>
      </c>
      <c r="AI105" s="7">
        <f>INDEX(LINEST(L46:L105,M46:T105,TRUE,TRUE),1,1)</f>
        <v/>
      </c>
      <c r="AJ105" s="8">
        <f>INDEX(LINEST(L46:L105,M46:T105,TRUE,TRUE),3,1)</f>
        <v/>
      </c>
    </row>
    <row r="106">
      <c r="L106" s="7">
        <f>LN(B106/B105)</f>
        <v/>
      </c>
      <c r="M106" s="7">
        <f>C106-C105</f>
        <v/>
      </c>
      <c r="N106" s="7">
        <f>D106-D105</f>
        <v/>
      </c>
      <c r="O106" s="7">
        <f>LN(E106/E105)</f>
        <v/>
      </c>
      <c r="P106" s="7">
        <f>LN(F106/F105)</f>
        <v/>
      </c>
      <c r="Q106" s="7">
        <f>G106-G105</f>
        <v/>
      </c>
      <c r="R106" s="7">
        <f>H106-H105</f>
        <v/>
      </c>
      <c r="S106" s="7">
        <f>LN(I106/I105)</f>
        <v/>
      </c>
      <c r="T106" s="7">
        <f>LN(J106/J105)</f>
        <v/>
      </c>
      <c r="U106" s="7">
        <f>$W$12+$W$4*M106+$W$5*N106+$W$6*O106+$W$7*P106+$W$8*Q106+$W$9*R106+$W$10*S106+$W$11*T106</f>
        <v/>
      </c>
      <c r="AA106" s="8">
        <f>INDEX(LINEST(L47:L106,M47:T106,TRUE,TRUE),1,9)*12</f>
        <v/>
      </c>
      <c r="AB106" s="7">
        <f>INDEX(LINEST(L47:L106,M47:T106,TRUE,TRUE),1,8)</f>
        <v/>
      </c>
      <c r="AC106" s="7">
        <f>INDEX(LINEST(L47:L106,M47:T106,TRUE,TRUE),1,7)</f>
        <v/>
      </c>
      <c r="AD106" s="7">
        <f>INDEX(LINEST(L47:L106,M47:T106,TRUE,TRUE),1,6)</f>
        <v/>
      </c>
      <c r="AE106" s="7">
        <f>INDEX(LINEST(L47:L106,M47:T106,TRUE,TRUE),1,5)</f>
        <v/>
      </c>
      <c r="AF106" s="7">
        <f>INDEX(LINEST(L47:L106,M47:T106,TRUE,TRUE),1,4)</f>
        <v/>
      </c>
      <c r="AG106" s="7">
        <f>INDEX(LINEST(L47:L106,M47:T106,TRUE,TRUE),1,3)</f>
        <v/>
      </c>
      <c r="AH106" s="7">
        <f>INDEX(LINEST(L47:L106,M47:T106,TRUE,TRUE),1,2)</f>
        <v/>
      </c>
      <c r="AI106" s="7">
        <f>INDEX(LINEST(L47:L106,M47:T106,TRUE,TRUE),1,1)</f>
        <v/>
      </c>
      <c r="AJ106" s="8">
        <f>INDEX(LINEST(L47:L106,M47:T106,TRUE,TRUE),3,1)</f>
        <v/>
      </c>
    </row>
    <row r="107">
      <c r="L107" s="7">
        <f>LN(B107/B106)</f>
        <v/>
      </c>
      <c r="M107" s="7">
        <f>C107-C106</f>
        <v/>
      </c>
      <c r="N107" s="7">
        <f>D107-D106</f>
        <v/>
      </c>
      <c r="O107" s="7">
        <f>LN(E107/E106)</f>
        <v/>
      </c>
      <c r="P107" s="7">
        <f>LN(F107/F106)</f>
        <v/>
      </c>
      <c r="Q107" s="7">
        <f>G107-G106</f>
        <v/>
      </c>
      <c r="R107" s="7">
        <f>H107-H106</f>
        <v/>
      </c>
      <c r="S107" s="7">
        <f>LN(I107/I106)</f>
        <v/>
      </c>
      <c r="T107" s="7">
        <f>LN(J107/J106)</f>
        <v/>
      </c>
      <c r="U107" s="7">
        <f>$W$12+$W$4*M107+$W$5*N107+$W$6*O107+$W$7*P107+$W$8*Q107+$W$9*R107+$W$10*S107+$W$11*T107</f>
        <v/>
      </c>
      <c r="AA107" s="8">
        <f>INDEX(LINEST(L48:L107,M48:T107,TRUE,TRUE),1,9)*12</f>
        <v/>
      </c>
      <c r="AB107" s="7">
        <f>INDEX(LINEST(L48:L107,M48:T107,TRUE,TRUE),1,8)</f>
        <v/>
      </c>
      <c r="AC107" s="7">
        <f>INDEX(LINEST(L48:L107,M48:T107,TRUE,TRUE),1,7)</f>
        <v/>
      </c>
      <c r="AD107" s="7">
        <f>INDEX(LINEST(L48:L107,M48:T107,TRUE,TRUE),1,6)</f>
        <v/>
      </c>
      <c r="AE107" s="7">
        <f>INDEX(LINEST(L48:L107,M48:T107,TRUE,TRUE),1,5)</f>
        <v/>
      </c>
      <c r="AF107" s="7">
        <f>INDEX(LINEST(L48:L107,M48:T107,TRUE,TRUE),1,4)</f>
        <v/>
      </c>
      <c r="AG107" s="7">
        <f>INDEX(LINEST(L48:L107,M48:T107,TRUE,TRUE),1,3)</f>
        <v/>
      </c>
      <c r="AH107" s="7">
        <f>INDEX(LINEST(L48:L107,M48:T107,TRUE,TRUE),1,2)</f>
        <v/>
      </c>
      <c r="AI107" s="7">
        <f>INDEX(LINEST(L48:L107,M48:T107,TRUE,TRUE),1,1)</f>
        <v/>
      </c>
      <c r="AJ107" s="8">
        <f>INDEX(LINEST(L48:L107,M48:T107,TRUE,TRUE),3,1)</f>
        <v/>
      </c>
    </row>
    <row r="108">
      <c r="L108" s="7">
        <f>LN(B108/B107)</f>
        <v/>
      </c>
      <c r="M108" s="7">
        <f>C108-C107</f>
        <v/>
      </c>
      <c r="N108" s="7">
        <f>D108-D107</f>
        <v/>
      </c>
      <c r="O108" s="7">
        <f>LN(E108/E107)</f>
        <v/>
      </c>
      <c r="P108" s="7">
        <f>LN(F108/F107)</f>
        <v/>
      </c>
      <c r="Q108" s="7">
        <f>G108-G107</f>
        <v/>
      </c>
      <c r="R108" s="7">
        <f>H108-H107</f>
        <v/>
      </c>
      <c r="S108" s="7">
        <f>LN(I108/I107)</f>
        <v/>
      </c>
      <c r="T108" s="7">
        <f>LN(J108/J107)</f>
        <v/>
      </c>
      <c r="U108" s="7">
        <f>$W$12+$W$4*M108+$W$5*N108+$W$6*O108+$W$7*P108+$W$8*Q108+$W$9*R108+$W$10*S108+$W$11*T108</f>
        <v/>
      </c>
      <c r="AA108" s="8">
        <f>INDEX(LINEST(L49:L108,M49:T108,TRUE,TRUE),1,9)*12</f>
        <v/>
      </c>
      <c r="AB108" s="7">
        <f>INDEX(LINEST(L49:L108,M49:T108,TRUE,TRUE),1,8)</f>
        <v/>
      </c>
      <c r="AC108" s="7">
        <f>INDEX(LINEST(L49:L108,M49:T108,TRUE,TRUE),1,7)</f>
        <v/>
      </c>
      <c r="AD108" s="7">
        <f>INDEX(LINEST(L49:L108,M49:T108,TRUE,TRUE),1,6)</f>
        <v/>
      </c>
      <c r="AE108" s="7">
        <f>INDEX(LINEST(L49:L108,M49:T108,TRUE,TRUE),1,5)</f>
        <v/>
      </c>
      <c r="AF108" s="7">
        <f>INDEX(LINEST(L49:L108,M49:T108,TRUE,TRUE),1,4)</f>
        <v/>
      </c>
      <c r="AG108" s="7">
        <f>INDEX(LINEST(L49:L108,M49:T108,TRUE,TRUE),1,3)</f>
        <v/>
      </c>
      <c r="AH108" s="7">
        <f>INDEX(LINEST(L49:L108,M49:T108,TRUE,TRUE),1,2)</f>
        <v/>
      </c>
      <c r="AI108" s="7">
        <f>INDEX(LINEST(L49:L108,M49:T108,TRUE,TRUE),1,1)</f>
        <v/>
      </c>
      <c r="AJ108" s="8">
        <f>INDEX(LINEST(L49:L108,M49:T108,TRUE,TRUE),3,1)</f>
        <v/>
      </c>
    </row>
    <row r="109">
      <c r="L109" s="7">
        <f>LN(B109/B108)</f>
        <v/>
      </c>
      <c r="M109" s="7">
        <f>C109-C108</f>
        <v/>
      </c>
      <c r="N109" s="7">
        <f>D109-D108</f>
        <v/>
      </c>
      <c r="O109" s="7">
        <f>LN(E109/E108)</f>
        <v/>
      </c>
      <c r="P109" s="7">
        <f>LN(F109/F108)</f>
        <v/>
      </c>
      <c r="Q109" s="7">
        <f>G109-G108</f>
        <v/>
      </c>
      <c r="R109" s="7">
        <f>H109-H108</f>
        <v/>
      </c>
      <c r="S109" s="7">
        <f>LN(I109/I108)</f>
        <v/>
      </c>
      <c r="T109" s="7">
        <f>LN(J109/J108)</f>
        <v/>
      </c>
      <c r="U109" s="7">
        <f>$W$12+$W$4*M109+$W$5*N109+$W$6*O109+$W$7*P109+$W$8*Q109+$W$9*R109+$W$10*S109+$W$11*T109</f>
        <v/>
      </c>
      <c r="AA109" s="8">
        <f>INDEX(LINEST(L50:L109,M50:T109,TRUE,TRUE),1,9)*12</f>
        <v/>
      </c>
      <c r="AB109" s="7">
        <f>INDEX(LINEST(L50:L109,M50:T109,TRUE,TRUE),1,8)</f>
        <v/>
      </c>
      <c r="AC109" s="7">
        <f>INDEX(LINEST(L50:L109,M50:T109,TRUE,TRUE),1,7)</f>
        <v/>
      </c>
      <c r="AD109" s="7">
        <f>INDEX(LINEST(L50:L109,M50:T109,TRUE,TRUE),1,6)</f>
        <v/>
      </c>
      <c r="AE109" s="7">
        <f>INDEX(LINEST(L50:L109,M50:T109,TRUE,TRUE),1,5)</f>
        <v/>
      </c>
      <c r="AF109" s="7">
        <f>INDEX(LINEST(L50:L109,M50:T109,TRUE,TRUE),1,4)</f>
        <v/>
      </c>
      <c r="AG109" s="7">
        <f>INDEX(LINEST(L50:L109,M50:T109,TRUE,TRUE),1,3)</f>
        <v/>
      </c>
      <c r="AH109" s="7">
        <f>INDEX(LINEST(L50:L109,M50:T109,TRUE,TRUE),1,2)</f>
        <v/>
      </c>
      <c r="AI109" s="7">
        <f>INDEX(LINEST(L50:L109,M50:T109,TRUE,TRUE),1,1)</f>
        <v/>
      </c>
      <c r="AJ109" s="8">
        <f>INDEX(LINEST(L50:L109,M50:T109,TRUE,TRUE),3,1)</f>
        <v/>
      </c>
    </row>
    <row r="110">
      <c r="L110" s="7">
        <f>LN(B110/B109)</f>
        <v/>
      </c>
      <c r="M110" s="7">
        <f>C110-C109</f>
        <v/>
      </c>
      <c r="N110" s="7">
        <f>D110-D109</f>
        <v/>
      </c>
      <c r="O110" s="7">
        <f>LN(E110/E109)</f>
        <v/>
      </c>
      <c r="P110" s="7">
        <f>LN(F110/F109)</f>
        <v/>
      </c>
      <c r="Q110" s="7">
        <f>G110-G109</f>
        <v/>
      </c>
      <c r="R110" s="7">
        <f>H110-H109</f>
        <v/>
      </c>
      <c r="S110" s="7">
        <f>LN(I110/I109)</f>
        <v/>
      </c>
      <c r="T110" s="7">
        <f>LN(J110/J109)</f>
        <v/>
      </c>
      <c r="U110" s="7">
        <f>$W$12+$W$4*M110+$W$5*N110+$W$6*O110+$W$7*P110+$W$8*Q110+$W$9*R110+$W$10*S110+$W$11*T110</f>
        <v/>
      </c>
      <c r="AA110" s="8">
        <f>INDEX(LINEST(L51:L110,M51:T110,TRUE,TRUE),1,9)*12</f>
        <v/>
      </c>
      <c r="AB110" s="7">
        <f>INDEX(LINEST(L51:L110,M51:T110,TRUE,TRUE),1,8)</f>
        <v/>
      </c>
      <c r="AC110" s="7">
        <f>INDEX(LINEST(L51:L110,M51:T110,TRUE,TRUE),1,7)</f>
        <v/>
      </c>
      <c r="AD110" s="7">
        <f>INDEX(LINEST(L51:L110,M51:T110,TRUE,TRUE),1,6)</f>
        <v/>
      </c>
      <c r="AE110" s="7">
        <f>INDEX(LINEST(L51:L110,M51:T110,TRUE,TRUE),1,5)</f>
        <v/>
      </c>
      <c r="AF110" s="7">
        <f>INDEX(LINEST(L51:L110,M51:T110,TRUE,TRUE),1,4)</f>
        <v/>
      </c>
      <c r="AG110" s="7">
        <f>INDEX(LINEST(L51:L110,M51:T110,TRUE,TRUE),1,3)</f>
        <v/>
      </c>
      <c r="AH110" s="7">
        <f>INDEX(LINEST(L51:L110,M51:T110,TRUE,TRUE),1,2)</f>
        <v/>
      </c>
      <c r="AI110" s="7">
        <f>INDEX(LINEST(L51:L110,M51:T110,TRUE,TRUE),1,1)</f>
        <v/>
      </c>
      <c r="AJ110" s="8">
        <f>INDEX(LINEST(L51:L110,M51:T110,TRUE,TRUE),3,1)</f>
        <v/>
      </c>
    </row>
    <row r="111">
      <c r="L111" s="7">
        <f>LN(B111/B110)</f>
        <v/>
      </c>
      <c r="M111" s="7">
        <f>C111-C110</f>
        <v/>
      </c>
      <c r="N111" s="7">
        <f>D111-D110</f>
        <v/>
      </c>
      <c r="O111" s="7">
        <f>LN(E111/E110)</f>
        <v/>
      </c>
      <c r="P111" s="7">
        <f>LN(F111/F110)</f>
        <v/>
      </c>
      <c r="Q111" s="7">
        <f>G111-G110</f>
        <v/>
      </c>
      <c r="R111" s="7">
        <f>H111-H110</f>
        <v/>
      </c>
      <c r="S111" s="7">
        <f>LN(I111/I110)</f>
        <v/>
      </c>
      <c r="T111" s="7">
        <f>LN(J111/J110)</f>
        <v/>
      </c>
      <c r="U111" s="7">
        <f>$W$12+$W$4*M111+$W$5*N111+$W$6*O111+$W$7*P111+$W$8*Q111+$W$9*R111+$W$10*S111+$W$11*T111</f>
        <v/>
      </c>
      <c r="AA111" s="8">
        <f>INDEX(LINEST(L52:L111,M52:T111,TRUE,TRUE),1,9)*12</f>
        <v/>
      </c>
      <c r="AB111" s="7">
        <f>INDEX(LINEST(L52:L111,M52:T111,TRUE,TRUE),1,8)</f>
        <v/>
      </c>
      <c r="AC111" s="7">
        <f>INDEX(LINEST(L52:L111,M52:T111,TRUE,TRUE),1,7)</f>
        <v/>
      </c>
      <c r="AD111" s="7">
        <f>INDEX(LINEST(L52:L111,M52:T111,TRUE,TRUE),1,6)</f>
        <v/>
      </c>
      <c r="AE111" s="7">
        <f>INDEX(LINEST(L52:L111,M52:T111,TRUE,TRUE),1,5)</f>
        <v/>
      </c>
      <c r="AF111" s="7">
        <f>INDEX(LINEST(L52:L111,M52:T111,TRUE,TRUE),1,4)</f>
        <v/>
      </c>
      <c r="AG111" s="7">
        <f>INDEX(LINEST(L52:L111,M52:T111,TRUE,TRUE),1,3)</f>
        <v/>
      </c>
      <c r="AH111" s="7">
        <f>INDEX(LINEST(L52:L111,M52:T111,TRUE,TRUE),1,2)</f>
        <v/>
      </c>
      <c r="AI111" s="7">
        <f>INDEX(LINEST(L52:L111,M52:T111,TRUE,TRUE),1,1)</f>
        <v/>
      </c>
      <c r="AJ111" s="8">
        <f>INDEX(LINEST(L52:L111,M52:T111,TRUE,TRUE),3,1)</f>
        <v/>
      </c>
    </row>
    <row r="112">
      <c r="L112" s="7">
        <f>LN(B112/B111)</f>
        <v/>
      </c>
      <c r="M112" s="7">
        <f>C112-C111</f>
        <v/>
      </c>
      <c r="N112" s="7">
        <f>D112-D111</f>
        <v/>
      </c>
      <c r="O112" s="7">
        <f>LN(E112/E111)</f>
        <v/>
      </c>
      <c r="P112" s="7">
        <f>LN(F112/F111)</f>
        <v/>
      </c>
      <c r="Q112" s="7">
        <f>G112-G111</f>
        <v/>
      </c>
      <c r="R112" s="7">
        <f>H112-H111</f>
        <v/>
      </c>
      <c r="S112" s="7">
        <f>LN(I112/I111)</f>
        <v/>
      </c>
      <c r="T112" s="7">
        <f>LN(J112/J111)</f>
        <v/>
      </c>
      <c r="U112" s="7">
        <f>$W$12+$W$4*M112+$W$5*N112+$W$6*O112+$W$7*P112+$W$8*Q112+$W$9*R112+$W$10*S112+$W$11*T112</f>
        <v/>
      </c>
      <c r="AA112" s="8">
        <f>INDEX(LINEST(L53:L112,M53:T112,TRUE,TRUE),1,9)*12</f>
        <v/>
      </c>
      <c r="AB112" s="7">
        <f>INDEX(LINEST(L53:L112,M53:T112,TRUE,TRUE),1,8)</f>
        <v/>
      </c>
      <c r="AC112" s="7">
        <f>INDEX(LINEST(L53:L112,M53:T112,TRUE,TRUE),1,7)</f>
        <v/>
      </c>
      <c r="AD112" s="7">
        <f>INDEX(LINEST(L53:L112,M53:T112,TRUE,TRUE),1,6)</f>
        <v/>
      </c>
      <c r="AE112" s="7">
        <f>INDEX(LINEST(L53:L112,M53:T112,TRUE,TRUE),1,5)</f>
        <v/>
      </c>
      <c r="AF112" s="7">
        <f>INDEX(LINEST(L53:L112,M53:T112,TRUE,TRUE),1,4)</f>
        <v/>
      </c>
      <c r="AG112" s="7">
        <f>INDEX(LINEST(L53:L112,M53:T112,TRUE,TRUE),1,3)</f>
        <v/>
      </c>
      <c r="AH112" s="7">
        <f>INDEX(LINEST(L53:L112,M53:T112,TRUE,TRUE),1,2)</f>
        <v/>
      </c>
      <c r="AI112" s="7">
        <f>INDEX(LINEST(L53:L112,M53:T112,TRUE,TRUE),1,1)</f>
        <v/>
      </c>
      <c r="AJ112" s="8">
        <f>INDEX(LINEST(L53:L112,M53:T112,TRUE,TRUE),3,1)</f>
        <v/>
      </c>
    </row>
    <row r="113">
      <c r="L113" s="7">
        <f>LN(B113/B112)</f>
        <v/>
      </c>
      <c r="M113" s="7">
        <f>C113-C112</f>
        <v/>
      </c>
      <c r="N113" s="7">
        <f>D113-D112</f>
        <v/>
      </c>
      <c r="O113" s="7">
        <f>LN(E113/E112)</f>
        <v/>
      </c>
      <c r="P113" s="7">
        <f>LN(F113/F112)</f>
        <v/>
      </c>
      <c r="Q113" s="7">
        <f>G113-G112</f>
        <v/>
      </c>
      <c r="R113" s="7">
        <f>H113-H112</f>
        <v/>
      </c>
      <c r="S113" s="7">
        <f>LN(I113/I112)</f>
        <v/>
      </c>
      <c r="T113" s="7">
        <f>LN(J113/J112)</f>
        <v/>
      </c>
      <c r="U113" s="7">
        <f>$W$12+$W$4*M113+$W$5*N113+$W$6*O113+$W$7*P113+$W$8*Q113+$W$9*R113+$W$10*S113+$W$11*T113</f>
        <v/>
      </c>
      <c r="AA113" s="8">
        <f>INDEX(LINEST(L54:L113,M54:T113,TRUE,TRUE),1,9)*12</f>
        <v/>
      </c>
      <c r="AB113" s="7">
        <f>INDEX(LINEST(L54:L113,M54:T113,TRUE,TRUE),1,8)</f>
        <v/>
      </c>
      <c r="AC113" s="7">
        <f>INDEX(LINEST(L54:L113,M54:T113,TRUE,TRUE),1,7)</f>
        <v/>
      </c>
      <c r="AD113" s="7">
        <f>INDEX(LINEST(L54:L113,M54:T113,TRUE,TRUE),1,6)</f>
        <v/>
      </c>
      <c r="AE113" s="7">
        <f>INDEX(LINEST(L54:L113,M54:T113,TRUE,TRUE),1,5)</f>
        <v/>
      </c>
      <c r="AF113" s="7">
        <f>INDEX(LINEST(L54:L113,M54:T113,TRUE,TRUE),1,4)</f>
        <v/>
      </c>
      <c r="AG113" s="7">
        <f>INDEX(LINEST(L54:L113,M54:T113,TRUE,TRUE),1,3)</f>
        <v/>
      </c>
      <c r="AH113" s="7">
        <f>INDEX(LINEST(L54:L113,M54:T113,TRUE,TRUE),1,2)</f>
        <v/>
      </c>
      <c r="AI113" s="7">
        <f>INDEX(LINEST(L54:L113,M54:T113,TRUE,TRUE),1,1)</f>
        <v/>
      </c>
      <c r="AJ113" s="8">
        <f>INDEX(LINEST(L54:L113,M54:T113,TRUE,TRUE),3,1)</f>
        <v/>
      </c>
    </row>
    <row r="114">
      <c r="L114" s="7">
        <f>LN(B114/B113)</f>
        <v/>
      </c>
      <c r="M114" s="7">
        <f>C114-C113</f>
        <v/>
      </c>
      <c r="N114" s="7">
        <f>D114-D113</f>
        <v/>
      </c>
      <c r="O114" s="7">
        <f>LN(E114/E113)</f>
        <v/>
      </c>
      <c r="P114" s="7">
        <f>LN(F114/F113)</f>
        <v/>
      </c>
      <c r="Q114" s="7">
        <f>G114-G113</f>
        <v/>
      </c>
      <c r="R114" s="7">
        <f>H114-H113</f>
        <v/>
      </c>
      <c r="S114" s="7">
        <f>LN(I114/I113)</f>
        <v/>
      </c>
      <c r="T114" s="7">
        <f>LN(J114/J113)</f>
        <v/>
      </c>
      <c r="U114" s="7">
        <f>$W$12+$W$4*M114+$W$5*N114+$W$6*O114+$W$7*P114+$W$8*Q114+$W$9*R114+$W$10*S114+$W$11*T114</f>
        <v/>
      </c>
      <c r="AA114" s="8">
        <f>INDEX(LINEST(L55:L114,M55:T114,TRUE,TRUE),1,9)*12</f>
        <v/>
      </c>
      <c r="AB114" s="7">
        <f>INDEX(LINEST(L55:L114,M55:T114,TRUE,TRUE),1,8)</f>
        <v/>
      </c>
      <c r="AC114" s="7">
        <f>INDEX(LINEST(L55:L114,M55:T114,TRUE,TRUE),1,7)</f>
        <v/>
      </c>
      <c r="AD114" s="7">
        <f>INDEX(LINEST(L55:L114,M55:T114,TRUE,TRUE),1,6)</f>
        <v/>
      </c>
      <c r="AE114" s="7">
        <f>INDEX(LINEST(L55:L114,M55:T114,TRUE,TRUE),1,5)</f>
        <v/>
      </c>
      <c r="AF114" s="7">
        <f>INDEX(LINEST(L55:L114,M55:T114,TRUE,TRUE),1,4)</f>
        <v/>
      </c>
      <c r="AG114" s="7">
        <f>INDEX(LINEST(L55:L114,M55:T114,TRUE,TRUE),1,3)</f>
        <v/>
      </c>
      <c r="AH114" s="7">
        <f>INDEX(LINEST(L55:L114,M55:T114,TRUE,TRUE),1,2)</f>
        <v/>
      </c>
      <c r="AI114" s="7">
        <f>INDEX(LINEST(L55:L114,M55:T114,TRUE,TRUE),1,1)</f>
        <v/>
      </c>
      <c r="AJ114" s="8">
        <f>INDEX(LINEST(L55:L114,M55:T114,TRUE,TRUE),3,1)</f>
        <v/>
      </c>
    </row>
    <row r="115">
      <c r="L115" s="7">
        <f>LN(B115/B114)</f>
        <v/>
      </c>
      <c r="M115" s="7">
        <f>C115-C114</f>
        <v/>
      </c>
      <c r="N115" s="7">
        <f>D115-D114</f>
        <v/>
      </c>
      <c r="O115" s="7">
        <f>LN(E115/E114)</f>
        <v/>
      </c>
      <c r="P115" s="7">
        <f>LN(F115/F114)</f>
        <v/>
      </c>
      <c r="Q115" s="7">
        <f>G115-G114</f>
        <v/>
      </c>
      <c r="R115" s="7">
        <f>H115-H114</f>
        <v/>
      </c>
      <c r="S115" s="7">
        <f>LN(I115/I114)</f>
        <v/>
      </c>
      <c r="T115" s="7">
        <f>LN(J115/J114)</f>
        <v/>
      </c>
      <c r="U115" s="7">
        <f>$W$12+$W$4*M115+$W$5*N115+$W$6*O115+$W$7*P115+$W$8*Q115+$W$9*R115+$W$10*S115+$W$11*T115</f>
        <v/>
      </c>
      <c r="AA115" s="8">
        <f>INDEX(LINEST(L56:L115,M56:T115,TRUE,TRUE),1,9)*12</f>
        <v/>
      </c>
      <c r="AB115" s="7">
        <f>INDEX(LINEST(L56:L115,M56:T115,TRUE,TRUE),1,8)</f>
        <v/>
      </c>
      <c r="AC115" s="7">
        <f>INDEX(LINEST(L56:L115,M56:T115,TRUE,TRUE),1,7)</f>
        <v/>
      </c>
      <c r="AD115" s="7">
        <f>INDEX(LINEST(L56:L115,M56:T115,TRUE,TRUE),1,6)</f>
        <v/>
      </c>
      <c r="AE115" s="7">
        <f>INDEX(LINEST(L56:L115,M56:T115,TRUE,TRUE),1,5)</f>
        <v/>
      </c>
      <c r="AF115" s="7">
        <f>INDEX(LINEST(L56:L115,M56:T115,TRUE,TRUE),1,4)</f>
        <v/>
      </c>
      <c r="AG115" s="7">
        <f>INDEX(LINEST(L56:L115,M56:T115,TRUE,TRUE),1,3)</f>
        <v/>
      </c>
      <c r="AH115" s="7">
        <f>INDEX(LINEST(L56:L115,M56:T115,TRUE,TRUE),1,2)</f>
        <v/>
      </c>
      <c r="AI115" s="7">
        <f>INDEX(LINEST(L56:L115,M56:T115,TRUE,TRUE),1,1)</f>
        <v/>
      </c>
      <c r="AJ115" s="8">
        <f>INDEX(LINEST(L56:L115,M56:T115,TRUE,TRUE),3,1)</f>
        <v/>
      </c>
    </row>
    <row r="116">
      <c r="L116" s="7">
        <f>LN(B116/B115)</f>
        <v/>
      </c>
      <c r="M116" s="7">
        <f>C116-C115</f>
        <v/>
      </c>
      <c r="N116" s="7">
        <f>D116-D115</f>
        <v/>
      </c>
      <c r="O116" s="7">
        <f>LN(E116/E115)</f>
        <v/>
      </c>
      <c r="P116" s="7">
        <f>LN(F116/F115)</f>
        <v/>
      </c>
      <c r="Q116" s="7">
        <f>G116-G115</f>
        <v/>
      </c>
      <c r="R116" s="7">
        <f>H116-H115</f>
        <v/>
      </c>
      <c r="S116" s="7">
        <f>LN(I116/I115)</f>
        <v/>
      </c>
      <c r="T116" s="7">
        <f>LN(J116/J115)</f>
        <v/>
      </c>
      <c r="U116" s="7">
        <f>$W$12+$W$4*M116+$W$5*N116+$W$6*O116+$W$7*P116+$W$8*Q116+$W$9*R116+$W$10*S116+$W$11*T116</f>
        <v/>
      </c>
      <c r="AA116" s="8">
        <f>INDEX(LINEST(L57:L116,M57:T116,TRUE,TRUE),1,9)*12</f>
        <v/>
      </c>
      <c r="AB116" s="7">
        <f>INDEX(LINEST(L57:L116,M57:T116,TRUE,TRUE),1,8)</f>
        <v/>
      </c>
      <c r="AC116" s="7">
        <f>INDEX(LINEST(L57:L116,M57:T116,TRUE,TRUE),1,7)</f>
        <v/>
      </c>
      <c r="AD116" s="7">
        <f>INDEX(LINEST(L57:L116,M57:T116,TRUE,TRUE),1,6)</f>
        <v/>
      </c>
      <c r="AE116" s="7">
        <f>INDEX(LINEST(L57:L116,M57:T116,TRUE,TRUE),1,5)</f>
        <v/>
      </c>
      <c r="AF116" s="7">
        <f>INDEX(LINEST(L57:L116,M57:T116,TRUE,TRUE),1,4)</f>
        <v/>
      </c>
      <c r="AG116" s="7">
        <f>INDEX(LINEST(L57:L116,M57:T116,TRUE,TRUE),1,3)</f>
        <v/>
      </c>
      <c r="AH116" s="7">
        <f>INDEX(LINEST(L57:L116,M57:T116,TRUE,TRUE),1,2)</f>
        <v/>
      </c>
      <c r="AI116" s="7">
        <f>INDEX(LINEST(L57:L116,M57:T116,TRUE,TRUE),1,1)</f>
        <v/>
      </c>
      <c r="AJ116" s="8">
        <f>INDEX(LINEST(L57:L116,M57:T116,TRUE,TRUE),3,1)</f>
        <v/>
      </c>
    </row>
    <row r="117">
      <c r="L117" s="7">
        <f>LN(B117/B116)</f>
        <v/>
      </c>
      <c r="M117" s="7">
        <f>C117-C116</f>
        <v/>
      </c>
      <c r="N117" s="7">
        <f>D117-D116</f>
        <v/>
      </c>
      <c r="O117" s="7">
        <f>LN(E117/E116)</f>
        <v/>
      </c>
      <c r="P117" s="7">
        <f>LN(F117/F116)</f>
        <v/>
      </c>
      <c r="Q117" s="7">
        <f>G117-G116</f>
        <v/>
      </c>
      <c r="R117" s="7">
        <f>H117-H116</f>
        <v/>
      </c>
      <c r="S117" s="7">
        <f>LN(I117/I116)</f>
        <v/>
      </c>
      <c r="T117" s="7">
        <f>LN(J117/J116)</f>
        <v/>
      </c>
      <c r="U117" s="7">
        <f>$W$12+$W$4*M117+$W$5*N117+$W$6*O117+$W$7*P117+$W$8*Q117+$W$9*R117+$W$10*S117+$W$11*T117</f>
        <v/>
      </c>
      <c r="AA117" s="8">
        <f>INDEX(LINEST(L58:L117,M58:T117,TRUE,TRUE),1,9)*12</f>
        <v/>
      </c>
      <c r="AB117" s="7">
        <f>INDEX(LINEST(L58:L117,M58:T117,TRUE,TRUE),1,8)</f>
        <v/>
      </c>
      <c r="AC117" s="7">
        <f>INDEX(LINEST(L58:L117,M58:T117,TRUE,TRUE),1,7)</f>
        <v/>
      </c>
      <c r="AD117" s="7">
        <f>INDEX(LINEST(L58:L117,M58:T117,TRUE,TRUE),1,6)</f>
        <v/>
      </c>
      <c r="AE117" s="7">
        <f>INDEX(LINEST(L58:L117,M58:T117,TRUE,TRUE),1,5)</f>
        <v/>
      </c>
      <c r="AF117" s="7">
        <f>INDEX(LINEST(L58:L117,M58:T117,TRUE,TRUE),1,4)</f>
        <v/>
      </c>
      <c r="AG117" s="7">
        <f>INDEX(LINEST(L58:L117,M58:T117,TRUE,TRUE),1,3)</f>
        <v/>
      </c>
      <c r="AH117" s="7">
        <f>INDEX(LINEST(L58:L117,M58:T117,TRUE,TRUE),1,2)</f>
        <v/>
      </c>
      <c r="AI117" s="7">
        <f>INDEX(LINEST(L58:L117,M58:T117,TRUE,TRUE),1,1)</f>
        <v/>
      </c>
      <c r="AJ117" s="8">
        <f>INDEX(LINEST(L58:L117,M58:T117,TRUE,TRUE),3,1)</f>
        <v/>
      </c>
    </row>
    <row r="118">
      <c r="L118" s="7">
        <f>LN(B118/B117)</f>
        <v/>
      </c>
      <c r="M118" s="7">
        <f>C118-C117</f>
        <v/>
      </c>
      <c r="N118" s="7">
        <f>D118-D117</f>
        <v/>
      </c>
      <c r="O118" s="7">
        <f>LN(E118/E117)</f>
        <v/>
      </c>
      <c r="P118" s="7">
        <f>LN(F118/F117)</f>
        <v/>
      </c>
      <c r="Q118" s="7">
        <f>G118-G117</f>
        <v/>
      </c>
      <c r="R118" s="7">
        <f>H118-H117</f>
        <v/>
      </c>
      <c r="S118" s="7">
        <f>LN(I118/I117)</f>
        <v/>
      </c>
      <c r="T118" s="7">
        <f>LN(J118/J117)</f>
        <v/>
      </c>
      <c r="U118" s="7">
        <f>$W$12+$W$4*M118+$W$5*N118+$W$6*O118+$W$7*P118+$W$8*Q118+$W$9*R118+$W$10*S118+$W$11*T118</f>
        <v/>
      </c>
      <c r="AA118" s="8">
        <f>INDEX(LINEST(L59:L118,M59:T118,TRUE,TRUE),1,9)*12</f>
        <v/>
      </c>
      <c r="AB118" s="7">
        <f>INDEX(LINEST(L59:L118,M59:T118,TRUE,TRUE),1,8)</f>
        <v/>
      </c>
      <c r="AC118" s="7">
        <f>INDEX(LINEST(L59:L118,M59:T118,TRUE,TRUE),1,7)</f>
        <v/>
      </c>
      <c r="AD118" s="7">
        <f>INDEX(LINEST(L59:L118,M59:T118,TRUE,TRUE),1,6)</f>
        <v/>
      </c>
      <c r="AE118" s="7">
        <f>INDEX(LINEST(L59:L118,M59:T118,TRUE,TRUE),1,5)</f>
        <v/>
      </c>
      <c r="AF118" s="7">
        <f>INDEX(LINEST(L59:L118,M59:T118,TRUE,TRUE),1,4)</f>
        <v/>
      </c>
      <c r="AG118" s="7">
        <f>INDEX(LINEST(L59:L118,M59:T118,TRUE,TRUE),1,3)</f>
        <v/>
      </c>
      <c r="AH118" s="7">
        <f>INDEX(LINEST(L59:L118,M59:T118,TRUE,TRUE),1,2)</f>
        <v/>
      </c>
      <c r="AI118" s="7">
        <f>INDEX(LINEST(L59:L118,M59:T118,TRUE,TRUE),1,1)</f>
        <v/>
      </c>
      <c r="AJ118" s="8">
        <f>INDEX(LINEST(L59:L118,M59:T118,TRUE,TRUE),3,1)</f>
        <v/>
      </c>
    </row>
    <row r="119">
      <c r="L119" s="7">
        <f>LN(B119/B118)</f>
        <v/>
      </c>
      <c r="M119" s="7">
        <f>C119-C118</f>
        <v/>
      </c>
      <c r="N119" s="7">
        <f>D119-D118</f>
        <v/>
      </c>
      <c r="O119" s="7">
        <f>LN(E119/E118)</f>
        <v/>
      </c>
      <c r="P119" s="7">
        <f>LN(F119/F118)</f>
        <v/>
      </c>
      <c r="Q119" s="7">
        <f>G119-G118</f>
        <v/>
      </c>
      <c r="R119" s="7">
        <f>H119-H118</f>
        <v/>
      </c>
      <c r="S119" s="7">
        <f>LN(I119/I118)</f>
        <v/>
      </c>
      <c r="T119" s="7">
        <f>LN(J119/J118)</f>
        <v/>
      </c>
      <c r="U119" s="7">
        <f>$W$12+$W$4*M119+$W$5*N119+$W$6*O119+$W$7*P119+$W$8*Q119+$W$9*R119+$W$10*S119+$W$11*T119</f>
        <v/>
      </c>
      <c r="AA119" s="8">
        <f>INDEX(LINEST(L60:L119,M60:T119,TRUE,TRUE),1,9)*12</f>
        <v/>
      </c>
      <c r="AB119" s="7">
        <f>INDEX(LINEST(L60:L119,M60:T119,TRUE,TRUE),1,8)</f>
        <v/>
      </c>
      <c r="AC119" s="7">
        <f>INDEX(LINEST(L60:L119,M60:T119,TRUE,TRUE),1,7)</f>
        <v/>
      </c>
      <c r="AD119" s="7">
        <f>INDEX(LINEST(L60:L119,M60:T119,TRUE,TRUE),1,6)</f>
        <v/>
      </c>
      <c r="AE119" s="7">
        <f>INDEX(LINEST(L60:L119,M60:T119,TRUE,TRUE),1,5)</f>
        <v/>
      </c>
      <c r="AF119" s="7">
        <f>INDEX(LINEST(L60:L119,M60:T119,TRUE,TRUE),1,4)</f>
        <v/>
      </c>
      <c r="AG119" s="7">
        <f>INDEX(LINEST(L60:L119,M60:T119,TRUE,TRUE),1,3)</f>
        <v/>
      </c>
      <c r="AH119" s="7">
        <f>INDEX(LINEST(L60:L119,M60:T119,TRUE,TRUE),1,2)</f>
        <v/>
      </c>
      <c r="AI119" s="7">
        <f>INDEX(LINEST(L60:L119,M60:T119,TRUE,TRUE),1,1)</f>
        <v/>
      </c>
      <c r="AJ119" s="8">
        <f>INDEX(LINEST(L60:L119,M60:T119,TRUE,TRUE),3,1)</f>
        <v/>
      </c>
    </row>
    <row r="120">
      <c r="L120" s="7">
        <f>LN(B120/B119)</f>
        <v/>
      </c>
      <c r="M120" s="7">
        <f>C120-C119</f>
        <v/>
      </c>
      <c r="N120" s="7">
        <f>D120-D119</f>
        <v/>
      </c>
      <c r="O120" s="7">
        <f>LN(E120/E119)</f>
        <v/>
      </c>
      <c r="P120" s="7">
        <f>LN(F120/F119)</f>
        <v/>
      </c>
      <c r="Q120" s="7">
        <f>G120-G119</f>
        <v/>
      </c>
      <c r="R120" s="7">
        <f>H120-H119</f>
        <v/>
      </c>
      <c r="S120" s="7">
        <f>LN(I120/I119)</f>
        <v/>
      </c>
      <c r="T120" s="7">
        <f>LN(J120/J119)</f>
        <v/>
      </c>
      <c r="U120" s="7">
        <f>$W$12+$W$4*M120+$W$5*N120+$W$6*O120+$W$7*P120+$W$8*Q120+$W$9*R120+$W$10*S120+$W$11*T120</f>
        <v/>
      </c>
      <c r="AA120" s="8">
        <f>INDEX(LINEST(L61:L120,M61:T120,TRUE,TRUE),1,9)*12</f>
        <v/>
      </c>
      <c r="AB120" s="7">
        <f>INDEX(LINEST(L61:L120,M61:T120,TRUE,TRUE),1,8)</f>
        <v/>
      </c>
      <c r="AC120" s="7">
        <f>INDEX(LINEST(L61:L120,M61:T120,TRUE,TRUE),1,7)</f>
        <v/>
      </c>
      <c r="AD120" s="7">
        <f>INDEX(LINEST(L61:L120,M61:T120,TRUE,TRUE),1,6)</f>
        <v/>
      </c>
      <c r="AE120" s="7">
        <f>INDEX(LINEST(L61:L120,M61:T120,TRUE,TRUE),1,5)</f>
        <v/>
      </c>
      <c r="AF120" s="7">
        <f>INDEX(LINEST(L61:L120,M61:T120,TRUE,TRUE),1,4)</f>
        <v/>
      </c>
      <c r="AG120" s="7">
        <f>INDEX(LINEST(L61:L120,M61:T120,TRUE,TRUE),1,3)</f>
        <v/>
      </c>
      <c r="AH120" s="7">
        <f>INDEX(LINEST(L61:L120,M61:T120,TRUE,TRUE),1,2)</f>
        <v/>
      </c>
      <c r="AI120" s="7">
        <f>INDEX(LINEST(L61:L120,M61:T120,TRUE,TRUE),1,1)</f>
        <v/>
      </c>
      <c r="AJ120" s="8">
        <f>INDEX(LINEST(L61:L120,M61:T120,TRUE,TRUE),3,1)</f>
        <v/>
      </c>
    </row>
    <row r="121">
      <c r="L121" s="7">
        <f>LN(B121/B120)</f>
        <v/>
      </c>
      <c r="M121" s="7">
        <f>C121-C120</f>
        <v/>
      </c>
      <c r="N121" s="7">
        <f>D121-D120</f>
        <v/>
      </c>
      <c r="O121" s="7">
        <f>LN(E121/E120)</f>
        <v/>
      </c>
      <c r="P121" s="7">
        <f>LN(F121/F120)</f>
        <v/>
      </c>
      <c r="Q121" s="7">
        <f>G121-G120</f>
        <v/>
      </c>
      <c r="R121" s="7">
        <f>H121-H120</f>
        <v/>
      </c>
      <c r="S121" s="7">
        <f>LN(I121/I120)</f>
        <v/>
      </c>
      <c r="T121" s="7">
        <f>LN(J121/J120)</f>
        <v/>
      </c>
      <c r="U121" s="7">
        <f>$W$12+$W$4*M121+$W$5*N121+$W$6*O121+$W$7*P121+$W$8*Q121+$W$9*R121+$W$10*S121+$W$11*T121</f>
        <v/>
      </c>
      <c r="AA121" s="8">
        <f>INDEX(LINEST(L62:L121,M62:T121,TRUE,TRUE),1,9)*12</f>
        <v/>
      </c>
      <c r="AB121" s="7">
        <f>INDEX(LINEST(L62:L121,M62:T121,TRUE,TRUE),1,8)</f>
        <v/>
      </c>
      <c r="AC121" s="7">
        <f>INDEX(LINEST(L62:L121,M62:T121,TRUE,TRUE),1,7)</f>
        <v/>
      </c>
      <c r="AD121" s="7">
        <f>INDEX(LINEST(L62:L121,M62:T121,TRUE,TRUE),1,6)</f>
        <v/>
      </c>
      <c r="AE121" s="7">
        <f>INDEX(LINEST(L62:L121,M62:T121,TRUE,TRUE),1,5)</f>
        <v/>
      </c>
      <c r="AF121" s="7">
        <f>INDEX(LINEST(L62:L121,M62:T121,TRUE,TRUE),1,4)</f>
        <v/>
      </c>
      <c r="AG121" s="7">
        <f>INDEX(LINEST(L62:L121,M62:T121,TRUE,TRUE),1,3)</f>
        <v/>
      </c>
      <c r="AH121" s="7">
        <f>INDEX(LINEST(L62:L121,M62:T121,TRUE,TRUE),1,2)</f>
        <v/>
      </c>
      <c r="AI121" s="7">
        <f>INDEX(LINEST(L62:L121,M62:T121,TRUE,TRUE),1,1)</f>
        <v/>
      </c>
      <c r="AJ121" s="8">
        <f>INDEX(LINEST(L62:L121,M62:T121,TRUE,TRUE),3,1)</f>
        <v/>
      </c>
    </row>
    <row r="122">
      <c r="L122" s="7">
        <f>LN(B122/B121)</f>
        <v/>
      </c>
      <c r="M122" s="7">
        <f>C122-C121</f>
        <v/>
      </c>
      <c r="N122" s="7">
        <f>D122-D121</f>
        <v/>
      </c>
      <c r="O122" s="7">
        <f>LN(E122/E121)</f>
        <v/>
      </c>
      <c r="P122" s="7">
        <f>LN(F122/F121)</f>
        <v/>
      </c>
      <c r="Q122" s="7">
        <f>G122-G121</f>
        <v/>
      </c>
      <c r="R122" s="7">
        <f>H122-H121</f>
        <v/>
      </c>
      <c r="S122" s="7">
        <f>LN(I122/I121)</f>
        <v/>
      </c>
      <c r="T122" s="7">
        <f>LN(J122/J121)</f>
        <v/>
      </c>
      <c r="U122" s="7">
        <f>$W$12+$W$4*M122+$W$5*N122+$W$6*O122+$W$7*P122+$W$8*Q122+$W$9*R122+$W$10*S122+$W$11*T122</f>
        <v/>
      </c>
      <c r="AA122" s="8">
        <f>INDEX(LINEST(L63:L122,M63:T122,TRUE,TRUE),1,9)*12</f>
        <v/>
      </c>
      <c r="AB122" s="7">
        <f>INDEX(LINEST(L63:L122,M63:T122,TRUE,TRUE),1,8)</f>
        <v/>
      </c>
      <c r="AC122" s="7">
        <f>INDEX(LINEST(L63:L122,M63:T122,TRUE,TRUE),1,7)</f>
        <v/>
      </c>
      <c r="AD122" s="7">
        <f>INDEX(LINEST(L63:L122,M63:T122,TRUE,TRUE),1,6)</f>
        <v/>
      </c>
      <c r="AE122" s="7">
        <f>INDEX(LINEST(L63:L122,M63:T122,TRUE,TRUE),1,5)</f>
        <v/>
      </c>
      <c r="AF122" s="7">
        <f>INDEX(LINEST(L63:L122,M63:T122,TRUE,TRUE),1,4)</f>
        <v/>
      </c>
      <c r="AG122" s="7">
        <f>INDEX(LINEST(L63:L122,M63:T122,TRUE,TRUE),1,3)</f>
        <v/>
      </c>
      <c r="AH122" s="7">
        <f>INDEX(LINEST(L63:L122,M63:T122,TRUE,TRUE),1,2)</f>
        <v/>
      </c>
      <c r="AI122" s="7">
        <f>INDEX(LINEST(L63:L122,M63:T122,TRUE,TRUE),1,1)</f>
        <v/>
      </c>
      <c r="AJ122" s="8">
        <f>INDEX(LINEST(L63:L122,M63:T122,TRUE,TRUE),3,1)</f>
        <v/>
      </c>
    </row>
    <row r="123">
      <c r="L123" s="7">
        <f>LN(B123/B122)</f>
        <v/>
      </c>
      <c r="M123" s="7">
        <f>C123-C122</f>
        <v/>
      </c>
      <c r="N123" s="7">
        <f>D123-D122</f>
        <v/>
      </c>
      <c r="O123" s="7">
        <f>LN(E123/E122)</f>
        <v/>
      </c>
      <c r="P123" s="7">
        <f>LN(F123/F122)</f>
        <v/>
      </c>
      <c r="Q123" s="7">
        <f>G123-G122</f>
        <v/>
      </c>
      <c r="R123" s="7">
        <f>H123-H122</f>
        <v/>
      </c>
      <c r="S123" s="7">
        <f>LN(I123/I122)</f>
        <v/>
      </c>
      <c r="T123" s="7">
        <f>LN(J123/J122)</f>
        <v/>
      </c>
      <c r="U123" s="7">
        <f>$W$12+$W$4*M123+$W$5*N123+$W$6*O123+$W$7*P123+$W$8*Q123+$W$9*R123+$W$10*S123+$W$11*T123</f>
        <v/>
      </c>
      <c r="AA123" s="8">
        <f>INDEX(LINEST(L64:L123,M64:T123,TRUE,TRUE),1,9)*12</f>
        <v/>
      </c>
      <c r="AB123" s="7">
        <f>INDEX(LINEST(L64:L123,M64:T123,TRUE,TRUE),1,8)</f>
        <v/>
      </c>
      <c r="AC123" s="7">
        <f>INDEX(LINEST(L64:L123,M64:T123,TRUE,TRUE),1,7)</f>
        <v/>
      </c>
      <c r="AD123" s="7">
        <f>INDEX(LINEST(L64:L123,M64:T123,TRUE,TRUE),1,6)</f>
        <v/>
      </c>
      <c r="AE123" s="7">
        <f>INDEX(LINEST(L64:L123,M64:T123,TRUE,TRUE),1,5)</f>
        <v/>
      </c>
      <c r="AF123" s="7">
        <f>INDEX(LINEST(L64:L123,M64:T123,TRUE,TRUE),1,4)</f>
        <v/>
      </c>
      <c r="AG123" s="7">
        <f>INDEX(LINEST(L64:L123,M64:T123,TRUE,TRUE),1,3)</f>
        <v/>
      </c>
      <c r="AH123" s="7">
        <f>INDEX(LINEST(L64:L123,M64:T123,TRUE,TRUE),1,2)</f>
        <v/>
      </c>
      <c r="AI123" s="7">
        <f>INDEX(LINEST(L64:L123,M64:T123,TRUE,TRUE),1,1)</f>
        <v/>
      </c>
      <c r="AJ123" s="8">
        <f>INDEX(LINEST(L64:L123,M64:T123,TRUE,TRUE),3,1)</f>
        <v/>
      </c>
    </row>
    <row r="124">
      <c r="L124" s="7">
        <f>LN(B124/B123)</f>
        <v/>
      </c>
      <c r="M124" s="7">
        <f>C124-C123</f>
        <v/>
      </c>
      <c r="N124" s="7">
        <f>D124-D123</f>
        <v/>
      </c>
      <c r="O124" s="7">
        <f>LN(E124/E123)</f>
        <v/>
      </c>
      <c r="P124" s="7">
        <f>LN(F124/F123)</f>
        <v/>
      </c>
      <c r="Q124" s="7">
        <f>G124-G123</f>
        <v/>
      </c>
      <c r="R124" s="7">
        <f>H124-H123</f>
        <v/>
      </c>
      <c r="S124" s="7">
        <f>LN(I124/I123)</f>
        <v/>
      </c>
      <c r="T124" s="7">
        <f>LN(J124/J123)</f>
        <v/>
      </c>
      <c r="U124" s="7">
        <f>$W$12+$W$4*M124+$W$5*N124+$W$6*O124+$W$7*P124+$W$8*Q124+$W$9*R124+$W$10*S124+$W$11*T124</f>
        <v/>
      </c>
      <c r="AA124" s="8">
        <f>INDEX(LINEST(L65:L124,M65:T124,TRUE,TRUE),1,9)*12</f>
        <v/>
      </c>
      <c r="AB124" s="7">
        <f>INDEX(LINEST(L65:L124,M65:T124,TRUE,TRUE),1,8)</f>
        <v/>
      </c>
      <c r="AC124" s="7">
        <f>INDEX(LINEST(L65:L124,M65:T124,TRUE,TRUE),1,7)</f>
        <v/>
      </c>
      <c r="AD124" s="7">
        <f>INDEX(LINEST(L65:L124,M65:T124,TRUE,TRUE),1,6)</f>
        <v/>
      </c>
      <c r="AE124" s="7">
        <f>INDEX(LINEST(L65:L124,M65:T124,TRUE,TRUE),1,5)</f>
        <v/>
      </c>
      <c r="AF124" s="7">
        <f>INDEX(LINEST(L65:L124,M65:T124,TRUE,TRUE),1,4)</f>
        <v/>
      </c>
      <c r="AG124" s="7">
        <f>INDEX(LINEST(L65:L124,M65:T124,TRUE,TRUE),1,3)</f>
        <v/>
      </c>
      <c r="AH124" s="7">
        <f>INDEX(LINEST(L65:L124,M65:T124,TRUE,TRUE),1,2)</f>
        <v/>
      </c>
      <c r="AI124" s="7">
        <f>INDEX(LINEST(L65:L124,M65:T124,TRUE,TRUE),1,1)</f>
        <v/>
      </c>
      <c r="AJ124" s="8">
        <f>INDEX(LINEST(L65:L124,M65:T124,TRUE,TRUE),3,1)</f>
        <v/>
      </c>
    </row>
    <row r="125">
      <c r="L125" s="7">
        <f>LN(B125/B124)</f>
        <v/>
      </c>
      <c r="M125" s="7">
        <f>C125-C124</f>
        <v/>
      </c>
      <c r="N125" s="7">
        <f>D125-D124</f>
        <v/>
      </c>
      <c r="O125" s="7">
        <f>LN(E125/E124)</f>
        <v/>
      </c>
      <c r="P125" s="7">
        <f>LN(F125/F124)</f>
        <v/>
      </c>
      <c r="Q125" s="7">
        <f>G125-G124</f>
        <v/>
      </c>
      <c r="R125" s="7">
        <f>H125-H124</f>
        <v/>
      </c>
      <c r="S125" s="7">
        <f>LN(I125/I124)</f>
        <v/>
      </c>
      <c r="T125" s="7">
        <f>LN(J125/J124)</f>
        <v/>
      </c>
      <c r="U125" s="7">
        <f>$W$12+$W$4*M125+$W$5*N125+$W$6*O125+$W$7*P125+$W$8*Q125+$W$9*R125+$W$10*S125+$W$11*T125</f>
        <v/>
      </c>
      <c r="AA125" s="8">
        <f>INDEX(LINEST(L66:L125,M66:T125,TRUE,TRUE),1,9)*12</f>
        <v/>
      </c>
      <c r="AB125" s="7">
        <f>INDEX(LINEST(L66:L125,M66:T125,TRUE,TRUE),1,8)</f>
        <v/>
      </c>
      <c r="AC125" s="7">
        <f>INDEX(LINEST(L66:L125,M66:T125,TRUE,TRUE),1,7)</f>
        <v/>
      </c>
      <c r="AD125" s="7">
        <f>INDEX(LINEST(L66:L125,M66:T125,TRUE,TRUE),1,6)</f>
        <v/>
      </c>
      <c r="AE125" s="7">
        <f>INDEX(LINEST(L66:L125,M66:T125,TRUE,TRUE),1,5)</f>
        <v/>
      </c>
      <c r="AF125" s="7">
        <f>INDEX(LINEST(L66:L125,M66:T125,TRUE,TRUE),1,4)</f>
        <v/>
      </c>
      <c r="AG125" s="7">
        <f>INDEX(LINEST(L66:L125,M66:T125,TRUE,TRUE),1,3)</f>
        <v/>
      </c>
      <c r="AH125" s="7">
        <f>INDEX(LINEST(L66:L125,M66:T125,TRUE,TRUE),1,2)</f>
        <v/>
      </c>
      <c r="AI125" s="7">
        <f>INDEX(LINEST(L66:L125,M66:T125,TRUE,TRUE),1,1)</f>
        <v/>
      </c>
      <c r="AJ125" s="8">
        <f>INDEX(LINEST(L66:L125,M66:T125,TRUE,TRUE),3,1)</f>
        <v/>
      </c>
    </row>
    <row r="126">
      <c r="L126" s="7">
        <f>LN(B126/B125)</f>
        <v/>
      </c>
      <c r="M126" s="7">
        <f>C126-C125</f>
        <v/>
      </c>
      <c r="N126" s="7">
        <f>D126-D125</f>
        <v/>
      </c>
      <c r="O126" s="7">
        <f>LN(E126/E125)</f>
        <v/>
      </c>
      <c r="P126" s="7">
        <f>LN(F126/F125)</f>
        <v/>
      </c>
      <c r="Q126" s="7">
        <f>G126-G125</f>
        <v/>
      </c>
      <c r="R126" s="7">
        <f>H126-H125</f>
        <v/>
      </c>
      <c r="S126" s="7">
        <f>LN(I126/I125)</f>
        <v/>
      </c>
      <c r="T126" s="7">
        <f>LN(J126/J125)</f>
        <v/>
      </c>
      <c r="U126" s="7">
        <f>$W$12+$W$4*M126+$W$5*N126+$W$6*O126+$W$7*P126+$W$8*Q126+$W$9*R126+$W$10*S126+$W$11*T126</f>
        <v/>
      </c>
      <c r="AA126" s="8">
        <f>INDEX(LINEST(L67:L126,M67:T126,TRUE,TRUE),1,9)*12</f>
        <v/>
      </c>
      <c r="AB126" s="7">
        <f>INDEX(LINEST(L67:L126,M67:T126,TRUE,TRUE),1,8)</f>
        <v/>
      </c>
      <c r="AC126" s="7">
        <f>INDEX(LINEST(L67:L126,M67:T126,TRUE,TRUE),1,7)</f>
        <v/>
      </c>
      <c r="AD126" s="7">
        <f>INDEX(LINEST(L67:L126,M67:T126,TRUE,TRUE),1,6)</f>
        <v/>
      </c>
      <c r="AE126" s="7">
        <f>INDEX(LINEST(L67:L126,M67:T126,TRUE,TRUE),1,5)</f>
        <v/>
      </c>
      <c r="AF126" s="7">
        <f>INDEX(LINEST(L67:L126,M67:T126,TRUE,TRUE),1,4)</f>
        <v/>
      </c>
      <c r="AG126" s="7">
        <f>INDEX(LINEST(L67:L126,M67:T126,TRUE,TRUE),1,3)</f>
        <v/>
      </c>
      <c r="AH126" s="7">
        <f>INDEX(LINEST(L67:L126,M67:T126,TRUE,TRUE),1,2)</f>
        <v/>
      </c>
      <c r="AI126" s="7">
        <f>INDEX(LINEST(L67:L126,M67:T126,TRUE,TRUE),1,1)</f>
        <v/>
      </c>
      <c r="AJ126" s="8">
        <f>INDEX(LINEST(L67:L126,M67:T126,TRUE,TRUE),3,1)</f>
        <v/>
      </c>
    </row>
    <row r="127">
      <c r="L127" s="7">
        <f>LN(B127/B126)</f>
        <v/>
      </c>
      <c r="M127" s="7">
        <f>C127-C126</f>
        <v/>
      </c>
      <c r="N127" s="7">
        <f>D127-D126</f>
        <v/>
      </c>
      <c r="O127" s="7">
        <f>LN(E127/E126)</f>
        <v/>
      </c>
      <c r="P127" s="7">
        <f>LN(F127/F126)</f>
        <v/>
      </c>
      <c r="Q127" s="7">
        <f>G127-G126</f>
        <v/>
      </c>
      <c r="R127" s="7">
        <f>H127-H126</f>
        <v/>
      </c>
      <c r="S127" s="7">
        <f>LN(I127/I126)</f>
        <v/>
      </c>
      <c r="T127" s="7">
        <f>LN(J127/J126)</f>
        <v/>
      </c>
      <c r="U127" s="7">
        <f>$W$12+$W$4*M127+$W$5*N127+$W$6*O127+$W$7*P127+$W$8*Q127+$W$9*R127+$W$10*S127+$W$11*T127</f>
        <v/>
      </c>
      <c r="AA127" s="8">
        <f>INDEX(LINEST(L68:L127,M68:T127,TRUE,TRUE),1,9)*12</f>
        <v/>
      </c>
      <c r="AB127" s="7">
        <f>INDEX(LINEST(L68:L127,M68:T127,TRUE,TRUE),1,8)</f>
        <v/>
      </c>
      <c r="AC127" s="7">
        <f>INDEX(LINEST(L68:L127,M68:T127,TRUE,TRUE),1,7)</f>
        <v/>
      </c>
      <c r="AD127" s="7">
        <f>INDEX(LINEST(L68:L127,M68:T127,TRUE,TRUE),1,6)</f>
        <v/>
      </c>
      <c r="AE127" s="7">
        <f>INDEX(LINEST(L68:L127,M68:T127,TRUE,TRUE),1,5)</f>
        <v/>
      </c>
      <c r="AF127" s="7">
        <f>INDEX(LINEST(L68:L127,M68:T127,TRUE,TRUE),1,4)</f>
        <v/>
      </c>
      <c r="AG127" s="7">
        <f>INDEX(LINEST(L68:L127,M68:T127,TRUE,TRUE),1,3)</f>
        <v/>
      </c>
      <c r="AH127" s="7">
        <f>INDEX(LINEST(L68:L127,M68:T127,TRUE,TRUE),1,2)</f>
        <v/>
      </c>
      <c r="AI127" s="7">
        <f>INDEX(LINEST(L68:L127,M68:T127,TRUE,TRUE),1,1)</f>
        <v/>
      </c>
      <c r="AJ127" s="8">
        <f>INDEX(LINEST(L68:L127,M68:T127,TRUE,TRUE),3,1)</f>
        <v/>
      </c>
    </row>
    <row r="128">
      <c r="L128" s="7">
        <f>LN(B128/B127)</f>
        <v/>
      </c>
      <c r="M128" s="7">
        <f>C128-C127</f>
        <v/>
      </c>
      <c r="N128" s="7">
        <f>D128-D127</f>
        <v/>
      </c>
      <c r="O128" s="7">
        <f>LN(E128/E127)</f>
        <v/>
      </c>
      <c r="P128" s="7">
        <f>LN(F128/F127)</f>
        <v/>
      </c>
      <c r="Q128" s="7">
        <f>G128-G127</f>
        <v/>
      </c>
      <c r="R128" s="7">
        <f>H128-H127</f>
        <v/>
      </c>
      <c r="S128" s="7">
        <f>LN(I128/I127)</f>
        <v/>
      </c>
      <c r="T128" s="7">
        <f>LN(J128/J127)</f>
        <v/>
      </c>
      <c r="U128" s="7">
        <f>$W$12+$W$4*M128+$W$5*N128+$W$6*O128+$W$7*P128+$W$8*Q128+$W$9*R128+$W$10*S128+$W$11*T128</f>
        <v/>
      </c>
      <c r="AA128" s="8">
        <f>INDEX(LINEST(L69:L128,M69:T128,TRUE,TRUE),1,9)*12</f>
        <v/>
      </c>
      <c r="AB128" s="7">
        <f>INDEX(LINEST(L69:L128,M69:T128,TRUE,TRUE),1,8)</f>
        <v/>
      </c>
      <c r="AC128" s="7">
        <f>INDEX(LINEST(L69:L128,M69:T128,TRUE,TRUE),1,7)</f>
        <v/>
      </c>
      <c r="AD128" s="7">
        <f>INDEX(LINEST(L69:L128,M69:T128,TRUE,TRUE),1,6)</f>
        <v/>
      </c>
      <c r="AE128" s="7">
        <f>INDEX(LINEST(L69:L128,M69:T128,TRUE,TRUE),1,5)</f>
        <v/>
      </c>
      <c r="AF128" s="7">
        <f>INDEX(LINEST(L69:L128,M69:T128,TRUE,TRUE),1,4)</f>
        <v/>
      </c>
      <c r="AG128" s="7">
        <f>INDEX(LINEST(L69:L128,M69:T128,TRUE,TRUE),1,3)</f>
        <v/>
      </c>
      <c r="AH128" s="7">
        <f>INDEX(LINEST(L69:L128,M69:T128,TRUE,TRUE),1,2)</f>
        <v/>
      </c>
      <c r="AI128" s="7">
        <f>INDEX(LINEST(L69:L128,M69:T128,TRUE,TRUE),1,1)</f>
        <v/>
      </c>
      <c r="AJ128" s="8">
        <f>INDEX(LINEST(L69:L128,M69:T128,TRUE,TRUE),3,1)</f>
        <v/>
      </c>
    </row>
    <row r="129">
      <c r="L129" s="7">
        <f>LN(B129/B128)</f>
        <v/>
      </c>
      <c r="M129" s="7">
        <f>C129-C128</f>
        <v/>
      </c>
      <c r="N129" s="7">
        <f>D129-D128</f>
        <v/>
      </c>
      <c r="O129" s="7">
        <f>LN(E129/E128)</f>
        <v/>
      </c>
      <c r="P129" s="7">
        <f>LN(F129/F128)</f>
        <v/>
      </c>
      <c r="Q129" s="7">
        <f>G129-G128</f>
        <v/>
      </c>
      <c r="R129" s="7">
        <f>H129-H128</f>
        <v/>
      </c>
      <c r="S129" s="7">
        <f>LN(I129/I128)</f>
        <v/>
      </c>
      <c r="T129" s="7">
        <f>LN(J129/J128)</f>
        <v/>
      </c>
      <c r="U129" s="7">
        <f>$W$12+$W$4*M129+$W$5*N129+$W$6*O129+$W$7*P129+$W$8*Q129+$W$9*R129+$W$10*S129+$W$11*T129</f>
        <v/>
      </c>
      <c r="AA129" s="8">
        <f>INDEX(LINEST(L70:L129,M70:T129,TRUE,TRUE),1,9)*12</f>
        <v/>
      </c>
      <c r="AB129" s="7">
        <f>INDEX(LINEST(L70:L129,M70:T129,TRUE,TRUE),1,8)</f>
        <v/>
      </c>
      <c r="AC129" s="7">
        <f>INDEX(LINEST(L70:L129,M70:T129,TRUE,TRUE),1,7)</f>
        <v/>
      </c>
      <c r="AD129" s="7">
        <f>INDEX(LINEST(L70:L129,M70:T129,TRUE,TRUE),1,6)</f>
        <v/>
      </c>
      <c r="AE129" s="7">
        <f>INDEX(LINEST(L70:L129,M70:T129,TRUE,TRUE),1,5)</f>
        <v/>
      </c>
      <c r="AF129" s="7">
        <f>INDEX(LINEST(L70:L129,M70:T129,TRUE,TRUE),1,4)</f>
        <v/>
      </c>
      <c r="AG129" s="7">
        <f>INDEX(LINEST(L70:L129,M70:T129,TRUE,TRUE),1,3)</f>
        <v/>
      </c>
      <c r="AH129" s="7">
        <f>INDEX(LINEST(L70:L129,M70:T129,TRUE,TRUE),1,2)</f>
        <v/>
      </c>
      <c r="AI129" s="7">
        <f>INDEX(LINEST(L70:L129,M70:T129,TRUE,TRUE),1,1)</f>
        <v/>
      </c>
      <c r="AJ129" s="8">
        <f>INDEX(LINEST(L70:L129,M70:T129,TRUE,TRUE),3,1)</f>
        <v/>
      </c>
    </row>
    <row r="130">
      <c r="L130" s="7">
        <f>LN(B130/B129)</f>
        <v/>
      </c>
      <c r="M130" s="7">
        <f>C130-C129</f>
        <v/>
      </c>
      <c r="N130" s="7">
        <f>D130-D129</f>
        <v/>
      </c>
      <c r="O130" s="7">
        <f>LN(E130/E129)</f>
        <v/>
      </c>
      <c r="P130" s="7">
        <f>LN(F130/F129)</f>
        <v/>
      </c>
      <c r="Q130" s="7">
        <f>G130-G129</f>
        <v/>
      </c>
      <c r="R130" s="7">
        <f>H130-H129</f>
        <v/>
      </c>
      <c r="S130" s="7">
        <f>LN(I130/I129)</f>
        <v/>
      </c>
      <c r="T130" s="7">
        <f>LN(J130/J129)</f>
        <v/>
      </c>
      <c r="U130" s="7">
        <f>$W$12+$W$4*M130+$W$5*N130+$W$6*O130+$W$7*P130+$W$8*Q130+$W$9*R130+$W$10*S130+$W$11*T130</f>
        <v/>
      </c>
      <c r="AA130" s="8">
        <f>INDEX(LINEST(L71:L130,M71:T130,TRUE,TRUE),1,9)*12</f>
        <v/>
      </c>
      <c r="AB130" s="7">
        <f>INDEX(LINEST(L71:L130,M71:T130,TRUE,TRUE),1,8)</f>
        <v/>
      </c>
      <c r="AC130" s="7">
        <f>INDEX(LINEST(L71:L130,M71:T130,TRUE,TRUE),1,7)</f>
        <v/>
      </c>
      <c r="AD130" s="7">
        <f>INDEX(LINEST(L71:L130,M71:T130,TRUE,TRUE),1,6)</f>
        <v/>
      </c>
      <c r="AE130" s="7">
        <f>INDEX(LINEST(L71:L130,M71:T130,TRUE,TRUE),1,5)</f>
        <v/>
      </c>
      <c r="AF130" s="7">
        <f>INDEX(LINEST(L71:L130,M71:T130,TRUE,TRUE),1,4)</f>
        <v/>
      </c>
      <c r="AG130" s="7">
        <f>INDEX(LINEST(L71:L130,M71:T130,TRUE,TRUE),1,3)</f>
        <v/>
      </c>
      <c r="AH130" s="7">
        <f>INDEX(LINEST(L71:L130,M71:T130,TRUE,TRUE),1,2)</f>
        <v/>
      </c>
      <c r="AI130" s="7">
        <f>INDEX(LINEST(L71:L130,M71:T130,TRUE,TRUE),1,1)</f>
        <v/>
      </c>
      <c r="AJ130" s="8">
        <f>INDEX(LINEST(L71:L130,M71:T130,TRUE,TRUE),3,1)</f>
        <v/>
      </c>
    </row>
    <row r="131">
      <c r="L131" s="7">
        <f>LN(B131/B130)</f>
        <v/>
      </c>
      <c r="M131" s="7">
        <f>C131-C130</f>
        <v/>
      </c>
      <c r="N131" s="7">
        <f>D131-D130</f>
        <v/>
      </c>
      <c r="O131" s="7">
        <f>LN(E131/E130)</f>
        <v/>
      </c>
      <c r="P131" s="7">
        <f>LN(F131/F130)</f>
        <v/>
      </c>
      <c r="Q131" s="7">
        <f>G131-G130</f>
        <v/>
      </c>
      <c r="R131" s="7">
        <f>H131-H130</f>
        <v/>
      </c>
      <c r="S131" s="7">
        <f>LN(I131/I130)</f>
        <v/>
      </c>
      <c r="T131" s="7">
        <f>LN(J131/J130)</f>
        <v/>
      </c>
      <c r="U131" s="7">
        <f>$W$12+$W$4*M131+$W$5*N131+$W$6*O131+$W$7*P131+$W$8*Q131+$W$9*R131+$W$10*S131+$W$11*T131</f>
        <v/>
      </c>
      <c r="AA131" s="8">
        <f>INDEX(LINEST(L72:L131,M72:T131,TRUE,TRUE),1,9)*12</f>
        <v/>
      </c>
      <c r="AB131" s="7">
        <f>INDEX(LINEST(L72:L131,M72:T131,TRUE,TRUE),1,8)</f>
        <v/>
      </c>
      <c r="AC131" s="7">
        <f>INDEX(LINEST(L72:L131,M72:T131,TRUE,TRUE),1,7)</f>
        <v/>
      </c>
      <c r="AD131" s="7">
        <f>INDEX(LINEST(L72:L131,M72:T131,TRUE,TRUE),1,6)</f>
        <v/>
      </c>
      <c r="AE131" s="7">
        <f>INDEX(LINEST(L72:L131,M72:T131,TRUE,TRUE),1,5)</f>
        <v/>
      </c>
      <c r="AF131" s="7">
        <f>INDEX(LINEST(L72:L131,M72:T131,TRUE,TRUE),1,4)</f>
        <v/>
      </c>
      <c r="AG131" s="7">
        <f>INDEX(LINEST(L72:L131,M72:T131,TRUE,TRUE),1,3)</f>
        <v/>
      </c>
      <c r="AH131" s="7">
        <f>INDEX(LINEST(L72:L131,M72:T131,TRUE,TRUE),1,2)</f>
        <v/>
      </c>
      <c r="AI131" s="7">
        <f>INDEX(LINEST(L72:L131,M72:T131,TRUE,TRUE),1,1)</f>
        <v/>
      </c>
      <c r="AJ131" s="8">
        <f>INDEX(LINEST(L72:L131,M72:T131,TRUE,TRUE),3,1)</f>
        <v/>
      </c>
    </row>
    <row r="132">
      <c r="L132" s="7">
        <f>LN(B132/B131)</f>
        <v/>
      </c>
      <c r="M132" s="7">
        <f>C132-C131</f>
        <v/>
      </c>
      <c r="N132" s="7">
        <f>D132-D131</f>
        <v/>
      </c>
      <c r="O132" s="7">
        <f>LN(E132/E131)</f>
        <v/>
      </c>
      <c r="P132" s="7">
        <f>LN(F132/F131)</f>
        <v/>
      </c>
      <c r="Q132" s="7">
        <f>G132-G131</f>
        <v/>
      </c>
      <c r="R132" s="7">
        <f>H132-H131</f>
        <v/>
      </c>
      <c r="S132" s="7">
        <f>LN(I132/I131)</f>
        <v/>
      </c>
      <c r="T132" s="7">
        <f>LN(J132/J131)</f>
        <v/>
      </c>
      <c r="U132" s="7">
        <f>$W$12+$W$4*M132+$W$5*N132+$W$6*O132+$W$7*P132+$W$8*Q132+$W$9*R132+$W$10*S132+$W$11*T132</f>
        <v/>
      </c>
      <c r="AA132" s="8">
        <f>INDEX(LINEST(L73:L132,M73:T132,TRUE,TRUE),1,9)*12</f>
        <v/>
      </c>
      <c r="AB132" s="7">
        <f>INDEX(LINEST(L73:L132,M73:T132,TRUE,TRUE),1,8)</f>
        <v/>
      </c>
      <c r="AC132" s="7">
        <f>INDEX(LINEST(L73:L132,M73:T132,TRUE,TRUE),1,7)</f>
        <v/>
      </c>
      <c r="AD132" s="7">
        <f>INDEX(LINEST(L73:L132,M73:T132,TRUE,TRUE),1,6)</f>
        <v/>
      </c>
      <c r="AE132" s="7">
        <f>INDEX(LINEST(L73:L132,M73:T132,TRUE,TRUE),1,5)</f>
        <v/>
      </c>
      <c r="AF132" s="7">
        <f>INDEX(LINEST(L73:L132,M73:T132,TRUE,TRUE),1,4)</f>
        <v/>
      </c>
      <c r="AG132" s="7">
        <f>INDEX(LINEST(L73:L132,M73:T132,TRUE,TRUE),1,3)</f>
        <v/>
      </c>
      <c r="AH132" s="7">
        <f>INDEX(LINEST(L73:L132,M73:T132,TRUE,TRUE),1,2)</f>
        <v/>
      </c>
      <c r="AI132" s="7">
        <f>INDEX(LINEST(L73:L132,M73:T132,TRUE,TRUE),1,1)</f>
        <v/>
      </c>
      <c r="AJ132" s="8">
        <f>INDEX(LINEST(L73:L132,M73:T132,TRUE,TRUE),3,1)</f>
        <v/>
      </c>
    </row>
    <row r="133">
      <c r="L133" s="7">
        <f>LN(B133/B132)</f>
        <v/>
      </c>
      <c r="M133" s="7">
        <f>C133-C132</f>
        <v/>
      </c>
      <c r="N133" s="7">
        <f>D133-D132</f>
        <v/>
      </c>
      <c r="O133" s="7">
        <f>LN(E133/E132)</f>
        <v/>
      </c>
      <c r="P133" s="7">
        <f>LN(F133/F132)</f>
        <v/>
      </c>
      <c r="Q133" s="7">
        <f>G133-G132</f>
        <v/>
      </c>
      <c r="R133" s="7">
        <f>H133-H132</f>
        <v/>
      </c>
      <c r="S133" s="7">
        <f>LN(I133/I132)</f>
        <v/>
      </c>
      <c r="T133" s="7">
        <f>LN(J133/J132)</f>
        <v/>
      </c>
      <c r="U133" s="7">
        <f>$W$12+$W$4*M133+$W$5*N133+$W$6*O133+$W$7*P133+$W$8*Q133+$W$9*R133+$W$10*S133+$W$11*T133</f>
        <v/>
      </c>
      <c r="AA133" s="8">
        <f>INDEX(LINEST(L74:L133,M74:T133,TRUE,TRUE),1,9)*12</f>
        <v/>
      </c>
      <c r="AB133" s="7">
        <f>INDEX(LINEST(L74:L133,M74:T133,TRUE,TRUE),1,8)</f>
        <v/>
      </c>
      <c r="AC133" s="7">
        <f>INDEX(LINEST(L74:L133,M74:T133,TRUE,TRUE),1,7)</f>
        <v/>
      </c>
      <c r="AD133" s="7">
        <f>INDEX(LINEST(L74:L133,M74:T133,TRUE,TRUE),1,6)</f>
        <v/>
      </c>
      <c r="AE133" s="7">
        <f>INDEX(LINEST(L74:L133,M74:T133,TRUE,TRUE),1,5)</f>
        <v/>
      </c>
      <c r="AF133" s="7">
        <f>INDEX(LINEST(L74:L133,M74:T133,TRUE,TRUE),1,4)</f>
        <v/>
      </c>
      <c r="AG133" s="7">
        <f>INDEX(LINEST(L74:L133,M74:T133,TRUE,TRUE),1,3)</f>
        <v/>
      </c>
      <c r="AH133" s="7">
        <f>INDEX(LINEST(L74:L133,M74:T133,TRUE,TRUE),1,2)</f>
        <v/>
      </c>
      <c r="AI133" s="7">
        <f>INDEX(LINEST(L74:L133,M74:T133,TRUE,TRUE),1,1)</f>
        <v/>
      </c>
      <c r="AJ133" s="8">
        <f>INDEX(LINEST(L74:L133,M74:T133,TRUE,TRUE),3,1)</f>
        <v/>
      </c>
    </row>
    <row r="134">
      <c r="L134" s="7">
        <f>LN(B134/B133)</f>
        <v/>
      </c>
      <c r="M134" s="7">
        <f>C134-C133</f>
        <v/>
      </c>
      <c r="N134" s="7">
        <f>D134-D133</f>
        <v/>
      </c>
      <c r="O134" s="7">
        <f>LN(E134/E133)</f>
        <v/>
      </c>
      <c r="P134" s="7">
        <f>LN(F134/F133)</f>
        <v/>
      </c>
      <c r="Q134" s="7">
        <f>G134-G133</f>
        <v/>
      </c>
      <c r="R134" s="7">
        <f>H134-H133</f>
        <v/>
      </c>
      <c r="S134" s="7">
        <f>LN(I134/I133)</f>
        <v/>
      </c>
      <c r="T134" s="7">
        <f>LN(J134/J133)</f>
        <v/>
      </c>
      <c r="U134" s="7">
        <f>$W$12+$W$4*M134+$W$5*N134+$W$6*O134+$W$7*P134+$W$8*Q134+$W$9*R134+$W$10*S134+$W$11*T134</f>
        <v/>
      </c>
      <c r="AA134" s="8">
        <f>INDEX(LINEST(L75:L134,M75:T134,TRUE,TRUE),1,9)*12</f>
        <v/>
      </c>
      <c r="AB134" s="7">
        <f>INDEX(LINEST(L75:L134,M75:T134,TRUE,TRUE),1,8)</f>
        <v/>
      </c>
      <c r="AC134" s="7">
        <f>INDEX(LINEST(L75:L134,M75:T134,TRUE,TRUE),1,7)</f>
        <v/>
      </c>
      <c r="AD134" s="7">
        <f>INDEX(LINEST(L75:L134,M75:T134,TRUE,TRUE),1,6)</f>
        <v/>
      </c>
      <c r="AE134" s="7">
        <f>INDEX(LINEST(L75:L134,M75:T134,TRUE,TRUE),1,5)</f>
        <v/>
      </c>
      <c r="AF134" s="7">
        <f>INDEX(LINEST(L75:L134,M75:T134,TRUE,TRUE),1,4)</f>
        <v/>
      </c>
      <c r="AG134" s="7">
        <f>INDEX(LINEST(L75:L134,M75:T134,TRUE,TRUE),1,3)</f>
        <v/>
      </c>
      <c r="AH134" s="7">
        <f>INDEX(LINEST(L75:L134,M75:T134,TRUE,TRUE),1,2)</f>
        <v/>
      </c>
      <c r="AI134" s="7">
        <f>INDEX(LINEST(L75:L134,M75:T134,TRUE,TRUE),1,1)</f>
        <v/>
      </c>
      <c r="AJ134" s="8">
        <f>INDEX(LINEST(L75:L134,M75:T134,TRUE,TRUE),3,1)</f>
        <v/>
      </c>
    </row>
    <row r="135">
      <c r="L135" s="7">
        <f>LN(B135/B134)</f>
        <v/>
      </c>
      <c r="M135" s="7">
        <f>C135-C134</f>
        <v/>
      </c>
      <c r="N135" s="7">
        <f>D135-D134</f>
        <v/>
      </c>
      <c r="O135" s="7">
        <f>LN(E135/E134)</f>
        <v/>
      </c>
      <c r="P135" s="7">
        <f>LN(F135/F134)</f>
        <v/>
      </c>
      <c r="Q135" s="7">
        <f>G135-G134</f>
        <v/>
      </c>
      <c r="R135" s="7">
        <f>H135-H134</f>
        <v/>
      </c>
      <c r="S135" s="7">
        <f>LN(I135/I134)</f>
        <v/>
      </c>
      <c r="T135" s="7">
        <f>LN(J135/J134)</f>
        <v/>
      </c>
      <c r="U135" s="7">
        <f>$W$12+$W$4*M135+$W$5*N135+$W$6*O135+$W$7*P135+$W$8*Q135+$W$9*R135+$W$10*S135+$W$11*T135</f>
        <v/>
      </c>
      <c r="AA135" s="8">
        <f>INDEX(LINEST(L76:L135,M76:T135,TRUE,TRUE),1,9)*12</f>
        <v/>
      </c>
      <c r="AB135" s="7">
        <f>INDEX(LINEST(L76:L135,M76:T135,TRUE,TRUE),1,8)</f>
        <v/>
      </c>
      <c r="AC135" s="7">
        <f>INDEX(LINEST(L76:L135,M76:T135,TRUE,TRUE),1,7)</f>
        <v/>
      </c>
      <c r="AD135" s="7">
        <f>INDEX(LINEST(L76:L135,M76:T135,TRUE,TRUE),1,6)</f>
        <v/>
      </c>
      <c r="AE135" s="7">
        <f>INDEX(LINEST(L76:L135,M76:T135,TRUE,TRUE),1,5)</f>
        <v/>
      </c>
      <c r="AF135" s="7">
        <f>INDEX(LINEST(L76:L135,M76:T135,TRUE,TRUE),1,4)</f>
        <v/>
      </c>
      <c r="AG135" s="7">
        <f>INDEX(LINEST(L76:L135,M76:T135,TRUE,TRUE),1,3)</f>
        <v/>
      </c>
      <c r="AH135" s="7">
        <f>INDEX(LINEST(L76:L135,M76:T135,TRUE,TRUE),1,2)</f>
        <v/>
      </c>
      <c r="AI135" s="7">
        <f>INDEX(LINEST(L76:L135,M76:T135,TRUE,TRUE),1,1)</f>
        <v/>
      </c>
      <c r="AJ135" s="8">
        <f>INDEX(LINEST(L76:L135,M76:T135,TRUE,TRUE),3,1)</f>
        <v/>
      </c>
    </row>
    <row r="136">
      <c r="L136" s="7">
        <f>LN(B136/B135)</f>
        <v/>
      </c>
      <c r="M136" s="7">
        <f>C136-C135</f>
        <v/>
      </c>
      <c r="N136" s="7">
        <f>D136-D135</f>
        <v/>
      </c>
      <c r="O136" s="7">
        <f>LN(E136/E135)</f>
        <v/>
      </c>
      <c r="P136" s="7">
        <f>LN(F136/F135)</f>
        <v/>
      </c>
      <c r="Q136" s="7">
        <f>G136-G135</f>
        <v/>
      </c>
      <c r="R136" s="7">
        <f>H136-H135</f>
        <v/>
      </c>
      <c r="S136" s="7">
        <f>LN(I136/I135)</f>
        <v/>
      </c>
      <c r="T136" s="7">
        <f>LN(J136/J135)</f>
        <v/>
      </c>
      <c r="U136" s="7">
        <f>$W$12+$W$4*M136+$W$5*N136+$W$6*O136+$W$7*P136+$W$8*Q136+$W$9*R136+$W$10*S136+$W$11*T136</f>
        <v/>
      </c>
      <c r="AA136" s="8">
        <f>INDEX(LINEST(L77:L136,M77:T136,TRUE,TRUE),1,9)*12</f>
        <v/>
      </c>
      <c r="AB136" s="7">
        <f>INDEX(LINEST(L77:L136,M77:T136,TRUE,TRUE),1,8)</f>
        <v/>
      </c>
      <c r="AC136" s="7">
        <f>INDEX(LINEST(L77:L136,M77:T136,TRUE,TRUE),1,7)</f>
        <v/>
      </c>
      <c r="AD136" s="7">
        <f>INDEX(LINEST(L77:L136,M77:T136,TRUE,TRUE),1,6)</f>
        <v/>
      </c>
      <c r="AE136" s="7">
        <f>INDEX(LINEST(L77:L136,M77:T136,TRUE,TRUE),1,5)</f>
        <v/>
      </c>
      <c r="AF136" s="7">
        <f>INDEX(LINEST(L77:L136,M77:T136,TRUE,TRUE),1,4)</f>
        <v/>
      </c>
      <c r="AG136" s="7">
        <f>INDEX(LINEST(L77:L136,M77:T136,TRUE,TRUE),1,3)</f>
        <v/>
      </c>
      <c r="AH136" s="7">
        <f>INDEX(LINEST(L77:L136,M77:T136,TRUE,TRUE),1,2)</f>
        <v/>
      </c>
      <c r="AI136" s="7">
        <f>INDEX(LINEST(L77:L136,M77:T136,TRUE,TRUE),1,1)</f>
        <v/>
      </c>
      <c r="AJ136" s="8">
        <f>INDEX(LINEST(L77:L136,M77:T136,TRUE,TRUE),3,1)</f>
        <v/>
      </c>
    </row>
    <row r="137">
      <c r="L137" s="7">
        <f>LN(B137/B136)</f>
        <v/>
      </c>
      <c r="M137" s="7">
        <f>C137-C136</f>
        <v/>
      </c>
      <c r="N137" s="7">
        <f>D137-D136</f>
        <v/>
      </c>
      <c r="O137" s="7">
        <f>LN(E137/E136)</f>
        <v/>
      </c>
      <c r="P137" s="7">
        <f>LN(F137/F136)</f>
        <v/>
      </c>
      <c r="Q137" s="7">
        <f>G137-G136</f>
        <v/>
      </c>
      <c r="R137" s="7">
        <f>H137-H136</f>
        <v/>
      </c>
      <c r="S137" s="7">
        <f>LN(I137/I136)</f>
        <v/>
      </c>
      <c r="T137" s="7">
        <f>LN(J137/J136)</f>
        <v/>
      </c>
      <c r="U137" s="7">
        <f>$W$12+$W$4*M137+$W$5*N137+$W$6*O137+$W$7*P137+$W$8*Q137+$W$9*R137+$W$10*S137+$W$11*T137</f>
        <v/>
      </c>
      <c r="AA137" s="8">
        <f>INDEX(LINEST(L78:L137,M78:T137,TRUE,TRUE),1,9)*12</f>
        <v/>
      </c>
      <c r="AB137" s="7">
        <f>INDEX(LINEST(L78:L137,M78:T137,TRUE,TRUE),1,8)</f>
        <v/>
      </c>
      <c r="AC137" s="7">
        <f>INDEX(LINEST(L78:L137,M78:T137,TRUE,TRUE),1,7)</f>
        <v/>
      </c>
      <c r="AD137" s="7">
        <f>INDEX(LINEST(L78:L137,M78:T137,TRUE,TRUE),1,6)</f>
        <v/>
      </c>
      <c r="AE137" s="7">
        <f>INDEX(LINEST(L78:L137,M78:T137,TRUE,TRUE),1,5)</f>
        <v/>
      </c>
      <c r="AF137" s="7">
        <f>INDEX(LINEST(L78:L137,M78:T137,TRUE,TRUE),1,4)</f>
        <v/>
      </c>
      <c r="AG137" s="7">
        <f>INDEX(LINEST(L78:L137,M78:T137,TRUE,TRUE),1,3)</f>
        <v/>
      </c>
      <c r="AH137" s="7">
        <f>INDEX(LINEST(L78:L137,M78:T137,TRUE,TRUE),1,2)</f>
        <v/>
      </c>
      <c r="AI137" s="7">
        <f>INDEX(LINEST(L78:L137,M78:T137,TRUE,TRUE),1,1)</f>
        <v/>
      </c>
      <c r="AJ137" s="8">
        <f>INDEX(LINEST(L78:L137,M78:T137,TRUE,TRUE),3,1)</f>
        <v/>
      </c>
    </row>
    <row r="138">
      <c r="L138" s="7">
        <f>LN(B138/B137)</f>
        <v/>
      </c>
      <c r="M138" s="7">
        <f>C138-C137</f>
        <v/>
      </c>
      <c r="N138" s="7">
        <f>D138-D137</f>
        <v/>
      </c>
      <c r="O138" s="7">
        <f>LN(E138/E137)</f>
        <v/>
      </c>
      <c r="P138" s="7">
        <f>LN(F138/F137)</f>
        <v/>
      </c>
      <c r="Q138" s="7">
        <f>G138-G137</f>
        <v/>
      </c>
      <c r="R138" s="7">
        <f>H138-H137</f>
        <v/>
      </c>
      <c r="S138" s="7">
        <f>LN(I138/I137)</f>
        <v/>
      </c>
      <c r="T138" s="7">
        <f>LN(J138/J137)</f>
        <v/>
      </c>
      <c r="U138" s="7">
        <f>$W$12+$W$4*M138+$W$5*N138+$W$6*O138+$W$7*P138+$W$8*Q138+$W$9*R138+$W$10*S138+$W$11*T138</f>
        <v/>
      </c>
      <c r="AA138" s="8">
        <f>INDEX(LINEST(L79:L138,M79:T138,TRUE,TRUE),1,9)*12</f>
        <v/>
      </c>
      <c r="AB138" s="7">
        <f>INDEX(LINEST(L79:L138,M79:T138,TRUE,TRUE),1,8)</f>
        <v/>
      </c>
      <c r="AC138" s="7">
        <f>INDEX(LINEST(L79:L138,M79:T138,TRUE,TRUE),1,7)</f>
        <v/>
      </c>
      <c r="AD138" s="7">
        <f>INDEX(LINEST(L79:L138,M79:T138,TRUE,TRUE),1,6)</f>
        <v/>
      </c>
      <c r="AE138" s="7">
        <f>INDEX(LINEST(L79:L138,M79:T138,TRUE,TRUE),1,5)</f>
        <v/>
      </c>
      <c r="AF138" s="7">
        <f>INDEX(LINEST(L79:L138,M79:T138,TRUE,TRUE),1,4)</f>
        <v/>
      </c>
      <c r="AG138" s="7">
        <f>INDEX(LINEST(L79:L138,M79:T138,TRUE,TRUE),1,3)</f>
        <v/>
      </c>
      <c r="AH138" s="7">
        <f>INDEX(LINEST(L79:L138,M79:T138,TRUE,TRUE),1,2)</f>
        <v/>
      </c>
      <c r="AI138" s="7">
        <f>INDEX(LINEST(L79:L138,M79:T138,TRUE,TRUE),1,1)</f>
        <v/>
      </c>
      <c r="AJ138" s="8">
        <f>INDEX(LINEST(L79:L138,M79:T138,TRUE,TRUE),3,1)</f>
        <v/>
      </c>
    </row>
    <row r="139">
      <c r="L139" s="7">
        <f>LN(B139/B138)</f>
        <v/>
      </c>
      <c r="M139" s="7">
        <f>C139-C138</f>
        <v/>
      </c>
      <c r="N139" s="7">
        <f>D139-D138</f>
        <v/>
      </c>
      <c r="O139" s="7">
        <f>LN(E139/E138)</f>
        <v/>
      </c>
      <c r="P139" s="7">
        <f>LN(F139/F138)</f>
        <v/>
      </c>
      <c r="Q139" s="7">
        <f>G139-G138</f>
        <v/>
      </c>
      <c r="R139" s="7">
        <f>H139-H138</f>
        <v/>
      </c>
      <c r="S139" s="7">
        <f>LN(I139/I138)</f>
        <v/>
      </c>
      <c r="T139" s="7">
        <f>LN(J139/J138)</f>
        <v/>
      </c>
      <c r="U139" s="7">
        <f>$W$12+$W$4*M139+$W$5*N139+$W$6*O139+$W$7*P139+$W$8*Q139+$W$9*R139+$W$10*S139+$W$11*T139</f>
        <v/>
      </c>
      <c r="AA139" s="8">
        <f>INDEX(LINEST(L80:L139,M80:T139,TRUE,TRUE),1,9)*12</f>
        <v/>
      </c>
      <c r="AB139" s="7">
        <f>INDEX(LINEST(L80:L139,M80:T139,TRUE,TRUE),1,8)</f>
        <v/>
      </c>
      <c r="AC139" s="7">
        <f>INDEX(LINEST(L80:L139,M80:T139,TRUE,TRUE),1,7)</f>
        <v/>
      </c>
      <c r="AD139" s="7">
        <f>INDEX(LINEST(L80:L139,M80:T139,TRUE,TRUE),1,6)</f>
        <v/>
      </c>
      <c r="AE139" s="7">
        <f>INDEX(LINEST(L80:L139,M80:T139,TRUE,TRUE),1,5)</f>
        <v/>
      </c>
      <c r="AF139" s="7">
        <f>INDEX(LINEST(L80:L139,M80:T139,TRUE,TRUE),1,4)</f>
        <v/>
      </c>
      <c r="AG139" s="7">
        <f>INDEX(LINEST(L80:L139,M80:T139,TRUE,TRUE),1,3)</f>
        <v/>
      </c>
      <c r="AH139" s="7">
        <f>INDEX(LINEST(L80:L139,M80:T139,TRUE,TRUE),1,2)</f>
        <v/>
      </c>
      <c r="AI139" s="7">
        <f>INDEX(LINEST(L80:L139,M80:T139,TRUE,TRUE),1,1)</f>
        <v/>
      </c>
      <c r="AJ139" s="8">
        <f>INDEX(LINEST(L80:L139,M80:T139,TRUE,TRUE),3,1)</f>
        <v/>
      </c>
    </row>
    <row r="140">
      <c r="L140" s="7">
        <f>LN(B140/B139)</f>
        <v/>
      </c>
      <c r="M140" s="7">
        <f>C140-C139</f>
        <v/>
      </c>
      <c r="N140" s="7">
        <f>D140-D139</f>
        <v/>
      </c>
      <c r="O140" s="7">
        <f>LN(E140/E139)</f>
        <v/>
      </c>
      <c r="P140" s="7">
        <f>LN(F140/F139)</f>
        <v/>
      </c>
      <c r="Q140" s="7">
        <f>G140-G139</f>
        <v/>
      </c>
      <c r="R140" s="7">
        <f>H140-H139</f>
        <v/>
      </c>
      <c r="S140" s="7">
        <f>LN(I140/I139)</f>
        <v/>
      </c>
      <c r="T140" s="7">
        <f>LN(J140/J139)</f>
        <v/>
      </c>
      <c r="U140" s="7">
        <f>$W$12+$W$4*M140+$W$5*N140+$W$6*O140+$W$7*P140+$W$8*Q140+$W$9*R140+$W$10*S140+$W$11*T140</f>
        <v/>
      </c>
      <c r="AA140" s="8">
        <f>INDEX(LINEST(L81:L140,M81:T140,TRUE,TRUE),1,9)*12</f>
        <v/>
      </c>
      <c r="AB140" s="7">
        <f>INDEX(LINEST(L81:L140,M81:T140,TRUE,TRUE),1,8)</f>
        <v/>
      </c>
      <c r="AC140" s="7">
        <f>INDEX(LINEST(L81:L140,M81:T140,TRUE,TRUE),1,7)</f>
        <v/>
      </c>
      <c r="AD140" s="7">
        <f>INDEX(LINEST(L81:L140,M81:T140,TRUE,TRUE),1,6)</f>
        <v/>
      </c>
      <c r="AE140" s="7">
        <f>INDEX(LINEST(L81:L140,M81:T140,TRUE,TRUE),1,5)</f>
        <v/>
      </c>
      <c r="AF140" s="7">
        <f>INDEX(LINEST(L81:L140,M81:T140,TRUE,TRUE),1,4)</f>
        <v/>
      </c>
      <c r="AG140" s="7">
        <f>INDEX(LINEST(L81:L140,M81:T140,TRUE,TRUE),1,3)</f>
        <v/>
      </c>
      <c r="AH140" s="7">
        <f>INDEX(LINEST(L81:L140,M81:T140,TRUE,TRUE),1,2)</f>
        <v/>
      </c>
      <c r="AI140" s="7">
        <f>INDEX(LINEST(L81:L140,M81:T140,TRUE,TRUE),1,1)</f>
        <v/>
      </c>
      <c r="AJ140" s="8">
        <f>INDEX(LINEST(L81:L140,M81:T140,TRUE,TRUE),3,1)</f>
        <v/>
      </c>
    </row>
    <row r="141">
      <c r="L141" s="7">
        <f>LN(B141/B140)</f>
        <v/>
      </c>
      <c r="M141" s="7">
        <f>C141-C140</f>
        <v/>
      </c>
      <c r="N141" s="7">
        <f>D141-D140</f>
        <v/>
      </c>
      <c r="O141" s="7">
        <f>LN(E141/E140)</f>
        <v/>
      </c>
      <c r="P141" s="7">
        <f>LN(F141/F140)</f>
        <v/>
      </c>
      <c r="Q141" s="7">
        <f>G141-G140</f>
        <v/>
      </c>
      <c r="R141" s="7">
        <f>H141-H140</f>
        <v/>
      </c>
      <c r="S141" s="7">
        <f>LN(I141/I140)</f>
        <v/>
      </c>
      <c r="T141" s="7">
        <f>LN(J141/J140)</f>
        <v/>
      </c>
      <c r="U141" s="7">
        <f>$W$12+$W$4*M141+$W$5*N141+$W$6*O141+$W$7*P141+$W$8*Q141+$W$9*R141+$W$10*S141+$W$11*T141</f>
        <v/>
      </c>
      <c r="AA141" s="8">
        <f>INDEX(LINEST(L82:L141,M82:T141,TRUE,TRUE),1,9)*12</f>
        <v/>
      </c>
      <c r="AB141" s="7">
        <f>INDEX(LINEST(L82:L141,M82:T141,TRUE,TRUE),1,8)</f>
        <v/>
      </c>
      <c r="AC141" s="7">
        <f>INDEX(LINEST(L82:L141,M82:T141,TRUE,TRUE),1,7)</f>
        <v/>
      </c>
      <c r="AD141" s="7">
        <f>INDEX(LINEST(L82:L141,M82:T141,TRUE,TRUE),1,6)</f>
        <v/>
      </c>
      <c r="AE141" s="7">
        <f>INDEX(LINEST(L82:L141,M82:T141,TRUE,TRUE),1,5)</f>
        <v/>
      </c>
      <c r="AF141" s="7">
        <f>INDEX(LINEST(L82:L141,M82:T141,TRUE,TRUE),1,4)</f>
        <v/>
      </c>
      <c r="AG141" s="7">
        <f>INDEX(LINEST(L82:L141,M82:T141,TRUE,TRUE),1,3)</f>
        <v/>
      </c>
      <c r="AH141" s="7">
        <f>INDEX(LINEST(L82:L141,M82:T141,TRUE,TRUE),1,2)</f>
        <v/>
      </c>
      <c r="AI141" s="7">
        <f>INDEX(LINEST(L82:L141,M82:T141,TRUE,TRUE),1,1)</f>
        <v/>
      </c>
      <c r="AJ141" s="8">
        <f>INDEX(LINEST(L82:L141,M82:T141,TRUE,TRUE),3,1)</f>
        <v/>
      </c>
    </row>
    <row r="142">
      <c r="L142" s="7">
        <f>LN(B142/B141)</f>
        <v/>
      </c>
      <c r="M142" s="7">
        <f>C142-C141</f>
        <v/>
      </c>
      <c r="N142" s="7">
        <f>D142-D141</f>
        <v/>
      </c>
      <c r="O142" s="7">
        <f>LN(E142/E141)</f>
        <v/>
      </c>
      <c r="P142" s="7">
        <f>LN(F142/F141)</f>
        <v/>
      </c>
      <c r="Q142" s="7">
        <f>G142-G141</f>
        <v/>
      </c>
      <c r="R142" s="7">
        <f>H142-H141</f>
        <v/>
      </c>
      <c r="S142" s="7">
        <f>LN(I142/I141)</f>
        <v/>
      </c>
      <c r="T142" s="7">
        <f>LN(J142/J141)</f>
        <v/>
      </c>
      <c r="U142" s="7">
        <f>$W$12+$W$4*M142+$W$5*N142+$W$6*O142+$W$7*P142+$W$8*Q142+$W$9*R142+$W$10*S142+$W$11*T142</f>
        <v/>
      </c>
      <c r="AA142" s="8">
        <f>INDEX(LINEST(L83:L142,M83:T142,TRUE,TRUE),1,9)*12</f>
        <v/>
      </c>
      <c r="AB142" s="7">
        <f>INDEX(LINEST(L83:L142,M83:T142,TRUE,TRUE),1,8)</f>
        <v/>
      </c>
      <c r="AC142" s="7">
        <f>INDEX(LINEST(L83:L142,M83:T142,TRUE,TRUE),1,7)</f>
        <v/>
      </c>
      <c r="AD142" s="7">
        <f>INDEX(LINEST(L83:L142,M83:T142,TRUE,TRUE),1,6)</f>
        <v/>
      </c>
      <c r="AE142" s="7">
        <f>INDEX(LINEST(L83:L142,M83:T142,TRUE,TRUE),1,5)</f>
        <v/>
      </c>
      <c r="AF142" s="7">
        <f>INDEX(LINEST(L83:L142,M83:T142,TRUE,TRUE),1,4)</f>
        <v/>
      </c>
      <c r="AG142" s="7">
        <f>INDEX(LINEST(L83:L142,M83:T142,TRUE,TRUE),1,3)</f>
        <v/>
      </c>
      <c r="AH142" s="7">
        <f>INDEX(LINEST(L83:L142,M83:T142,TRUE,TRUE),1,2)</f>
        <v/>
      </c>
      <c r="AI142" s="7">
        <f>INDEX(LINEST(L83:L142,M83:T142,TRUE,TRUE),1,1)</f>
        <v/>
      </c>
      <c r="AJ142" s="8">
        <f>INDEX(LINEST(L83:L142,M83:T142,TRUE,TRUE),3,1)</f>
        <v/>
      </c>
    </row>
    <row r="143">
      <c r="L143" s="7">
        <f>LN(B143/B142)</f>
        <v/>
      </c>
      <c r="M143" s="7">
        <f>C143-C142</f>
        <v/>
      </c>
      <c r="N143" s="7">
        <f>D143-D142</f>
        <v/>
      </c>
      <c r="O143" s="7">
        <f>LN(E143/E142)</f>
        <v/>
      </c>
      <c r="P143" s="7">
        <f>LN(F143/F142)</f>
        <v/>
      </c>
      <c r="Q143" s="7">
        <f>G143-G142</f>
        <v/>
      </c>
      <c r="R143" s="7">
        <f>H143-H142</f>
        <v/>
      </c>
      <c r="S143" s="7">
        <f>LN(I143/I142)</f>
        <v/>
      </c>
      <c r="T143" s="7">
        <f>LN(J143/J142)</f>
        <v/>
      </c>
      <c r="U143" s="7">
        <f>$W$12+$W$4*M143+$W$5*N143+$W$6*O143+$W$7*P143+$W$8*Q143+$W$9*R143+$W$10*S143+$W$11*T143</f>
        <v/>
      </c>
      <c r="AA143" s="8">
        <f>INDEX(LINEST(L84:L143,M84:T143,TRUE,TRUE),1,9)*12</f>
        <v/>
      </c>
      <c r="AB143" s="7">
        <f>INDEX(LINEST(L84:L143,M84:T143,TRUE,TRUE),1,8)</f>
        <v/>
      </c>
      <c r="AC143" s="7">
        <f>INDEX(LINEST(L84:L143,M84:T143,TRUE,TRUE),1,7)</f>
        <v/>
      </c>
      <c r="AD143" s="7">
        <f>INDEX(LINEST(L84:L143,M84:T143,TRUE,TRUE),1,6)</f>
        <v/>
      </c>
      <c r="AE143" s="7">
        <f>INDEX(LINEST(L84:L143,M84:T143,TRUE,TRUE),1,5)</f>
        <v/>
      </c>
      <c r="AF143" s="7">
        <f>INDEX(LINEST(L84:L143,M84:T143,TRUE,TRUE),1,4)</f>
        <v/>
      </c>
      <c r="AG143" s="7">
        <f>INDEX(LINEST(L84:L143,M84:T143,TRUE,TRUE),1,3)</f>
        <v/>
      </c>
      <c r="AH143" s="7">
        <f>INDEX(LINEST(L84:L143,M84:T143,TRUE,TRUE),1,2)</f>
        <v/>
      </c>
      <c r="AI143" s="7">
        <f>INDEX(LINEST(L84:L143,M84:T143,TRUE,TRUE),1,1)</f>
        <v/>
      </c>
      <c r="AJ143" s="8">
        <f>INDEX(LINEST(L84:L143,M84:T143,TRUE,TRUE),3,1)</f>
        <v/>
      </c>
    </row>
    <row r="144">
      <c r="L144" s="7">
        <f>LN(B144/B143)</f>
        <v/>
      </c>
      <c r="M144" s="7">
        <f>C144-C143</f>
        <v/>
      </c>
      <c r="N144" s="7">
        <f>D144-D143</f>
        <v/>
      </c>
      <c r="O144" s="7">
        <f>LN(E144/E143)</f>
        <v/>
      </c>
      <c r="P144" s="7">
        <f>LN(F144/F143)</f>
        <v/>
      </c>
      <c r="Q144" s="7">
        <f>G144-G143</f>
        <v/>
      </c>
      <c r="R144" s="7">
        <f>H144-H143</f>
        <v/>
      </c>
      <c r="S144" s="7">
        <f>LN(I144/I143)</f>
        <v/>
      </c>
      <c r="T144" s="7">
        <f>LN(J144/J143)</f>
        <v/>
      </c>
      <c r="U144" s="7">
        <f>$W$12+$W$4*M144+$W$5*N144+$W$6*O144+$W$7*P144+$W$8*Q144+$W$9*R144+$W$10*S144+$W$11*T144</f>
        <v/>
      </c>
      <c r="AA144" s="8">
        <f>INDEX(LINEST(L85:L144,M85:T144,TRUE,TRUE),1,9)*12</f>
        <v/>
      </c>
      <c r="AB144" s="7">
        <f>INDEX(LINEST(L85:L144,M85:T144,TRUE,TRUE),1,8)</f>
        <v/>
      </c>
      <c r="AC144" s="7">
        <f>INDEX(LINEST(L85:L144,M85:T144,TRUE,TRUE),1,7)</f>
        <v/>
      </c>
      <c r="AD144" s="7">
        <f>INDEX(LINEST(L85:L144,M85:T144,TRUE,TRUE),1,6)</f>
        <v/>
      </c>
      <c r="AE144" s="7">
        <f>INDEX(LINEST(L85:L144,M85:T144,TRUE,TRUE),1,5)</f>
        <v/>
      </c>
      <c r="AF144" s="7">
        <f>INDEX(LINEST(L85:L144,M85:T144,TRUE,TRUE),1,4)</f>
        <v/>
      </c>
      <c r="AG144" s="7">
        <f>INDEX(LINEST(L85:L144,M85:T144,TRUE,TRUE),1,3)</f>
        <v/>
      </c>
      <c r="AH144" s="7">
        <f>INDEX(LINEST(L85:L144,M85:T144,TRUE,TRUE),1,2)</f>
        <v/>
      </c>
      <c r="AI144" s="7">
        <f>INDEX(LINEST(L85:L144,M85:T144,TRUE,TRUE),1,1)</f>
        <v/>
      </c>
      <c r="AJ144" s="8">
        <f>INDEX(LINEST(L85:L144,M85:T144,TRUE,TRUE),3,1)</f>
        <v/>
      </c>
    </row>
    <row r="145">
      <c r="L145" s="7">
        <f>LN(B145/B144)</f>
        <v/>
      </c>
      <c r="M145" s="7">
        <f>C145-C144</f>
        <v/>
      </c>
      <c r="N145" s="7">
        <f>D145-D144</f>
        <v/>
      </c>
      <c r="O145" s="7">
        <f>LN(E145/E144)</f>
        <v/>
      </c>
      <c r="P145" s="7">
        <f>LN(F145/F144)</f>
        <v/>
      </c>
      <c r="Q145" s="7">
        <f>G145-G144</f>
        <v/>
      </c>
      <c r="R145" s="7">
        <f>H145-H144</f>
        <v/>
      </c>
      <c r="S145" s="7">
        <f>LN(I145/I144)</f>
        <v/>
      </c>
      <c r="T145" s="7">
        <f>LN(J145/J144)</f>
        <v/>
      </c>
      <c r="U145" s="7">
        <f>$W$12+$W$4*M145+$W$5*N145+$W$6*O145+$W$7*P145+$W$8*Q145+$W$9*R145+$W$10*S145+$W$11*T145</f>
        <v/>
      </c>
      <c r="AA145" s="8">
        <f>INDEX(LINEST(L86:L145,M86:T145,TRUE,TRUE),1,9)*12</f>
        <v/>
      </c>
      <c r="AB145" s="7">
        <f>INDEX(LINEST(L86:L145,M86:T145,TRUE,TRUE),1,8)</f>
        <v/>
      </c>
      <c r="AC145" s="7">
        <f>INDEX(LINEST(L86:L145,M86:T145,TRUE,TRUE),1,7)</f>
        <v/>
      </c>
      <c r="AD145" s="7">
        <f>INDEX(LINEST(L86:L145,M86:T145,TRUE,TRUE),1,6)</f>
        <v/>
      </c>
      <c r="AE145" s="7">
        <f>INDEX(LINEST(L86:L145,M86:T145,TRUE,TRUE),1,5)</f>
        <v/>
      </c>
      <c r="AF145" s="7">
        <f>INDEX(LINEST(L86:L145,M86:T145,TRUE,TRUE),1,4)</f>
        <v/>
      </c>
      <c r="AG145" s="7">
        <f>INDEX(LINEST(L86:L145,M86:T145,TRUE,TRUE),1,3)</f>
        <v/>
      </c>
      <c r="AH145" s="7">
        <f>INDEX(LINEST(L86:L145,M86:T145,TRUE,TRUE),1,2)</f>
        <v/>
      </c>
      <c r="AI145" s="7">
        <f>INDEX(LINEST(L86:L145,M86:T145,TRUE,TRUE),1,1)</f>
        <v/>
      </c>
      <c r="AJ145" s="8">
        <f>INDEX(LINEST(L86:L145,M86:T145,TRUE,TRUE),3,1)</f>
        <v/>
      </c>
    </row>
    <row r="146">
      <c r="L146" s="7">
        <f>LN(B146/B145)</f>
        <v/>
      </c>
      <c r="M146" s="7">
        <f>C146-C145</f>
        <v/>
      </c>
      <c r="N146" s="7">
        <f>D146-D145</f>
        <v/>
      </c>
      <c r="O146" s="7">
        <f>LN(E146/E145)</f>
        <v/>
      </c>
      <c r="P146" s="7">
        <f>LN(F146/F145)</f>
        <v/>
      </c>
      <c r="Q146" s="7">
        <f>G146-G145</f>
        <v/>
      </c>
      <c r="R146" s="7">
        <f>H146-H145</f>
        <v/>
      </c>
      <c r="S146" s="7">
        <f>LN(I146/I145)</f>
        <v/>
      </c>
      <c r="T146" s="7">
        <f>LN(J146/J145)</f>
        <v/>
      </c>
      <c r="U146" s="7">
        <f>$W$12+$W$4*M146+$W$5*N146+$W$6*O146+$W$7*P146+$W$8*Q146+$W$9*R146+$W$10*S146+$W$11*T146</f>
        <v/>
      </c>
      <c r="AA146" s="8">
        <f>INDEX(LINEST(L87:L146,M87:T146,TRUE,TRUE),1,9)*12</f>
        <v/>
      </c>
      <c r="AB146" s="7">
        <f>INDEX(LINEST(L87:L146,M87:T146,TRUE,TRUE),1,8)</f>
        <v/>
      </c>
      <c r="AC146" s="7">
        <f>INDEX(LINEST(L87:L146,M87:T146,TRUE,TRUE),1,7)</f>
        <v/>
      </c>
      <c r="AD146" s="7">
        <f>INDEX(LINEST(L87:L146,M87:T146,TRUE,TRUE),1,6)</f>
        <v/>
      </c>
      <c r="AE146" s="7">
        <f>INDEX(LINEST(L87:L146,M87:T146,TRUE,TRUE),1,5)</f>
        <v/>
      </c>
      <c r="AF146" s="7">
        <f>INDEX(LINEST(L87:L146,M87:T146,TRUE,TRUE),1,4)</f>
        <v/>
      </c>
      <c r="AG146" s="7">
        <f>INDEX(LINEST(L87:L146,M87:T146,TRUE,TRUE),1,3)</f>
        <v/>
      </c>
      <c r="AH146" s="7">
        <f>INDEX(LINEST(L87:L146,M87:T146,TRUE,TRUE),1,2)</f>
        <v/>
      </c>
      <c r="AI146" s="7">
        <f>INDEX(LINEST(L87:L146,M87:T146,TRUE,TRUE),1,1)</f>
        <v/>
      </c>
      <c r="AJ146" s="8">
        <f>INDEX(LINEST(L87:L146,M87:T146,TRUE,TRUE),3,1)</f>
        <v/>
      </c>
    </row>
    <row r="147">
      <c r="L147" s="7">
        <f>LN(B147/B146)</f>
        <v/>
      </c>
      <c r="M147" s="7">
        <f>C147-C146</f>
        <v/>
      </c>
      <c r="N147" s="7">
        <f>D147-D146</f>
        <v/>
      </c>
      <c r="O147" s="7">
        <f>LN(E147/E146)</f>
        <v/>
      </c>
      <c r="P147" s="7">
        <f>LN(F147/F146)</f>
        <v/>
      </c>
      <c r="Q147" s="7">
        <f>G147-G146</f>
        <v/>
      </c>
      <c r="R147" s="7">
        <f>H147-H146</f>
        <v/>
      </c>
      <c r="S147" s="7">
        <f>LN(I147/I146)</f>
        <v/>
      </c>
      <c r="T147" s="7">
        <f>LN(J147/J146)</f>
        <v/>
      </c>
      <c r="U147" s="7">
        <f>$W$12+$W$4*M147+$W$5*N147+$W$6*O147+$W$7*P147+$W$8*Q147+$W$9*R147+$W$10*S147+$W$11*T147</f>
        <v/>
      </c>
      <c r="AA147" s="8">
        <f>INDEX(LINEST(L88:L147,M88:T147,TRUE,TRUE),1,9)*12</f>
        <v/>
      </c>
      <c r="AB147" s="7">
        <f>INDEX(LINEST(L88:L147,M88:T147,TRUE,TRUE),1,8)</f>
        <v/>
      </c>
      <c r="AC147" s="7">
        <f>INDEX(LINEST(L88:L147,M88:T147,TRUE,TRUE),1,7)</f>
        <v/>
      </c>
      <c r="AD147" s="7">
        <f>INDEX(LINEST(L88:L147,M88:T147,TRUE,TRUE),1,6)</f>
        <v/>
      </c>
      <c r="AE147" s="7">
        <f>INDEX(LINEST(L88:L147,M88:T147,TRUE,TRUE),1,5)</f>
        <v/>
      </c>
      <c r="AF147" s="7">
        <f>INDEX(LINEST(L88:L147,M88:T147,TRUE,TRUE),1,4)</f>
        <v/>
      </c>
      <c r="AG147" s="7">
        <f>INDEX(LINEST(L88:L147,M88:T147,TRUE,TRUE),1,3)</f>
        <v/>
      </c>
      <c r="AH147" s="7">
        <f>INDEX(LINEST(L88:L147,M88:T147,TRUE,TRUE),1,2)</f>
        <v/>
      </c>
      <c r="AI147" s="7">
        <f>INDEX(LINEST(L88:L147,M88:T147,TRUE,TRUE),1,1)</f>
        <v/>
      </c>
      <c r="AJ147" s="8">
        <f>INDEX(LINEST(L88:L147,M88:T147,TRUE,TRUE),3,1)</f>
        <v/>
      </c>
    </row>
    <row r="148">
      <c r="L148" s="7">
        <f>LN(B148/B147)</f>
        <v/>
      </c>
      <c r="M148" s="7">
        <f>C148-C147</f>
        <v/>
      </c>
      <c r="N148" s="7">
        <f>D148-D147</f>
        <v/>
      </c>
      <c r="O148" s="7">
        <f>LN(E148/E147)</f>
        <v/>
      </c>
      <c r="P148" s="7">
        <f>LN(F148/F147)</f>
        <v/>
      </c>
      <c r="Q148" s="7">
        <f>G148-G147</f>
        <v/>
      </c>
      <c r="R148" s="7">
        <f>H148-H147</f>
        <v/>
      </c>
      <c r="S148" s="7">
        <f>LN(I148/I147)</f>
        <v/>
      </c>
      <c r="T148" s="7">
        <f>LN(J148/J147)</f>
        <v/>
      </c>
      <c r="U148" s="7">
        <f>$W$12+$W$4*M148+$W$5*N148+$W$6*O148+$W$7*P148+$W$8*Q148+$W$9*R148+$W$10*S148+$W$11*T148</f>
        <v/>
      </c>
      <c r="AA148" s="8">
        <f>INDEX(LINEST(L89:L148,M89:T148,TRUE,TRUE),1,9)*12</f>
        <v/>
      </c>
      <c r="AB148" s="7">
        <f>INDEX(LINEST(L89:L148,M89:T148,TRUE,TRUE),1,8)</f>
        <v/>
      </c>
      <c r="AC148" s="7">
        <f>INDEX(LINEST(L89:L148,M89:T148,TRUE,TRUE),1,7)</f>
        <v/>
      </c>
      <c r="AD148" s="7">
        <f>INDEX(LINEST(L89:L148,M89:T148,TRUE,TRUE),1,6)</f>
        <v/>
      </c>
      <c r="AE148" s="7">
        <f>INDEX(LINEST(L89:L148,M89:T148,TRUE,TRUE),1,5)</f>
        <v/>
      </c>
      <c r="AF148" s="7">
        <f>INDEX(LINEST(L89:L148,M89:T148,TRUE,TRUE),1,4)</f>
        <v/>
      </c>
      <c r="AG148" s="7">
        <f>INDEX(LINEST(L89:L148,M89:T148,TRUE,TRUE),1,3)</f>
        <v/>
      </c>
      <c r="AH148" s="7">
        <f>INDEX(LINEST(L89:L148,M89:T148,TRUE,TRUE),1,2)</f>
        <v/>
      </c>
      <c r="AI148" s="7">
        <f>INDEX(LINEST(L89:L148,M89:T148,TRUE,TRUE),1,1)</f>
        <v/>
      </c>
      <c r="AJ148" s="8">
        <f>INDEX(LINEST(L89:L148,M89:T148,TRUE,TRUE),3,1)</f>
        <v/>
      </c>
    </row>
    <row r="149">
      <c r="L149" s="7">
        <f>LN(B149/B148)</f>
        <v/>
      </c>
      <c r="M149" s="7">
        <f>C149-C148</f>
        <v/>
      </c>
      <c r="N149" s="7">
        <f>D149-D148</f>
        <v/>
      </c>
      <c r="O149" s="7">
        <f>LN(E149/E148)</f>
        <v/>
      </c>
      <c r="P149" s="7">
        <f>LN(F149/F148)</f>
        <v/>
      </c>
      <c r="Q149" s="7">
        <f>G149-G148</f>
        <v/>
      </c>
      <c r="R149" s="7">
        <f>H149-H148</f>
        <v/>
      </c>
      <c r="S149" s="7">
        <f>LN(I149/I148)</f>
        <v/>
      </c>
      <c r="T149" s="7">
        <f>LN(J149/J148)</f>
        <v/>
      </c>
      <c r="U149" s="7">
        <f>$W$12+$W$4*M149+$W$5*N149+$W$6*O149+$W$7*P149+$W$8*Q149+$W$9*R149+$W$10*S149+$W$11*T149</f>
        <v/>
      </c>
      <c r="AA149" s="8">
        <f>INDEX(LINEST(L90:L149,M90:T149,TRUE,TRUE),1,9)*12</f>
        <v/>
      </c>
      <c r="AB149" s="7">
        <f>INDEX(LINEST(L90:L149,M90:T149,TRUE,TRUE),1,8)</f>
        <v/>
      </c>
      <c r="AC149" s="7">
        <f>INDEX(LINEST(L90:L149,M90:T149,TRUE,TRUE),1,7)</f>
        <v/>
      </c>
      <c r="AD149" s="7">
        <f>INDEX(LINEST(L90:L149,M90:T149,TRUE,TRUE),1,6)</f>
        <v/>
      </c>
      <c r="AE149" s="7">
        <f>INDEX(LINEST(L90:L149,M90:T149,TRUE,TRUE),1,5)</f>
        <v/>
      </c>
      <c r="AF149" s="7">
        <f>INDEX(LINEST(L90:L149,M90:T149,TRUE,TRUE),1,4)</f>
        <v/>
      </c>
      <c r="AG149" s="7">
        <f>INDEX(LINEST(L90:L149,M90:T149,TRUE,TRUE),1,3)</f>
        <v/>
      </c>
      <c r="AH149" s="7">
        <f>INDEX(LINEST(L90:L149,M90:T149,TRUE,TRUE),1,2)</f>
        <v/>
      </c>
      <c r="AI149" s="7">
        <f>INDEX(LINEST(L90:L149,M90:T149,TRUE,TRUE),1,1)</f>
        <v/>
      </c>
      <c r="AJ149" s="8">
        <f>INDEX(LINEST(L90:L149,M90:T149,TRUE,TRUE),3,1)</f>
        <v/>
      </c>
    </row>
    <row r="150">
      <c r="L150" s="7">
        <f>LN(B150/B149)</f>
        <v/>
      </c>
      <c r="M150" s="7">
        <f>C150-C149</f>
        <v/>
      </c>
      <c r="N150" s="7">
        <f>D150-D149</f>
        <v/>
      </c>
      <c r="O150" s="7">
        <f>LN(E150/E149)</f>
        <v/>
      </c>
      <c r="P150" s="7">
        <f>LN(F150/F149)</f>
        <v/>
      </c>
      <c r="Q150" s="7">
        <f>G150-G149</f>
        <v/>
      </c>
      <c r="R150" s="7">
        <f>H150-H149</f>
        <v/>
      </c>
      <c r="S150" s="7">
        <f>LN(I150/I149)</f>
        <v/>
      </c>
      <c r="T150" s="7">
        <f>LN(J150/J149)</f>
        <v/>
      </c>
      <c r="U150" s="7">
        <f>$W$12+$W$4*M150+$W$5*N150+$W$6*O150+$W$7*P150+$W$8*Q150+$W$9*R150+$W$10*S150+$W$11*T150</f>
        <v/>
      </c>
      <c r="AA150" s="8">
        <f>INDEX(LINEST(L91:L150,M91:T150,TRUE,TRUE),1,9)*12</f>
        <v/>
      </c>
      <c r="AB150" s="7">
        <f>INDEX(LINEST(L91:L150,M91:T150,TRUE,TRUE),1,8)</f>
        <v/>
      </c>
      <c r="AC150" s="7">
        <f>INDEX(LINEST(L91:L150,M91:T150,TRUE,TRUE),1,7)</f>
        <v/>
      </c>
      <c r="AD150" s="7">
        <f>INDEX(LINEST(L91:L150,M91:T150,TRUE,TRUE),1,6)</f>
        <v/>
      </c>
      <c r="AE150" s="7">
        <f>INDEX(LINEST(L91:L150,M91:T150,TRUE,TRUE),1,5)</f>
        <v/>
      </c>
      <c r="AF150" s="7">
        <f>INDEX(LINEST(L91:L150,M91:T150,TRUE,TRUE),1,4)</f>
        <v/>
      </c>
      <c r="AG150" s="7">
        <f>INDEX(LINEST(L91:L150,M91:T150,TRUE,TRUE),1,3)</f>
        <v/>
      </c>
      <c r="AH150" s="7">
        <f>INDEX(LINEST(L91:L150,M91:T150,TRUE,TRUE),1,2)</f>
        <v/>
      </c>
      <c r="AI150" s="7">
        <f>INDEX(LINEST(L91:L150,M91:T150,TRUE,TRUE),1,1)</f>
        <v/>
      </c>
      <c r="AJ150" s="8">
        <f>INDEX(LINEST(L91:L150,M91:T150,TRUE,TRUE),3,1)</f>
        <v/>
      </c>
    </row>
    <row r="151">
      <c r="L151" s="7">
        <f>LN(B151/B150)</f>
        <v/>
      </c>
      <c r="M151" s="7">
        <f>C151-C150</f>
        <v/>
      </c>
      <c r="N151" s="7">
        <f>D151-D150</f>
        <v/>
      </c>
      <c r="O151" s="7">
        <f>LN(E151/E150)</f>
        <v/>
      </c>
      <c r="P151" s="7">
        <f>LN(F151/F150)</f>
        <v/>
      </c>
      <c r="Q151" s="7">
        <f>G151-G150</f>
        <v/>
      </c>
      <c r="R151" s="7">
        <f>H151-H150</f>
        <v/>
      </c>
      <c r="S151" s="7">
        <f>LN(I151/I150)</f>
        <v/>
      </c>
      <c r="T151" s="7">
        <f>LN(J151/J150)</f>
        <v/>
      </c>
      <c r="U151" s="7">
        <f>$W$12+$W$4*M151+$W$5*N151+$W$6*O151+$W$7*P151+$W$8*Q151+$W$9*R151+$W$10*S151+$W$11*T151</f>
        <v/>
      </c>
      <c r="AA151" s="8">
        <f>INDEX(LINEST(L92:L151,M92:T151,TRUE,TRUE),1,9)*12</f>
        <v/>
      </c>
      <c r="AB151" s="7">
        <f>INDEX(LINEST(L92:L151,M92:T151,TRUE,TRUE),1,8)</f>
        <v/>
      </c>
      <c r="AC151" s="7">
        <f>INDEX(LINEST(L92:L151,M92:T151,TRUE,TRUE),1,7)</f>
        <v/>
      </c>
      <c r="AD151" s="7">
        <f>INDEX(LINEST(L92:L151,M92:T151,TRUE,TRUE),1,6)</f>
        <v/>
      </c>
      <c r="AE151" s="7">
        <f>INDEX(LINEST(L92:L151,M92:T151,TRUE,TRUE),1,5)</f>
        <v/>
      </c>
      <c r="AF151" s="7">
        <f>INDEX(LINEST(L92:L151,M92:T151,TRUE,TRUE),1,4)</f>
        <v/>
      </c>
      <c r="AG151" s="7">
        <f>INDEX(LINEST(L92:L151,M92:T151,TRUE,TRUE),1,3)</f>
        <v/>
      </c>
      <c r="AH151" s="7">
        <f>INDEX(LINEST(L92:L151,M92:T151,TRUE,TRUE),1,2)</f>
        <v/>
      </c>
      <c r="AI151" s="7">
        <f>INDEX(LINEST(L92:L151,M92:T151,TRUE,TRUE),1,1)</f>
        <v/>
      </c>
      <c r="AJ151" s="8">
        <f>INDEX(LINEST(L92:L151,M92:T151,TRUE,TRUE),3,1)</f>
        <v/>
      </c>
    </row>
    <row r="152">
      <c r="L152" s="7">
        <f>LN(B152/B151)</f>
        <v/>
      </c>
      <c r="M152" s="7">
        <f>C152-C151</f>
        <v/>
      </c>
      <c r="N152" s="7">
        <f>D152-D151</f>
        <v/>
      </c>
      <c r="O152" s="7">
        <f>LN(E152/E151)</f>
        <v/>
      </c>
      <c r="P152" s="7">
        <f>LN(F152/F151)</f>
        <v/>
      </c>
      <c r="Q152" s="7">
        <f>G152-G151</f>
        <v/>
      </c>
      <c r="R152" s="7">
        <f>H152-H151</f>
        <v/>
      </c>
      <c r="S152" s="7">
        <f>LN(I152/I151)</f>
        <v/>
      </c>
      <c r="T152" s="7">
        <f>LN(J152/J151)</f>
        <v/>
      </c>
      <c r="U152" s="7">
        <f>$W$12+$W$4*M152+$W$5*N152+$W$6*O152+$W$7*P152+$W$8*Q152+$W$9*R152+$W$10*S152+$W$11*T152</f>
        <v/>
      </c>
      <c r="AA152" s="8">
        <f>INDEX(LINEST(L93:L152,M93:T152,TRUE,TRUE),1,9)*12</f>
        <v/>
      </c>
      <c r="AB152" s="7">
        <f>INDEX(LINEST(L93:L152,M93:T152,TRUE,TRUE),1,8)</f>
        <v/>
      </c>
      <c r="AC152" s="7">
        <f>INDEX(LINEST(L93:L152,M93:T152,TRUE,TRUE),1,7)</f>
        <v/>
      </c>
      <c r="AD152" s="7">
        <f>INDEX(LINEST(L93:L152,M93:T152,TRUE,TRUE),1,6)</f>
        <v/>
      </c>
      <c r="AE152" s="7">
        <f>INDEX(LINEST(L93:L152,M93:T152,TRUE,TRUE),1,5)</f>
        <v/>
      </c>
      <c r="AF152" s="7">
        <f>INDEX(LINEST(L93:L152,M93:T152,TRUE,TRUE),1,4)</f>
        <v/>
      </c>
      <c r="AG152" s="7">
        <f>INDEX(LINEST(L93:L152,M93:T152,TRUE,TRUE),1,3)</f>
        <v/>
      </c>
      <c r="AH152" s="7">
        <f>INDEX(LINEST(L93:L152,M93:T152,TRUE,TRUE),1,2)</f>
        <v/>
      </c>
      <c r="AI152" s="7">
        <f>INDEX(LINEST(L93:L152,M93:T152,TRUE,TRUE),1,1)</f>
        <v/>
      </c>
      <c r="AJ152" s="8">
        <f>INDEX(LINEST(L93:L152,M93:T152,TRUE,TRUE),3,1)</f>
        <v/>
      </c>
    </row>
    <row r="153">
      <c r="L153" s="7">
        <f>LN(B153/B152)</f>
        <v/>
      </c>
      <c r="M153" s="7">
        <f>C153-C152</f>
        <v/>
      </c>
      <c r="N153" s="7">
        <f>D153-D152</f>
        <v/>
      </c>
      <c r="O153" s="7">
        <f>LN(E153/E152)</f>
        <v/>
      </c>
      <c r="P153" s="7">
        <f>LN(F153/F152)</f>
        <v/>
      </c>
      <c r="Q153" s="7">
        <f>G153-G152</f>
        <v/>
      </c>
      <c r="R153" s="7">
        <f>H153-H152</f>
        <v/>
      </c>
      <c r="S153" s="7">
        <f>LN(I153/I152)</f>
        <v/>
      </c>
      <c r="T153" s="7">
        <f>LN(J153/J152)</f>
        <v/>
      </c>
      <c r="U153" s="7">
        <f>$W$12+$W$4*M153+$W$5*N153+$W$6*O153+$W$7*P153+$W$8*Q153+$W$9*R153+$W$10*S153+$W$11*T153</f>
        <v/>
      </c>
      <c r="AA153" s="8">
        <f>INDEX(LINEST(L94:L153,M94:T153,TRUE,TRUE),1,9)*12</f>
        <v/>
      </c>
      <c r="AB153" s="7">
        <f>INDEX(LINEST(L94:L153,M94:T153,TRUE,TRUE),1,8)</f>
        <v/>
      </c>
      <c r="AC153" s="7">
        <f>INDEX(LINEST(L94:L153,M94:T153,TRUE,TRUE),1,7)</f>
        <v/>
      </c>
      <c r="AD153" s="7">
        <f>INDEX(LINEST(L94:L153,M94:T153,TRUE,TRUE),1,6)</f>
        <v/>
      </c>
      <c r="AE153" s="7">
        <f>INDEX(LINEST(L94:L153,M94:T153,TRUE,TRUE),1,5)</f>
        <v/>
      </c>
      <c r="AF153" s="7">
        <f>INDEX(LINEST(L94:L153,M94:T153,TRUE,TRUE),1,4)</f>
        <v/>
      </c>
      <c r="AG153" s="7">
        <f>INDEX(LINEST(L94:L153,M94:T153,TRUE,TRUE),1,3)</f>
        <v/>
      </c>
      <c r="AH153" s="7">
        <f>INDEX(LINEST(L94:L153,M94:T153,TRUE,TRUE),1,2)</f>
        <v/>
      </c>
      <c r="AI153" s="7">
        <f>INDEX(LINEST(L94:L153,M94:T153,TRUE,TRUE),1,1)</f>
        <v/>
      </c>
      <c r="AJ153" s="8">
        <f>INDEX(LINEST(L94:L153,M94:T153,TRUE,TRUE),3,1)</f>
        <v/>
      </c>
    </row>
    <row r="154">
      <c r="L154" s="7">
        <f>LN(B154/B153)</f>
        <v/>
      </c>
      <c r="M154" s="7">
        <f>C154-C153</f>
        <v/>
      </c>
      <c r="N154" s="7">
        <f>D154-D153</f>
        <v/>
      </c>
      <c r="O154" s="7">
        <f>LN(E154/E153)</f>
        <v/>
      </c>
      <c r="P154" s="7">
        <f>LN(F154/F153)</f>
        <v/>
      </c>
      <c r="Q154" s="7">
        <f>G154-G153</f>
        <v/>
      </c>
      <c r="R154" s="7">
        <f>H154-H153</f>
        <v/>
      </c>
      <c r="S154" s="7">
        <f>LN(I154/I153)</f>
        <v/>
      </c>
      <c r="T154" s="7">
        <f>LN(J154/J153)</f>
        <v/>
      </c>
      <c r="U154" s="7">
        <f>$W$12+$W$4*M154+$W$5*N154+$W$6*O154+$W$7*P154+$W$8*Q154+$W$9*R154+$W$10*S154+$W$11*T154</f>
        <v/>
      </c>
      <c r="AA154" s="8">
        <f>INDEX(LINEST(L95:L154,M95:T154,TRUE,TRUE),1,9)*12</f>
        <v/>
      </c>
      <c r="AB154" s="7">
        <f>INDEX(LINEST(L95:L154,M95:T154,TRUE,TRUE),1,8)</f>
        <v/>
      </c>
      <c r="AC154" s="7">
        <f>INDEX(LINEST(L95:L154,M95:T154,TRUE,TRUE),1,7)</f>
        <v/>
      </c>
      <c r="AD154" s="7">
        <f>INDEX(LINEST(L95:L154,M95:T154,TRUE,TRUE),1,6)</f>
        <v/>
      </c>
      <c r="AE154" s="7">
        <f>INDEX(LINEST(L95:L154,M95:T154,TRUE,TRUE),1,5)</f>
        <v/>
      </c>
      <c r="AF154" s="7">
        <f>INDEX(LINEST(L95:L154,M95:T154,TRUE,TRUE),1,4)</f>
        <v/>
      </c>
      <c r="AG154" s="7">
        <f>INDEX(LINEST(L95:L154,M95:T154,TRUE,TRUE),1,3)</f>
        <v/>
      </c>
      <c r="AH154" s="7">
        <f>INDEX(LINEST(L95:L154,M95:T154,TRUE,TRUE),1,2)</f>
        <v/>
      </c>
      <c r="AI154" s="7">
        <f>INDEX(LINEST(L95:L154,M95:T154,TRUE,TRUE),1,1)</f>
        <v/>
      </c>
      <c r="AJ154" s="8">
        <f>INDEX(LINEST(L95:L154,M95:T154,TRUE,TRUE),3,1)</f>
        <v/>
      </c>
    </row>
    <row r="155">
      <c r="L155" s="7">
        <f>LN(B155/B154)</f>
        <v/>
      </c>
      <c r="M155" s="7">
        <f>C155-C154</f>
        <v/>
      </c>
      <c r="N155" s="7">
        <f>D155-D154</f>
        <v/>
      </c>
      <c r="O155" s="7">
        <f>LN(E155/E154)</f>
        <v/>
      </c>
      <c r="P155" s="7">
        <f>LN(F155/F154)</f>
        <v/>
      </c>
      <c r="Q155" s="7">
        <f>G155-G154</f>
        <v/>
      </c>
      <c r="R155" s="7">
        <f>H155-H154</f>
        <v/>
      </c>
      <c r="S155" s="7">
        <f>LN(I155/I154)</f>
        <v/>
      </c>
      <c r="T155" s="7">
        <f>LN(J155/J154)</f>
        <v/>
      </c>
      <c r="U155" s="7">
        <f>$W$12+$W$4*M155+$W$5*N155+$W$6*O155+$W$7*P155+$W$8*Q155+$W$9*R155+$W$10*S155+$W$11*T155</f>
        <v/>
      </c>
      <c r="AA155" s="8">
        <f>INDEX(LINEST(L96:L155,M96:T155,TRUE,TRUE),1,9)*12</f>
        <v/>
      </c>
      <c r="AB155" s="7">
        <f>INDEX(LINEST(L96:L155,M96:T155,TRUE,TRUE),1,8)</f>
        <v/>
      </c>
      <c r="AC155" s="7">
        <f>INDEX(LINEST(L96:L155,M96:T155,TRUE,TRUE),1,7)</f>
        <v/>
      </c>
      <c r="AD155" s="7">
        <f>INDEX(LINEST(L96:L155,M96:T155,TRUE,TRUE),1,6)</f>
        <v/>
      </c>
      <c r="AE155" s="7">
        <f>INDEX(LINEST(L96:L155,M96:T155,TRUE,TRUE),1,5)</f>
        <v/>
      </c>
      <c r="AF155" s="7">
        <f>INDEX(LINEST(L96:L155,M96:T155,TRUE,TRUE),1,4)</f>
        <v/>
      </c>
      <c r="AG155" s="7">
        <f>INDEX(LINEST(L96:L155,M96:T155,TRUE,TRUE),1,3)</f>
        <v/>
      </c>
      <c r="AH155" s="7">
        <f>INDEX(LINEST(L96:L155,M96:T155,TRUE,TRUE),1,2)</f>
        <v/>
      </c>
      <c r="AI155" s="7">
        <f>INDEX(LINEST(L96:L155,M96:T155,TRUE,TRUE),1,1)</f>
        <v/>
      </c>
      <c r="AJ155" s="8">
        <f>INDEX(LINEST(L96:L155,M96:T155,TRUE,TRUE),3,1)</f>
        <v/>
      </c>
    </row>
    <row r="156">
      <c r="L156" s="7">
        <f>LN(B156/B155)</f>
        <v/>
      </c>
      <c r="M156" s="7">
        <f>C156-C155</f>
        <v/>
      </c>
      <c r="N156" s="7">
        <f>D156-D155</f>
        <v/>
      </c>
      <c r="O156" s="7">
        <f>LN(E156/E155)</f>
        <v/>
      </c>
      <c r="P156" s="7">
        <f>LN(F156/F155)</f>
        <v/>
      </c>
      <c r="Q156" s="7">
        <f>G156-G155</f>
        <v/>
      </c>
      <c r="R156" s="7">
        <f>H156-H155</f>
        <v/>
      </c>
      <c r="S156" s="7">
        <f>LN(I156/I155)</f>
        <v/>
      </c>
      <c r="T156" s="7">
        <f>LN(J156/J155)</f>
        <v/>
      </c>
      <c r="U156" s="7">
        <f>$W$12+$W$4*M156+$W$5*N156+$W$6*O156+$W$7*P156+$W$8*Q156+$W$9*R156+$W$10*S156+$W$11*T156</f>
        <v/>
      </c>
      <c r="AA156" s="8">
        <f>INDEX(LINEST(L97:L156,M97:T156,TRUE,TRUE),1,9)*12</f>
        <v/>
      </c>
      <c r="AB156" s="7">
        <f>INDEX(LINEST(L97:L156,M97:T156,TRUE,TRUE),1,8)</f>
        <v/>
      </c>
      <c r="AC156" s="7">
        <f>INDEX(LINEST(L97:L156,M97:T156,TRUE,TRUE),1,7)</f>
        <v/>
      </c>
      <c r="AD156" s="7">
        <f>INDEX(LINEST(L97:L156,M97:T156,TRUE,TRUE),1,6)</f>
        <v/>
      </c>
      <c r="AE156" s="7">
        <f>INDEX(LINEST(L97:L156,M97:T156,TRUE,TRUE),1,5)</f>
        <v/>
      </c>
      <c r="AF156" s="7">
        <f>INDEX(LINEST(L97:L156,M97:T156,TRUE,TRUE),1,4)</f>
        <v/>
      </c>
      <c r="AG156" s="7">
        <f>INDEX(LINEST(L97:L156,M97:T156,TRUE,TRUE),1,3)</f>
        <v/>
      </c>
      <c r="AH156" s="7">
        <f>INDEX(LINEST(L97:L156,M97:T156,TRUE,TRUE),1,2)</f>
        <v/>
      </c>
      <c r="AI156" s="7">
        <f>INDEX(LINEST(L97:L156,M97:T156,TRUE,TRUE),1,1)</f>
        <v/>
      </c>
      <c r="AJ156" s="8">
        <f>INDEX(LINEST(L97:L156,M97:T156,TRUE,TRUE),3,1)</f>
        <v/>
      </c>
    </row>
    <row r="157">
      <c r="L157" s="7">
        <f>LN(B157/B156)</f>
        <v/>
      </c>
      <c r="M157" s="7">
        <f>C157-C156</f>
        <v/>
      </c>
      <c r="N157" s="7">
        <f>D157-D156</f>
        <v/>
      </c>
      <c r="O157" s="7">
        <f>LN(E157/E156)</f>
        <v/>
      </c>
      <c r="P157" s="7">
        <f>LN(F157/F156)</f>
        <v/>
      </c>
      <c r="Q157" s="7">
        <f>G157-G156</f>
        <v/>
      </c>
      <c r="R157" s="7">
        <f>H157-H156</f>
        <v/>
      </c>
      <c r="S157" s="7">
        <f>LN(I157/I156)</f>
        <v/>
      </c>
      <c r="T157" s="7">
        <f>LN(J157/J156)</f>
        <v/>
      </c>
      <c r="U157" s="7">
        <f>$W$12+$W$4*M157+$W$5*N157+$W$6*O157+$W$7*P157+$W$8*Q157+$W$9*R157+$W$10*S157+$W$11*T157</f>
        <v/>
      </c>
      <c r="AA157" s="8">
        <f>INDEX(LINEST(L98:L157,M98:T157,TRUE,TRUE),1,9)*12</f>
        <v/>
      </c>
      <c r="AB157" s="7">
        <f>INDEX(LINEST(L98:L157,M98:T157,TRUE,TRUE),1,8)</f>
        <v/>
      </c>
      <c r="AC157" s="7">
        <f>INDEX(LINEST(L98:L157,M98:T157,TRUE,TRUE),1,7)</f>
        <v/>
      </c>
      <c r="AD157" s="7">
        <f>INDEX(LINEST(L98:L157,M98:T157,TRUE,TRUE),1,6)</f>
        <v/>
      </c>
      <c r="AE157" s="7">
        <f>INDEX(LINEST(L98:L157,M98:T157,TRUE,TRUE),1,5)</f>
        <v/>
      </c>
      <c r="AF157" s="7">
        <f>INDEX(LINEST(L98:L157,M98:T157,TRUE,TRUE),1,4)</f>
        <v/>
      </c>
      <c r="AG157" s="7">
        <f>INDEX(LINEST(L98:L157,M98:T157,TRUE,TRUE),1,3)</f>
        <v/>
      </c>
      <c r="AH157" s="7">
        <f>INDEX(LINEST(L98:L157,M98:T157,TRUE,TRUE),1,2)</f>
        <v/>
      </c>
      <c r="AI157" s="7">
        <f>INDEX(LINEST(L98:L157,M98:T157,TRUE,TRUE),1,1)</f>
        <v/>
      </c>
      <c r="AJ157" s="8">
        <f>INDEX(LINEST(L98:L157,M98:T157,TRUE,TRUE),3,1)</f>
        <v/>
      </c>
    </row>
    <row r="158">
      <c r="L158" s="7">
        <f>LN(B158/B157)</f>
        <v/>
      </c>
      <c r="M158" s="7">
        <f>C158-C157</f>
        <v/>
      </c>
      <c r="N158" s="7">
        <f>D158-D157</f>
        <v/>
      </c>
      <c r="O158" s="7">
        <f>LN(E158/E157)</f>
        <v/>
      </c>
      <c r="P158" s="7">
        <f>LN(F158/F157)</f>
        <v/>
      </c>
      <c r="Q158" s="7">
        <f>G158-G157</f>
        <v/>
      </c>
      <c r="R158" s="7">
        <f>H158-H157</f>
        <v/>
      </c>
      <c r="S158" s="7">
        <f>LN(I158/I157)</f>
        <v/>
      </c>
      <c r="T158" s="7">
        <f>LN(J158/J157)</f>
        <v/>
      </c>
      <c r="U158" s="7">
        <f>$W$12+$W$4*M158+$W$5*N158+$W$6*O158+$W$7*P158+$W$8*Q158+$W$9*R158+$W$10*S158+$W$11*T158</f>
        <v/>
      </c>
      <c r="AA158" s="8">
        <f>INDEX(LINEST(L99:L158,M99:T158,TRUE,TRUE),1,9)*12</f>
        <v/>
      </c>
      <c r="AB158" s="7">
        <f>INDEX(LINEST(L99:L158,M99:T158,TRUE,TRUE),1,8)</f>
        <v/>
      </c>
      <c r="AC158" s="7">
        <f>INDEX(LINEST(L99:L158,M99:T158,TRUE,TRUE),1,7)</f>
        <v/>
      </c>
      <c r="AD158" s="7">
        <f>INDEX(LINEST(L99:L158,M99:T158,TRUE,TRUE),1,6)</f>
        <v/>
      </c>
      <c r="AE158" s="7">
        <f>INDEX(LINEST(L99:L158,M99:T158,TRUE,TRUE),1,5)</f>
        <v/>
      </c>
      <c r="AF158" s="7">
        <f>INDEX(LINEST(L99:L158,M99:T158,TRUE,TRUE),1,4)</f>
        <v/>
      </c>
      <c r="AG158" s="7">
        <f>INDEX(LINEST(L99:L158,M99:T158,TRUE,TRUE),1,3)</f>
        <v/>
      </c>
      <c r="AH158" s="7">
        <f>INDEX(LINEST(L99:L158,M99:T158,TRUE,TRUE),1,2)</f>
        <v/>
      </c>
      <c r="AI158" s="7">
        <f>INDEX(LINEST(L99:L158,M99:T158,TRUE,TRUE),1,1)</f>
        <v/>
      </c>
      <c r="AJ158" s="8">
        <f>INDEX(LINEST(L99:L158,M99:T158,TRUE,TRUE),3,1)</f>
        <v/>
      </c>
    </row>
    <row r="159">
      <c r="L159" s="7">
        <f>LN(B159/B158)</f>
        <v/>
      </c>
      <c r="M159" s="7">
        <f>C159-C158</f>
        <v/>
      </c>
      <c r="N159" s="7">
        <f>D159-D158</f>
        <v/>
      </c>
      <c r="O159" s="7">
        <f>LN(E159/E158)</f>
        <v/>
      </c>
      <c r="P159" s="7">
        <f>LN(F159/F158)</f>
        <v/>
      </c>
      <c r="Q159" s="7">
        <f>G159-G158</f>
        <v/>
      </c>
      <c r="R159" s="7">
        <f>H159-H158</f>
        <v/>
      </c>
      <c r="S159" s="7">
        <f>LN(I159/I158)</f>
        <v/>
      </c>
      <c r="T159" s="7">
        <f>LN(J159/J158)</f>
        <v/>
      </c>
      <c r="U159" s="7">
        <f>$W$12+$W$4*M159+$W$5*N159+$W$6*O159+$W$7*P159+$W$8*Q159+$W$9*R159+$W$10*S159+$W$11*T159</f>
        <v/>
      </c>
      <c r="AA159" s="8">
        <f>INDEX(LINEST(L100:L159,M100:T159,TRUE,TRUE),1,9)*12</f>
        <v/>
      </c>
      <c r="AB159" s="7">
        <f>INDEX(LINEST(L100:L159,M100:T159,TRUE,TRUE),1,8)</f>
        <v/>
      </c>
      <c r="AC159" s="7">
        <f>INDEX(LINEST(L100:L159,M100:T159,TRUE,TRUE),1,7)</f>
        <v/>
      </c>
      <c r="AD159" s="7">
        <f>INDEX(LINEST(L100:L159,M100:T159,TRUE,TRUE),1,6)</f>
        <v/>
      </c>
      <c r="AE159" s="7">
        <f>INDEX(LINEST(L100:L159,M100:T159,TRUE,TRUE),1,5)</f>
        <v/>
      </c>
      <c r="AF159" s="7">
        <f>INDEX(LINEST(L100:L159,M100:T159,TRUE,TRUE),1,4)</f>
        <v/>
      </c>
      <c r="AG159" s="7">
        <f>INDEX(LINEST(L100:L159,M100:T159,TRUE,TRUE),1,3)</f>
        <v/>
      </c>
      <c r="AH159" s="7">
        <f>INDEX(LINEST(L100:L159,M100:T159,TRUE,TRUE),1,2)</f>
        <v/>
      </c>
      <c r="AI159" s="7">
        <f>INDEX(LINEST(L100:L159,M100:T159,TRUE,TRUE),1,1)</f>
        <v/>
      </c>
      <c r="AJ159" s="8">
        <f>INDEX(LINEST(L100:L159,M100:T159,TRUE,TRUE),3,1)</f>
        <v/>
      </c>
    </row>
    <row r="160">
      <c r="L160" s="7">
        <f>LN(B160/B159)</f>
        <v/>
      </c>
      <c r="M160" s="7">
        <f>C160-C159</f>
        <v/>
      </c>
      <c r="N160" s="7">
        <f>D160-D159</f>
        <v/>
      </c>
      <c r="O160" s="7">
        <f>LN(E160/E159)</f>
        <v/>
      </c>
      <c r="P160" s="7">
        <f>LN(F160/F159)</f>
        <v/>
      </c>
      <c r="Q160" s="7">
        <f>G160-G159</f>
        <v/>
      </c>
      <c r="R160" s="7">
        <f>H160-H159</f>
        <v/>
      </c>
      <c r="S160" s="7">
        <f>LN(I160/I159)</f>
        <v/>
      </c>
      <c r="T160" s="7">
        <f>LN(J160/J159)</f>
        <v/>
      </c>
      <c r="U160" s="7">
        <f>$W$12+$W$4*M160+$W$5*N160+$W$6*O160+$W$7*P160+$W$8*Q160+$W$9*R160+$W$10*S160+$W$11*T160</f>
        <v/>
      </c>
      <c r="AA160" s="8">
        <f>INDEX(LINEST(L101:L160,M101:T160,TRUE,TRUE),1,9)*12</f>
        <v/>
      </c>
      <c r="AB160" s="7">
        <f>INDEX(LINEST(L101:L160,M101:T160,TRUE,TRUE),1,8)</f>
        <v/>
      </c>
      <c r="AC160" s="7">
        <f>INDEX(LINEST(L101:L160,M101:T160,TRUE,TRUE),1,7)</f>
        <v/>
      </c>
      <c r="AD160" s="7">
        <f>INDEX(LINEST(L101:L160,M101:T160,TRUE,TRUE),1,6)</f>
        <v/>
      </c>
      <c r="AE160" s="7">
        <f>INDEX(LINEST(L101:L160,M101:T160,TRUE,TRUE),1,5)</f>
        <v/>
      </c>
      <c r="AF160" s="7">
        <f>INDEX(LINEST(L101:L160,M101:T160,TRUE,TRUE),1,4)</f>
        <v/>
      </c>
      <c r="AG160" s="7">
        <f>INDEX(LINEST(L101:L160,M101:T160,TRUE,TRUE),1,3)</f>
        <v/>
      </c>
      <c r="AH160" s="7">
        <f>INDEX(LINEST(L101:L160,M101:T160,TRUE,TRUE),1,2)</f>
        <v/>
      </c>
      <c r="AI160" s="7">
        <f>INDEX(LINEST(L101:L160,M101:T160,TRUE,TRUE),1,1)</f>
        <v/>
      </c>
      <c r="AJ160" s="8">
        <f>INDEX(LINEST(L101:L160,M101:T160,TRUE,TRUE),3,1)</f>
        <v/>
      </c>
    </row>
    <row r="161">
      <c r="L161" s="7">
        <f>LN(B161/B160)</f>
        <v/>
      </c>
      <c r="M161" s="7">
        <f>C161-C160</f>
        <v/>
      </c>
      <c r="N161" s="7">
        <f>D161-D160</f>
        <v/>
      </c>
      <c r="O161" s="7">
        <f>LN(E161/E160)</f>
        <v/>
      </c>
      <c r="P161" s="7">
        <f>LN(F161/F160)</f>
        <v/>
      </c>
      <c r="Q161" s="7">
        <f>G161-G160</f>
        <v/>
      </c>
      <c r="R161" s="7">
        <f>H161-H160</f>
        <v/>
      </c>
      <c r="S161" s="7">
        <f>LN(I161/I160)</f>
        <v/>
      </c>
      <c r="T161" s="7">
        <f>LN(J161/J160)</f>
        <v/>
      </c>
      <c r="U161" s="7">
        <f>$W$12+$W$4*M161+$W$5*N161+$W$6*O161+$W$7*P161+$W$8*Q161+$W$9*R161+$W$10*S161+$W$11*T161</f>
        <v/>
      </c>
      <c r="AA161" s="8">
        <f>INDEX(LINEST(L102:L161,M102:T161,TRUE,TRUE),1,9)*12</f>
        <v/>
      </c>
      <c r="AB161" s="7">
        <f>INDEX(LINEST(L102:L161,M102:T161,TRUE,TRUE),1,8)</f>
        <v/>
      </c>
      <c r="AC161" s="7">
        <f>INDEX(LINEST(L102:L161,M102:T161,TRUE,TRUE),1,7)</f>
        <v/>
      </c>
      <c r="AD161" s="7">
        <f>INDEX(LINEST(L102:L161,M102:T161,TRUE,TRUE),1,6)</f>
        <v/>
      </c>
      <c r="AE161" s="7">
        <f>INDEX(LINEST(L102:L161,M102:T161,TRUE,TRUE),1,5)</f>
        <v/>
      </c>
      <c r="AF161" s="7">
        <f>INDEX(LINEST(L102:L161,M102:T161,TRUE,TRUE),1,4)</f>
        <v/>
      </c>
      <c r="AG161" s="7">
        <f>INDEX(LINEST(L102:L161,M102:T161,TRUE,TRUE),1,3)</f>
        <v/>
      </c>
      <c r="AH161" s="7">
        <f>INDEX(LINEST(L102:L161,M102:T161,TRUE,TRUE),1,2)</f>
        <v/>
      </c>
      <c r="AI161" s="7">
        <f>INDEX(LINEST(L102:L161,M102:T161,TRUE,TRUE),1,1)</f>
        <v/>
      </c>
      <c r="AJ161" s="8">
        <f>INDEX(LINEST(L102:L161,M102:T161,TRUE,TRUE),3,1)</f>
        <v/>
      </c>
    </row>
    <row r="162">
      <c r="L162" s="7">
        <f>LN(B162/B161)</f>
        <v/>
      </c>
      <c r="M162" s="7">
        <f>C162-C161</f>
        <v/>
      </c>
      <c r="N162" s="7">
        <f>D162-D161</f>
        <v/>
      </c>
      <c r="O162" s="7">
        <f>LN(E162/E161)</f>
        <v/>
      </c>
      <c r="P162" s="7">
        <f>LN(F162/F161)</f>
        <v/>
      </c>
      <c r="Q162" s="7">
        <f>G162-G161</f>
        <v/>
      </c>
      <c r="R162" s="7">
        <f>H162-H161</f>
        <v/>
      </c>
      <c r="S162" s="7">
        <f>LN(I162/I161)</f>
        <v/>
      </c>
      <c r="T162" s="7">
        <f>LN(J162/J161)</f>
        <v/>
      </c>
      <c r="U162" s="7">
        <f>$W$12+$W$4*M162+$W$5*N162+$W$6*O162+$W$7*P162+$W$8*Q162+$W$9*R162+$W$10*S162+$W$11*T162</f>
        <v/>
      </c>
      <c r="AA162" s="8">
        <f>INDEX(LINEST(L103:L162,M103:T162,TRUE,TRUE),1,9)*12</f>
        <v/>
      </c>
      <c r="AB162" s="7">
        <f>INDEX(LINEST(L103:L162,M103:T162,TRUE,TRUE),1,8)</f>
        <v/>
      </c>
      <c r="AC162" s="7">
        <f>INDEX(LINEST(L103:L162,M103:T162,TRUE,TRUE),1,7)</f>
        <v/>
      </c>
      <c r="AD162" s="7">
        <f>INDEX(LINEST(L103:L162,M103:T162,TRUE,TRUE),1,6)</f>
        <v/>
      </c>
      <c r="AE162" s="7">
        <f>INDEX(LINEST(L103:L162,M103:T162,TRUE,TRUE),1,5)</f>
        <v/>
      </c>
      <c r="AF162" s="7">
        <f>INDEX(LINEST(L103:L162,M103:T162,TRUE,TRUE),1,4)</f>
        <v/>
      </c>
      <c r="AG162" s="7">
        <f>INDEX(LINEST(L103:L162,M103:T162,TRUE,TRUE),1,3)</f>
        <v/>
      </c>
      <c r="AH162" s="7">
        <f>INDEX(LINEST(L103:L162,M103:T162,TRUE,TRUE),1,2)</f>
        <v/>
      </c>
      <c r="AI162" s="7">
        <f>INDEX(LINEST(L103:L162,M103:T162,TRUE,TRUE),1,1)</f>
        <v/>
      </c>
      <c r="AJ162" s="8">
        <f>INDEX(LINEST(L103:L162,M103:T162,TRUE,TRUE),3,1)</f>
        <v/>
      </c>
    </row>
    <row r="163">
      <c r="L163" s="7">
        <f>LN(B163/B162)</f>
        <v/>
      </c>
      <c r="M163" s="7">
        <f>C163-C162</f>
        <v/>
      </c>
      <c r="N163" s="7">
        <f>D163-D162</f>
        <v/>
      </c>
      <c r="O163" s="7">
        <f>LN(E163/E162)</f>
        <v/>
      </c>
      <c r="P163" s="7">
        <f>LN(F163/F162)</f>
        <v/>
      </c>
      <c r="Q163" s="7">
        <f>G163-G162</f>
        <v/>
      </c>
      <c r="R163" s="7">
        <f>H163-H162</f>
        <v/>
      </c>
      <c r="S163" s="7">
        <f>LN(I163/I162)</f>
        <v/>
      </c>
      <c r="T163" s="7">
        <f>LN(J163/J162)</f>
        <v/>
      </c>
      <c r="U163" s="7">
        <f>$W$12+$W$4*M163+$W$5*N163+$W$6*O163+$W$7*P163+$W$8*Q163+$W$9*R163+$W$10*S163+$W$11*T163</f>
        <v/>
      </c>
      <c r="AA163" s="8">
        <f>INDEX(LINEST(L104:L163,M104:T163,TRUE,TRUE),1,9)*12</f>
        <v/>
      </c>
      <c r="AB163" s="7">
        <f>INDEX(LINEST(L104:L163,M104:T163,TRUE,TRUE),1,8)</f>
        <v/>
      </c>
      <c r="AC163" s="7">
        <f>INDEX(LINEST(L104:L163,M104:T163,TRUE,TRUE),1,7)</f>
        <v/>
      </c>
      <c r="AD163" s="7">
        <f>INDEX(LINEST(L104:L163,M104:T163,TRUE,TRUE),1,6)</f>
        <v/>
      </c>
      <c r="AE163" s="7">
        <f>INDEX(LINEST(L104:L163,M104:T163,TRUE,TRUE),1,5)</f>
        <v/>
      </c>
      <c r="AF163" s="7">
        <f>INDEX(LINEST(L104:L163,M104:T163,TRUE,TRUE),1,4)</f>
        <v/>
      </c>
      <c r="AG163" s="7">
        <f>INDEX(LINEST(L104:L163,M104:T163,TRUE,TRUE),1,3)</f>
        <v/>
      </c>
      <c r="AH163" s="7">
        <f>INDEX(LINEST(L104:L163,M104:T163,TRUE,TRUE),1,2)</f>
        <v/>
      </c>
      <c r="AI163" s="7">
        <f>INDEX(LINEST(L104:L163,M104:T163,TRUE,TRUE),1,1)</f>
        <v/>
      </c>
      <c r="AJ163" s="8">
        <f>INDEX(LINEST(L104:L163,M104:T163,TRUE,TRUE),3,1)</f>
        <v/>
      </c>
    </row>
    <row r="164">
      <c r="L164" s="7">
        <f>LN(B164/B163)</f>
        <v/>
      </c>
      <c r="M164" s="7">
        <f>C164-C163</f>
        <v/>
      </c>
      <c r="N164" s="7">
        <f>D164-D163</f>
        <v/>
      </c>
      <c r="O164" s="7">
        <f>LN(E164/E163)</f>
        <v/>
      </c>
      <c r="P164" s="7">
        <f>LN(F164/F163)</f>
        <v/>
      </c>
      <c r="Q164" s="7">
        <f>G164-G163</f>
        <v/>
      </c>
      <c r="R164" s="7">
        <f>H164-H163</f>
        <v/>
      </c>
      <c r="S164" s="7">
        <f>LN(I164/I163)</f>
        <v/>
      </c>
      <c r="T164" s="7">
        <f>LN(J164/J163)</f>
        <v/>
      </c>
      <c r="U164" s="7">
        <f>$W$12+$W$4*M164+$W$5*N164+$W$6*O164+$W$7*P164+$W$8*Q164+$W$9*R164+$W$10*S164+$W$11*T164</f>
        <v/>
      </c>
      <c r="AA164" s="8">
        <f>INDEX(LINEST(L105:L164,M105:T164,TRUE,TRUE),1,9)*12</f>
        <v/>
      </c>
      <c r="AB164" s="7">
        <f>INDEX(LINEST(L105:L164,M105:T164,TRUE,TRUE),1,8)</f>
        <v/>
      </c>
      <c r="AC164" s="7">
        <f>INDEX(LINEST(L105:L164,M105:T164,TRUE,TRUE),1,7)</f>
        <v/>
      </c>
      <c r="AD164" s="7">
        <f>INDEX(LINEST(L105:L164,M105:T164,TRUE,TRUE),1,6)</f>
        <v/>
      </c>
      <c r="AE164" s="7">
        <f>INDEX(LINEST(L105:L164,M105:T164,TRUE,TRUE),1,5)</f>
        <v/>
      </c>
      <c r="AF164" s="7">
        <f>INDEX(LINEST(L105:L164,M105:T164,TRUE,TRUE),1,4)</f>
        <v/>
      </c>
      <c r="AG164" s="7">
        <f>INDEX(LINEST(L105:L164,M105:T164,TRUE,TRUE),1,3)</f>
        <v/>
      </c>
      <c r="AH164" s="7">
        <f>INDEX(LINEST(L105:L164,M105:T164,TRUE,TRUE),1,2)</f>
        <v/>
      </c>
      <c r="AI164" s="7">
        <f>INDEX(LINEST(L105:L164,M105:T164,TRUE,TRUE),1,1)</f>
        <v/>
      </c>
      <c r="AJ164" s="8">
        <f>INDEX(LINEST(L105:L164,M105:T164,TRUE,TRUE),3,1)</f>
        <v/>
      </c>
    </row>
    <row r="165">
      <c r="L165" s="7">
        <f>LN(B165/B164)</f>
        <v/>
      </c>
      <c r="M165" s="7">
        <f>C165-C164</f>
        <v/>
      </c>
      <c r="N165" s="7">
        <f>D165-D164</f>
        <v/>
      </c>
      <c r="O165" s="7">
        <f>LN(E165/E164)</f>
        <v/>
      </c>
      <c r="P165" s="7">
        <f>LN(F165/F164)</f>
        <v/>
      </c>
      <c r="Q165" s="7">
        <f>G165-G164</f>
        <v/>
      </c>
      <c r="R165" s="7">
        <f>H165-H164</f>
        <v/>
      </c>
      <c r="S165" s="7">
        <f>LN(I165/I164)</f>
        <v/>
      </c>
      <c r="T165" s="7">
        <f>LN(J165/J164)</f>
        <v/>
      </c>
      <c r="U165" s="7">
        <f>$W$12+$W$4*M165+$W$5*N165+$W$6*O165+$W$7*P165+$W$8*Q165+$W$9*R165+$W$10*S165+$W$11*T165</f>
        <v/>
      </c>
      <c r="AA165" s="8">
        <f>INDEX(LINEST(L106:L165,M106:T165,TRUE,TRUE),1,9)*12</f>
        <v/>
      </c>
      <c r="AB165" s="7">
        <f>INDEX(LINEST(L106:L165,M106:T165,TRUE,TRUE),1,8)</f>
        <v/>
      </c>
      <c r="AC165" s="7">
        <f>INDEX(LINEST(L106:L165,M106:T165,TRUE,TRUE),1,7)</f>
        <v/>
      </c>
      <c r="AD165" s="7">
        <f>INDEX(LINEST(L106:L165,M106:T165,TRUE,TRUE),1,6)</f>
        <v/>
      </c>
      <c r="AE165" s="7">
        <f>INDEX(LINEST(L106:L165,M106:T165,TRUE,TRUE),1,5)</f>
        <v/>
      </c>
      <c r="AF165" s="7">
        <f>INDEX(LINEST(L106:L165,M106:T165,TRUE,TRUE),1,4)</f>
        <v/>
      </c>
      <c r="AG165" s="7">
        <f>INDEX(LINEST(L106:L165,M106:T165,TRUE,TRUE),1,3)</f>
        <v/>
      </c>
      <c r="AH165" s="7">
        <f>INDEX(LINEST(L106:L165,M106:T165,TRUE,TRUE),1,2)</f>
        <v/>
      </c>
      <c r="AI165" s="7">
        <f>INDEX(LINEST(L106:L165,M106:T165,TRUE,TRUE),1,1)</f>
        <v/>
      </c>
      <c r="AJ165" s="8">
        <f>INDEX(LINEST(L106:L165,M106:T165,TRUE,TRUE),3,1)</f>
        <v/>
      </c>
    </row>
    <row r="166">
      <c r="L166" s="7">
        <f>LN(B166/B165)</f>
        <v/>
      </c>
      <c r="M166" s="7">
        <f>C166-C165</f>
        <v/>
      </c>
      <c r="N166" s="7">
        <f>D166-D165</f>
        <v/>
      </c>
      <c r="O166" s="7">
        <f>LN(E166/E165)</f>
        <v/>
      </c>
      <c r="P166" s="7">
        <f>LN(F166/F165)</f>
        <v/>
      </c>
      <c r="Q166" s="7">
        <f>G166-G165</f>
        <v/>
      </c>
      <c r="R166" s="7">
        <f>H166-H165</f>
        <v/>
      </c>
      <c r="S166" s="7">
        <f>LN(I166/I165)</f>
        <v/>
      </c>
      <c r="T166" s="7">
        <f>LN(J166/J165)</f>
        <v/>
      </c>
      <c r="U166" s="7">
        <f>$W$12+$W$4*M166+$W$5*N166+$W$6*O166+$W$7*P166+$W$8*Q166+$W$9*R166+$W$10*S166+$W$11*T166</f>
        <v/>
      </c>
      <c r="AA166" s="8">
        <f>INDEX(LINEST(L107:L166,M107:T166,TRUE,TRUE),1,9)*12</f>
        <v/>
      </c>
      <c r="AB166" s="7">
        <f>INDEX(LINEST(L107:L166,M107:T166,TRUE,TRUE),1,8)</f>
        <v/>
      </c>
      <c r="AC166" s="7">
        <f>INDEX(LINEST(L107:L166,M107:T166,TRUE,TRUE),1,7)</f>
        <v/>
      </c>
      <c r="AD166" s="7">
        <f>INDEX(LINEST(L107:L166,M107:T166,TRUE,TRUE),1,6)</f>
        <v/>
      </c>
      <c r="AE166" s="7">
        <f>INDEX(LINEST(L107:L166,M107:T166,TRUE,TRUE),1,5)</f>
        <v/>
      </c>
      <c r="AF166" s="7">
        <f>INDEX(LINEST(L107:L166,M107:T166,TRUE,TRUE),1,4)</f>
        <v/>
      </c>
      <c r="AG166" s="7">
        <f>INDEX(LINEST(L107:L166,M107:T166,TRUE,TRUE),1,3)</f>
        <v/>
      </c>
      <c r="AH166" s="7">
        <f>INDEX(LINEST(L107:L166,M107:T166,TRUE,TRUE),1,2)</f>
        <v/>
      </c>
      <c r="AI166" s="7">
        <f>INDEX(LINEST(L107:L166,M107:T166,TRUE,TRUE),1,1)</f>
        <v/>
      </c>
      <c r="AJ166" s="8">
        <f>INDEX(LINEST(L107:L166,M107:T166,TRUE,TRUE),3,1)</f>
        <v/>
      </c>
    </row>
    <row r="167">
      <c r="L167" s="7">
        <f>LN(B167/B166)</f>
        <v/>
      </c>
      <c r="M167" s="7">
        <f>C167-C166</f>
        <v/>
      </c>
      <c r="N167" s="7">
        <f>D167-D166</f>
        <v/>
      </c>
      <c r="O167" s="7">
        <f>LN(E167/E166)</f>
        <v/>
      </c>
      <c r="P167" s="7">
        <f>LN(F167/F166)</f>
        <v/>
      </c>
      <c r="Q167" s="7">
        <f>G167-G166</f>
        <v/>
      </c>
      <c r="R167" s="7">
        <f>H167-H166</f>
        <v/>
      </c>
      <c r="S167" s="7">
        <f>LN(I167/I166)</f>
        <v/>
      </c>
      <c r="T167" s="7">
        <f>LN(J167/J166)</f>
        <v/>
      </c>
      <c r="U167" s="7">
        <f>$W$12+$W$4*M167+$W$5*N167+$W$6*O167+$W$7*P167+$W$8*Q167+$W$9*R167+$W$10*S167+$W$11*T167</f>
        <v/>
      </c>
      <c r="AA167" s="8">
        <f>INDEX(LINEST(L108:L167,M108:T167,TRUE,TRUE),1,9)*12</f>
        <v/>
      </c>
      <c r="AB167" s="7">
        <f>INDEX(LINEST(L108:L167,M108:T167,TRUE,TRUE),1,8)</f>
        <v/>
      </c>
      <c r="AC167" s="7">
        <f>INDEX(LINEST(L108:L167,M108:T167,TRUE,TRUE),1,7)</f>
        <v/>
      </c>
      <c r="AD167" s="7">
        <f>INDEX(LINEST(L108:L167,M108:T167,TRUE,TRUE),1,6)</f>
        <v/>
      </c>
      <c r="AE167" s="7">
        <f>INDEX(LINEST(L108:L167,M108:T167,TRUE,TRUE),1,5)</f>
        <v/>
      </c>
      <c r="AF167" s="7">
        <f>INDEX(LINEST(L108:L167,M108:T167,TRUE,TRUE),1,4)</f>
        <v/>
      </c>
      <c r="AG167" s="7">
        <f>INDEX(LINEST(L108:L167,M108:T167,TRUE,TRUE),1,3)</f>
        <v/>
      </c>
      <c r="AH167" s="7">
        <f>INDEX(LINEST(L108:L167,M108:T167,TRUE,TRUE),1,2)</f>
        <v/>
      </c>
      <c r="AI167" s="7">
        <f>INDEX(LINEST(L108:L167,M108:T167,TRUE,TRUE),1,1)</f>
        <v/>
      </c>
      <c r="AJ167" s="8">
        <f>INDEX(LINEST(L108:L167,M108:T167,TRUE,TRUE),3,1)</f>
        <v/>
      </c>
    </row>
    <row r="168">
      <c r="L168" s="7">
        <f>LN(B168/B167)</f>
        <v/>
      </c>
      <c r="M168" s="7">
        <f>C168-C167</f>
        <v/>
      </c>
      <c r="N168" s="7">
        <f>D168-D167</f>
        <v/>
      </c>
      <c r="O168" s="7">
        <f>LN(E168/E167)</f>
        <v/>
      </c>
      <c r="P168" s="7">
        <f>LN(F168/F167)</f>
        <v/>
      </c>
      <c r="Q168" s="7">
        <f>G168-G167</f>
        <v/>
      </c>
      <c r="R168" s="7">
        <f>H168-H167</f>
        <v/>
      </c>
      <c r="S168" s="7">
        <f>LN(I168/I167)</f>
        <v/>
      </c>
      <c r="T168" s="7">
        <f>LN(J168/J167)</f>
        <v/>
      </c>
      <c r="U168" s="7">
        <f>$W$12+$W$4*M168+$W$5*N168+$W$6*O168+$W$7*P168+$W$8*Q168+$W$9*R168+$W$10*S168+$W$11*T168</f>
        <v/>
      </c>
      <c r="AA168" s="8">
        <f>INDEX(LINEST(L109:L168,M109:T168,TRUE,TRUE),1,9)*12</f>
        <v/>
      </c>
      <c r="AB168" s="7">
        <f>INDEX(LINEST(L109:L168,M109:T168,TRUE,TRUE),1,8)</f>
        <v/>
      </c>
      <c r="AC168" s="7">
        <f>INDEX(LINEST(L109:L168,M109:T168,TRUE,TRUE),1,7)</f>
        <v/>
      </c>
      <c r="AD168" s="7">
        <f>INDEX(LINEST(L109:L168,M109:T168,TRUE,TRUE),1,6)</f>
        <v/>
      </c>
      <c r="AE168" s="7">
        <f>INDEX(LINEST(L109:L168,M109:T168,TRUE,TRUE),1,5)</f>
        <v/>
      </c>
      <c r="AF168" s="7">
        <f>INDEX(LINEST(L109:L168,M109:T168,TRUE,TRUE),1,4)</f>
        <v/>
      </c>
      <c r="AG168" s="7">
        <f>INDEX(LINEST(L109:L168,M109:T168,TRUE,TRUE),1,3)</f>
        <v/>
      </c>
      <c r="AH168" s="7">
        <f>INDEX(LINEST(L109:L168,M109:T168,TRUE,TRUE),1,2)</f>
        <v/>
      </c>
      <c r="AI168" s="7">
        <f>INDEX(LINEST(L109:L168,M109:T168,TRUE,TRUE),1,1)</f>
        <v/>
      </c>
      <c r="AJ168" s="8">
        <f>INDEX(LINEST(L109:L168,M109:T168,TRUE,TRUE),3,1)</f>
        <v/>
      </c>
    </row>
    <row r="169">
      <c r="L169" s="7">
        <f>LN(B169/B168)</f>
        <v/>
      </c>
      <c r="M169" s="7">
        <f>C169-C168</f>
        <v/>
      </c>
      <c r="N169" s="7">
        <f>D169-D168</f>
        <v/>
      </c>
      <c r="O169" s="7">
        <f>LN(E169/E168)</f>
        <v/>
      </c>
      <c r="P169" s="7">
        <f>LN(F169/F168)</f>
        <v/>
      </c>
      <c r="Q169" s="7">
        <f>G169-G168</f>
        <v/>
      </c>
      <c r="R169" s="7">
        <f>H169-H168</f>
        <v/>
      </c>
      <c r="S169" s="7">
        <f>LN(I169/I168)</f>
        <v/>
      </c>
      <c r="T169" s="7">
        <f>LN(J169/J168)</f>
        <v/>
      </c>
      <c r="U169" s="7">
        <f>$W$12+$W$4*M169+$W$5*N169+$W$6*O169+$W$7*P169+$W$8*Q169+$W$9*R169+$W$10*S169+$W$11*T169</f>
        <v/>
      </c>
      <c r="AA169" s="8">
        <f>INDEX(LINEST(L110:L169,M110:T169,TRUE,TRUE),1,9)*12</f>
        <v/>
      </c>
      <c r="AB169" s="7">
        <f>INDEX(LINEST(L110:L169,M110:T169,TRUE,TRUE),1,8)</f>
        <v/>
      </c>
      <c r="AC169" s="7">
        <f>INDEX(LINEST(L110:L169,M110:T169,TRUE,TRUE),1,7)</f>
        <v/>
      </c>
      <c r="AD169" s="7">
        <f>INDEX(LINEST(L110:L169,M110:T169,TRUE,TRUE),1,6)</f>
        <v/>
      </c>
      <c r="AE169" s="7">
        <f>INDEX(LINEST(L110:L169,M110:T169,TRUE,TRUE),1,5)</f>
        <v/>
      </c>
      <c r="AF169" s="7">
        <f>INDEX(LINEST(L110:L169,M110:T169,TRUE,TRUE),1,4)</f>
        <v/>
      </c>
      <c r="AG169" s="7">
        <f>INDEX(LINEST(L110:L169,M110:T169,TRUE,TRUE),1,3)</f>
        <v/>
      </c>
      <c r="AH169" s="7">
        <f>INDEX(LINEST(L110:L169,M110:T169,TRUE,TRUE),1,2)</f>
        <v/>
      </c>
      <c r="AI169" s="7">
        <f>INDEX(LINEST(L110:L169,M110:T169,TRUE,TRUE),1,1)</f>
        <v/>
      </c>
      <c r="AJ169" s="8">
        <f>INDEX(LINEST(L110:L169,M110:T169,TRUE,TRUE),3,1)</f>
        <v/>
      </c>
    </row>
    <row r="170">
      <c r="L170" s="7">
        <f>LN(B170/B169)</f>
        <v/>
      </c>
      <c r="M170" s="7">
        <f>C170-C169</f>
        <v/>
      </c>
      <c r="N170" s="7">
        <f>D170-D169</f>
        <v/>
      </c>
      <c r="O170" s="7">
        <f>LN(E170/E169)</f>
        <v/>
      </c>
      <c r="P170" s="7">
        <f>LN(F170/F169)</f>
        <v/>
      </c>
      <c r="Q170" s="7">
        <f>G170-G169</f>
        <v/>
      </c>
      <c r="R170" s="7">
        <f>H170-H169</f>
        <v/>
      </c>
      <c r="S170" s="7">
        <f>LN(I170/I169)</f>
        <v/>
      </c>
      <c r="T170" s="7">
        <f>LN(J170/J169)</f>
        <v/>
      </c>
      <c r="U170" s="7">
        <f>$W$12+$W$4*M170+$W$5*N170+$W$6*O170+$W$7*P170+$W$8*Q170+$W$9*R170+$W$10*S170+$W$11*T170</f>
        <v/>
      </c>
      <c r="AA170" s="8">
        <f>INDEX(LINEST(L111:L170,M111:T170,TRUE,TRUE),1,9)*12</f>
        <v/>
      </c>
      <c r="AB170" s="7">
        <f>INDEX(LINEST(L111:L170,M111:T170,TRUE,TRUE),1,8)</f>
        <v/>
      </c>
      <c r="AC170" s="7">
        <f>INDEX(LINEST(L111:L170,M111:T170,TRUE,TRUE),1,7)</f>
        <v/>
      </c>
      <c r="AD170" s="7">
        <f>INDEX(LINEST(L111:L170,M111:T170,TRUE,TRUE),1,6)</f>
        <v/>
      </c>
      <c r="AE170" s="7">
        <f>INDEX(LINEST(L111:L170,M111:T170,TRUE,TRUE),1,5)</f>
        <v/>
      </c>
      <c r="AF170" s="7">
        <f>INDEX(LINEST(L111:L170,M111:T170,TRUE,TRUE),1,4)</f>
        <v/>
      </c>
      <c r="AG170" s="7">
        <f>INDEX(LINEST(L111:L170,M111:T170,TRUE,TRUE),1,3)</f>
        <v/>
      </c>
      <c r="AH170" s="7">
        <f>INDEX(LINEST(L111:L170,M111:T170,TRUE,TRUE),1,2)</f>
        <v/>
      </c>
      <c r="AI170" s="7">
        <f>INDEX(LINEST(L111:L170,M111:T170,TRUE,TRUE),1,1)</f>
        <v/>
      </c>
      <c r="AJ170" s="8">
        <f>INDEX(LINEST(L111:L170,M111:T170,TRUE,TRUE),3,1)</f>
        <v/>
      </c>
    </row>
    <row r="171">
      <c r="L171" s="7">
        <f>LN(B171/B170)</f>
        <v/>
      </c>
      <c r="M171" s="7">
        <f>C171-C170</f>
        <v/>
      </c>
      <c r="N171" s="7">
        <f>D171-D170</f>
        <v/>
      </c>
      <c r="O171" s="7">
        <f>LN(E171/E170)</f>
        <v/>
      </c>
      <c r="P171" s="7">
        <f>LN(F171/F170)</f>
        <v/>
      </c>
      <c r="Q171" s="7">
        <f>G171-G170</f>
        <v/>
      </c>
      <c r="R171" s="7">
        <f>H171-H170</f>
        <v/>
      </c>
      <c r="S171" s="7">
        <f>LN(I171/I170)</f>
        <v/>
      </c>
      <c r="T171" s="7">
        <f>LN(J171/J170)</f>
        <v/>
      </c>
      <c r="U171" s="7">
        <f>$W$12+$W$4*M171+$W$5*N171+$W$6*O171+$W$7*P171+$W$8*Q171+$W$9*R171+$W$10*S171+$W$11*T171</f>
        <v/>
      </c>
      <c r="AA171" s="8">
        <f>INDEX(LINEST(L112:L171,M112:T171,TRUE,TRUE),1,9)*12</f>
        <v/>
      </c>
      <c r="AB171" s="7">
        <f>INDEX(LINEST(L112:L171,M112:T171,TRUE,TRUE),1,8)</f>
        <v/>
      </c>
      <c r="AC171" s="7">
        <f>INDEX(LINEST(L112:L171,M112:T171,TRUE,TRUE),1,7)</f>
        <v/>
      </c>
      <c r="AD171" s="7">
        <f>INDEX(LINEST(L112:L171,M112:T171,TRUE,TRUE),1,6)</f>
        <v/>
      </c>
      <c r="AE171" s="7">
        <f>INDEX(LINEST(L112:L171,M112:T171,TRUE,TRUE),1,5)</f>
        <v/>
      </c>
      <c r="AF171" s="7">
        <f>INDEX(LINEST(L112:L171,M112:T171,TRUE,TRUE),1,4)</f>
        <v/>
      </c>
      <c r="AG171" s="7">
        <f>INDEX(LINEST(L112:L171,M112:T171,TRUE,TRUE),1,3)</f>
        <v/>
      </c>
      <c r="AH171" s="7">
        <f>INDEX(LINEST(L112:L171,M112:T171,TRUE,TRUE),1,2)</f>
        <v/>
      </c>
      <c r="AI171" s="7">
        <f>INDEX(LINEST(L112:L171,M112:T171,TRUE,TRUE),1,1)</f>
        <v/>
      </c>
      <c r="AJ171" s="8">
        <f>INDEX(LINEST(L112:L171,M112:T171,TRUE,TRUE),3,1)</f>
        <v/>
      </c>
    </row>
    <row r="172">
      <c r="L172" s="7">
        <f>LN(B172/B171)</f>
        <v/>
      </c>
      <c r="M172" s="7">
        <f>C172-C171</f>
        <v/>
      </c>
      <c r="N172" s="7">
        <f>D172-D171</f>
        <v/>
      </c>
      <c r="O172" s="7">
        <f>LN(E172/E171)</f>
        <v/>
      </c>
      <c r="P172" s="7">
        <f>LN(F172/F171)</f>
        <v/>
      </c>
      <c r="Q172" s="7">
        <f>G172-G171</f>
        <v/>
      </c>
      <c r="R172" s="7">
        <f>H172-H171</f>
        <v/>
      </c>
      <c r="S172" s="7">
        <f>LN(I172/I171)</f>
        <v/>
      </c>
      <c r="T172" s="7">
        <f>LN(J172/J171)</f>
        <v/>
      </c>
      <c r="U172" s="7">
        <f>$W$12+$W$4*M172+$W$5*N172+$W$6*O172+$W$7*P172+$W$8*Q172+$W$9*R172+$W$10*S172+$W$11*T172</f>
        <v/>
      </c>
      <c r="AA172" s="8">
        <f>INDEX(LINEST(L113:L172,M113:T172,TRUE,TRUE),1,9)*12</f>
        <v/>
      </c>
      <c r="AB172" s="7">
        <f>INDEX(LINEST(L113:L172,M113:T172,TRUE,TRUE),1,8)</f>
        <v/>
      </c>
      <c r="AC172" s="7">
        <f>INDEX(LINEST(L113:L172,M113:T172,TRUE,TRUE),1,7)</f>
        <v/>
      </c>
      <c r="AD172" s="7">
        <f>INDEX(LINEST(L113:L172,M113:T172,TRUE,TRUE),1,6)</f>
        <v/>
      </c>
      <c r="AE172" s="7">
        <f>INDEX(LINEST(L113:L172,M113:T172,TRUE,TRUE),1,5)</f>
        <v/>
      </c>
      <c r="AF172" s="7">
        <f>INDEX(LINEST(L113:L172,M113:T172,TRUE,TRUE),1,4)</f>
        <v/>
      </c>
      <c r="AG172" s="7">
        <f>INDEX(LINEST(L113:L172,M113:T172,TRUE,TRUE),1,3)</f>
        <v/>
      </c>
      <c r="AH172" s="7">
        <f>INDEX(LINEST(L113:L172,M113:T172,TRUE,TRUE),1,2)</f>
        <v/>
      </c>
      <c r="AI172" s="7">
        <f>INDEX(LINEST(L113:L172,M113:T172,TRUE,TRUE),1,1)</f>
        <v/>
      </c>
      <c r="AJ172" s="8">
        <f>INDEX(LINEST(L113:L172,M113:T172,TRUE,TRUE),3,1)</f>
        <v/>
      </c>
    </row>
    <row r="173">
      <c r="L173" s="7">
        <f>LN(B173/B172)</f>
        <v/>
      </c>
      <c r="M173" s="7">
        <f>C173-C172</f>
        <v/>
      </c>
      <c r="N173" s="7">
        <f>D173-D172</f>
        <v/>
      </c>
      <c r="O173" s="7">
        <f>LN(E173/E172)</f>
        <v/>
      </c>
      <c r="P173" s="7">
        <f>LN(F173/F172)</f>
        <v/>
      </c>
      <c r="Q173" s="7">
        <f>G173-G172</f>
        <v/>
      </c>
      <c r="R173" s="7">
        <f>H173-H172</f>
        <v/>
      </c>
      <c r="S173" s="7">
        <f>LN(I173/I172)</f>
        <v/>
      </c>
      <c r="T173" s="7">
        <f>LN(J173/J172)</f>
        <v/>
      </c>
      <c r="U173" s="7">
        <f>$W$12+$W$4*M173+$W$5*N173+$W$6*O173+$W$7*P173+$W$8*Q173+$W$9*R173+$W$10*S173+$W$11*T173</f>
        <v/>
      </c>
      <c r="AA173" s="8">
        <f>INDEX(LINEST(L114:L173,M114:T173,TRUE,TRUE),1,9)*12</f>
        <v/>
      </c>
      <c r="AB173" s="7">
        <f>INDEX(LINEST(L114:L173,M114:T173,TRUE,TRUE),1,8)</f>
        <v/>
      </c>
      <c r="AC173" s="7">
        <f>INDEX(LINEST(L114:L173,M114:T173,TRUE,TRUE),1,7)</f>
        <v/>
      </c>
      <c r="AD173" s="7">
        <f>INDEX(LINEST(L114:L173,M114:T173,TRUE,TRUE),1,6)</f>
        <v/>
      </c>
      <c r="AE173" s="7">
        <f>INDEX(LINEST(L114:L173,M114:T173,TRUE,TRUE),1,5)</f>
        <v/>
      </c>
      <c r="AF173" s="7">
        <f>INDEX(LINEST(L114:L173,M114:T173,TRUE,TRUE),1,4)</f>
        <v/>
      </c>
      <c r="AG173" s="7">
        <f>INDEX(LINEST(L114:L173,M114:T173,TRUE,TRUE),1,3)</f>
        <v/>
      </c>
      <c r="AH173" s="7">
        <f>INDEX(LINEST(L114:L173,M114:T173,TRUE,TRUE),1,2)</f>
        <v/>
      </c>
      <c r="AI173" s="7">
        <f>INDEX(LINEST(L114:L173,M114:T173,TRUE,TRUE),1,1)</f>
        <v/>
      </c>
      <c r="AJ173" s="8">
        <f>INDEX(LINEST(L114:L173,M114:T173,TRUE,TRUE),3,1)</f>
        <v/>
      </c>
    </row>
    <row r="174">
      <c r="L174" s="7">
        <f>LN(B174/B173)</f>
        <v/>
      </c>
      <c r="M174" s="7">
        <f>C174-C173</f>
        <v/>
      </c>
      <c r="N174" s="7">
        <f>D174-D173</f>
        <v/>
      </c>
      <c r="O174" s="7">
        <f>LN(E174/E173)</f>
        <v/>
      </c>
      <c r="P174" s="7">
        <f>LN(F174/F173)</f>
        <v/>
      </c>
      <c r="Q174" s="7">
        <f>G174-G173</f>
        <v/>
      </c>
      <c r="R174" s="7">
        <f>H174-H173</f>
        <v/>
      </c>
      <c r="S174" s="7">
        <f>LN(I174/I173)</f>
        <v/>
      </c>
      <c r="T174" s="7">
        <f>LN(J174/J173)</f>
        <v/>
      </c>
      <c r="U174" s="7">
        <f>$W$12+$W$4*M174+$W$5*N174+$W$6*O174+$W$7*P174+$W$8*Q174+$W$9*R174+$W$10*S174+$W$11*T174</f>
        <v/>
      </c>
      <c r="AA174" s="8">
        <f>INDEX(LINEST(L115:L174,M115:T174,TRUE,TRUE),1,9)*12</f>
        <v/>
      </c>
      <c r="AB174" s="7">
        <f>INDEX(LINEST(L115:L174,M115:T174,TRUE,TRUE),1,8)</f>
        <v/>
      </c>
      <c r="AC174" s="7">
        <f>INDEX(LINEST(L115:L174,M115:T174,TRUE,TRUE),1,7)</f>
        <v/>
      </c>
      <c r="AD174" s="7">
        <f>INDEX(LINEST(L115:L174,M115:T174,TRUE,TRUE),1,6)</f>
        <v/>
      </c>
      <c r="AE174" s="7">
        <f>INDEX(LINEST(L115:L174,M115:T174,TRUE,TRUE),1,5)</f>
        <v/>
      </c>
      <c r="AF174" s="7">
        <f>INDEX(LINEST(L115:L174,M115:T174,TRUE,TRUE),1,4)</f>
        <v/>
      </c>
      <c r="AG174" s="7">
        <f>INDEX(LINEST(L115:L174,M115:T174,TRUE,TRUE),1,3)</f>
        <v/>
      </c>
      <c r="AH174" s="7">
        <f>INDEX(LINEST(L115:L174,M115:T174,TRUE,TRUE),1,2)</f>
        <v/>
      </c>
      <c r="AI174" s="7">
        <f>INDEX(LINEST(L115:L174,M115:T174,TRUE,TRUE),1,1)</f>
        <v/>
      </c>
      <c r="AJ174" s="8">
        <f>INDEX(LINEST(L115:L174,M115:T174,TRUE,TRUE),3,1)</f>
        <v/>
      </c>
    </row>
    <row r="175">
      <c r="L175" s="7">
        <f>LN(B175/B174)</f>
        <v/>
      </c>
      <c r="M175" s="7">
        <f>C175-C174</f>
        <v/>
      </c>
      <c r="N175" s="7">
        <f>D175-D174</f>
        <v/>
      </c>
      <c r="O175" s="7">
        <f>LN(E175/E174)</f>
        <v/>
      </c>
      <c r="P175" s="7">
        <f>LN(F175/F174)</f>
        <v/>
      </c>
      <c r="Q175" s="7">
        <f>G175-G174</f>
        <v/>
      </c>
      <c r="R175" s="7">
        <f>H175-H174</f>
        <v/>
      </c>
      <c r="S175" s="7">
        <f>LN(I175/I174)</f>
        <v/>
      </c>
      <c r="T175" s="7">
        <f>LN(J175/J174)</f>
        <v/>
      </c>
      <c r="U175" s="7">
        <f>$W$12+$W$4*M175+$W$5*N175+$W$6*O175+$W$7*P175+$W$8*Q175+$W$9*R175+$W$10*S175+$W$11*T175</f>
        <v/>
      </c>
      <c r="AA175" s="8">
        <f>INDEX(LINEST(L116:L175,M116:T175,TRUE,TRUE),1,9)*12</f>
        <v/>
      </c>
      <c r="AB175" s="7">
        <f>INDEX(LINEST(L116:L175,M116:T175,TRUE,TRUE),1,8)</f>
        <v/>
      </c>
      <c r="AC175" s="7">
        <f>INDEX(LINEST(L116:L175,M116:T175,TRUE,TRUE),1,7)</f>
        <v/>
      </c>
      <c r="AD175" s="7">
        <f>INDEX(LINEST(L116:L175,M116:T175,TRUE,TRUE),1,6)</f>
        <v/>
      </c>
      <c r="AE175" s="7">
        <f>INDEX(LINEST(L116:L175,M116:T175,TRUE,TRUE),1,5)</f>
        <v/>
      </c>
      <c r="AF175" s="7">
        <f>INDEX(LINEST(L116:L175,M116:T175,TRUE,TRUE),1,4)</f>
        <v/>
      </c>
      <c r="AG175" s="7">
        <f>INDEX(LINEST(L116:L175,M116:T175,TRUE,TRUE),1,3)</f>
        <v/>
      </c>
      <c r="AH175" s="7">
        <f>INDEX(LINEST(L116:L175,M116:T175,TRUE,TRUE),1,2)</f>
        <v/>
      </c>
      <c r="AI175" s="7">
        <f>INDEX(LINEST(L116:L175,M116:T175,TRUE,TRUE),1,1)</f>
        <v/>
      </c>
      <c r="AJ175" s="8">
        <f>INDEX(LINEST(L116:L175,M116:T175,TRUE,TRUE),3,1)</f>
        <v/>
      </c>
    </row>
    <row r="176">
      <c r="L176" s="7">
        <f>LN(B176/B175)</f>
        <v/>
      </c>
      <c r="M176" s="7">
        <f>C176-C175</f>
        <v/>
      </c>
      <c r="N176" s="7">
        <f>D176-D175</f>
        <v/>
      </c>
      <c r="O176" s="7">
        <f>LN(E176/E175)</f>
        <v/>
      </c>
      <c r="P176" s="7">
        <f>LN(F176/F175)</f>
        <v/>
      </c>
      <c r="Q176" s="7">
        <f>G176-G175</f>
        <v/>
      </c>
      <c r="R176" s="7">
        <f>H176-H175</f>
        <v/>
      </c>
      <c r="S176" s="7">
        <f>LN(I176/I175)</f>
        <v/>
      </c>
      <c r="T176" s="7">
        <f>LN(J176/J175)</f>
        <v/>
      </c>
      <c r="U176" s="7">
        <f>$W$12+$W$4*M176+$W$5*N176+$W$6*O176+$W$7*P176+$W$8*Q176+$W$9*R176+$W$10*S176+$W$11*T176</f>
        <v/>
      </c>
      <c r="AA176" s="8">
        <f>INDEX(LINEST(L117:L176,M117:T176,TRUE,TRUE),1,9)*12</f>
        <v/>
      </c>
      <c r="AB176" s="7">
        <f>INDEX(LINEST(L117:L176,M117:T176,TRUE,TRUE),1,8)</f>
        <v/>
      </c>
      <c r="AC176" s="7">
        <f>INDEX(LINEST(L117:L176,M117:T176,TRUE,TRUE),1,7)</f>
        <v/>
      </c>
      <c r="AD176" s="7">
        <f>INDEX(LINEST(L117:L176,M117:T176,TRUE,TRUE),1,6)</f>
        <v/>
      </c>
      <c r="AE176" s="7">
        <f>INDEX(LINEST(L117:L176,M117:T176,TRUE,TRUE),1,5)</f>
        <v/>
      </c>
      <c r="AF176" s="7">
        <f>INDEX(LINEST(L117:L176,M117:T176,TRUE,TRUE),1,4)</f>
        <v/>
      </c>
      <c r="AG176" s="7">
        <f>INDEX(LINEST(L117:L176,M117:T176,TRUE,TRUE),1,3)</f>
        <v/>
      </c>
      <c r="AH176" s="7">
        <f>INDEX(LINEST(L117:L176,M117:T176,TRUE,TRUE),1,2)</f>
        <v/>
      </c>
      <c r="AI176" s="7">
        <f>INDEX(LINEST(L117:L176,M117:T176,TRUE,TRUE),1,1)</f>
        <v/>
      </c>
      <c r="AJ176" s="8">
        <f>INDEX(LINEST(L117:L176,M117:T176,TRUE,TRUE),3,1)</f>
        <v/>
      </c>
    </row>
    <row r="177">
      <c r="L177" s="7">
        <f>LN(B177/B176)</f>
        <v/>
      </c>
      <c r="M177" s="7">
        <f>C177-C176</f>
        <v/>
      </c>
      <c r="N177" s="7">
        <f>D177-D176</f>
        <v/>
      </c>
      <c r="O177" s="7">
        <f>LN(E177/E176)</f>
        <v/>
      </c>
      <c r="P177" s="7">
        <f>LN(F177/F176)</f>
        <v/>
      </c>
      <c r="Q177" s="7">
        <f>G177-G176</f>
        <v/>
      </c>
      <c r="R177" s="7">
        <f>H177-H176</f>
        <v/>
      </c>
      <c r="S177" s="7">
        <f>LN(I177/I176)</f>
        <v/>
      </c>
      <c r="T177" s="7">
        <f>LN(J177/J176)</f>
        <v/>
      </c>
      <c r="U177" s="7">
        <f>$W$12+$W$4*M177+$W$5*N177+$W$6*O177+$W$7*P177+$W$8*Q177+$W$9*R177+$W$10*S177+$W$11*T177</f>
        <v/>
      </c>
      <c r="AA177" s="8">
        <f>INDEX(LINEST(L118:L177,M118:T177,TRUE,TRUE),1,9)*12</f>
        <v/>
      </c>
      <c r="AB177" s="7">
        <f>INDEX(LINEST(L118:L177,M118:T177,TRUE,TRUE),1,8)</f>
        <v/>
      </c>
      <c r="AC177" s="7">
        <f>INDEX(LINEST(L118:L177,M118:T177,TRUE,TRUE),1,7)</f>
        <v/>
      </c>
      <c r="AD177" s="7">
        <f>INDEX(LINEST(L118:L177,M118:T177,TRUE,TRUE),1,6)</f>
        <v/>
      </c>
      <c r="AE177" s="7">
        <f>INDEX(LINEST(L118:L177,M118:T177,TRUE,TRUE),1,5)</f>
        <v/>
      </c>
      <c r="AF177" s="7">
        <f>INDEX(LINEST(L118:L177,M118:T177,TRUE,TRUE),1,4)</f>
        <v/>
      </c>
      <c r="AG177" s="7">
        <f>INDEX(LINEST(L118:L177,M118:T177,TRUE,TRUE),1,3)</f>
        <v/>
      </c>
      <c r="AH177" s="7">
        <f>INDEX(LINEST(L118:L177,M118:T177,TRUE,TRUE),1,2)</f>
        <v/>
      </c>
      <c r="AI177" s="7">
        <f>INDEX(LINEST(L118:L177,M118:T177,TRUE,TRUE),1,1)</f>
        <v/>
      </c>
      <c r="AJ177" s="8">
        <f>INDEX(LINEST(L118:L177,M118:T177,TRUE,TRUE),3,1)</f>
        <v/>
      </c>
    </row>
    <row r="178">
      <c r="L178" s="7">
        <f>LN(B178/B177)</f>
        <v/>
      </c>
      <c r="M178" s="7">
        <f>C178-C177</f>
        <v/>
      </c>
      <c r="N178" s="7">
        <f>D178-D177</f>
        <v/>
      </c>
      <c r="O178" s="7">
        <f>LN(E178/E177)</f>
        <v/>
      </c>
      <c r="P178" s="7">
        <f>LN(F178/F177)</f>
        <v/>
      </c>
      <c r="Q178" s="7">
        <f>G178-G177</f>
        <v/>
      </c>
      <c r="R178" s="7">
        <f>H178-H177</f>
        <v/>
      </c>
      <c r="S178" s="7">
        <f>LN(I178/I177)</f>
        <v/>
      </c>
      <c r="T178" s="7">
        <f>LN(J178/J177)</f>
        <v/>
      </c>
      <c r="U178" s="7">
        <f>$W$12+$W$4*M178+$W$5*N178+$W$6*O178+$W$7*P178+$W$8*Q178+$W$9*R178+$W$10*S178+$W$11*T178</f>
        <v/>
      </c>
      <c r="AA178" s="8">
        <f>INDEX(LINEST(L119:L178,M119:T178,TRUE,TRUE),1,9)*12</f>
        <v/>
      </c>
      <c r="AB178" s="7">
        <f>INDEX(LINEST(L119:L178,M119:T178,TRUE,TRUE),1,8)</f>
        <v/>
      </c>
      <c r="AC178" s="7">
        <f>INDEX(LINEST(L119:L178,M119:T178,TRUE,TRUE),1,7)</f>
        <v/>
      </c>
      <c r="AD178" s="7">
        <f>INDEX(LINEST(L119:L178,M119:T178,TRUE,TRUE),1,6)</f>
        <v/>
      </c>
      <c r="AE178" s="7">
        <f>INDEX(LINEST(L119:L178,M119:T178,TRUE,TRUE),1,5)</f>
        <v/>
      </c>
      <c r="AF178" s="7">
        <f>INDEX(LINEST(L119:L178,M119:T178,TRUE,TRUE),1,4)</f>
        <v/>
      </c>
      <c r="AG178" s="7">
        <f>INDEX(LINEST(L119:L178,M119:T178,TRUE,TRUE),1,3)</f>
        <v/>
      </c>
      <c r="AH178" s="7">
        <f>INDEX(LINEST(L119:L178,M119:T178,TRUE,TRUE),1,2)</f>
        <v/>
      </c>
      <c r="AI178" s="7">
        <f>INDEX(LINEST(L119:L178,M119:T178,TRUE,TRUE),1,1)</f>
        <v/>
      </c>
      <c r="AJ178" s="8">
        <f>INDEX(LINEST(L119:L178,M119:T178,TRUE,TRUE),3,1)</f>
        <v/>
      </c>
    </row>
    <row r="179">
      <c r="L179" s="7">
        <f>LN(B179/B178)</f>
        <v/>
      </c>
      <c r="M179" s="7">
        <f>C179-C178</f>
        <v/>
      </c>
      <c r="N179" s="7">
        <f>D179-D178</f>
        <v/>
      </c>
      <c r="O179" s="7">
        <f>LN(E179/E178)</f>
        <v/>
      </c>
      <c r="P179" s="7">
        <f>LN(F179/F178)</f>
        <v/>
      </c>
      <c r="Q179" s="7">
        <f>G179-G178</f>
        <v/>
      </c>
      <c r="R179" s="7">
        <f>H179-H178</f>
        <v/>
      </c>
      <c r="S179" s="7">
        <f>LN(I179/I178)</f>
        <v/>
      </c>
      <c r="T179" s="7">
        <f>LN(J179/J178)</f>
        <v/>
      </c>
      <c r="U179" s="7">
        <f>$W$12+$W$4*M179+$W$5*N179+$W$6*O179+$W$7*P179+$W$8*Q179+$W$9*R179+$W$10*S179+$W$11*T179</f>
        <v/>
      </c>
      <c r="AA179" s="8">
        <f>INDEX(LINEST(L120:L179,M120:T179,TRUE,TRUE),1,9)*12</f>
        <v/>
      </c>
      <c r="AB179" s="7">
        <f>INDEX(LINEST(L120:L179,M120:T179,TRUE,TRUE),1,8)</f>
        <v/>
      </c>
      <c r="AC179" s="7">
        <f>INDEX(LINEST(L120:L179,M120:T179,TRUE,TRUE),1,7)</f>
        <v/>
      </c>
      <c r="AD179" s="7">
        <f>INDEX(LINEST(L120:L179,M120:T179,TRUE,TRUE),1,6)</f>
        <v/>
      </c>
      <c r="AE179" s="7">
        <f>INDEX(LINEST(L120:L179,M120:T179,TRUE,TRUE),1,5)</f>
        <v/>
      </c>
      <c r="AF179" s="7">
        <f>INDEX(LINEST(L120:L179,M120:T179,TRUE,TRUE),1,4)</f>
        <v/>
      </c>
      <c r="AG179" s="7">
        <f>INDEX(LINEST(L120:L179,M120:T179,TRUE,TRUE),1,3)</f>
        <v/>
      </c>
      <c r="AH179" s="7">
        <f>INDEX(LINEST(L120:L179,M120:T179,TRUE,TRUE),1,2)</f>
        <v/>
      </c>
      <c r="AI179" s="7">
        <f>INDEX(LINEST(L120:L179,M120:T179,TRUE,TRUE),1,1)</f>
        <v/>
      </c>
      <c r="AJ179" s="8">
        <f>INDEX(LINEST(L120:L179,M120:T179,TRUE,TRUE),3,1)</f>
        <v/>
      </c>
    </row>
    <row r="180">
      <c r="L180" s="7">
        <f>LN(B180/B179)</f>
        <v/>
      </c>
      <c r="M180" s="7">
        <f>C180-C179</f>
        <v/>
      </c>
      <c r="N180" s="7">
        <f>D180-D179</f>
        <v/>
      </c>
      <c r="O180" s="7">
        <f>LN(E180/E179)</f>
        <v/>
      </c>
      <c r="P180" s="7">
        <f>LN(F180/F179)</f>
        <v/>
      </c>
      <c r="Q180" s="7">
        <f>G180-G179</f>
        <v/>
      </c>
      <c r="R180" s="7">
        <f>H180-H179</f>
        <v/>
      </c>
      <c r="S180" s="7">
        <f>LN(I180/I179)</f>
        <v/>
      </c>
      <c r="T180" s="7">
        <f>LN(J180/J179)</f>
        <v/>
      </c>
      <c r="U180" s="7">
        <f>$W$12+$W$4*M180+$W$5*N180+$W$6*O180+$W$7*P180+$W$8*Q180+$W$9*R180+$W$10*S180+$W$11*T180</f>
        <v/>
      </c>
      <c r="AA180" s="8">
        <f>INDEX(LINEST(L121:L180,M121:T180,TRUE,TRUE),1,9)*12</f>
        <v/>
      </c>
      <c r="AB180" s="7">
        <f>INDEX(LINEST(L121:L180,M121:T180,TRUE,TRUE),1,8)</f>
        <v/>
      </c>
      <c r="AC180" s="7">
        <f>INDEX(LINEST(L121:L180,M121:T180,TRUE,TRUE),1,7)</f>
        <v/>
      </c>
      <c r="AD180" s="7">
        <f>INDEX(LINEST(L121:L180,M121:T180,TRUE,TRUE),1,6)</f>
        <v/>
      </c>
      <c r="AE180" s="7">
        <f>INDEX(LINEST(L121:L180,M121:T180,TRUE,TRUE),1,5)</f>
        <v/>
      </c>
      <c r="AF180" s="7">
        <f>INDEX(LINEST(L121:L180,M121:T180,TRUE,TRUE),1,4)</f>
        <v/>
      </c>
      <c r="AG180" s="7">
        <f>INDEX(LINEST(L121:L180,M121:T180,TRUE,TRUE),1,3)</f>
        <v/>
      </c>
      <c r="AH180" s="7">
        <f>INDEX(LINEST(L121:L180,M121:T180,TRUE,TRUE),1,2)</f>
        <v/>
      </c>
      <c r="AI180" s="7">
        <f>INDEX(LINEST(L121:L180,M121:T180,TRUE,TRUE),1,1)</f>
        <v/>
      </c>
      <c r="AJ180" s="8">
        <f>INDEX(LINEST(L121:L180,M121:T180,TRUE,TRUE),3,1)</f>
        <v/>
      </c>
    </row>
    <row r="181">
      <c r="L181" s="7">
        <f>LN(B181/B180)</f>
        <v/>
      </c>
      <c r="M181" s="7">
        <f>C181-C180</f>
        <v/>
      </c>
      <c r="N181" s="7">
        <f>D181-D180</f>
        <v/>
      </c>
      <c r="O181" s="7">
        <f>LN(E181/E180)</f>
        <v/>
      </c>
      <c r="P181" s="7">
        <f>LN(F181/F180)</f>
        <v/>
      </c>
      <c r="Q181" s="7">
        <f>G181-G180</f>
        <v/>
      </c>
      <c r="R181" s="7">
        <f>H181-H180</f>
        <v/>
      </c>
      <c r="S181" s="7">
        <f>LN(I181/I180)</f>
        <v/>
      </c>
      <c r="T181" s="7">
        <f>LN(J181/J180)</f>
        <v/>
      </c>
      <c r="U181" s="7">
        <f>$W$12+$W$4*M181+$W$5*N181+$W$6*O181+$W$7*P181+$W$8*Q181+$W$9*R181+$W$10*S181+$W$11*T181</f>
        <v/>
      </c>
      <c r="AA181" s="8">
        <f>INDEX(LINEST(L122:L181,M122:T181,TRUE,TRUE),1,9)*12</f>
        <v/>
      </c>
      <c r="AB181" s="7">
        <f>INDEX(LINEST(L122:L181,M122:T181,TRUE,TRUE),1,8)</f>
        <v/>
      </c>
      <c r="AC181" s="7">
        <f>INDEX(LINEST(L122:L181,M122:T181,TRUE,TRUE),1,7)</f>
        <v/>
      </c>
      <c r="AD181" s="7">
        <f>INDEX(LINEST(L122:L181,M122:T181,TRUE,TRUE),1,6)</f>
        <v/>
      </c>
      <c r="AE181" s="7">
        <f>INDEX(LINEST(L122:L181,M122:T181,TRUE,TRUE),1,5)</f>
        <v/>
      </c>
      <c r="AF181" s="7">
        <f>INDEX(LINEST(L122:L181,M122:T181,TRUE,TRUE),1,4)</f>
        <v/>
      </c>
      <c r="AG181" s="7">
        <f>INDEX(LINEST(L122:L181,M122:T181,TRUE,TRUE),1,3)</f>
        <v/>
      </c>
      <c r="AH181" s="7">
        <f>INDEX(LINEST(L122:L181,M122:T181,TRUE,TRUE),1,2)</f>
        <v/>
      </c>
      <c r="AI181" s="7">
        <f>INDEX(LINEST(L122:L181,M122:T181,TRUE,TRUE),1,1)</f>
        <v/>
      </c>
      <c r="AJ181" s="8">
        <f>INDEX(LINEST(L122:L181,M122:T181,TRUE,TRUE),3,1)</f>
        <v/>
      </c>
    </row>
    <row r="182">
      <c r="L182" s="7">
        <f>LN(B182/B181)</f>
        <v/>
      </c>
      <c r="M182" s="7">
        <f>C182-C181</f>
        <v/>
      </c>
      <c r="N182" s="7">
        <f>D182-D181</f>
        <v/>
      </c>
      <c r="O182" s="7">
        <f>LN(E182/E181)</f>
        <v/>
      </c>
      <c r="P182" s="7">
        <f>LN(F182/F181)</f>
        <v/>
      </c>
      <c r="Q182" s="7">
        <f>G182-G181</f>
        <v/>
      </c>
      <c r="R182" s="7">
        <f>H182-H181</f>
        <v/>
      </c>
      <c r="S182" s="7">
        <f>LN(I182/I181)</f>
        <v/>
      </c>
      <c r="T182" s="7">
        <f>LN(J182/J181)</f>
        <v/>
      </c>
      <c r="U182" s="7">
        <f>$W$12+$W$4*M182+$W$5*N182+$W$6*O182+$W$7*P182+$W$8*Q182+$W$9*R182+$W$10*S182+$W$11*T182</f>
        <v/>
      </c>
      <c r="AA182" s="8">
        <f>INDEX(LINEST(L123:L182,M123:T182,TRUE,TRUE),1,9)*12</f>
        <v/>
      </c>
      <c r="AB182" s="7">
        <f>INDEX(LINEST(L123:L182,M123:T182,TRUE,TRUE),1,8)</f>
        <v/>
      </c>
      <c r="AC182" s="7">
        <f>INDEX(LINEST(L123:L182,M123:T182,TRUE,TRUE),1,7)</f>
        <v/>
      </c>
      <c r="AD182" s="7">
        <f>INDEX(LINEST(L123:L182,M123:T182,TRUE,TRUE),1,6)</f>
        <v/>
      </c>
      <c r="AE182" s="7">
        <f>INDEX(LINEST(L123:L182,M123:T182,TRUE,TRUE),1,5)</f>
        <v/>
      </c>
      <c r="AF182" s="7">
        <f>INDEX(LINEST(L123:L182,M123:T182,TRUE,TRUE),1,4)</f>
        <v/>
      </c>
      <c r="AG182" s="7">
        <f>INDEX(LINEST(L123:L182,M123:T182,TRUE,TRUE),1,3)</f>
        <v/>
      </c>
      <c r="AH182" s="7">
        <f>INDEX(LINEST(L123:L182,M123:T182,TRUE,TRUE),1,2)</f>
        <v/>
      </c>
      <c r="AI182" s="7">
        <f>INDEX(LINEST(L123:L182,M123:T182,TRUE,TRUE),1,1)</f>
        <v/>
      </c>
      <c r="AJ182" s="8">
        <f>INDEX(LINEST(L123:L182,M123:T182,TRUE,TRUE),3,1)</f>
        <v/>
      </c>
    </row>
    <row r="183">
      <c r="L183" s="7">
        <f>LN(B183/B182)</f>
        <v/>
      </c>
      <c r="M183" s="7">
        <f>C183-C182</f>
        <v/>
      </c>
      <c r="N183" s="7">
        <f>D183-D182</f>
        <v/>
      </c>
      <c r="O183" s="7">
        <f>LN(E183/E182)</f>
        <v/>
      </c>
      <c r="P183" s="7">
        <f>LN(F183/F182)</f>
        <v/>
      </c>
      <c r="Q183" s="7">
        <f>G183-G182</f>
        <v/>
      </c>
      <c r="R183" s="7">
        <f>H183-H182</f>
        <v/>
      </c>
      <c r="S183" s="7">
        <f>LN(I183/I182)</f>
        <v/>
      </c>
      <c r="T183" s="7">
        <f>LN(J183/J182)</f>
        <v/>
      </c>
      <c r="U183" s="7">
        <f>$W$12+$W$4*M183+$W$5*N183+$W$6*O183+$W$7*P183+$W$8*Q183+$W$9*R183+$W$10*S183+$W$11*T183</f>
        <v/>
      </c>
      <c r="AA183" s="8">
        <f>INDEX(LINEST(L124:L183,M124:T183,TRUE,TRUE),1,9)*12</f>
        <v/>
      </c>
      <c r="AB183" s="7">
        <f>INDEX(LINEST(L124:L183,M124:T183,TRUE,TRUE),1,8)</f>
        <v/>
      </c>
      <c r="AC183" s="7">
        <f>INDEX(LINEST(L124:L183,M124:T183,TRUE,TRUE),1,7)</f>
        <v/>
      </c>
      <c r="AD183" s="7">
        <f>INDEX(LINEST(L124:L183,M124:T183,TRUE,TRUE),1,6)</f>
        <v/>
      </c>
      <c r="AE183" s="7">
        <f>INDEX(LINEST(L124:L183,M124:T183,TRUE,TRUE),1,5)</f>
        <v/>
      </c>
      <c r="AF183" s="7">
        <f>INDEX(LINEST(L124:L183,M124:T183,TRUE,TRUE),1,4)</f>
        <v/>
      </c>
      <c r="AG183" s="7">
        <f>INDEX(LINEST(L124:L183,M124:T183,TRUE,TRUE),1,3)</f>
        <v/>
      </c>
      <c r="AH183" s="7">
        <f>INDEX(LINEST(L124:L183,M124:T183,TRUE,TRUE),1,2)</f>
        <v/>
      </c>
      <c r="AI183" s="7">
        <f>INDEX(LINEST(L124:L183,M124:T183,TRUE,TRUE),1,1)</f>
        <v/>
      </c>
      <c r="AJ183" s="8">
        <f>INDEX(LINEST(L124:L183,M124:T183,TRUE,TRUE),3,1)</f>
        <v/>
      </c>
    </row>
    <row r="184">
      <c r="L184" s="7">
        <f>LN(B184/B183)</f>
        <v/>
      </c>
      <c r="M184" s="7">
        <f>C184-C183</f>
        <v/>
      </c>
      <c r="N184" s="7">
        <f>D184-D183</f>
        <v/>
      </c>
      <c r="O184" s="7">
        <f>LN(E184/E183)</f>
        <v/>
      </c>
      <c r="P184" s="7">
        <f>LN(F184/F183)</f>
        <v/>
      </c>
      <c r="Q184" s="7">
        <f>G184-G183</f>
        <v/>
      </c>
      <c r="R184" s="7">
        <f>H184-H183</f>
        <v/>
      </c>
      <c r="S184" s="7">
        <f>LN(I184/I183)</f>
        <v/>
      </c>
      <c r="T184" s="7">
        <f>LN(J184/J183)</f>
        <v/>
      </c>
      <c r="U184" s="7">
        <f>$W$12+$W$4*M184+$W$5*N184+$W$6*O184+$W$7*P184+$W$8*Q184+$W$9*R184+$W$10*S184+$W$11*T184</f>
        <v/>
      </c>
      <c r="AA184" s="8">
        <f>INDEX(LINEST(L125:L184,M125:T184,TRUE,TRUE),1,9)*12</f>
        <v/>
      </c>
      <c r="AB184" s="7">
        <f>INDEX(LINEST(L125:L184,M125:T184,TRUE,TRUE),1,8)</f>
        <v/>
      </c>
      <c r="AC184" s="7">
        <f>INDEX(LINEST(L125:L184,M125:T184,TRUE,TRUE),1,7)</f>
        <v/>
      </c>
      <c r="AD184" s="7">
        <f>INDEX(LINEST(L125:L184,M125:T184,TRUE,TRUE),1,6)</f>
        <v/>
      </c>
      <c r="AE184" s="7">
        <f>INDEX(LINEST(L125:L184,M125:T184,TRUE,TRUE),1,5)</f>
        <v/>
      </c>
      <c r="AF184" s="7">
        <f>INDEX(LINEST(L125:L184,M125:T184,TRUE,TRUE),1,4)</f>
        <v/>
      </c>
      <c r="AG184" s="7">
        <f>INDEX(LINEST(L125:L184,M125:T184,TRUE,TRUE),1,3)</f>
        <v/>
      </c>
      <c r="AH184" s="7">
        <f>INDEX(LINEST(L125:L184,M125:T184,TRUE,TRUE),1,2)</f>
        <v/>
      </c>
      <c r="AI184" s="7">
        <f>INDEX(LINEST(L125:L184,M125:T184,TRUE,TRUE),1,1)</f>
        <v/>
      </c>
      <c r="AJ184" s="8">
        <f>INDEX(LINEST(L125:L184,M125:T184,TRUE,TRUE),3,1)</f>
        <v/>
      </c>
    </row>
    <row r="185">
      <c r="L185" s="7">
        <f>LN(B185/B184)</f>
        <v/>
      </c>
      <c r="M185" s="7">
        <f>C185-C184</f>
        <v/>
      </c>
      <c r="N185" s="7">
        <f>D185-D184</f>
        <v/>
      </c>
      <c r="O185" s="7">
        <f>LN(E185/E184)</f>
        <v/>
      </c>
      <c r="P185" s="7">
        <f>LN(F185/F184)</f>
        <v/>
      </c>
      <c r="Q185" s="7">
        <f>G185-G184</f>
        <v/>
      </c>
      <c r="R185" s="7">
        <f>H185-H184</f>
        <v/>
      </c>
      <c r="S185" s="7">
        <f>LN(I185/I184)</f>
        <v/>
      </c>
      <c r="T185" s="7">
        <f>LN(J185/J184)</f>
        <v/>
      </c>
      <c r="U185" s="7">
        <f>$W$12+$W$4*M185+$W$5*N185+$W$6*O185+$W$7*P185+$W$8*Q185+$W$9*R185+$W$10*S185+$W$11*T185</f>
        <v/>
      </c>
      <c r="AA185" s="8">
        <f>INDEX(LINEST(L126:L185,M126:T185,TRUE,TRUE),1,9)*12</f>
        <v/>
      </c>
      <c r="AB185" s="7">
        <f>INDEX(LINEST(L126:L185,M126:T185,TRUE,TRUE),1,8)</f>
        <v/>
      </c>
      <c r="AC185" s="7">
        <f>INDEX(LINEST(L126:L185,M126:T185,TRUE,TRUE),1,7)</f>
        <v/>
      </c>
      <c r="AD185" s="7">
        <f>INDEX(LINEST(L126:L185,M126:T185,TRUE,TRUE),1,6)</f>
        <v/>
      </c>
      <c r="AE185" s="7">
        <f>INDEX(LINEST(L126:L185,M126:T185,TRUE,TRUE),1,5)</f>
        <v/>
      </c>
      <c r="AF185" s="7">
        <f>INDEX(LINEST(L126:L185,M126:T185,TRUE,TRUE),1,4)</f>
        <v/>
      </c>
      <c r="AG185" s="7">
        <f>INDEX(LINEST(L126:L185,M126:T185,TRUE,TRUE),1,3)</f>
        <v/>
      </c>
      <c r="AH185" s="7">
        <f>INDEX(LINEST(L126:L185,M126:T185,TRUE,TRUE),1,2)</f>
        <v/>
      </c>
      <c r="AI185" s="7">
        <f>INDEX(LINEST(L126:L185,M126:T185,TRUE,TRUE),1,1)</f>
        <v/>
      </c>
      <c r="AJ185" s="8">
        <f>INDEX(LINEST(L126:L185,M126:T185,TRUE,TRUE),3,1)</f>
        <v/>
      </c>
    </row>
    <row r="186">
      <c r="L186" s="7">
        <f>LN(B186/B185)</f>
        <v/>
      </c>
      <c r="M186" s="7">
        <f>C186-C185</f>
        <v/>
      </c>
      <c r="N186" s="7">
        <f>D186-D185</f>
        <v/>
      </c>
      <c r="O186" s="7">
        <f>LN(E186/E185)</f>
        <v/>
      </c>
      <c r="P186" s="7">
        <f>LN(F186/F185)</f>
        <v/>
      </c>
      <c r="Q186" s="7">
        <f>G186-G185</f>
        <v/>
      </c>
      <c r="R186" s="7">
        <f>H186-H185</f>
        <v/>
      </c>
      <c r="S186" s="7">
        <f>LN(I186/I185)</f>
        <v/>
      </c>
      <c r="T186" s="7">
        <f>LN(J186/J185)</f>
        <v/>
      </c>
      <c r="U186" s="7">
        <f>$W$12+$W$4*M186+$W$5*N186+$W$6*O186+$W$7*P186+$W$8*Q186+$W$9*R186+$W$10*S186+$W$11*T186</f>
        <v/>
      </c>
      <c r="AA186" s="8">
        <f>INDEX(LINEST(L127:L186,M127:T186,TRUE,TRUE),1,9)*12</f>
        <v/>
      </c>
      <c r="AB186" s="7">
        <f>INDEX(LINEST(L127:L186,M127:T186,TRUE,TRUE),1,8)</f>
        <v/>
      </c>
      <c r="AC186" s="7">
        <f>INDEX(LINEST(L127:L186,M127:T186,TRUE,TRUE),1,7)</f>
        <v/>
      </c>
      <c r="AD186" s="7">
        <f>INDEX(LINEST(L127:L186,M127:T186,TRUE,TRUE),1,6)</f>
        <v/>
      </c>
      <c r="AE186" s="7">
        <f>INDEX(LINEST(L127:L186,M127:T186,TRUE,TRUE),1,5)</f>
        <v/>
      </c>
      <c r="AF186" s="7">
        <f>INDEX(LINEST(L127:L186,M127:T186,TRUE,TRUE),1,4)</f>
        <v/>
      </c>
      <c r="AG186" s="7">
        <f>INDEX(LINEST(L127:L186,M127:T186,TRUE,TRUE),1,3)</f>
        <v/>
      </c>
      <c r="AH186" s="7">
        <f>INDEX(LINEST(L127:L186,M127:T186,TRUE,TRUE),1,2)</f>
        <v/>
      </c>
      <c r="AI186" s="7">
        <f>INDEX(LINEST(L127:L186,M127:T186,TRUE,TRUE),1,1)</f>
        <v/>
      </c>
      <c r="AJ186" s="8">
        <f>INDEX(LINEST(L127:L186,M127:T186,TRUE,TRUE),3,1)</f>
        <v/>
      </c>
    </row>
    <row r="187">
      <c r="L187" s="7">
        <f>LN(B187/B186)</f>
        <v/>
      </c>
      <c r="M187" s="7">
        <f>C187-C186</f>
        <v/>
      </c>
      <c r="N187" s="7">
        <f>D187-D186</f>
        <v/>
      </c>
      <c r="O187" s="7">
        <f>LN(E187/E186)</f>
        <v/>
      </c>
      <c r="P187" s="7">
        <f>LN(F187/F186)</f>
        <v/>
      </c>
      <c r="Q187" s="7">
        <f>G187-G186</f>
        <v/>
      </c>
      <c r="R187" s="7">
        <f>H187-H186</f>
        <v/>
      </c>
      <c r="S187" s="7">
        <f>LN(I187/I186)</f>
        <v/>
      </c>
      <c r="T187" s="7">
        <f>LN(J187/J186)</f>
        <v/>
      </c>
      <c r="U187" s="7">
        <f>$W$12+$W$4*M187+$W$5*N187+$W$6*O187+$W$7*P187+$W$8*Q187+$W$9*R187+$W$10*S187+$W$11*T187</f>
        <v/>
      </c>
      <c r="AA187" s="8">
        <f>INDEX(LINEST(L128:L187,M128:T187,TRUE,TRUE),1,9)*12</f>
        <v/>
      </c>
      <c r="AB187" s="7">
        <f>INDEX(LINEST(L128:L187,M128:T187,TRUE,TRUE),1,8)</f>
        <v/>
      </c>
      <c r="AC187" s="7">
        <f>INDEX(LINEST(L128:L187,M128:T187,TRUE,TRUE),1,7)</f>
        <v/>
      </c>
      <c r="AD187" s="7">
        <f>INDEX(LINEST(L128:L187,M128:T187,TRUE,TRUE),1,6)</f>
        <v/>
      </c>
      <c r="AE187" s="7">
        <f>INDEX(LINEST(L128:L187,M128:T187,TRUE,TRUE),1,5)</f>
        <v/>
      </c>
      <c r="AF187" s="7">
        <f>INDEX(LINEST(L128:L187,M128:T187,TRUE,TRUE),1,4)</f>
        <v/>
      </c>
      <c r="AG187" s="7">
        <f>INDEX(LINEST(L128:L187,M128:T187,TRUE,TRUE),1,3)</f>
        <v/>
      </c>
      <c r="AH187" s="7">
        <f>INDEX(LINEST(L128:L187,M128:T187,TRUE,TRUE),1,2)</f>
        <v/>
      </c>
      <c r="AI187" s="7">
        <f>INDEX(LINEST(L128:L187,M128:T187,TRUE,TRUE),1,1)</f>
        <v/>
      </c>
      <c r="AJ187" s="8">
        <f>INDEX(LINEST(L128:L187,M128:T187,TRUE,TRUE),3,1)</f>
        <v/>
      </c>
    </row>
    <row r="188">
      <c r="L188" s="7">
        <f>LN(B188/B187)</f>
        <v/>
      </c>
      <c r="M188" s="7">
        <f>C188-C187</f>
        <v/>
      </c>
      <c r="N188" s="7">
        <f>D188-D187</f>
        <v/>
      </c>
      <c r="O188" s="7">
        <f>LN(E188/E187)</f>
        <v/>
      </c>
      <c r="P188" s="7">
        <f>LN(F188/F187)</f>
        <v/>
      </c>
      <c r="Q188" s="7">
        <f>G188-G187</f>
        <v/>
      </c>
      <c r="R188" s="7">
        <f>H188-H187</f>
        <v/>
      </c>
      <c r="S188" s="7">
        <f>LN(I188/I187)</f>
        <v/>
      </c>
      <c r="T188" s="7">
        <f>LN(J188/J187)</f>
        <v/>
      </c>
      <c r="U188" s="7">
        <f>$W$12+$W$4*M188+$W$5*N188+$W$6*O188+$W$7*P188+$W$8*Q188+$W$9*R188+$W$10*S188+$W$11*T188</f>
        <v/>
      </c>
      <c r="AA188" s="8">
        <f>INDEX(LINEST(L129:L188,M129:T188,TRUE,TRUE),1,9)*12</f>
        <v/>
      </c>
      <c r="AB188" s="7">
        <f>INDEX(LINEST(L129:L188,M129:T188,TRUE,TRUE),1,8)</f>
        <v/>
      </c>
      <c r="AC188" s="7">
        <f>INDEX(LINEST(L129:L188,M129:T188,TRUE,TRUE),1,7)</f>
        <v/>
      </c>
      <c r="AD188" s="7">
        <f>INDEX(LINEST(L129:L188,M129:T188,TRUE,TRUE),1,6)</f>
        <v/>
      </c>
      <c r="AE188" s="7">
        <f>INDEX(LINEST(L129:L188,M129:T188,TRUE,TRUE),1,5)</f>
        <v/>
      </c>
      <c r="AF188" s="7">
        <f>INDEX(LINEST(L129:L188,M129:T188,TRUE,TRUE),1,4)</f>
        <v/>
      </c>
      <c r="AG188" s="7">
        <f>INDEX(LINEST(L129:L188,M129:T188,TRUE,TRUE),1,3)</f>
        <v/>
      </c>
      <c r="AH188" s="7">
        <f>INDEX(LINEST(L129:L188,M129:T188,TRUE,TRUE),1,2)</f>
        <v/>
      </c>
      <c r="AI188" s="7">
        <f>INDEX(LINEST(L129:L188,M129:T188,TRUE,TRUE),1,1)</f>
        <v/>
      </c>
      <c r="AJ188" s="8">
        <f>INDEX(LINEST(L129:L188,M129:T188,TRUE,TRUE),3,1)</f>
        <v/>
      </c>
    </row>
    <row r="189">
      <c r="L189" s="7">
        <f>LN(B189/B188)</f>
        <v/>
      </c>
      <c r="M189" s="7">
        <f>C189-C188</f>
        <v/>
      </c>
      <c r="N189" s="7">
        <f>D189-D188</f>
        <v/>
      </c>
      <c r="O189" s="7">
        <f>LN(E189/E188)</f>
        <v/>
      </c>
      <c r="P189" s="7">
        <f>LN(F189/F188)</f>
        <v/>
      </c>
      <c r="Q189" s="7">
        <f>G189-G188</f>
        <v/>
      </c>
      <c r="R189" s="7">
        <f>H189-H188</f>
        <v/>
      </c>
      <c r="S189" s="7">
        <f>LN(I189/I188)</f>
        <v/>
      </c>
      <c r="T189" s="7">
        <f>LN(J189/J188)</f>
        <v/>
      </c>
      <c r="U189" s="7">
        <f>$W$12+$W$4*M189+$W$5*N189+$W$6*O189+$W$7*P189+$W$8*Q189+$W$9*R189+$W$10*S189+$W$11*T189</f>
        <v/>
      </c>
      <c r="AA189" s="8">
        <f>INDEX(LINEST(L130:L189,M130:T189,TRUE,TRUE),1,9)*12</f>
        <v/>
      </c>
      <c r="AB189" s="7">
        <f>INDEX(LINEST(L130:L189,M130:T189,TRUE,TRUE),1,8)</f>
        <v/>
      </c>
      <c r="AC189" s="7">
        <f>INDEX(LINEST(L130:L189,M130:T189,TRUE,TRUE),1,7)</f>
        <v/>
      </c>
      <c r="AD189" s="7">
        <f>INDEX(LINEST(L130:L189,M130:T189,TRUE,TRUE),1,6)</f>
        <v/>
      </c>
      <c r="AE189" s="7">
        <f>INDEX(LINEST(L130:L189,M130:T189,TRUE,TRUE),1,5)</f>
        <v/>
      </c>
      <c r="AF189" s="7">
        <f>INDEX(LINEST(L130:L189,M130:T189,TRUE,TRUE),1,4)</f>
        <v/>
      </c>
      <c r="AG189" s="7">
        <f>INDEX(LINEST(L130:L189,M130:T189,TRUE,TRUE),1,3)</f>
        <v/>
      </c>
      <c r="AH189" s="7">
        <f>INDEX(LINEST(L130:L189,M130:T189,TRUE,TRUE),1,2)</f>
        <v/>
      </c>
      <c r="AI189" s="7">
        <f>INDEX(LINEST(L130:L189,M130:T189,TRUE,TRUE),1,1)</f>
        <v/>
      </c>
      <c r="AJ189" s="8">
        <f>INDEX(LINEST(L130:L189,M130:T189,TRUE,TRUE),3,1)</f>
        <v/>
      </c>
    </row>
    <row r="190">
      <c r="L190" s="7">
        <f>LN(B190/B189)</f>
        <v/>
      </c>
      <c r="M190" s="7">
        <f>C190-C189</f>
        <v/>
      </c>
      <c r="N190" s="7">
        <f>D190-D189</f>
        <v/>
      </c>
      <c r="O190" s="7">
        <f>LN(E190/E189)</f>
        <v/>
      </c>
      <c r="P190" s="7">
        <f>LN(F190/F189)</f>
        <v/>
      </c>
      <c r="Q190" s="7">
        <f>G190-G189</f>
        <v/>
      </c>
      <c r="R190" s="7">
        <f>H190-H189</f>
        <v/>
      </c>
      <c r="S190" s="7">
        <f>LN(I190/I189)</f>
        <v/>
      </c>
      <c r="T190" s="7">
        <f>LN(J190/J189)</f>
        <v/>
      </c>
      <c r="U190" s="7">
        <f>$W$12+$W$4*M190+$W$5*N190+$W$6*O190+$W$7*P190+$W$8*Q190+$W$9*R190+$W$10*S190+$W$11*T190</f>
        <v/>
      </c>
      <c r="AA190" s="8">
        <f>INDEX(LINEST(L131:L190,M131:T190,TRUE,TRUE),1,9)*12</f>
        <v/>
      </c>
      <c r="AB190" s="7">
        <f>INDEX(LINEST(L131:L190,M131:T190,TRUE,TRUE),1,8)</f>
        <v/>
      </c>
      <c r="AC190" s="7">
        <f>INDEX(LINEST(L131:L190,M131:T190,TRUE,TRUE),1,7)</f>
        <v/>
      </c>
      <c r="AD190" s="7">
        <f>INDEX(LINEST(L131:L190,M131:T190,TRUE,TRUE),1,6)</f>
        <v/>
      </c>
      <c r="AE190" s="7">
        <f>INDEX(LINEST(L131:L190,M131:T190,TRUE,TRUE),1,5)</f>
        <v/>
      </c>
      <c r="AF190" s="7">
        <f>INDEX(LINEST(L131:L190,M131:T190,TRUE,TRUE),1,4)</f>
        <v/>
      </c>
      <c r="AG190" s="7">
        <f>INDEX(LINEST(L131:L190,M131:T190,TRUE,TRUE),1,3)</f>
        <v/>
      </c>
      <c r="AH190" s="7">
        <f>INDEX(LINEST(L131:L190,M131:T190,TRUE,TRUE),1,2)</f>
        <v/>
      </c>
      <c r="AI190" s="7">
        <f>INDEX(LINEST(L131:L190,M131:T190,TRUE,TRUE),1,1)</f>
        <v/>
      </c>
      <c r="AJ190" s="8">
        <f>INDEX(LINEST(L131:L190,M131:T190,TRUE,TRUE),3,1)</f>
        <v/>
      </c>
    </row>
    <row r="191">
      <c r="L191" s="7">
        <f>LN(B191/B190)</f>
        <v/>
      </c>
      <c r="M191" s="7">
        <f>C191-C190</f>
        <v/>
      </c>
      <c r="N191" s="7">
        <f>D191-D190</f>
        <v/>
      </c>
      <c r="O191" s="7">
        <f>LN(E191/E190)</f>
        <v/>
      </c>
      <c r="P191" s="7">
        <f>LN(F191/F190)</f>
        <v/>
      </c>
      <c r="Q191" s="7">
        <f>G191-G190</f>
        <v/>
      </c>
      <c r="R191" s="7">
        <f>H191-H190</f>
        <v/>
      </c>
      <c r="S191" s="7">
        <f>LN(I191/I190)</f>
        <v/>
      </c>
      <c r="T191" s="7">
        <f>LN(J191/J190)</f>
        <v/>
      </c>
      <c r="U191" s="7">
        <f>$W$12+$W$4*M191+$W$5*N191+$W$6*O191+$W$7*P191+$W$8*Q191+$W$9*R191+$W$10*S191+$W$11*T191</f>
        <v/>
      </c>
      <c r="AA191" s="8">
        <f>INDEX(LINEST(L132:L191,M132:T191,TRUE,TRUE),1,9)*12</f>
        <v/>
      </c>
      <c r="AB191" s="7">
        <f>INDEX(LINEST(L132:L191,M132:T191,TRUE,TRUE),1,8)</f>
        <v/>
      </c>
      <c r="AC191" s="7">
        <f>INDEX(LINEST(L132:L191,M132:T191,TRUE,TRUE),1,7)</f>
        <v/>
      </c>
      <c r="AD191" s="7">
        <f>INDEX(LINEST(L132:L191,M132:T191,TRUE,TRUE),1,6)</f>
        <v/>
      </c>
      <c r="AE191" s="7">
        <f>INDEX(LINEST(L132:L191,M132:T191,TRUE,TRUE),1,5)</f>
        <v/>
      </c>
      <c r="AF191" s="7">
        <f>INDEX(LINEST(L132:L191,M132:T191,TRUE,TRUE),1,4)</f>
        <v/>
      </c>
      <c r="AG191" s="7">
        <f>INDEX(LINEST(L132:L191,M132:T191,TRUE,TRUE),1,3)</f>
        <v/>
      </c>
      <c r="AH191" s="7">
        <f>INDEX(LINEST(L132:L191,M132:T191,TRUE,TRUE),1,2)</f>
        <v/>
      </c>
      <c r="AI191" s="7">
        <f>INDEX(LINEST(L132:L191,M132:T191,TRUE,TRUE),1,1)</f>
        <v/>
      </c>
      <c r="AJ191" s="8">
        <f>INDEX(LINEST(L132:L191,M132:T191,TRUE,TRUE),3,1)</f>
        <v/>
      </c>
    </row>
    <row r="192">
      <c r="L192" s="7">
        <f>LN(B192/B191)</f>
        <v/>
      </c>
      <c r="M192" s="7">
        <f>C192-C191</f>
        <v/>
      </c>
      <c r="N192" s="7">
        <f>D192-D191</f>
        <v/>
      </c>
      <c r="O192" s="7">
        <f>LN(E192/E191)</f>
        <v/>
      </c>
      <c r="P192" s="7">
        <f>LN(F192/F191)</f>
        <v/>
      </c>
      <c r="Q192" s="7">
        <f>G192-G191</f>
        <v/>
      </c>
      <c r="R192" s="7">
        <f>H192-H191</f>
        <v/>
      </c>
      <c r="S192" s="7">
        <f>LN(I192/I191)</f>
        <v/>
      </c>
      <c r="T192" s="7">
        <f>LN(J192/J191)</f>
        <v/>
      </c>
      <c r="U192" s="7">
        <f>$W$12+$W$4*M192+$W$5*N192+$W$6*O192+$W$7*P192+$W$8*Q192+$W$9*R192+$W$10*S192+$W$11*T192</f>
        <v/>
      </c>
      <c r="AA192" s="8">
        <f>INDEX(LINEST(L133:L192,M133:T192,TRUE,TRUE),1,9)*12</f>
        <v/>
      </c>
      <c r="AB192" s="7">
        <f>INDEX(LINEST(L133:L192,M133:T192,TRUE,TRUE),1,8)</f>
        <v/>
      </c>
      <c r="AC192" s="7">
        <f>INDEX(LINEST(L133:L192,M133:T192,TRUE,TRUE),1,7)</f>
        <v/>
      </c>
      <c r="AD192" s="7">
        <f>INDEX(LINEST(L133:L192,M133:T192,TRUE,TRUE),1,6)</f>
        <v/>
      </c>
      <c r="AE192" s="7">
        <f>INDEX(LINEST(L133:L192,M133:T192,TRUE,TRUE),1,5)</f>
        <v/>
      </c>
      <c r="AF192" s="7">
        <f>INDEX(LINEST(L133:L192,M133:T192,TRUE,TRUE),1,4)</f>
        <v/>
      </c>
      <c r="AG192" s="7">
        <f>INDEX(LINEST(L133:L192,M133:T192,TRUE,TRUE),1,3)</f>
        <v/>
      </c>
      <c r="AH192" s="7">
        <f>INDEX(LINEST(L133:L192,M133:T192,TRUE,TRUE),1,2)</f>
        <v/>
      </c>
      <c r="AI192" s="7">
        <f>INDEX(LINEST(L133:L192,M133:T192,TRUE,TRUE),1,1)</f>
        <v/>
      </c>
      <c r="AJ192" s="8">
        <f>INDEX(LINEST(L133:L192,M133:T192,TRUE,TRUE),3,1)</f>
        <v/>
      </c>
    </row>
    <row r="193">
      <c r="L193" s="7">
        <f>LN(B193/B192)</f>
        <v/>
      </c>
      <c r="M193" s="7">
        <f>C193-C192</f>
        <v/>
      </c>
      <c r="N193" s="7">
        <f>D193-D192</f>
        <v/>
      </c>
      <c r="O193" s="7">
        <f>LN(E193/E192)</f>
        <v/>
      </c>
      <c r="P193" s="7">
        <f>LN(F193/F192)</f>
        <v/>
      </c>
      <c r="Q193" s="7">
        <f>G193-G192</f>
        <v/>
      </c>
      <c r="R193" s="7">
        <f>H193-H192</f>
        <v/>
      </c>
      <c r="S193" s="7">
        <f>LN(I193/I192)</f>
        <v/>
      </c>
      <c r="T193" s="7">
        <f>LN(J193/J192)</f>
        <v/>
      </c>
      <c r="U193" s="7">
        <f>$W$12+$W$4*M193+$W$5*N193+$W$6*O193+$W$7*P193+$W$8*Q193+$W$9*R193+$W$10*S193+$W$11*T193</f>
        <v/>
      </c>
      <c r="AA193" s="8">
        <f>INDEX(LINEST(L134:L193,M134:T193,TRUE,TRUE),1,9)*12</f>
        <v/>
      </c>
      <c r="AB193" s="7">
        <f>INDEX(LINEST(L134:L193,M134:T193,TRUE,TRUE),1,8)</f>
        <v/>
      </c>
      <c r="AC193" s="7">
        <f>INDEX(LINEST(L134:L193,M134:T193,TRUE,TRUE),1,7)</f>
        <v/>
      </c>
      <c r="AD193" s="7">
        <f>INDEX(LINEST(L134:L193,M134:T193,TRUE,TRUE),1,6)</f>
        <v/>
      </c>
      <c r="AE193" s="7">
        <f>INDEX(LINEST(L134:L193,M134:T193,TRUE,TRUE),1,5)</f>
        <v/>
      </c>
      <c r="AF193" s="7">
        <f>INDEX(LINEST(L134:L193,M134:T193,TRUE,TRUE),1,4)</f>
        <v/>
      </c>
      <c r="AG193" s="7">
        <f>INDEX(LINEST(L134:L193,M134:T193,TRUE,TRUE),1,3)</f>
        <v/>
      </c>
      <c r="AH193" s="7">
        <f>INDEX(LINEST(L134:L193,M134:T193,TRUE,TRUE),1,2)</f>
        <v/>
      </c>
      <c r="AI193" s="7">
        <f>INDEX(LINEST(L134:L193,M134:T193,TRUE,TRUE),1,1)</f>
        <v/>
      </c>
      <c r="AJ193" s="8">
        <f>INDEX(LINEST(L134:L193,M134:T193,TRUE,TRUE),3,1)</f>
        <v/>
      </c>
    </row>
    <row r="194">
      <c r="L194" s="7">
        <f>LN(B194/B193)</f>
        <v/>
      </c>
      <c r="M194" s="7">
        <f>C194-C193</f>
        <v/>
      </c>
      <c r="N194" s="7">
        <f>D194-D193</f>
        <v/>
      </c>
      <c r="O194" s="7">
        <f>LN(E194/E193)</f>
        <v/>
      </c>
      <c r="P194" s="7">
        <f>LN(F194/F193)</f>
        <v/>
      </c>
      <c r="Q194" s="7">
        <f>G194-G193</f>
        <v/>
      </c>
      <c r="R194" s="7">
        <f>H194-H193</f>
        <v/>
      </c>
      <c r="S194" s="7">
        <f>LN(I194/I193)</f>
        <v/>
      </c>
      <c r="T194" s="7">
        <f>LN(J194/J193)</f>
        <v/>
      </c>
      <c r="U194" s="7">
        <f>$W$12+$W$4*M194+$W$5*N194+$W$6*O194+$W$7*P194+$W$8*Q194+$W$9*R194+$W$10*S194+$W$11*T194</f>
        <v/>
      </c>
      <c r="AA194" s="8">
        <f>INDEX(LINEST(L135:L194,M135:T194,TRUE,TRUE),1,9)*12</f>
        <v/>
      </c>
      <c r="AB194" s="7">
        <f>INDEX(LINEST(L135:L194,M135:T194,TRUE,TRUE),1,8)</f>
        <v/>
      </c>
      <c r="AC194" s="7">
        <f>INDEX(LINEST(L135:L194,M135:T194,TRUE,TRUE),1,7)</f>
        <v/>
      </c>
      <c r="AD194" s="7">
        <f>INDEX(LINEST(L135:L194,M135:T194,TRUE,TRUE),1,6)</f>
        <v/>
      </c>
      <c r="AE194" s="7">
        <f>INDEX(LINEST(L135:L194,M135:T194,TRUE,TRUE),1,5)</f>
        <v/>
      </c>
      <c r="AF194" s="7">
        <f>INDEX(LINEST(L135:L194,M135:T194,TRUE,TRUE),1,4)</f>
        <v/>
      </c>
      <c r="AG194" s="7">
        <f>INDEX(LINEST(L135:L194,M135:T194,TRUE,TRUE),1,3)</f>
        <v/>
      </c>
      <c r="AH194" s="7">
        <f>INDEX(LINEST(L135:L194,M135:T194,TRUE,TRUE),1,2)</f>
        <v/>
      </c>
      <c r="AI194" s="7">
        <f>INDEX(LINEST(L135:L194,M135:T194,TRUE,TRUE),1,1)</f>
        <v/>
      </c>
      <c r="AJ194" s="8">
        <f>INDEX(LINEST(L135:L194,M135:T194,TRUE,TRUE),3,1)</f>
        <v/>
      </c>
    </row>
    <row r="195">
      <c r="L195" s="7">
        <f>LN(B195/B194)</f>
        <v/>
      </c>
      <c r="M195" s="7">
        <f>C195-C194</f>
        <v/>
      </c>
      <c r="N195" s="7">
        <f>D195-D194</f>
        <v/>
      </c>
      <c r="O195" s="7">
        <f>LN(E195/E194)</f>
        <v/>
      </c>
      <c r="P195" s="7">
        <f>LN(F195/F194)</f>
        <v/>
      </c>
      <c r="Q195" s="7">
        <f>G195-G194</f>
        <v/>
      </c>
      <c r="R195" s="7">
        <f>H195-H194</f>
        <v/>
      </c>
      <c r="S195" s="7">
        <f>LN(I195/I194)</f>
        <v/>
      </c>
      <c r="T195" s="7">
        <f>LN(J195/J194)</f>
        <v/>
      </c>
      <c r="U195" s="7">
        <f>$W$12+$W$4*M195+$W$5*N195+$W$6*O195+$W$7*P195+$W$8*Q195+$W$9*R195+$W$10*S195+$W$11*T195</f>
        <v/>
      </c>
      <c r="AA195" s="8">
        <f>INDEX(LINEST(L136:L195,M136:T195,TRUE,TRUE),1,9)*12</f>
        <v/>
      </c>
      <c r="AB195" s="7">
        <f>INDEX(LINEST(L136:L195,M136:T195,TRUE,TRUE),1,8)</f>
        <v/>
      </c>
      <c r="AC195" s="7">
        <f>INDEX(LINEST(L136:L195,M136:T195,TRUE,TRUE),1,7)</f>
        <v/>
      </c>
      <c r="AD195" s="7">
        <f>INDEX(LINEST(L136:L195,M136:T195,TRUE,TRUE),1,6)</f>
        <v/>
      </c>
      <c r="AE195" s="7">
        <f>INDEX(LINEST(L136:L195,M136:T195,TRUE,TRUE),1,5)</f>
        <v/>
      </c>
      <c r="AF195" s="7">
        <f>INDEX(LINEST(L136:L195,M136:T195,TRUE,TRUE),1,4)</f>
        <v/>
      </c>
      <c r="AG195" s="7">
        <f>INDEX(LINEST(L136:L195,M136:T195,TRUE,TRUE),1,3)</f>
        <v/>
      </c>
      <c r="AH195" s="7">
        <f>INDEX(LINEST(L136:L195,M136:T195,TRUE,TRUE),1,2)</f>
        <v/>
      </c>
      <c r="AI195" s="7">
        <f>INDEX(LINEST(L136:L195,M136:T195,TRUE,TRUE),1,1)</f>
        <v/>
      </c>
      <c r="AJ195" s="8">
        <f>INDEX(LINEST(L136:L195,M136:T195,TRUE,TRUE),3,1)</f>
        <v/>
      </c>
    </row>
    <row r="196">
      <c r="L196" s="7">
        <f>LN(B196/B195)</f>
        <v/>
      </c>
      <c r="M196" s="7">
        <f>C196-C195</f>
        <v/>
      </c>
      <c r="N196" s="7">
        <f>D196-D195</f>
        <v/>
      </c>
      <c r="O196" s="7">
        <f>LN(E196/E195)</f>
        <v/>
      </c>
      <c r="P196" s="7">
        <f>LN(F196/F195)</f>
        <v/>
      </c>
      <c r="Q196" s="7">
        <f>G196-G195</f>
        <v/>
      </c>
      <c r="R196" s="7">
        <f>H196-H195</f>
        <v/>
      </c>
      <c r="S196" s="7">
        <f>LN(I196/I195)</f>
        <v/>
      </c>
      <c r="T196" s="7">
        <f>LN(J196/J195)</f>
        <v/>
      </c>
      <c r="U196" s="7">
        <f>$W$12+$W$4*M196+$W$5*N196+$W$6*O196+$W$7*P196+$W$8*Q196+$W$9*R196+$W$10*S196+$W$11*T196</f>
        <v/>
      </c>
      <c r="AA196" s="8">
        <f>INDEX(LINEST(L137:L196,M137:T196,TRUE,TRUE),1,9)*12</f>
        <v/>
      </c>
      <c r="AB196" s="7">
        <f>INDEX(LINEST(L137:L196,M137:T196,TRUE,TRUE),1,8)</f>
        <v/>
      </c>
      <c r="AC196" s="7">
        <f>INDEX(LINEST(L137:L196,M137:T196,TRUE,TRUE),1,7)</f>
        <v/>
      </c>
      <c r="AD196" s="7">
        <f>INDEX(LINEST(L137:L196,M137:T196,TRUE,TRUE),1,6)</f>
        <v/>
      </c>
      <c r="AE196" s="7">
        <f>INDEX(LINEST(L137:L196,M137:T196,TRUE,TRUE),1,5)</f>
        <v/>
      </c>
      <c r="AF196" s="7">
        <f>INDEX(LINEST(L137:L196,M137:T196,TRUE,TRUE),1,4)</f>
        <v/>
      </c>
      <c r="AG196" s="7">
        <f>INDEX(LINEST(L137:L196,M137:T196,TRUE,TRUE),1,3)</f>
        <v/>
      </c>
      <c r="AH196" s="7">
        <f>INDEX(LINEST(L137:L196,M137:T196,TRUE,TRUE),1,2)</f>
        <v/>
      </c>
      <c r="AI196" s="7">
        <f>INDEX(LINEST(L137:L196,M137:T196,TRUE,TRUE),1,1)</f>
        <v/>
      </c>
      <c r="AJ196" s="8">
        <f>INDEX(LINEST(L137:L196,M137:T196,TRUE,TRUE),3,1)</f>
        <v/>
      </c>
    </row>
    <row r="197">
      <c r="L197" s="7">
        <f>LN(B197/B196)</f>
        <v/>
      </c>
      <c r="M197" s="7">
        <f>C197-C196</f>
        <v/>
      </c>
      <c r="N197" s="7">
        <f>D197-D196</f>
        <v/>
      </c>
      <c r="O197" s="7">
        <f>LN(E197/E196)</f>
        <v/>
      </c>
      <c r="P197" s="7">
        <f>LN(F197/F196)</f>
        <v/>
      </c>
      <c r="Q197" s="7">
        <f>G197-G196</f>
        <v/>
      </c>
      <c r="R197" s="7">
        <f>H197-H196</f>
        <v/>
      </c>
      <c r="S197" s="7">
        <f>LN(I197/I196)</f>
        <v/>
      </c>
      <c r="T197" s="7">
        <f>LN(J197/J196)</f>
        <v/>
      </c>
      <c r="U197" s="7">
        <f>$W$12+$W$4*M197+$W$5*N197+$W$6*O197+$W$7*P197+$W$8*Q197+$W$9*R197+$W$10*S197+$W$11*T197</f>
        <v/>
      </c>
      <c r="AA197" s="8">
        <f>INDEX(LINEST(L138:L197,M138:T197,TRUE,TRUE),1,9)*12</f>
        <v/>
      </c>
      <c r="AB197" s="7">
        <f>INDEX(LINEST(L138:L197,M138:T197,TRUE,TRUE),1,8)</f>
        <v/>
      </c>
      <c r="AC197" s="7">
        <f>INDEX(LINEST(L138:L197,M138:T197,TRUE,TRUE),1,7)</f>
        <v/>
      </c>
      <c r="AD197" s="7">
        <f>INDEX(LINEST(L138:L197,M138:T197,TRUE,TRUE),1,6)</f>
        <v/>
      </c>
      <c r="AE197" s="7">
        <f>INDEX(LINEST(L138:L197,M138:T197,TRUE,TRUE),1,5)</f>
        <v/>
      </c>
      <c r="AF197" s="7">
        <f>INDEX(LINEST(L138:L197,M138:T197,TRUE,TRUE),1,4)</f>
        <v/>
      </c>
      <c r="AG197" s="7">
        <f>INDEX(LINEST(L138:L197,M138:T197,TRUE,TRUE),1,3)</f>
        <v/>
      </c>
      <c r="AH197" s="7">
        <f>INDEX(LINEST(L138:L197,M138:T197,TRUE,TRUE),1,2)</f>
        <v/>
      </c>
      <c r="AI197" s="7">
        <f>INDEX(LINEST(L138:L197,M138:T197,TRUE,TRUE),1,1)</f>
        <v/>
      </c>
      <c r="AJ197" s="8">
        <f>INDEX(LINEST(L138:L197,M138:T197,TRUE,TRUE),3,1)</f>
        <v/>
      </c>
    </row>
    <row r="198">
      <c r="L198" s="7">
        <f>LN(B198/B197)</f>
        <v/>
      </c>
      <c r="M198" s="7">
        <f>C198-C197</f>
        <v/>
      </c>
      <c r="N198" s="7">
        <f>D198-D197</f>
        <v/>
      </c>
      <c r="O198" s="7">
        <f>LN(E198/E197)</f>
        <v/>
      </c>
      <c r="P198" s="7">
        <f>LN(F198/F197)</f>
        <v/>
      </c>
      <c r="Q198" s="7">
        <f>G198-G197</f>
        <v/>
      </c>
      <c r="R198" s="7">
        <f>H198-H197</f>
        <v/>
      </c>
      <c r="S198" s="7">
        <f>LN(I198/I197)</f>
        <v/>
      </c>
      <c r="T198" s="7">
        <f>LN(J198/J197)</f>
        <v/>
      </c>
      <c r="U198" s="7">
        <f>$W$12+$W$4*M198+$W$5*N198+$W$6*O198+$W$7*P198+$W$8*Q198+$W$9*R198+$W$10*S198+$W$11*T198</f>
        <v/>
      </c>
      <c r="AA198" s="8">
        <f>INDEX(LINEST(L139:L198,M139:T198,TRUE,TRUE),1,9)*12</f>
        <v/>
      </c>
      <c r="AB198" s="7">
        <f>INDEX(LINEST(L139:L198,M139:T198,TRUE,TRUE),1,8)</f>
        <v/>
      </c>
      <c r="AC198" s="7">
        <f>INDEX(LINEST(L139:L198,M139:T198,TRUE,TRUE),1,7)</f>
        <v/>
      </c>
      <c r="AD198" s="7">
        <f>INDEX(LINEST(L139:L198,M139:T198,TRUE,TRUE),1,6)</f>
        <v/>
      </c>
      <c r="AE198" s="7">
        <f>INDEX(LINEST(L139:L198,M139:T198,TRUE,TRUE),1,5)</f>
        <v/>
      </c>
      <c r="AF198" s="7">
        <f>INDEX(LINEST(L139:L198,M139:T198,TRUE,TRUE),1,4)</f>
        <v/>
      </c>
      <c r="AG198" s="7">
        <f>INDEX(LINEST(L139:L198,M139:T198,TRUE,TRUE),1,3)</f>
        <v/>
      </c>
      <c r="AH198" s="7">
        <f>INDEX(LINEST(L139:L198,M139:T198,TRUE,TRUE),1,2)</f>
        <v/>
      </c>
      <c r="AI198" s="7">
        <f>INDEX(LINEST(L139:L198,M139:T198,TRUE,TRUE),1,1)</f>
        <v/>
      </c>
      <c r="AJ198" s="8">
        <f>INDEX(LINEST(L139:L198,M139:T198,TRUE,TRUE),3,1)</f>
        <v/>
      </c>
    </row>
    <row r="199">
      <c r="L199" s="7">
        <f>LN(B199/B198)</f>
        <v/>
      </c>
      <c r="M199" s="7">
        <f>C199-C198</f>
        <v/>
      </c>
      <c r="N199" s="7">
        <f>D199-D198</f>
        <v/>
      </c>
      <c r="O199" s="7">
        <f>LN(E199/E198)</f>
        <v/>
      </c>
      <c r="P199" s="7">
        <f>LN(F199/F198)</f>
        <v/>
      </c>
      <c r="Q199" s="7">
        <f>G199-G198</f>
        <v/>
      </c>
      <c r="R199" s="7">
        <f>H199-H198</f>
        <v/>
      </c>
      <c r="S199" s="7">
        <f>LN(I199/I198)</f>
        <v/>
      </c>
      <c r="T199" s="7">
        <f>LN(J199/J198)</f>
        <v/>
      </c>
      <c r="U199" s="7">
        <f>$W$12+$W$4*M199+$W$5*N199+$W$6*O199+$W$7*P199+$W$8*Q199+$W$9*R199+$W$10*S199+$W$11*T199</f>
        <v/>
      </c>
      <c r="AA199" s="8">
        <f>INDEX(LINEST(L140:L199,M140:T199,TRUE,TRUE),1,9)*12</f>
        <v/>
      </c>
      <c r="AB199" s="7">
        <f>INDEX(LINEST(L140:L199,M140:T199,TRUE,TRUE),1,8)</f>
        <v/>
      </c>
      <c r="AC199" s="7">
        <f>INDEX(LINEST(L140:L199,M140:T199,TRUE,TRUE),1,7)</f>
        <v/>
      </c>
      <c r="AD199" s="7">
        <f>INDEX(LINEST(L140:L199,M140:T199,TRUE,TRUE),1,6)</f>
        <v/>
      </c>
      <c r="AE199" s="7">
        <f>INDEX(LINEST(L140:L199,M140:T199,TRUE,TRUE),1,5)</f>
        <v/>
      </c>
      <c r="AF199" s="7">
        <f>INDEX(LINEST(L140:L199,M140:T199,TRUE,TRUE),1,4)</f>
        <v/>
      </c>
      <c r="AG199" s="7">
        <f>INDEX(LINEST(L140:L199,M140:T199,TRUE,TRUE),1,3)</f>
        <v/>
      </c>
      <c r="AH199" s="7">
        <f>INDEX(LINEST(L140:L199,M140:T199,TRUE,TRUE),1,2)</f>
        <v/>
      </c>
      <c r="AI199" s="7">
        <f>INDEX(LINEST(L140:L199,M140:T199,TRUE,TRUE),1,1)</f>
        <v/>
      </c>
      <c r="AJ199" s="8">
        <f>INDEX(LINEST(L140:L199,M140:T199,TRUE,TRUE),3,1)</f>
        <v/>
      </c>
    </row>
    <row r="200">
      <c r="L200" s="7">
        <f>LN(B200/B199)</f>
        <v/>
      </c>
      <c r="M200" s="7">
        <f>C200-C199</f>
        <v/>
      </c>
      <c r="N200" s="7">
        <f>D200-D199</f>
        <v/>
      </c>
      <c r="O200" s="7">
        <f>LN(E200/E199)</f>
        <v/>
      </c>
      <c r="P200" s="7">
        <f>LN(F200/F199)</f>
        <v/>
      </c>
      <c r="Q200" s="7">
        <f>G200-G199</f>
        <v/>
      </c>
      <c r="R200" s="7">
        <f>H200-H199</f>
        <v/>
      </c>
      <c r="S200" s="7">
        <f>LN(I200/I199)</f>
        <v/>
      </c>
      <c r="T200" s="7">
        <f>LN(J200/J199)</f>
        <v/>
      </c>
      <c r="U200" s="7">
        <f>$W$12+$W$4*M200+$W$5*N200+$W$6*O200+$W$7*P200+$W$8*Q200+$W$9*R200+$W$10*S200+$W$11*T200</f>
        <v/>
      </c>
      <c r="AA200" s="8">
        <f>INDEX(LINEST(L141:L200,M141:T200,TRUE,TRUE),1,9)*12</f>
        <v/>
      </c>
      <c r="AB200" s="7">
        <f>INDEX(LINEST(L141:L200,M141:T200,TRUE,TRUE),1,8)</f>
        <v/>
      </c>
      <c r="AC200" s="7">
        <f>INDEX(LINEST(L141:L200,M141:T200,TRUE,TRUE),1,7)</f>
        <v/>
      </c>
      <c r="AD200" s="7">
        <f>INDEX(LINEST(L141:L200,M141:T200,TRUE,TRUE),1,6)</f>
        <v/>
      </c>
      <c r="AE200" s="7">
        <f>INDEX(LINEST(L141:L200,M141:T200,TRUE,TRUE),1,5)</f>
        <v/>
      </c>
      <c r="AF200" s="7">
        <f>INDEX(LINEST(L141:L200,M141:T200,TRUE,TRUE),1,4)</f>
        <v/>
      </c>
      <c r="AG200" s="7">
        <f>INDEX(LINEST(L141:L200,M141:T200,TRUE,TRUE),1,3)</f>
        <v/>
      </c>
      <c r="AH200" s="7">
        <f>INDEX(LINEST(L141:L200,M141:T200,TRUE,TRUE),1,2)</f>
        <v/>
      </c>
      <c r="AI200" s="7">
        <f>INDEX(LINEST(L141:L200,M141:T200,TRUE,TRUE),1,1)</f>
        <v/>
      </c>
      <c r="AJ200" s="8">
        <f>INDEX(LINEST(L141:L200,M141:T200,TRUE,TRUE),3,1)</f>
        <v/>
      </c>
    </row>
    <row r="201">
      <c r="L201" s="7">
        <f>LN(B201/B200)</f>
        <v/>
      </c>
      <c r="M201" s="7">
        <f>C201-C200</f>
        <v/>
      </c>
      <c r="N201" s="7">
        <f>D201-D200</f>
        <v/>
      </c>
      <c r="O201" s="7">
        <f>LN(E201/E200)</f>
        <v/>
      </c>
      <c r="P201" s="7">
        <f>LN(F201/F200)</f>
        <v/>
      </c>
      <c r="Q201" s="7">
        <f>G201-G200</f>
        <v/>
      </c>
      <c r="R201" s="7">
        <f>H201-H200</f>
        <v/>
      </c>
      <c r="S201" s="7">
        <f>LN(I201/I200)</f>
        <v/>
      </c>
      <c r="T201" s="7">
        <f>LN(J201/J200)</f>
        <v/>
      </c>
      <c r="U201" s="7">
        <f>$W$12+$W$4*M201+$W$5*N201+$W$6*O201+$W$7*P201+$W$8*Q201+$W$9*R201+$W$10*S201+$W$11*T201</f>
        <v/>
      </c>
      <c r="AA201" s="8">
        <f>INDEX(LINEST(L142:L201,M142:T201,TRUE,TRUE),1,9)*12</f>
        <v/>
      </c>
      <c r="AB201" s="7">
        <f>INDEX(LINEST(L142:L201,M142:T201,TRUE,TRUE),1,8)</f>
        <v/>
      </c>
      <c r="AC201" s="7">
        <f>INDEX(LINEST(L142:L201,M142:T201,TRUE,TRUE),1,7)</f>
        <v/>
      </c>
      <c r="AD201" s="7">
        <f>INDEX(LINEST(L142:L201,M142:T201,TRUE,TRUE),1,6)</f>
        <v/>
      </c>
      <c r="AE201" s="7">
        <f>INDEX(LINEST(L142:L201,M142:T201,TRUE,TRUE),1,5)</f>
        <v/>
      </c>
      <c r="AF201" s="7">
        <f>INDEX(LINEST(L142:L201,M142:T201,TRUE,TRUE),1,4)</f>
        <v/>
      </c>
      <c r="AG201" s="7">
        <f>INDEX(LINEST(L142:L201,M142:T201,TRUE,TRUE),1,3)</f>
        <v/>
      </c>
      <c r="AH201" s="7">
        <f>INDEX(LINEST(L142:L201,M142:T201,TRUE,TRUE),1,2)</f>
        <v/>
      </c>
      <c r="AI201" s="7">
        <f>INDEX(LINEST(L142:L201,M142:T201,TRUE,TRUE),1,1)</f>
        <v/>
      </c>
      <c r="AJ201" s="8">
        <f>INDEX(LINEST(L142:L201,M142:T201,TRUE,TRUE),3,1)</f>
        <v/>
      </c>
    </row>
    <row r="202">
      <c r="L202" s="7">
        <f>LN(B202/B201)</f>
        <v/>
      </c>
      <c r="M202" s="7">
        <f>C202-C201</f>
        <v/>
      </c>
      <c r="N202" s="7">
        <f>D202-D201</f>
        <v/>
      </c>
      <c r="O202" s="7">
        <f>LN(E202/E201)</f>
        <v/>
      </c>
      <c r="P202" s="7">
        <f>LN(F202/F201)</f>
        <v/>
      </c>
      <c r="Q202" s="7">
        <f>G202-G201</f>
        <v/>
      </c>
      <c r="R202" s="7">
        <f>H202-H201</f>
        <v/>
      </c>
      <c r="S202" s="7">
        <f>LN(I202/I201)</f>
        <v/>
      </c>
      <c r="T202" s="7">
        <f>LN(J202/J201)</f>
        <v/>
      </c>
      <c r="U202" s="7">
        <f>$W$12+$W$4*M202+$W$5*N202+$W$6*O202+$W$7*P202+$W$8*Q202+$W$9*R202+$W$10*S202+$W$11*T202</f>
        <v/>
      </c>
      <c r="AA202" s="8">
        <f>INDEX(LINEST(L143:L202,M143:T202,TRUE,TRUE),1,9)*12</f>
        <v/>
      </c>
      <c r="AB202" s="7">
        <f>INDEX(LINEST(L143:L202,M143:T202,TRUE,TRUE),1,8)</f>
        <v/>
      </c>
      <c r="AC202" s="7">
        <f>INDEX(LINEST(L143:L202,M143:T202,TRUE,TRUE),1,7)</f>
        <v/>
      </c>
      <c r="AD202" s="7">
        <f>INDEX(LINEST(L143:L202,M143:T202,TRUE,TRUE),1,6)</f>
        <v/>
      </c>
      <c r="AE202" s="7">
        <f>INDEX(LINEST(L143:L202,M143:T202,TRUE,TRUE),1,5)</f>
        <v/>
      </c>
      <c r="AF202" s="7">
        <f>INDEX(LINEST(L143:L202,M143:T202,TRUE,TRUE),1,4)</f>
        <v/>
      </c>
      <c r="AG202" s="7">
        <f>INDEX(LINEST(L143:L202,M143:T202,TRUE,TRUE),1,3)</f>
        <v/>
      </c>
      <c r="AH202" s="7">
        <f>INDEX(LINEST(L143:L202,M143:T202,TRUE,TRUE),1,2)</f>
        <v/>
      </c>
      <c r="AI202" s="7">
        <f>INDEX(LINEST(L143:L202,M143:T202,TRUE,TRUE),1,1)</f>
        <v/>
      </c>
      <c r="AJ202" s="8">
        <f>INDEX(LINEST(L143:L202,M143:T202,TRUE,TRUE),3,1)</f>
        <v/>
      </c>
    </row>
    <row r="203">
      <c r="L203" s="7">
        <f>LN(B203/B202)</f>
        <v/>
      </c>
      <c r="M203" s="7">
        <f>C203-C202</f>
        <v/>
      </c>
      <c r="N203" s="7">
        <f>D203-D202</f>
        <v/>
      </c>
      <c r="O203" s="7">
        <f>LN(E203/E202)</f>
        <v/>
      </c>
      <c r="P203" s="7">
        <f>LN(F203/F202)</f>
        <v/>
      </c>
      <c r="Q203" s="7">
        <f>G203-G202</f>
        <v/>
      </c>
      <c r="R203" s="7">
        <f>H203-H202</f>
        <v/>
      </c>
      <c r="S203" s="7">
        <f>LN(I203/I202)</f>
        <v/>
      </c>
      <c r="T203" s="7">
        <f>LN(J203/J202)</f>
        <v/>
      </c>
      <c r="U203" s="7">
        <f>$W$12+$W$4*M203+$W$5*N203+$W$6*O203+$W$7*P203+$W$8*Q203+$W$9*R203+$W$10*S203+$W$11*T203</f>
        <v/>
      </c>
      <c r="AA203" s="8">
        <f>INDEX(LINEST(L144:L203,M144:T203,TRUE,TRUE),1,9)*12</f>
        <v/>
      </c>
      <c r="AB203" s="7">
        <f>INDEX(LINEST(L144:L203,M144:T203,TRUE,TRUE),1,8)</f>
        <v/>
      </c>
      <c r="AC203" s="7">
        <f>INDEX(LINEST(L144:L203,M144:T203,TRUE,TRUE),1,7)</f>
        <v/>
      </c>
      <c r="AD203" s="7">
        <f>INDEX(LINEST(L144:L203,M144:T203,TRUE,TRUE),1,6)</f>
        <v/>
      </c>
      <c r="AE203" s="7">
        <f>INDEX(LINEST(L144:L203,M144:T203,TRUE,TRUE),1,5)</f>
        <v/>
      </c>
      <c r="AF203" s="7">
        <f>INDEX(LINEST(L144:L203,M144:T203,TRUE,TRUE),1,4)</f>
        <v/>
      </c>
      <c r="AG203" s="7">
        <f>INDEX(LINEST(L144:L203,M144:T203,TRUE,TRUE),1,3)</f>
        <v/>
      </c>
      <c r="AH203" s="7">
        <f>INDEX(LINEST(L144:L203,M144:T203,TRUE,TRUE),1,2)</f>
        <v/>
      </c>
      <c r="AI203" s="7">
        <f>INDEX(LINEST(L144:L203,M144:T203,TRUE,TRUE),1,1)</f>
        <v/>
      </c>
      <c r="AJ203" s="8">
        <f>INDEX(LINEST(L144:L203,M144:T203,TRUE,TRUE),3,1)</f>
        <v/>
      </c>
    </row>
    <row r="204">
      <c r="L204" s="7">
        <f>LN(B204/B203)</f>
        <v/>
      </c>
      <c r="M204" s="7">
        <f>C204-C203</f>
        <v/>
      </c>
      <c r="N204" s="7">
        <f>D204-D203</f>
        <v/>
      </c>
      <c r="O204" s="7">
        <f>LN(E204/E203)</f>
        <v/>
      </c>
      <c r="P204" s="7">
        <f>LN(F204/F203)</f>
        <v/>
      </c>
      <c r="Q204" s="7">
        <f>G204-G203</f>
        <v/>
      </c>
      <c r="R204" s="7">
        <f>H204-H203</f>
        <v/>
      </c>
      <c r="S204" s="7">
        <f>LN(I204/I203)</f>
        <v/>
      </c>
      <c r="T204" s="7">
        <f>LN(J204/J203)</f>
        <v/>
      </c>
      <c r="U204" s="7">
        <f>$W$12+$W$4*M204+$W$5*N204+$W$6*O204+$W$7*P204+$W$8*Q204+$W$9*R204+$W$10*S204+$W$11*T204</f>
        <v/>
      </c>
      <c r="AA204" s="8">
        <f>INDEX(LINEST(L145:L204,M145:T204,TRUE,TRUE),1,9)*12</f>
        <v/>
      </c>
      <c r="AB204" s="7">
        <f>INDEX(LINEST(L145:L204,M145:T204,TRUE,TRUE),1,8)</f>
        <v/>
      </c>
      <c r="AC204" s="7">
        <f>INDEX(LINEST(L145:L204,M145:T204,TRUE,TRUE),1,7)</f>
        <v/>
      </c>
      <c r="AD204" s="7">
        <f>INDEX(LINEST(L145:L204,M145:T204,TRUE,TRUE),1,6)</f>
        <v/>
      </c>
      <c r="AE204" s="7">
        <f>INDEX(LINEST(L145:L204,M145:T204,TRUE,TRUE),1,5)</f>
        <v/>
      </c>
      <c r="AF204" s="7">
        <f>INDEX(LINEST(L145:L204,M145:T204,TRUE,TRUE),1,4)</f>
        <v/>
      </c>
      <c r="AG204" s="7">
        <f>INDEX(LINEST(L145:L204,M145:T204,TRUE,TRUE),1,3)</f>
        <v/>
      </c>
      <c r="AH204" s="7">
        <f>INDEX(LINEST(L145:L204,M145:T204,TRUE,TRUE),1,2)</f>
        <v/>
      </c>
      <c r="AI204" s="7">
        <f>INDEX(LINEST(L145:L204,M145:T204,TRUE,TRUE),1,1)</f>
        <v/>
      </c>
      <c r="AJ204" s="8">
        <f>INDEX(LINEST(L145:L204,M145:T204,TRUE,TRUE),3,1)</f>
        <v/>
      </c>
    </row>
    <row r="205">
      <c r="L205" s="7">
        <f>LN(B205/B204)</f>
        <v/>
      </c>
      <c r="M205" s="7">
        <f>C205-C204</f>
        <v/>
      </c>
      <c r="N205" s="7">
        <f>D205-D204</f>
        <v/>
      </c>
      <c r="O205" s="7">
        <f>LN(E205/E204)</f>
        <v/>
      </c>
      <c r="P205" s="7">
        <f>LN(F205/F204)</f>
        <v/>
      </c>
      <c r="Q205" s="7">
        <f>G205-G204</f>
        <v/>
      </c>
      <c r="R205" s="7">
        <f>H205-H204</f>
        <v/>
      </c>
      <c r="S205" s="7">
        <f>LN(I205/I204)</f>
        <v/>
      </c>
      <c r="T205" s="7">
        <f>LN(J205/J204)</f>
        <v/>
      </c>
      <c r="U205" s="7">
        <f>$W$12+$W$4*M205+$W$5*N205+$W$6*O205+$W$7*P205+$W$8*Q205+$W$9*R205+$W$10*S205+$W$11*T205</f>
        <v/>
      </c>
      <c r="AA205" s="8">
        <f>INDEX(LINEST(L146:L205,M146:T205,TRUE,TRUE),1,9)*12</f>
        <v/>
      </c>
      <c r="AB205" s="7">
        <f>INDEX(LINEST(L146:L205,M146:T205,TRUE,TRUE),1,8)</f>
        <v/>
      </c>
      <c r="AC205" s="7">
        <f>INDEX(LINEST(L146:L205,M146:T205,TRUE,TRUE),1,7)</f>
        <v/>
      </c>
      <c r="AD205" s="7">
        <f>INDEX(LINEST(L146:L205,M146:T205,TRUE,TRUE),1,6)</f>
        <v/>
      </c>
      <c r="AE205" s="7">
        <f>INDEX(LINEST(L146:L205,M146:T205,TRUE,TRUE),1,5)</f>
        <v/>
      </c>
      <c r="AF205" s="7">
        <f>INDEX(LINEST(L146:L205,M146:T205,TRUE,TRUE),1,4)</f>
        <v/>
      </c>
      <c r="AG205" s="7">
        <f>INDEX(LINEST(L146:L205,M146:T205,TRUE,TRUE),1,3)</f>
        <v/>
      </c>
      <c r="AH205" s="7">
        <f>INDEX(LINEST(L146:L205,M146:T205,TRUE,TRUE),1,2)</f>
        <v/>
      </c>
      <c r="AI205" s="7">
        <f>INDEX(LINEST(L146:L205,M146:T205,TRUE,TRUE),1,1)</f>
        <v/>
      </c>
      <c r="AJ205" s="8">
        <f>INDEX(LINEST(L146:L205,M146:T205,TRUE,TRUE),3,1)</f>
        <v/>
      </c>
    </row>
    <row r="206">
      <c r="L206" s="7">
        <f>LN(B206/B205)</f>
        <v/>
      </c>
      <c r="M206" s="7">
        <f>C206-C205</f>
        <v/>
      </c>
      <c r="N206" s="7">
        <f>D206-D205</f>
        <v/>
      </c>
      <c r="O206" s="7">
        <f>LN(E206/E205)</f>
        <v/>
      </c>
      <c r="P206" s="7">
        <f>LN(F206/F205)</f>
        <v/>
      </c>
      <c r="Q206" s="7">
        <f>G206-G205</f>
        <v/>
      </c>
      <c r="R206" s="7">
        <f>H206-H205</f>
        <v/>
      </c>
      <c r="S206" s="7">
        <f>LN(I206/I205)</f>
        <v/>
      </c>
      <c r="T206" s="7">
        <f>LN(J206/J205)</f>
        <v/>
      </c>
      <c r="U206" s="7">
        <f>$W$12+$W$4*M206+$W$5*N206+$W$6*O206+$W$7*P206+$W$8*Q206+$W$9*R206+$W$10*S206+$W$11*T206</f>
        <v/>
      </c>
      <c r="AA206" s="8">
        <f>INDEX(LINEST(L147:L206,M147:T206,TRUE,TRUE),1,9)*12</f>
        <v/>
      </c>
      <c r="AB206" s="7">
        <f>INDEX(LINEST(L147:L206,M147:T206,TRUE,TRUE),1,8)</f>
        <v/>
      </c>
      <c r="AC206" s="7">
        <f>INDEX(LINEST(L147:L206,M147:T206,TRUE,TRUE),1,7)</f>
        <v/>
      </c>
      <c r="AD206" s="7">
        <f>INDEX(LINEST(L147:L206,M147:T206,TRUE,TRUE),1,6)</f>
        <v/>
      </c>
      <c r="AE206" s="7">
        <f>INDEX(LINEST(L147:L206,M147:T206,TRUE,TRUE),1,5)</f>
        <v/>
      </c>
      <c r="AF206" s="7">
        <f>INDEX(LINEST(L147:L206,M147:T206,TRUE,TRUE),1,4)</f>
        <v/>
      </c>
      <c r="AG206" s="7">
        <f>INDEX(LINEST(L147:L206,M147:T206,TRUE,TRUE),1,3)</f>
        <v/>
      </c>
      <c r="AH206" s="7">
        <f>INDEX(LINEST(L147:L206,M147:T206,TRUE,TRUE),1,2)</f>
        <v/>
      </c>
      <c r="AI206" s="7">
        <f>INDEX(LINEST(L147:L206,M147:T206,TRUE,TRUE),1,1)</f>
        <v/>
      </c>
      <c r="AJ206" s="8">
        <f>INDEX(LINEST(L147:L206,M147:T206,TRUE,TRUE),3,1)</f>
        <v/>
      </c>
    </row>
    <row r="207">
      <c r="L207" s="7">
        <f>LN(B207/B206)</f>
        <v/>
      </c>
      <c r="M207" s="7">
        <f>C207-C206</f>
        <v/>
      </c>
      <c r="N207" s="7">
        <f>D207-D206</f>
        <v/>
      </c>
      <c r="O207" s="7">
        <f>LN(E207/E206)</f>
        <v/>
      </c>
      <c r="P207" s="7">
        <f>LN(F207/F206)</f>
        <v/>
      </c>
      <c r="Q207" s="7">
        <f>G207-G206</f>
        <v/>
      </c>
      <c r="R207" s="7">
        <f>H207-H206</f>
        <v/>
      </c>
      <c r="S207" s="7">
        <f>LN(I207/I206)</f>
        <v/>
      </c>
      <c r="T207" s="7">
        <f>LN(J207/J206)</f>
        <v/>
      </c>
      <c r="U207" s="7">
        <f>$W$12+$W$4*M207+$W$5*N207+$W$6*O207+$W$7*P207+$W$8*Q207+$W$9*R207+$W$10*S207+$W$11*T207</f>
        <v/>
      </c>
      <c r="AA207" s="8">
        <f>INDEX(LINEST(L148:L207,M148:T207,TRUE,TRUE),1,9)*12</f>
        <v/>
      </c>
      <c r="AB207" s="7">
        <f>INDEX(LINEST(L148:L207,M148:T207,TRUE,TRUE),1,8)</f>
        <v/>
      </c>
      <c r="AC207" s="7">
        <f>INDEX(LINEST(L148:L207,M148:T207,TRUE,TRUE),1,7)</f>
        <v/>
      </c>
      <c r="AD207" s="7">
        <f>INDEX(LINEST(L148:L207,M148:T207,TRUE,TRUE),1,6)</f>
        <v/>
      </c>
      <c r="AE207" s="7">
        <f>INDEX(LINEST(L148:L207,M148:T207,TRUE,TRUE),1,5)</f>
        <v/>
      </c>
      <c r="AF207" s="7">
        <f>INDEX(LINEST(L148:L207,M148:T207,TRUE,TRUE),1,4)</f>
        <v/>
      </c>
      <c r="AG207" s="7">
        <f>INDEX(LINEST(L148:L207,M148:T207,TRUE,TRUE),1,3)</f>
        <v/>
      </c>
      <c r="AH207" s="7">
        <f>INDEX(LINEST(L148:L207,M148:T207,TRUE,TRUE),1,2)</f>
        <v/>
      </c>
      <c r="AI207" s="7">
        <f>INDEX(LINEST(L148:L207,M148:T207,TRUE,TRUE),1,1)</f>
        <v/>
      </c>
      <c r="AJ207" s="8">
        <f>INDEX(LINEST(L148:L207,M148:T207,TRUE,TRUE),3,1)</f>
        <v/>
      </c>
    </row>
    <row r="208">
      <c r="L208" s="7">
        <f>LN(B208/B207)</f>
        <v/>
      </c>
      <c r="M208" s="7">
        <f>C208-C207</f>
        <v/>
      </c>
      <c r="N208" s="7">
        <f>D208-D207</f>
        <v/>
      </c>
      <c r="O208" s="7">
        <f>LN(E208/E207)</f>
        <v/>
      </c>
      <c r="P208" s="7">
        <f>LN(F208/F207)</f>
        <v/>
      </c>
      <c r="Q208" s="7">
        <f>G208-G207</f>
        <v/>
      </c>
      <c r="R208" s="7">
        <f>H208-H207</f>
        <v/>
      </c>
      <c r="S208" s="7">
        <f>LN(I208/I207)</f>
        <v/>
      </c>
      <c r="T208" s="7">
        <f>LN(J208/J207)</f>
        <v/>
      </c>
      <c r="U208" s="7">
        <f>$W$12+$W$4*M208+$W$5*N208+$W$6*O208+$W$7*P208+$W$8*Q208+$W$9*R208+$W$10*S208+$W$11*T208</f>
        <v/>
      </c>
      <c r="AA208" s="8">
        <f>INDEX(LINEST(L149:L208,M149:T208,TRUE,TRUE),1,9)*12</f>
        <v/>
      </c>
      <c r="AB208" s="7">
        <f>INDEX(LINEST(L149:L208,M149:T208,TRUE,TRUE),1,8)</f>
        <v/>
      </c>
      <c r="AC208" s="7">
        <f>INDEX(LINEST(L149:L208,M149:T208,TRUE,TRUE),1,7)</f>
        <v/>
      </c>
      <c r="AD208" s="7">
        <f>INDEX(LINEST(L149:L208,M149:T208,TRUE,TRUE),1,6)</f>
        <v/>
      </c>
      <c r="AE208" s="7">
        <f>INDEX(LINEST(L149:L208,M149:T208,TRUE,TRUE),1,5)</f>
        <v/>
      </c>
      <c r="AF208" s="7">
        <f>INDEX(LINEST(L149:L208,M149:T208,TRUE,TRUE),1,4)</f>
        <v/>
      </c>
      <c r="AG208" s="7">
        <f>INDEX(LINEST(L149:L208,M149:T208,TRUE,TRUE),1,3)</f>
        <v/>
      </c>
      <c r="AH208" s="7">
        <f>INDEX(LINEST(L149:L208,M149:T208,TRUE,TRUE),1,2)</f>
        <v/>
      </c>
      <c r="AI208" s="7">
        <f>INDEX(LINEST(L149:L208,M149:T208,TRUE,TRUE),1,1)</f>
        <v/>
      </c>
      <c r="AJ208" s="8">
        <f>INDEX(LINEST(L149:L208,M149:T208,TRUE,TRUE),3,1)</f>
        <v/>
      </c>
    </row>
    <row r="209">
      <c r="L209" s="7">
        <f>LN(B209/B208)</f>
        <v/>
      </c>
      <c r="M209" s="7">
        <f>C209-C208</f>
        <v/>
      </c>
      <c r="N209" s="7">
        <f>D209-D208</f>
        <v/>
      </c>
      <c r="O209" s="7">
        <f>LN(E209/E208)</f>
        <v/>
      </c>
      <c r="P209" s="7">
        <f>LN(F209/F208)</f>
        <v/>
      </c>
      <c r="Q209" s="7">
        <f>G209-G208</f>
        <v/>
      </c>
      <c r="R209" s="7">
        <f>H209-H208</f>
        <v/>
      </c>
      <c r="S209" s="7">
        <f>LN(I209/I208)</f>
        <v/>
      </c>
      <c r="T209" s="7">
        <f>LN(J209/J208)</f>
        <v/>
      </c>
      <c r="U209" s="7">
        <f>$W$12+$W$4*M209+$W$5*N209+$W$6*O209+$W$7*P209+$W$8*Q209+$W$9*R209+$W$10*S209+$W$11*T209</f>
        <v/>
      </c>
      <c r="AA209" s="8">
        <f>INDEX(LINEST(L150:L209,M150:T209,TRUE,TRUE),1,9)*12</f>
        <v/>
      </c>
      <c r="AB209" s="7">
        <f>INDEX(LINEST(L150:L209,M150:T209,TRUE,TRUE),1,8)</f>
        <v/>
      </c>
      <c r="AC209" s="7">
        <f>INDEX(LINEST(L150:L209,M150:T209,TRUE,TRUE),1,7)</f>
        <v/>
      </c>
      <c r="AD209" s="7">
        <f>INDEX(LINEST(L150:L209,M150:T209,TRUE,TRUE),1,6)</f>
        <v/>
      </c>
      <c r="AE209" s="7">
        <f>INDEX(LINEST(L150:L209,M150:T209,TRUE,TRUE),1,5)</f>
        <v/>
      </c>
      <c r="AF209" s="7">
        <f>INDEX(LINEST(L150:L209,M150:T209,TRUE,TRUE),1,4)</f>
        <v/>
      </c>
      <c r="AG209" s="7">
        <f>INDEX(LINEST(L150:L209,M150:T209,TRUE,TRUE),1,3)</f>
        <v/>
      </c>
      <c r="AH209" s="7">
        <f>INDEX(LINEST(L150:L209,M150:T209,TRUE,TRUE),1,2)</f>
        <v/>
      </c>
      <c r="AI209" s="7">
        <f>INDEX(LINEST(L150:L209,M150:T209,TRUE,TRUE),1,1)</f>
        <v/>
      </c>
      <c r="AJ209" s="8">
        <f>INDEX(LINEST(L150:L209,M150:T209,TRUE,TRUE),3,1)</f>
        <v/>
      </c>
    </row>
    <row r="210">
      <c r="L210" s="7">
        <f>LN(B210/B209)</f>
        <v/>
      </c>
      <c r="M210" s="7">
        <f>C210-C209</f>
        <v/>
      </c>
      <c r="N210" s="7">
        <f>D210-D209</f>
        <v/>
      </c>
      <c r="O210" s="7">
        <f>LN(E210/E209)</f>
        <v/>
      </c>
      <c r="P210" s="7">
        <f>LN(F210/F209)</f>
        <v/>
      </c>
      <c r="Q210" s="7">
        <f>G210-G209</f>
        <v/>
      </c>
      <c r="R210" s="7">
        <f>H210-H209</f>
        <v/>
      </c>
      <c r="S210" s="7">
        <f>LN(I210/I209)</f>
        <v/>
      </c>
      <c r="T210" s="7">
        <f>LN(J210/J209)</f>
        <v/>
      </c>
      <c r="U210" s="7">
        <f>$W$12+$W$4*M210+$W$5*N210+$W$6*O210+$W$7*P210+$W$8*Q210+$W$9*R210+$W$10*S210+$W$11*T210</f>
        <v/>
      </c>
      <c r="AA210" s="8">
        <f>INDEX(LINEST(L151:L210,M151:T210,TRUE,TRUE),1,9)*12</f>
        <v/>
      </c>
      <c r="AB210" s="7">
        <f>INDEX(LINEST(L151:L210,M151:T210,TRUE,TRUE),1,8)</f>
        <v/>
      </c>
      <c r="AC210" s="7">
        <f>INDEX(LINEST(L151:L210,M151:T210,TRUE,TRUE),1,7)</f>
        <v/>
      </c>
      <c r="AD210" s="7">
        <f>INDEX(LINEST(L151:L210,M151:T210,TRUE,TRUE),1,6)</f>
        <v/>
      </c>
      <c r="AE210" s="7">
        <f>INDEX(LINEST(L151:L210,M151:T210,TRUE,TRUE),1,5)</f>
        <v/>
      </c>
      <c r="AF210" s="7">
        <f>INDEX(LINEST(L151:L210,M151:T210,TRUE,TRUE),1,4)</f>
        <v/>
      </c>
      <c r="AG210" s="7">
        <f>INDEX(LINEST(L151:L210,M151:T210,TRUE,TRUE),1,3)</f>
        <v/>
      </c>
      <c r="AH210" s="7">
        <f>INDEX(LINEST(L151:L210,M151:T210,TRUE,TRUE),1,2)</f>
        <v/>
      </c>
      <c r="AI210" s="7">
        <f>INDEX(LINEST(L151:L210,M151:T210,TRUE,TRUE),1,1)</f>
        <v/>
      </c>
      <c r="AJ210" s="8">
        <f>INDEX(LINEST(L151:L210,M151:T210,TRUE,TRUE),3,1)</f>
        <v/>
      </c>
    </row>
    <row r="211">
      <c r="L211" s="7">
        <f>LN(B211/B210)</f>
        <v/>
      </c>
      <c r="M211" s="7">
        <f>C211-C210</f>
        <v/>
      </c>
      <c r="N211" s="7">
        <f>D211-D210</f>
        <v/>
      </c>
      <c r="O211" s="7">
        <f>LN(E211/E210)</f>
        <v/>
      </c>
      <c r="P211" s="7">
        <f>LN(F211/F210)</f>
        <v/>
      </c>
      <c r="Q211" s="7">
        <f>G211-G210</f>
        <v/>
      </c>
      <c r="R211" s="7">
        <f>H211-H210</f>
        <v/>
      </c>
      <c r="S211" s="7">
        <f>LN(I211/I210)</f>
        <v/>
      </c>
      <c r="T211" s="7">
        <f>LN(J211/J210)</f>
        <v/>
      </c>
      <c r="U211" s="7">
        <f>$W$12+$W$4*M211+$W$5*N211+$W$6*O211+$W$7*P211+$W$8*Q211+$W$9*R211+$W$10*S211+$W$11*T211</f>
        <v/>
      </c>
      <c r="AA211" s="8">
        <f>INDEX(LINEST(L152:L211,M152:T211,TRUE,TRUE),1,9)*12</f>
        <v/>
      </c>
      <c r="AB211" s="7">
        <f>INDEX(LINEST(L152:L211,M152:T211,TRUE,TRUE),1,8)</f>
        <v/>
      </c>
      <c r="AC211" s="7">
        <f>INDEX(LINEST(L152:L211,M152:T211,TRUE,TRUE),1,7)</f>
        <v/>
      </c>
      <c r="AD211" s="7">
        <f>INDEX(LINEST(L152:L211,M152:T211,TRUE,TRUE),1,6)</f>
        <v/>
      </c>
      <c r="AE211" s="7">
        <f>INDEX(LINEST(L152:L211,M152:T211,TRUE,TRUE),1,5)</f>
        <v/>
      </c>
      <c r="AF211" s="7">
        <f>INDEX(LINEST(L152:L211,M152:T211,TRUE,TRUE),1,4)</f>
        <v/>
      </c>
      <c r="AG211" s="7">
        <f>INDEX(LINEST(L152:L211,M152:T211,TRUE,TRUE),1,3)</f>
        <v/>
      </c>
      <c r="AH211" s="7">
        <f>INDEX(LINEST(L152:L211,M152:T211,TRUE,TRUE),1,2)</f>
        <v/>
      </c>
      <c r="AI211" s="7">
        <f>INDEX(LINEST(L152:L211,M152:T211,TRUE,TRUE),1,1)</f>
        <v/>
      </c>
      <c r="AJ211" s="8">
        <f>INDEX(LINEST(L152:L211,M152:T211,TRUE,TRUE),3,1)</f>
        <v/>
      </c>
    </row>
    <row r="212">
      <c r="L212" s="7">
        <f>LN(B212/B211)</f>
        <v/>
      </c>
      <c r="M212" s="7">
        <f>C212-C211</f>
        <v/>
      </c>
      <c r="N212" s="7">
        <f>D212-D211</f>
        <v/>
      </c>
      <c r="O212" s="7">
        <f>LN(E212/E211)</f>
        <v/>
      </c>
      <c r="P212" s="7">
        <f>LN(F212/F211)</f>
        <v/>
      </c>
      <c r="Q212" s="7">
        <f>G212-G211</f>
        <v/>
      </c>
      <c r="R212" s="7">
        <f>H212-H211</f>
        <v/>
      </c>
      <c r="S212" s="7">
        <f>LN(I212/I211)</f>
        <v/>
      </c>
      <c r="T212" s="7">
        <f>LN(J212/J211)</f>
        <v/>
      </c>
      <c r="U212" s="7">
        <f>$W$12+$W$4*M212+$W$5*N212+$W$6*O212+$W$7*P212+$W$8*Q212+$W$9*R212+$W$10*S212+$W$11*T212</f>
        <v/>
      </c>
      <c r="AA212" s="8">
        <f>INDEX(LINEST(L153:L212,M153:T212,TRUE,TRUE),1,9)*12</f>
        <v/>
      </c>
      <c r="AB212" s="7">
        <f>INDEX(LINEST(L153:L212,M153:T212,TRUE,TRUE),1,8)</f>
        <v/>
      </c>
      <c r="AC212" s="7">
        <f>INDEX(LINEST(L153:L212,M153:T212,TRUE,TRUE),1,7)</f>
        <v/>
      </c>
      <c r="AD212" s="7">
        <f>INDEX(LINEST(L153:L212,M153:T212,TRUE,TRUE),1,6)</f>
        <v/>
      </c>
      <c r="AE212" s="7">
        <f>INDEX(LINEST(L153:L212,M153:T212,TRUE,TRUE),1,5)</f>
        <v/>
      </c>
      <c r="AF212" s="7">
        <f>INDEX(LINEST(L153:L212,M153:T212,TRUE,TRUE),1,4)</f>
        <v/>
      </c>
      <c r="AG212" s="7">
        <f>INDEX(LINEST(L153:L212,M153:T212,TRUE,TRUE),1,3)</f>
        <v/>
      </c>
      <c r="AH212" s="7">
        <f>INDEX(LINEST(L153:L212,M153:T212,TRUE,TRUE),1,2)</f>
        <v/>
      </c>
      <c r="AI212" s="7">
        <f>INDEX(LINEST(L153:L212,M153:T212,TRUE,TRUE),1,1)</f>
        <v/>
      </c>
      <c r="AJ212" s="8">
        <f>INDEX(LINEST(L153:L212,M153:T212,TRUE,TRUE),3,1)</f>
        <v/>
      </c>
    </row>
    <row r="213">
      <c r="L213" s="7">
        <f>LN(B213/B212)</f>
        <v/>
      </c>
      <c r="M213" s="7">
        <f>C213-C212</f>
        <v/>
      </c>
      <c r="N213" s="7">
        <f>D213-D212</f>
        <v/>
      </c>
      <c r="O213" s="7">
        <f>LN(E213/E212)</f>
        <v/>
      </c>
      <c r="P213" s="7">
        <f>LN(F213/F212)</f>
        <v/>
      </c>
      <c r="Q213" s="7">
        <f>G213-G212</f>
        <v/>
      </c>
      <c r="R213" s="7">
        <f>H213-H212</f>
        <v/>
      </c>
      <c r="S213" s="7">
        <f>LN(I213/I212)</f>
        <v/>
      </c>
      <c r="T213" s="7">
        <f>LN(J213/J212)</f>
        <v/>
      </c>
      <c r="U213" s="7">
        <f>$W$12+$W$4*M213+$W$5*N213+$W$6*O213+$W$7*P213+$W$8*Q213+$W$9*R213+$W$10*S213+$W$11*T213</f>
        <v/>
      </c>
      <c r="AA213" s="8">
        <f>INDEX(LINEST(L154:L213,M154:T213,TRUE,TRUE),1,9)*12</f>
        <v/>
      </c>
      <c r="AB213" s="7">
        <f>INDEX(LINEST(L154:L213,M154:T213,TRUE,TRUE),1,8)</f>
        <v/>
      </c>
      <c r="AC213" s="7">
        <f>INDEX(LINEST(L154:L213,M154:T213,TRUE,TRUE),1,7)</f>
        <v/>
      </c>
      <c r="AD213" s="7">
        <f>INDEX(LINEST(L154:L213,M154:T213,TRUE,TRUE),1,6)</f>
        <v/>
      </c>
      <c r="AE213" s="7">
        <f>INDEX(LINEST(L154:L213,M154:T213,TRUE,TRUE),1,5)</f>
        <v/>
      </c>
      <c r="AF213" s="7">
        <f>INDEX(LINEST(L154:L213,M154:T213,TRUE,TRUE),1,4)</f>
        <v/>
      </c>
      <c r="AG213" s="7">
        <f>INDEX(LINEST(L154:L213,M154:T213,TRUE,TRUE),1,3)</f>
        <v/>
      </c>
      <c r="AH213" s="7">
        <f>INDEX(LINEST(L154:L213,M154:T213,TRUE,TRUE),1,2)</f>
        <v/>
      </c>
      <c r="AI213" s="7">
        <f>INDEX(LINEST(L154:L213,M154:T213,TRUE,TRUE),1,1)</f>
        <v/>
      </c>
      <c r="AJ213" s="8">
        <f>INDEX(LINEST(L154:L213,M154:T213,TRUE,TRUE),3,1)</f>
        <v/>
      </c>
    </row>
    <row r="214">
      <c r="L214" s="7">
        <f>LN(B214/B213)</f>
        <v/>
      </c>
      <c r="M214" s="7">
        <f>C214-C213</f>
        <v/>
      </c>
      <c r="N214" s="7">
        <f>D214-D213</f>
        <v/>
      </c>
      <c r="O214" s="7">
        <f>LN(E214/E213)</f>
        <v/>
      </c>
      <c r="P214" s="7">
        <f>LN(F214/F213)</f>
        <v/>
      </c>
      <c r="Q214" s="7">
        <f>G214-G213</f>
        <v/>
      </c>
      <c r="R214" s="7">
        <f>H214-H213</f>
        <v/>
      </c>
      <c r="S214" s="7">
        <f>LN(I214/I213)</f>
        <v/>
      </c>
      <c r="T214" s="7">
        <f>LN(J214/J213)</f>
        <v/>
      </c>
      <c r="U214" s="7">
        <f>$W$12+$W$4*M214+$W$5*N214+$W$6*O214+$W$7*P214+$W$8*Q214+$W$9*R214+$W$10*S214+$W$11*T214</f>
        <v/>
      </c>
      <c r="AA214" s="8">
        <f>INDEX(LINEST(L155:L214,M155:T214,TRUE,TRUE),1,9)*12</f>
        <v/>
      </c>
      <c r="AB214" s="7">
        <f>INDEX(LINEST(L155:L214,M155:T214,TRUE,TRUE),1,8)</f>
        <v/>
      </c>
      <c r="AC214" s="7">
        <f>INDEX(LINEST(L155:L214,M155:T214,TRUE,TRUE),1,7)</f>
        <v/>
      </c>
      <c r="AD214" s="7">
        <f>INDEX(LINEST(L155:L214,M155:T214,TRUE,TRUE),1,6)</f>
        <v/>
      </c>
      <c r="AE214" s="7">
        <f>INDEX(LINEST(L155:L214,M155:T214,TRUE,TRUE),1,5)</f>
        <v/>
      </c>
      <c r="AF214" s="7">
        <f>INDEX(LINEST(L155:L214,M155:T214,TRUE,TRUE),1,4)</f>
        <v/>
      </c>
      <c r="AG214" s="7">
        <f>INDEX(LINEST(L155:L214,M155:T214,TRUE,TRUE),1,3)</f>
        <v/>
      </c>
      <c r="AH214" s="7">
        <f>INDEX(LINEST(L155:L214,M155:T214,TRUE,TRUE),1,2)</f>
        <v/>
      </c>
      <c r="AI214" s="7">
        <f>INDEX(LINEST(L155:L214,M155:T214,TRUE,TRUE),1,1)</f>
        <v/>
      </c>
      <c r="AJ214" s="8">
        <f>INDEX(LINEST(L155:L214,M155:T214,TRUE,TRUE),3,1)</f>
        <v/>
      </c>
    </row>
    <row r="215">
      <c r="L215" s="7">
        <f>LN(B215/B214)</f>
        <v/>
      </c>
      <c r="M215" s="7">
        <f>C215-C214</f>
        <v/>
      </c>
      <c r="N215" s="7">
        <f>D215-D214</f>
        <v/>
      </c>
      <c r="O215" s="7">
        <f>LN(E215/E214)</f>
        <v/>
      </c>
      <c r="P215" s="7">
        <f>LN(F215/F214)</f>
        <v/>
      </c>
      <c r="Q215" s="7">
        <f>G215-G214</f>
        <v/>
      </c>
      <c r="R215" s="7">
        <f>H215-H214</f>
        <v/>
      </c>
      <c r="S215" s="7">
        <f>LN(I215/I214)</f>
        <v/>
      </c>
      <c r="T215" s="7">
        <f>LN(J215/J214)</f>
        <v/>
      </c>
      <c r="U215" s="7">
        <f>$W$12+$W$4*M215+$W$5*N215+$W$6*O215+$W$7*P215+$W$8*Q215+$W$9*R215+$W$10*S215+$W$11*T215</f>
        <v/>
      </c>
      <c r="AA215" s="8">
        <f>INDEX(LINEST(L156:L215,M156:T215,TRUE,TRUE),1,9)*12</f>
        <v/>
      </c>
      <c r="AB215" s="7">
        <f>INDEX(LINEST(L156:L215,M156:T215,TRUE,TRUE),1,8)</f>
        <v/>
      </c>
      <c r="AC215" s="7">
        <f>INDEX(LINEST(L156:L215,M156:T215,TRUE,TRUE),1,7)</f>
        <v/>
      </c>
      <c r="AD215" s="7">
        <f>INDEX(LINEST(L156:L215,M156:T215,TRUE,TRUE),1,6)</f>
        <v/>
      </c>
      <c r="AE215" s="7">
        <f>INDEX(LINEST(L156:L215,M156:T215,TRUE,TRUE),1,5)</f>
        <v/>
      </c>
      <c r="AF215" s="7">
        <f>INDEX(LINEST(L156:L215,M156:T215,TRUE,TRUE),1,4)</f>
        <v/>
      </c>
      <c r="AG215" s="7">
        <f>INDEX(LINEST(L156:L215,M156:T215,TRUE,TRUE),1,3)</f>
        <v/>
      </c>
      <c r="AH215" s="7">
        <f>INDEX(LINEST(L156:L215,M156:T215,TRUE,TRUE),1,2)</f>
        <v/>
      </c>
      <c r="AI215" s="7">
        <f>INDEX(LINEST(L156:L215,M156:T215,TRUE,TRUE),1,1)</f>
        <v/>
      </c>
      <c r="AJ215" s="8">
        <f>INDEX(LINEST(L156:L215,M156:T215,TRUE,TRUE),3,1)</f>
        <v/>
      </c>
    </row>
    <row r="216">
      <c r="L216" s="7">
        <f>LN(B216/B215)</f>
        <v/>
      </c>
      <c r="M216" s="7">
        <f>C216-C215</f>
        <v/>
      </c>
      <c r="N216" s="7">
        <f>D216-D215</f>
        <v/>
      </c>
      <c r="O216" s="7">
        <f>LN(E216/E215)</f>
        <v/>
      </c>
      <c r="P216" s="7">
        <f>LN(F216/F215)</f>
        <v/>
      </c>
      <c r="Q216" s="7">
        <f>G216-G215</f>
        <v/>
      </c>
      <c r="R216" s="7">
        <f>H216-H215</f>
        <v/>
      </c>
      <c r="S216" s="7">
        <f>LN(I216/I215)</f>
        <v/>
      </c>
      <c r="T216" s="7">
        <f>LN(J216/J215)</f>
        <v/>
      </c>
      <c r="U216" s="7">
        <f>$W$12+$W$4*M216+$W$5*N216+$W$6*O216+$W$7*P216+$W$8*Q216+$W$9*R216+$W$10*S216+$W$11*T216</f>
        <v/>
      </c>
      <c r="AA216" s="8">
        <f>INDEX(LINEST(L157:L216,M157:T216,TRUE,TRUE),1,9)*12</f>
        <v/>
      </c>
      <c r="AB216" s="7">
        <f>INDEX(LINEST(L157:L216,M157:T216,TRUE,TRUE),1,8)</f>
        <v/>
      </c>
      <c r="AC216" s="7">
        <f>INDEX(LINEST(L157:L216,M157:T216,TRUE,TRUE),1,7)</f>
        <v/>
      </c>
      <c r="AD216" s="7">
        <f>INDEX(LINEST(L157:L216,M157:T216,TRUE,TRUE),1,6)</f>
        <v/>
      </c>
      <c r="AE216" s="7">
        <f>INDEX(LINEST(L157:L216,M157:T216,TRUE,TRUE),1,5)</f>
        <v/>
      </c>
      <c r="AF216" s="7">
        <f>INDEX(LINEST(L157:L216,M157:T216,TRUE,TRUE),1,4)</f>
        <v/>
      </c>
      <c r="AG216" s="7">
        <f>INDEX(LINEST(L157:L216,M157:T216,TRUE,TRUE),1,3)</f>
        <v/>
      </c>
      <c r="AH216" s="7">
        <f>INDEX(LINEST(L157:L216,M157:T216,TRUE,TRUE),1,2)</f>
        <v/>
      </c>
      <c r="AI216" s="7">
        <f>INDEX(LINEST(L157:L216,M157:T216,TRUE,TRUE),1,1)</f>
        <v/>
      </c>
      <c r="AJ216" s="8">
        <f>INDEX(LINEST(L157:L216,M157:T216,TRUE,TRUE),3,1)</f>
        <v/>
      </c>
    </row>
    <row r="217">
      <c r="L217" s="7">
        <f>LN(B217/B216)</f>
        <v/>
      </c>
      <c r="M217" s="7">
        <f>C217-C216</f>
        <v/>
      </c>
      <c r="N217" s="7">
        <f>D217-D216</f>
        <v/>
      </c>
      <c r="O217" s="7">
        <f>LN(E217/E216)</f>
        <v/>
      </c>
      <c r="P217" s="7">
        <f>LN(F217/F216)</f>
        <v/>
      </c>
      <c r="Q217" s="7">
        <f>G217-G216</f>
        <v/>
      </c>
      <c r="R217" s="7">
        <f>H217-H216</f>
        <v/>
      </c>
      <c r="S217" s="7">
        <f>LN(I217/I216)</f>
        <v/>
      </c>
      <c r="T217" s="7">
        <f>LN(J217/J216)</f>
        <v/>
      </c>
      <c r="U217" s="7">
        <f>$W$12+$W$4*M217+$W$5*N217+$W$6*O217+$W$7*P217+$W$8*Q217+$W$9*R217+$W$10*S217+$W$11*T217</f>
        <v/>
      </c>
      <c r="AA217" s="8">
        <f>INDEX(LINEST(L158:L217,M158:T217,TRUE,TRUE),1,9)*12</f>
        <v/>
      </c>
      <c r="AB217" s="7">
        <f>INDEX(LINEST(L158:L217,M158:T217,TRUE,TRUE),1,8)</f>
        <v/>
      </c>
      <c r="AC217" s="7">
        <f>INDEX(LINEST(L158:L217,M158:T217,TRUE,TRUE),1,7)</f>
        <v/>
      </c>
      <c r="AD217" s="7">
        <f>INDEX(LINEST(L158:L217,M158:T217,TRUE,TRUE),1,6)</f>
        <v/>
      </c>
      <c r="AE217" s="7">
        <f>INDEX(LINEST(L158:L217,M158:T217,TRUE,TRUE),1,5)</f>
        <v/>
      </c>
      <c r="AF217" s="7">
        <f>INDEX(LINEST(L158:L217,M158:T217,TRUE,TRUE),1,4)</f>
        <v/>
      </c>
      <c r="AG217" s="7">
        <f>INDEX(LINEST(L158:L217,M158:T217,TRUE,TRUE),1,3)</f>
        <v/>
      </c>
      <c r="AH217" s="7">
        <f>INDEX(LINEST(L158:L217,M158:T217,TRUE,TRUE),1,2)</f>
        <v/>
      </c>
      <c r="AI217" s="7">
        <f>INDEX(LINEST(L158:L217,M158:T217,TRUE,TRUE),1,1)</f>
        <v/>
      </c>
      <c r="AJ217" s="8">
        <f>INDEX(LINEST(L158:L217,M158:T217,TRUE,TRUE),3,1)</f>
        <v/>
      </c>
    </row>
    <row r="218">
      <c r="L218" s="7">
        <f>LN(B218/B217)</f>
        <v/>
      </c>
      <c r="M218" s="7">
        <f>C218-C217</f>
        <v/>
      </c>
      <c r="N218" s="7">
        <f>D218-D217</f>
        <v/>
      </c>
      <c r="O218" s="7">
        <f>LN(E218/E217)</f>
        <v/>
      </c>
      <c r="P218" s="7">
        <f>LN(F218/F217)</f>
        <v/>
      </c>
      <c r="Q218" s="7">
        <f>G218-G217</f>
        <v/>
      </c>
      <c r="R218" s="7">
        <f>H218-H217</f>
        <v/>
      </c>
      <c r="S218" s="7">
        <f>LN(I218/I217)</f>
        <v/>
      </c>
      <c r="T218" s="7">
        <f>LN(J218/J217)</f>
        <v/>
      </c>
      <c r="U218" s="7">
        <f>$W$12+$W$4*M218+$W$5*N218+$W$6*O218+$W$7*P218+$W$8*Q218+$W$9*R218+$W$10*S218+$W$11*T218</f>
        <v/>
      </c>
      <c r="AA218" s="8">
        <f>INDEX(LINEST(L159:L218,M159:T218,TRUE,TRUE),1,9)*12</f>
        <v/>
      </c>
      <c r="AB218" s="7">
        <f>INDEX(LINEST(L159:L218,M159:T218,TRUE,TRUE),1,8)</f>
        <v/>
      </c>
      <c r="AC218" s="7">
        <f>INDEX(LINEST(L159:L218,M159:T218,TRUE,TRUE),1,7)</f>
        <v/>
      </c>
      <c r="AD218" s="7">
        <f>INDEX(LINEST(L159:L218,M159:T218,TRUE,TRUE),1,6)</f>
        <v/>
      </c>
      <c r="AE218" s="7">
        <f>INDEX(LINEST(L159:L218,M159:T218,TRUE,TRUE),1,5)</f>
        <v/>
      </c>
      <c r="AF218" s="7">
        <f>INDEX(LINEST(L159:L218,M159:T218,TRUE,TRUE),1,4)</f>
        <v/>
      </c>
      <c r="AG218" s="7">
        <f>INDEX(LINEST(L159:L218,M159:T218,TRUE,TRUE),1,3)</f>
        <v/>
      </c>
      <c r="AH218" s="7">
        <f>INDEX(LINEST(L159:L218,M159:T218,TRUE,TRUE),1,2)</f>
        <v/>
      </c>
      <c r="AI218" s="7">
        <f>INDEX(LINEST(L159:L218,M159:T218,TRUE,TRUE),1,1)</f>
        <v/>
      </c>
      <c r="AJ218" s="8">
        <f>INDEX(LINEST(L159:L218,M159:T218,TRUE,TRUE),3,1)</f>
        <v/>
      </c>
    </row>
    <row r="219">
      <c r="L219" s="7">
        <f>LN(B219/B218)</f>
        <v/>
      </c>
      <c r="M219" s="7">
        <f>C219-C218</f>
        <v/>
      </c>
      <c r="N219" s="7">
        <f>D219-D218</f>
        <v/>
      </c>
      <c r="O219" s="7">
        <f>LN(E219/E218)</f>
        <v/>
      </c>
      <c r="P219" s="7">
        <f>LN(F219/F218)</f>
        <v/>
      </c>
      <c r="Q219" s="7">
        <f>G219-G218</f>
        <v/>
      </c>
      <c r="R219" s="7">
        <f>H219-H218</f>
        <v/>
      </c>
      <c r="S219" s="7">
        <f>LN(I219/I218)</f>
        <v/>
      </c>
      <c r="T219" s="7">
        <f>LN(J219/J218)</f>
        <v/>
      </c>
      <c r="U219" s="7">
        <f>$W$12+$W$4*M219+$W$5*N219+$W$6*O219+$W$7*P219+$W$8*Q219+$W$9*R219+$W$10*S219+$W$11*T219</f>
        <v/>
      </c>
      <c r="AA219" s="8">
        <f>INDEX(LINEST(L160:L219,M160:T219,TRUE,TRUE),1,9)*12</f>
        <v/>
      </c>
      <c r="AB219" s="7">
        <f>INDEX(LINEST(L160:L219,M160:T219,TRUE,TRUE),1,8)</f>
        <v/>
      </c>
      <c r="AC219" s="7">
        <f>INDEX(LINEST(L160:L219,M160:T219,TRUE,TRUE),1,7)</f>
        <v/>
      </c>
      <c r="AD219" s="7">
        <f>INDEX(LINEST(L160:L219,M160:T219,TRUE,TRUE),1,6)</f>
        <v/>
      </c>
      <c r="AE219" s="7">
        <f>INDEX(LINEST(L160:L219,M160:T219,TRUE,TRUE),1,5)</f>
        <v/>
      </c>
      <c r="AF219" s="7">
        <f>INDEX(LINEST(L160:L219,M160:T219,TRUE,TRUE),1,4)</f>
        <v/>
      </c>
      <c r="AG219" s="7">
        <f>INDEX(LINEST(L160:L219,M160:T219,TRUE,TRUE),1,3)</f>
        <v/>
      </c>
      <c r="AH219" s="7">
        <f>INDEX(LINEST(L160:L219,M160:T219,TRUE,TRUE),1,2)</f>
        <v/>
      </c>
      <c r="AI219" s="7">
        <f>INDEX(LINEST(L160:L219,M160:T219,TRUE,TRUE),1,1)</f>
        <v/>
      </c>
      <c r="AJ219" s="8">
        <f>INDEX(LINEST(L160:L219,M160:T219,TRUE,TRUE),3,1)</f>
        <v/>
      </c>
    </row>
    <row r="220">
      <c r="L220" s="7">
        <f>LN(B220/B219)</f>
        <v/>
      </c>
      <c r="M220" s="7">
        <f>C220-C219</f>
        <v/>
      </c>
      <c r="N220" s="7">
        <f>D220-D219</f>
        <v/>
      </c>
      <c r="O220" s="7">
        <f>LN(E220/E219)</f>
        <v/>
      </c>
      <c r="P220" s="7">
        <f>LN(F220/F219)</f>
        <v/>
      </c>
      <c r="Q220" s="7">
        <f>G220-G219</f>
        <v/>
      </c>
      <c r="R220" s="7">
        <f>H220-H219</f>
        <v/>
      </c>
      <c r="S220" s="7">
        <f>LN(I220/I219)</f>
        <v/>
      </c>
      <c r="T220" s="7">
        <f>LN(J220/J219)</f>
        <v/>
      </c>
      <c r="U220" s="7">
        <f>$W$12+$W$4*M220+$W$5*N220+$W$6*O220+$W$7*P220+$W$8*Q220+$W$9*R220+$W$10*S220+$W$11*T220</f>
        <v/>
      </c>
      <c r="AA220" s="8">
        <f>INDEX(LINEST(L161:L220,M161:T220,TRUE,TRUE),1,9)*12</f>
        <v/>
      </c>
      <c r="AB220" s="7">
        <f>INDEX(LINEST(L161:L220,M161:T220,TRUE,TRUE),1,8)</f>
        <v/>
      </c>
      <c r="AC220" s="7">
        <f>INDEX(LINEST(L161:L220,M161:T220,TRUE,TRUE),1,7)</f>
        <v/>
      </c>
      <c r="AD220" s="7">
        <f>INDEX(LINEST(L161:L220,M161:T220,TRUE,TRUE),1,6)</f>
        <v/>
      </c>
      <c r="AE220" s="7">
        <f>INDEX(LINEST(L161:L220,M161:T220,TRUE,TRUE),1,5)</f>
        <v/>
      </c>
      <c r="AF220" s="7">
        <f>INDEX(LINEST(L161:L220,M161:T220,TRUE,TRUE),1,4)</f>
        <v/>
      </c>
      <c r="AG220" s="7">
        <f>INDEX(LINEST(L161:L220,M161:T220,TRUE,TRUE),1,3)</f>
        <v/>
      </c>
      <c r="AH220" s="7">
        <f>INDEX(LINEST(L161:L220,M161:T220,TRUE,TRUE),1,2)</f>
        <v/>
      </c>
      <c r="AI220" s="7">
        <f>INDEX(LINEST(L161:L220,M161:T220,TRUE,TRUE),1,1)</f>
        <v/>
      </c>
      <c r="AJ220" s="8">
        <f>INDEX(LINEST(L161:L220,M161:T220,TRUE,TRUE),3,1)</f>
        <v/>
      </c>
    </row>
    <row r="221">
      <c r="L221" s="7">
        <f>LN(B221/B220)</f>
        <v/>
      </c>
      <c r="M221" s="7">
        <f>C221-C220</f>
        <v/>
      </c>
      <c r="N221" s="7">
        <f>D221-D220</f>
        <v/>
      </c>
      <c r="O221" s="7">
        <f>LN(E221/E220)</f>
        <v/>
      </c>
      <c r="P221" s="7">
        <f>LN(F221/F220)</f>
        <v/>
      </c>
      <c r="Q221" s="7">
        <f>G221-G220</f>
        <v/>
      </c>
      <c r="R221" s="7">
        <f>H221-H220</f>
        <v/>
      </c>
      <c r="S221" s="7">
        <f>LN(I221/I220)</f>
        <v/>
      </c>
      <c r="T221" s="7">
        <f>LN(J221/J220)</f>
        <v/>
      </c>
      <c r="U221" s="7">
        <f>$W$12+$W$4*M221+$W$5*N221+$W$6*O221+$W$7*P221+$W$8*Q221+$W$9*R221+$W$10*S221+$W$11*T221</f>
        <v/>
      </c>
      <c r="AA221" s="8">
        <f>INDEX(LINEST(L162:L221,M162:T221,TRUE,TRUE),1,9)*12</f>
        <v/>
      </c>
      <c r="AB221" s="7">
        <f>INDEX(LINEST(L162:L221,M162:T221,TRUE,TRUE),1,8)</f>
        <v/>
      </c>
      <c r="AC221" s="7">
        <f>INDEX(LINEST(L162:L221,M162:T221,TRUE,TRUE),1,7)</f>
        <v/>
      </c>
      <c r="AD221" s="7">
        <f>INDEX(LINEST(L162:L221,M162:T221,TRUE,TRUE),1,6)</f>
        <v/>
      </c>
      <c r="AE221" s="7">
        <f>INDEX(LINEST(L162:L221,M162:T221,TRUE,TRUE),1,5)</f>
        <v/>
      </c>
      <c r="AF221" s="7">
        <f>INDEX(LINEST(L162:L221,M162:T221,TRUE,TRUE),1,4)</f>
        <v/>
      </c>
      <c r="AG221" s="7">
        <f>INDEX(LINEST(L162:L221,M162:T221,TRUE,TRUE),1,3)</f>
        <v/>
      </c>
      <c r="AH221" s="7">
        <f>INDEX(LINEST(L162:L221,M162:T221,TRUE,TRUE),1,2)</f>
        <v/>
      </c>
      <c r="AI221" s="7">
        <f>INDEX(LINEST(L162:L221,M162:T221,TRUE,TRUE),1,1)</f>
        <v/>
      </c>
      <c r="AJ221" s="8">
        <f>INDEX(LINEST(L162:L221,M162:T221,TRUE,TRUE),3,1)</f>
        <v/>
      </c>
    </row>
    <row r="222">
      <c r="L222" s="7">
        <f>LN(B222/B221)</f>
        <v/>
      </c>
      <c r="M222" s="7">
        <f>C222-C221</f>
        <v/>
      </c>
      <c r="N222" s="7">
        <f>D222-D221</f>
        <v/>
      </c>
      <c r="O222" s="7">
        <f>LN(E222/E221)</f>
        <v/>
      </c>
      <c r="P222" s="7">
        <f>LN(F222/F221)</f>
        <v/>
      </c>
      <c r="Q222" s="7">
        <f>G222-G221</f>
        <v/>
      </c>
      <c r="R222" s="7">
        <f>H222-H221</f>
        <v/>
      </c>
      <c r="S222" s="7">
        <f>LN(I222/I221)</f>
        <v/>
      </c>
      <c r="T222" s="7">
        <f>LN(J222/J221)</f>
        <v/>
      </c>
      <c r="U222" s="7">
        <f>$W$12+$W$4*M222+$W$5*N222+$W$6*O222+$W$7*P222+$W$8*Q222+$W$9*R222+$W$10*S222+$W$11*T222</f>
        <v/>
      </c>
      <c r="AA222" s="8">
        <f>INDEX(LINEST(L163:L222,M163:T222,TRUE,TRUE),1,9)*12</f>
        <v/>
      </c>
      <c r="AB222" s="7">
        <f>INDEX(LINEST(L163:L222,M163:T222,TRUE,TRUE),1,8)</f>
        <v/>
      </c>
      <c r="AC222" s="7">
        <f>INDEX(LINEST(L163:L222,M163:T222,TRUE,TRUE),1,7)</f>
        <v/>
      </c>
      <c r="AD222" s="7">
        <f>INDEX(LINEST(L163:L222,M163:T222,TRUE,TRUE),1,6)</f>
        <v/>
      </c>
      <c r="AE222" s="7">
        <f>INDEX(LINEST(L163:L222,M163:T222,TRUE,TRUE),1,5)</f>
        <v/>
      </c>
      <c r="AF222" s="7">
        <f>INDEX(LINEST(L163:L222,M163:T222,TRUE,TRUE),1,4)</f>
        <v/>
      </c>
      <c r="AG222" s="7">
        <f>INDEX(LINEST(L163:L222,M163:T222,TRUE,TRUE),1,3)</f>
        <v/>
      </c>
      <c r="AH222" s="7">
        <f>INDEX(LINEST(L163:L222,M163:T222,TRUE,TRUE),1,2)</f>
        <v/>
      </c>
      <c r="AI222" s="7">
        <f>INDEX(LINEST(L163:L222,M163:T222,TRUE,TRUE),1,1)</f>
        <v/>
      </c>
      <c r="AJ222" s="8">
        <f>INDEX(LINEST(L163:L222,M163:T222,TRUE,TRUE),3,1)</f>
        <v/>
      </c>
    </row>
    <row r="223">
      <c r="L223" s="7">
        <f>LN(B223/B222)</f>
        <v/>
      </c>
      <c r="M223" s="7">
        <f>C223-C222</f>
        <v/>
      </c>
      <c r="N223" s="7">
        <f>D223-D222</f>
        <v/>
      </c>
      <c r="O223" s="7">
        <f>LN(E223/E222)</f>
        <v/>
      </c>
      <c r="P223" s="7">
        <f>LN(F223/F222)</f>
        <v/>
      </c>
      <c r="Q223" s="7">
        <f>G223-G222</f>
        <v/>
      </c>
      <c r="R223" s="7">
        <f>H223-H222</f>
        <v/>
      </c>
      <c r="S223" s="7">
        <f>LN(I223/I222)</f>
        <v/>
      </c>
      <c r="T223" s="7">
        <f>LN(J223/J222)</f>
        <v/>
      </c>
      <c r="U223" s="7">
        <f>$W$12+$W$4*M223+$W$5*N223+$W$6*O223+$W$7*P223+$W$8*Q223+$W$9*R223+$W$10*S223+$W$11*T223</f>
        <v/>
      </c>
      <c r="AA223" s="8">
        <f>INDEX(LINEST(L164:L223,M164:T223,TRUE,TRUE),1,9)*12</f>
        <v/>
      </c>
      <c r="AB223" s="7">
        <f>INDEX(LINEST(L164:L223,M164:T223,TRUE,TRUE),1,8)</f>
        <v/>
      </c>
      <c r="AC223" s="7">
        <f>INDEX(LINEST(L164:L223,M164:T223,TRUE,TRUE),1,7)</f>
        <v/>
      </c>
      <c r="AD223" s="7">
        <f>INDEX(LINEST(L164:L223,M164:T223,TRUE,TRUE),1,6)</f>
        <v/>
      </c>
      <c r="AE223" s="7">
        <f>INDEX(LINEST(L164:L223,M164:T223,TRUE,TRUE),1,5)</f>
        <v/>
      </c>
      <c r="AF223" s="7">
        <f>INDEX(LINEST(L164:L223,M164:T223,TRUE,TRUE),1,4)</f>
        <v/>
      </c>
      <c r="AG223" s="7">
        <f>INDEX(LINEST(L164:L223,M164:T223,TRUE,TRUE),1,3)</f>
        <v/>
      </c>
      <c r="AH223" s="7">
        <f>INDEX(LINEST(L164:L223,M164:T223,TRUE,TRUE),1,2)</f>
        <v/>
      </c>
      <c r="AI223" s="7">
        <f>INDEX(LINEST(L164:L223,M164:T223,TRUE,TRUE),1,1)</f>
        <v/>
      </c>
      <c r="AJ223" s="8">
        <f>INDEX(LINEST(L164:L223,M164:T223,TRUE,TRUE),3,1)</f>
        <v/>
      </c>
    </row>
    <row r="224">
      <c r="L224" s="7">
        <f>LN(B224/B223)</f>
        <v/>
      </c>
      <c r="M224" s="7">
        <f>C224-C223</f>
        <v/>
      </c>
      <c r="N224" s="7">
        <f>D224-D223</f>
        <v/>
      </c>
      <c r="O224" s="7">
        <f>LN(E224/E223)</f>
        <v/>
      </c>
      <c r="P224" s="7">
        <f>LN(F224/F223)</f>
        <v/>
      </c>
      <c r="Q224" s="7">
        <f>G224-G223</f>
        <v/>
      </c>
      <c r="R224" s="7">
        <f>H224-H223</f>
        <v/>
      </c>
      <c r="S224" s="7">
        <f>LN(I224/I223)</f>
        <v/>
      </c>
      <c r="T224" s="7">
        <f>LN(J224/J223)</f>
        <v/>
      </c>
      <c r="U224" s="7">
        <f>$W$12+$W$4*M224+$W$5*N224+$W$6*O224+$W$7*P224+$W$8*Q224+$W$9*R224+$W$10*S224+$W$11*T224</f>
        <v/>
      </c>
      <c r="AA224" s="8">
        <f>INDEX(LINEST(L165:L224,M165:T224,TRUE,TRUE),1,9)*12</f>
        <v/>
      </c>
      <c r="AB224" s="7">
        <f>INDEX(LINEST(L165:L224,M165:T224,TRUE,TRUE),1,8)</f>
        <v/>
      </c>
      <c r="AC224" s="7">
        <f>INDEX(LINEST(L165:L224,M165:T224,TRUE,TRUE),1,7)</f>
        <v/>
      </c>
      <c r="AD224" s="7">
        <f>INDEX(LINEST(L165:L224,M165:T224,TRUE,TRUE),1,6)</f>
        <v/>
      </c>
      <c r="AE224" s="7">
        <f>INDEX(LINEST(L165:L224,M165:T224,TRUE,TRUE),1,5)</f>
        <v/>
      </c>
      <c r="AF224" s="7">
        <f>INDEX(LINEST(L165:L224,M165:T224,TRUE,TRUE),1,4)</f>
        <v/>
      </c>
      <c r="AG224" s="7">
        <f>INDEX(LINEST(L165:L224,M165:T224,TRUE,TRUE),1,3)</f>
        <v/>
      </c>
      <c r="AH224" s="7">
        <f>INDEX(LINEST(L165:L224,M165:T224,TRUE,TRUE),1,2)</f>
        <v/>
      </c>
      <c r="AI224" s="7">
        <f>INDEX(LINEST(L165:L224,M165:T224,TRUE,TRUE),1,1)</f>
        <v/>
      </c>
      <c r="AJ224" s="8">
        <f>INDEX(LINEST(L165:L224,M165:T224,TRUE,TRUE),3,1)</f>
        <v/>
      </c>
    </row>
    <row r="225">
      <c r="L225" s="7">
        <f>LN(B225/B224)</f>
        <v/>
      </c>
      <c r="M225" s="7">
        <f>C225-C224</f>
        <v/>
      </c>
      <c r="N225" s="7">
        <f>D225-D224</f>
        <v/>
      </c>
      <c r="O225" s="7">
        <f>LN(E225/E224)</f>
        <v/>
      </c>
      <c r="P225" s="7">
        <f>LN(F225/F224)</f>
        <v/>
      </c>
      <c r="Q225" s="7">
        <f>G225-G224</f>
        <v/>
      </c>
      <c r="R225" s="7">
        <f>H225-H224</f>
        <v/>
      </c>
      <c r="S225" s="7">
        <f>LN(I225/I224)</f>
        <v/>
      </c>
      <c r="T225" s="7">
        <f>LN(J225/J224)</f>
        <v/>
      </c>
      <c r="U225" s="7">
        <f>$W$12+$W$4*M225+$W$5*N225+$W$6*O225+$W$7*P225+$W$8*Q225+$W$9*R225+$W$10*S225+$W$11*T225</f>
        <v/>
      </c>
      <c r="AA225" s="8">
        <f>INDEX(LINEST(L166:L225,M166:T225,TRUE,TRUE),1,9)*12</f>
        <v/>
      </c>
      <c r="AB225" s="7">
        <f>INDEX(LINEST(L166:L225,M166:T225,TRUE,TRUE),1,8)</f>
        <v/>
      </c>
      <c r="AC225" s="7">
        <f>INDEX(LINEST(L166:L225,M166:T225,TRUE,TRUE),1,7)</f>
        <v/>
      </c>
      <c r="AD225" s="7">
        <f>INDEX(LINEST(L166:L225,M166:T225,TRUE,TRUE),1,6)</f>
        <v/>
      </c>
      <c r="AE225" s="7">
        <f>INDEX(LINEST(L166:L225,M166:T225,TRUE,TRUE),1,5)</f>
        <v/>
      </c>
      <c r="AF225" s="7">
        <f>INDEX(LINEST(L166:L225,M166:T225,TRUE,TRUE),1,4)</f>
        <v/>
      </c>
      <c r="AG225" s="7">
        <f>INDEX(LINEST(L166:L225,M166:T225,TRUE,TRUE),1,3)</f>
        <v/>
      </c>
      <c r="AH225" s="7">
        <f>INDEX(LINEST(L166:L225,M166:T225,TRUE,TRUE),1,2)</f>
        <v/>
      </c>
      <c r="AI225" s="7">
        <f>INDEX(LINEST(L166:L225,M166:T225,TRUE,TRUE),1,1)</f>
        <v/>
      </c>
      <c r="AJ225" s="8">
        <f>INDEX(LINEST(L166:L225,M166:T225,TRUE,TRUE),3,1)</f>
        <v/>
      </c>
    </row>
    <row r="226">
      <c r="L226" s="7">
        <f>LN(B226/B225)</f>
        <v/>
      </c>
      <c r="M226" s="7">
        <f>C226-C225</f>
        <v/>
      </c>
      <c r="N226" s="7">
        <f>D226-D225</f>
        <v/>
      </c>
      <c r="O226" s="7">
        <f>LN(E226/E225)</f>
        <v/>
      </c>
      <c r="P226" s="7">
        <f>LN(F226/F225)</f>
        <v/>
      </c>
      <c r="Q226" s="7">
        <f>G226-G225</f>
        <v/>
      </c>
      <c r="R226" s="7">
        <f>H226-H225</f>
        <v/>
      </c>
      <c r="S226" s="7">
        <f>LN(I226/I225)</f>
        <v/>
      </c>
      <c r="T226" s="7">
        <f>LN(J226/J225)</f>
        <v/>
      </c>
      <c r="U226" s="7">
        <f>$W$12+$W$4*M226+$W$5*N226+$W$6*O226+$W$7*P226+$W$8*Q226+$W$9*R226+$W$10*S226+$W$11*T226</f>
        <v/>
      </c>
      <c r="AA226" s="8">
        <f>INDEX(LINEST(L167:L226,M167:T226,TRUE,TRUE),1,9)*12</f>
        <v/>
      </c>
      <c r="AB226" s="7">
        <f>INDEX(LINEST(L167:L226,M167:T226,TRUE,TRUE),1,8)</f>
        <v/>
      </c>
      <c r="AC226" s="7">
        <f>INDEX(LINEST(L167:L226,M167:T226,TRUE,TRUE),1,7)</f>
        <v/>
      </c>
      <c r="AD226" s="7">
        <f>INDEX(LINEST(L167:L226,M167:T226,TRUE,TRUE),1,6)</f>
        <v/>
      </c>
      <c r="AE226" s="7">
        <f>INDEX(LINEST(L167:L226,M167:T226,TRUE,TRUE),1,5)</f>
        <v/>
      </c>
      <c r="AF226" s="7">
        <f>INDEX(LINEST(L167:L226,M167:T226,TRUE,TRUE),1,4)</f>
        <v/>
      </c>
      <c r="AG226" s="7">
        <f>INDEX(LINEST(L167:L226,M167:T226,TRUE,TRUE),1,3)</f>
        <v/>
      </c>
      <c r="AH226" s="7">
        <f>INDEX(LINEST(L167:L226,M167:T226,TRUE,TRUE),1,2)</f>
        <v/>
      </c>
      <c r="AI226" s="7">
        <f>INDEX(LINEST(L167:L226,M167:T226,TRUE,TRUE),1,1)</f>
        <v/>
      </c>
      <c r="AJ226" s="8">
        <f>INDEX(LINEST(L167:L226,M167:T226,TRUE,TRUE),3,1)</f>
        <v/>
      </c>
    </row>
    <row r="227">
      <c r="L227" s="7">
        <f>LN(B227/B226)</f>
        <v/>
      </c>
      <c r="M227" s="7">
        <f>C227-C226</f>
        <v/>
      </c>
      <c r="N227" s="7">
        <f>D227-D226</f>
        <v/>
      </c>
      <c r="O227" s="7">
        <f>LN(E227/E226)</f>
        <v/>
      </c>
      <c r="P227" s="7">
        <f>LN(F227/F226)</f>
        <v/>
      </c>
      <c r="Q227" s="7">
        <f>G227-G226</f>
        <v/>
      </c>
      <c r="R227" s="7">
        <f>H227-H226</f>
        <v/>
      </c>
      <c r="S227" s="7">
        <f>LN(I227/I226)</f>
        <v/>
      </c>
      <c r="T227" s="7">
        <f>LN(J227/J226)</f>
        <v/>
      </c>
      <c r="U227" s="7">
        <f>$W$12+$W$4*M227+$W$5*N227+$W$6*O227+$W$7*P227+$W$8*Q227+$W$9*R227+$W$10*S227+$W$11*T227</f>
        <v/>
      </c>
      <c r="AA227" s="8">
        <f>INDEX(LINEST(L168:L227,M168:T227,TRUE,TRUE),1,9)*12</f>
        <v/>
      </c>
      <c r="AB227" s="7">
        <f>INDEX(LINEST(L168:L227,M168:T227,TRUE,TRUE),1,8)</f>
        <v/>
      </c>
      <c r="AC227" s="7">
        <f>INDEX(LINEST(L168:L227,M168:T227,TRUE,TRUE),1,7)</f>
        <v/>
      </c>
      <c r="AD227" s="7">
        <f>INDEX(LINEST(L168:L227,M168:T227,TRUE,TRUE),1,6)</f>
        <v/>
      </c>
      <c r="AE227" s="7">
        <f>INDEX(LINEST(L168:L227,M168:T227,TRUE,TRUE),1,5)</f>
        <v/>
      </c>
      <c r="AF227" s="7">
        <f>INDEX(LINEST(L168:L227,M168:T227,TRUE,TRUE),1,4)</f>
        <v/>
      </c>
      <c r="AG227" s="7">
        <f>INDEX(LINEST(L168:L227,M168:T227,TRUE,TRUE),1,3)</f>
        <v/>
      </c>
      <c r="AH227" s="7">
        <f>INDEX(LINEST(L168:L227,M168:T227,TRUE,TRUE),1,2)</f>
        <v/>
      </c>
      <c r="AI227" s="7">
        <f>INDEX(LINEST(L168:L227,M168:T227,TRUE,TRUE),1,1)</f>
        <v/>
      </c>
      <c r="AJ227" s="8">
        <f>INDEX(LINEST(L168:L227,M168:T227,TRUE,TRUE),3,1)</f>
        <v/>
      </c>
    </row>
    <row r="228">
      <c r="L228" s="7">
        <f>LN(B228/B227)</f>
        <v/>
      </c>
      <c r="M228" s="7">
        <f>C228-C227</f>
        <v/>
      </c>
      <c r="N228" s="7">
        <f>D228-D227</f>
        <v/>
      </c>
      <c r="O228" s="7">
        <f>LN(E228/E227)</f>
        <v/>
      </c>
      <c r="P228" s="7">
        <f>LN(F228/F227)</f>
        <v/>
      </c>
      <c r="Q228" s="7">
        <f>G228-G227</f>
        <v/>
      </c>
      <c r="R228" s="7">
        <f>H228-H227</f>
        <v/>
      </c>
      <c r="S228" s="7">
        <f>LN(I228/I227)</f>
        <v/>
      </c>
      <c r="T228" s="7">
        <f>LN(J228/J227)</f>
        <v/>
      </c>
      <c r="U228" s="7">
        <f>$W$12+$W$4*M228+$W$5*N228+$W$6*O228+$W$7*P228+$W$8*Q228+$W$9*R228+$W$10*S228+$W$11*T228</f>
        <v/>
      </c>
      <c r="AA228" s="8">
        <f>INDEX(LINEST(L169:L228,M169:T228,TRUE,TRUE),1,9)*12</f>
        <v/>
      </c>
      <c r="AB228" s="7">
        <f>INDEX(LINEST(L169:L228,M169:T228,TRUE,TRUE),1,8)</f>
        <v/>
      </c>
      <c r="AC228" s="7">
        <f>INDEX(LINEST(L169:L228,M169:T228,TRUE,TRUE),1,7)</f>
        <v/>
      </c>
      <c r="AD228" s="7">
        <f>INDEX(LINEST(L169:L228,M169:T228,TRUE,TRUE),1,6)</f>
        <v/>
      </c>
      <c r="AE228" s="7">
        <f>INDEX(LINEST(L169:L228,M169:T228,TRUE,TRUE),1,5)</f>
        <v/>
      </c>
      <c r="AF228" s="7">
        <f>INDEX(LINEST(L169:L228,M169:T228,TRUE,TRUE),1,4)</f>
        <v/>
      </c>
      <c r="AG228" s="7">
        <f>INDEX(LINEST(L169:L228,M169:T228,TRUE,TRUE),1,3)</f>
        <v/>
      </c>
      <c r="AH228" s="7">
        <f>INDEX(LINEST(L169:L228,M169:T228,TRUE,TRUE),1,2)</f>
        <v/>
      </c>
      <c r="AI228" s="7">
        <f>INDEX(LINEST(L169:L228,M169:T228,TRUE,TRUE),1,1)</f>
        <v/>
      </c>
      <c r="AJ228" s="8">
        <f>INDEX(LINEST(L169:L228,M169:T228,TRUE,TRUE),3,1)</f>
        <v/>
      </c>
    </row>
    <row r="229">
      <c r="L229" s="7">
        <f>LN(B229/B228)</f>
        <v/>
      </c>
      <c r="M229" s="7">
        <f>C229-C228</f>
        <v/>
      </c>
      <c r="N229" s="7">
        <f>D229-D228</f>
        <v/>
      </c>
      <c r="O229" s="7">
        <f>LN(E229/E228)</f>
        <v/>
      </c>
      <c r="P229" s="7">
        <f>LN(F229/F228)</f>
        <v/>
      </c>
      <c r="Q229" s="7">
        <f>G229-G228</f>
        <v/>
      </c>
      <c r="R229" s="7">
        <f>H229-H228</f>
        <v/>
      </c>
      <c r="S229" s="7">
        <f>LN(I229/I228)</f>
        <v/>
      </c>
      <c r="T229" s="7">
        <f>LN(J229/J228)</f>
        <v/>
      </c>
      <c r="U229" s="7">
        <f>$W$12+$W$4*M229+$W$5*N229+$W$6*O229+$W$7*P229+$W$8*Q229+$W$9*R229+$W$10*S229+$W$11*T229</f>
        <v/>
      </c>
      <c r="AA229" s="8">
        <f>INDEX(LINEST(L170:L229,M170:T229,TRUE,TRUE),1,9)*12</f>
        <v/>
      </c>
      <c r="AB229" s="7">
        <f>INDEX(LINEST(L170:L229,M170:T229,TRUE,TRUE),1,8)</f>
        <v/>
      </c>
      <c r="AC229" s="7">
        <f>INDEX(LINEST(L170:L229,M170:T229,TRUE,TRUE),1,7)</f>
        <v/>
      </c>
      <c r="AD229" s="7">
        <f>INDEX(LINEST(L170:L229,M170:T229,TRUE,TRUE),1,6)</f>
        <v/>
      </c>
      <c r="AE229" s="7">
        <f>INDEX(LINEST(L170:L229,M170:T229,TRUE,TRUE),1,5)</f>
        <v/>
      </c>
      <c r="AF229" s="7">
        <f>INDEX(LINEST(L170:L229,M170:T229,TRUE,TRUE),1,4)</f>
        <v/>
      </c>
      <c r="AG229" s="7">
        <f>INDEX(LINEST(L170:L229,M170:T229,TRUE,TRUE),1,3)</f>
        <v/>
      </c>
      <c r="AH229" s="7">
        <f>INDEX(LINEST(L170:L229,M170:T229,TRUE,TRUE),1,2)</f>
        <v/>
      </c>
      <c r="AI229" s="7">
        <f>INDEX(LINEST(L170:L229,M170:T229,TRUE,TRUE),1,1)</f>
        <v/>
      </c>
      <c r="AJ229" s="8">
        <f>INDEX(LINEST(L170:L229,M170:T229,TRUE,TRUE),3,1)</f>
        <v/>
      </c>
    </row>
    <row r="230">
      <c r="L230" s="7">
        <f>LN(B230/B229)</f>
        <v/>
      </c>
      <c r="M230" s="7">
        <f>C230-C229</f>
        <v/>
      </c>
      <c r="N230" s="7">
        <f>D230-D229</f>
        <v/>
      </c>
      <c r="O230" s="7">
        <f>LN(E230/E229)</f>
        <v/>
      </c>
      <c r="P230" s="7">
        <f>LN(F230/F229)</f>
        <v/>
      </c>
      <c r="Q230" s="7">
        <f>G230-G229</f>
        <v/>
      </c>
      <c r="R230" s="7">
        <f>H230-H229</f>
        <v/>
      </c>
      <c r="S230" s="7">
        <f>LN(I230/I229)</f>
        <v/>
      </c>
      <c r="T230" s="7">
        <f>LN(J230/J229)</f>
        <v/>
      </c>
      <c r="U230" s="7">
        <f>$W$12+$W$4*M230+$W$5*N230+$W$6*O230+$W$7*P230+$W$8*Q230+$W$9*R230+$W$10*S230+$W$11*T230</f>
        <v/>
      </c>
      <c r="AA230" s="8">
        <f>INDEX(LINEST(L171:L230,M171:T230,TRUE,TRUE),1,9)*12</f>
        <v/>
      </c>
      <c r="AB230" s="7">
        <f>INDEX(LINEST(L171:L230,M171:T230,TRUE,TRUE),1,8)</f>
        <v/>
      </c>
      <c r="AC230" s="7">
        <f>INDEX(LINEST(L171:L230,M171:T230,TRUE,TRUE),1,7)</f>
        <v/>
      </c>
      <c r="AD230" s="7">
        <f>INDEX(LINEST(L171:L230,M171:T230,TRUE,TRUE),1,6)</f>
        <v/>
      </c>
      <c r="AE230" s="7">
        <f>INDEX(LINEST(L171:L230,M171:T230,TRUE,TRUE),1,5)</f>
        <v/>
      </c>
      <c r="AF230" s="7">
        <f>INDEX(LINEST(L171:L230,M171:T230,TRUE,TRUE),1,4)</f>
        <v/>
      </c>
      <c r="AG230" s="7">
        <f>INDEX(LINEST(L171:L230,M171:T230,TRUE,TRUE),1,3)</f>
        <v/>
      </c>
      <c r="AH230" s="7">
        <f>INDEX(LINEST(L171:L230,M171:T230,TRUE,TRUE),1,2)</f>
        <v/>
      </c>
      <c r="AI230" s="7">
        <f>INDEX(LINEST(L171:L230,M171:T230,TRUE,TRUE),1,1)</f>
        <v/>
      </c>
      <c r="AJ230" s="8">
        <f>INDEX(LINEST(L171:L230,M171:T230,TRUE,TRUE),3,1)</f>
        <v/>
      </c>
    </row>
    <row r="231">
      <c r="L231" s="7">
        <f>LN(B231/B230)</f>
        <v/>
      </c>
      <c r="M231" s="7">
        <f>C231-C230</f>
        <v/>
      </c>
      <c r="N231" s="7">
        <f>D231-D230</f>
        <v/>
      </c>
      <c r="O231" s="7">
        <f>LN(E231/E230)</f>
        <v/>
      </c>
      <c r="P231" s="7">
        <f>LN(F231/F230)</f>
        <v/>
      </c>
      <c r="Q231" s="7">
        <f>G231-G230</f>
        <v/>
      </c>
      <c r="R231" s="7">
        <f>H231-H230</f>
        <v/>
      </c>
      <c r="S231" s="7">
        <f>LN(I231/I230)</f>
        <v/>
      </c>
      <c r="T231" s="7">
        <f>LN(J231/J230)</f>
        <v/>
      </c>
      <c r="U231" s="7">
        <f>$W$12+$W$4*M231+$W$5*N231+$W$6*O231+$W$7*P231+$W$8*Q231+$W$9*R231+$W$10*S231+$W$11*T231</f>
        <v/>
      </c>
      <c r="AA231" s="8">
        <f>INDEX(LINEST(L172:L231,M172:T231,TRUE,TRUE),1,9)*12</f>
        <v/>
      </c>
      <c r="AB231" s="7">
        <f>INDEX(LINEST(L172:L231,M172:T231,TRUE,TRUE),1,8)</f>
        <v/>
      </c>
      <c r="AC231" s="7">
        <f>INDEX(LINEST(L172:L231,M172:T231,TRUE,TRUE),1,7)</f>
        <v/>
      </c>
      <c r="AD231" s="7">
        <f>INDEX(LINEST(L172:L231,M172:T231,TRUE,TRUE),1,6)</f>
        <v/>
      </c>
      <c r="AE231" s="7">
        <f>INDEX(LINEST(L172:L231,M172:T231,TRUE,TRUE),1,5)</f>
        <v/>
      </c>
      <c r="AF231" s="7">
        <f>INDEX(LINEST(L172:L231,M172:T231,TRUE,TRUE),1,4)</f>
        <v/>
      </c>
      <c r="AG231" s="7">
        <f>INDEX(LINEST(L172:L231,M172:T231,TRUE,TRUE),1,3)</f>
        <v/>
      </c>
      <c r="AH231" s="7">
        <f>INDEX(LINEST(L172:L231,M172:T231,TRUE,TRUE),1,2)</f>
        <v/>
      </c>
      <c r="AI231" s="7">
        <f>INDEX(LINEST(L172:L231,M172:T231,TRUE,TRUE),1,1)</f>
        <v/>
      </c>
      <c r="AJ231" s="8">
        <f>INDEX(LINEST(L172:L231,M172:T231,TRUE,TRUE),3,1)</f>
        <v/>
      </c>
    </row>
    <row r="232">
      <c r="L232" s="7">
        <f>LN(B232/B231)</f>
        <v/>
      </c>
      <c r="M232" s="7">
        <f>C232-C231</f>
        <v/>
      </c>
      <c r="N232" s="7">
        <f>D232-D231</f>
        <v/>
      </c>
      <c r="O232" s="7">
        <f>LN(E232/E231)</f>
        <v/>
      </c>
      <c r="P232" s="7">
        <f>LN(F232/F231)</f>
        <v/>
      </c>
      <c r="Q232" s="7">
        <f>G232-G231</f>
        <v/>
      </c>
      <c r="R232" s="7">
        <f>H232-H231</f>
        <v/>
      </c>
      <c r="S232" s="7">
        <f>LN(I232/I231)</f>
        <v/>
      </c>
      <c r="T232" s="7">
        <f>LN(J232/J231)</f>
        <v/>
      </c>
      <c r="U232" s="7">
        <f>$W$12+$W$4*M232+$W$5*N232+$W$6*O232+$W$7*P232+$W$8*Q232+$W$9*R232+$W$10*S232+$W$11*T232</f>
        <v/>
      </c>
      <c r="AA232" s="8">
        <f>INDEX(LINEST(L173:L232,M173:T232,TRUE,TRUE),1,9)*12</f>
        <v/>
      </c>
      <c r="AB232" s="7">
        <f>INDEX(LINEST(L173:L232,M173:T232,TRUE,TRUE),1,8)</f>
        <v/>
      </c>
      <c r="AC232" s="7">
        <f>INDEX(LINEST(L173:L232,M173:T232,TRUE,TRUE),1,7)</f>
        <v/>
      </c>
      <c r="AD232" s="7">
        <f>INDEX(LINEST(L173:L232,M173:T232,TRUE,TRUE),1,6)</f>
        <v/>
      </c>
      <c r="AE232" s="7">
        <f>INDEX(LINEST(L173:L232,M173:T232,TRUE,TRUE),1,5)</f>
        <v/>
      </c>
      <c r="AF232" s="7">
        <f>INDEX(LINEST(L173:L232,M173:T232,TRUE,TRUE),1,4)</f>
        <v/>
      </c>
      <c r="AG232" s="7">
        <f>INDEX(LINEST(L173:L232,M173:T232,TRUE,TRUE),1,3)</f>
        <v/>
      </c>
      <c r="AH232" s="7">
        <f>INDEX(LINEST(L173:L232,M173:T232,TRUE,TRUE),1,2)</f>
        <v/>
      </c>
      <c r="AI232" s="7">
        <f>INDEX(LINEST(L173:L232,M173:T232,TRUE,TRUE),1,1)</f>
        <v/>
      </c>
      <c r="AJ232" s="8">
        <f>INDEX(LINEST(L173:L232,M173:T232,TRUE,TRUE),3,1)</f>
        <v/>
      </c>
    </row>
    <row r="233">
      <c r="L233" s="7">
        <f>LN(B233/B232)</f>
        <v/>
      </c>
      <c r="M233" s="7">
        <f>C233-C232</f>
        <v/>
      </c>
      <c r="N233" s="7">
        <f>D233-D232</f>
        <v/>
      </c>
      <c r="O233" s="7">
        <f>LN(E233/E232)</f>
        <v/>
      </c>
      <c r="P233" s="7">
        <f>LN(F233/F232)</f>
        <v/>
      </c>
      <c r="Q233" s="7">
        <f>G233-G232</f>
        <v/>
      </c>
      <c r="R233" s="7">
        <f>H233-H232</f>
        <v/>
      </c>
      <c r="S233" s="7">
        <f>LN(I233/I232)</f>
        <v/>
      </c>
      <c r="T233" s="7">
        <f>LN(J233/J232)</f>
        <v/>
      </c>
      <c r="U233" s="7">
        <f>$W$12+$W$4*M233+$W$5*N233+$W$6*O233+$W$7*P233+$W$8*Q233+$W$9*R233+$W$10*S233+$W$11*T233</f>
        <v/>
      </c>
      <c r="AA233" s="8">
        <f>INDEX(LINEST(L174:L233,M174:T233,TRUE,TRUE),1,9)*12</f>
        <v/>
      </c>
      <c r="AB233" s="7">
        <f>INDEX(LINEST(L174:L233,M174:T233,TRUE,TRUE),1,8)</f>
        <v/>
      </c>
      <c r="AC233" s="7">
        <f>INDEX(LINEST(L174:L233,M174:T233,TRUE,TRUE),1,7)</f>
        <v/>
      </c>
      <c r="AD233" s="7">
        <f>INDEX(LINEST(L174:L233,M174:T233,TRUE,TRUE),1,6)</f>
        <v/>
      </c>
      <c r="AE233" s="7">
        <f>INDEX(LINEST(L174:L233,M174:T233,TRUE,TRUE),1,5)</f>
        <v/>
      </c>
      <c r="AF233" s="7">
        <f>INDEX(LINEST(L174:L233,M174:T233,TRUE,TRUE),1,4)</f>
        <v/>
      </c>
      <c r="AG233" s="7">
        <f>INDEX(LINEST(L174:L233,M174:T233,TRUE,TRUE),1,3)</f>
        <v/>
      </c>
      <c r="AH233" s="7">
        <f>INDEX(LINEST(L174:L233,M174:T233,TRUE,TRUE),1,2)</f>
        <v/>
      </c>
      <c r="AI233" s="7">
        <f>INDEX(LINEST(L174:L233,M174:T233,TRUE,TRUE),1,1)</f>
        <v/>
      </c>
      <c r="AJ233" s="8">
        <f>INDEX(LINEST(L174:L233,M174:T233,TRUE,TRUE),3,1)</f>
        <v/>
      </c>
    </row>
    <row r="234">
      <c r="L234" s="7">
        <f>LN(B234/B233)</f>
        <v/>
      </c>
      <c r="M234" s="7">
        <f>C234-C233</f>
        <v/>
      </c>
      <c r="N234" s="7">
        <f>D234-D233</f>
        <v/>
      </c>
      <c r="O234" s="7">
        <f>LN(E234/E233)</f>
        <v/>
      </c>
      <c r="P234" s="7">
        <f>LN(F234/F233)</f>
        <v/>
      </c>
      <c r="Q234" s="7">
        <f>G234-G233</f>
        <v/>
      </c>
      <c r="R234" s="7">
        <f>H234-H233</f>
        <v/>
      </c>
      <c r="S234" s="7">
        <f>LN(I234/I233)</f>
        <v/>
      </c>
      <c r="T234" s="7">
        <f>LN(J234/J233)</f>
        <v/>
      </c>
      <c r="U234" s="7">
        <f>$W$12+$W$4*M234+$W$5*N234+$W$6*O234+$W$7*P234+$W$8*Q234+$W$9*R234+$W$10*S234+$W$11*T234</f>
        <v/>
      </c>
      <c r="AA234" s="8">
        <f>INDEX(LINEST(L175:L234,M175:T234,TRUE,TRUE),1,9)*12</f>
        <v/>
      </c>
      <c r="AB234" s="7">
        <f>INDEX(LINEST(L175:L234,M175:T234,TRUE,TRUE),1,8)</f>
        <v/>
      </c>
      <c r="AC234" s="7">
        <f>INDEX(LINEST(L175:L234,M175:T234,TRUE,TRUE),1,7)</f>
        <v/>
      </c>
      <c r="AD234" s="7">
        <f>INDEX(LINEST(L175:L234,M175:T234,TRUE,TRUE),1,6)</f>
        <v/>
      </c>
      <c r="AE234" s="7">
        <f>INDEX(LINEST(L175:L234,M175:T234,TRUE,TRUE),1,5)</f>
        <v/>
      </c>
      <c r="AF234" s="7">
        <f>INDEX(LINEST(L175:L234,M175:T234,TRUE,TRUE),1,4)</f>
        <v/>
      </c>
      <c r="AG234" s="7">
        <f>INDEX(LINEST(L175:L234,M175:T234,TRUE,TRUE),1,3)</f>
        <v/>
      </c>
      <c r="AH234" s="7">
        <f>INDEX(LINEST(L175:L234,M175:T234,TRUE,TRUE),1,2)</f>
        <v/>
      </c>
      <c r="AI234" s="7">
        <f>INDEX(LINEST(L175:L234,M175:T234,TRUE,TRUE),1,1)</f>
        <v/>
      </c>
      <c r="AJ234" s="8">
        <f>INDEX(LINEST(L175:L234,M175:T234,TRUE,TRUE),3,1)</f>
        <v/>
      </c>
    </row>
    <row r="235">
      <c r="L235" s="7">
        <f>LN(B235/B234)</f>
        <v/>
      </c>
      <c r="M235" s="7">
        <f>C235-C234</f>
        <v/>
      </c>
      <c r="N235" s="7">
        <f>D235-D234</f>
        <v/>
      </c>
      <c r="O235" s="7">
        <f>LN(E235/E234)</f>
        <v/>
      </c>
      <c r="P235" s="7">
        <f>LN(F235/F234)</f>
        <v/>
      </c>
      <c r="Q235" s="7">
        <f>G235-G234</f>
        <v/>
      </c>
      <c r="R235" s="7">
        <f>H235-H234</f>
        <v/>
      </c>
      <c r="S235" s="7">
        <f>LN(I235/I234)</f>
        <v/>
      </c>
      <c r="T235" s="7">
        <f>LN(J235/J234)</f>
        <v/>
      </c>
      <c r="U235" s="7">
        <f>$W$12+$W$4*M235+$W$5*N235+$W$6*O235+$W$7*P235+$W$8*Q235+$W$9*R235+$W$10*S235+$W$11*T235</f>
        <v/>
      </c>
      <c r="AA235" s="8">
        <f>INDEX(LINEST(L176:L235,M176:T235,TRUE,TRUE),1,9)*12</f>
        <v/>
      </c>
      <c r="AB235" s="7">
        <f>INDEX(LINEST(L176:L235,M176:T235,TRUE,TRUE),1,8)</f>
        <v/>
      </c>
      <c r="AC235" s="7">
        <f>INDEX(LINEST(L176:L235,M176:T235,TRUE,TRUE),1,7)</f>
        <v/>
      </c>
      <c r="AD235" s="7">
        <f>INDEX(LINEST(L176:L235,M176:T235,TRUE,TRUE),1,6)</f>
        <v/>
      </c>
      <c r="AE235" s="7">
        <f>INDEX(LINEST(L176:L235,M176:T235,TRUE,TRUE),1,5)</f>
        <v/>
      </c>
      <c r="AF235" s="7">
        <f>INDEX(LINEST(L176:L235,M176:T235,TRUE,TRUE),1,4)</f>
        <v/>
      </c>
      <c r="AG235" s="7">
        <f>INDEX(LINEST(L176:L235,M176:T235,TRUE,TRUE),1,3)</f>
        <v/>
      </c>
      <c r="AH235" s="7">
        <f>INDEX(LINEST(L176:L235,M176:T235,TRUE,TRUE),1,2)</f>
        <v/>
      </c>
      <c r="AI235" s="7">
        <f>INDEX(LINEST(L176:L235,M176:T235,TRUE,TRUE),1,1)</f>
        <v/>
      </c>
      <c r="AJ235" s="8">
        <f>INDEX(LINEST(L176:L235,M176:T235,TRUE,TRUE),3,1)</f>
        <v/>
      </c>
    </row>
    <row r="236">
      <c r="L236" s="7">
        <f>LN(B236/B235)</f>
        <v/>
      </c>
      <c r="M236" s="7">
        <f>C236-C235</f>
        <v/>
      </c>
      <c r="N236" s="7">
        <f>D236-D235</f>
        <v/>
      </c>
      <c r="O236" s="7">
        <f>LN(E236/E235)</f>
        <v/>
      </c>
      <c r="P236" s="7">
        <f>LN(F236/F235)</f>
        <v/>
      </c>
      <c r="Q236" s="7">
        <f>G236-G235</f>
        <v/>
      </c>
      <c r="R236" s="7">
        <f>H236-H235</f>
        <v/>
      </c>
      <c r="S236" s="7">
        <f>LN(I236/I235)</f>
        <v/>
      </c>
      <c r="T236" s="7">
        <f>LN(J236/J235)</f>
        <v/>
      </c>
      <c r="U236" s="7">
        <f>$W$12+$W$4*M236+$W$5*N236+$W$6*O236+$W$7*P236+$W$8*Q236+$W$9*R236+$W$10*S236+$W$11*T236</f>
        <v/>
      </c>
      <c r="AA236" s="8">
        <f>INDEX(LINEST(L177:L236,M177:T236,TRUE,TRUE),1,9)*12</f>
        <v/>
      </c>
      <c r="AB236" s="7">
        <f>INDEX(LINEST(L177:L236,M177:T236,TRUE,TRUE),1,8)</f>
        <v/>
      </c>
      <c r="AC236" s="7">
        <f>INDEX(LINEST(L177:L236,M177:T236,TRUE,TRUE),1,7)</f>
        <v/>
      </c>
      <c r="AD236" s="7">
        <f>INDEX(LINEST(L177:L236,M177:T236,TRUE,TRUE),1,6)</f>
        <v/>
      </c>
      <c r="AE236" s="7">
        <f>INDEX(LINEST(L177:L236,M177:T236,TRUE,TRUE),1,5)</f>
        <v/>
      </c>
      <c r="AF236" s="7">
        <f>INDEX(LINEST(L177:L236,M177:T236,TRUE,TRUE),1,4)</f>
        <v/>
      </c>
      <c r="AG236" s="7">
        <f>INDEX(LINEST(L177:L236,M177:T236,TRUE,TRUE),1,3)</f>
        <v/>
      </c>
      <c r="AH236" s="7">
        <f>INDEX(LINEST(L177:L236,M177:T236,TRUE,TRUE),1,2)</f>
        <v/>
      </c>
      <c r="AI236" s="7">
        <f>INDEX(LINEST(L177:L236,M177:T236,TRUE,TRUE),1,1)</f>
        <v/>
      </c>
      <c r="AJ236" s="8">
        <f>INDEX(LINEST(L177:L236,M177:T236,TRUE,TRUE),3,1)</f>
        <v/>
      </c>
    </row>
    <row r="237">
      <c r="L237" s="7">
        <f>LN(B237/B236)</f>
        <v/>
      </c>
      <c r="M237" s="7">
        <f>C237-C236</f>
        <v/>
      </c>
      <c r="N237" s="7">
        <f>D237-D236</f>
        <v/>
      </c>
      <c r="O237" s="7">
        <f>LN(E237/E236)</f>
        <v/>
      </c>
      <c r="P237" s="7">
        <f>LN(F237/F236)</f>
        <v/>
      </c>
      <c r="Q237" s="7">
        <f>G237-G236</f>
        <v/>
      </c>
      <c r="R237" s="7">
        <f>H237-H236</f>
        <v/>
      </c>
      <c r="S237" s="7">
        <f>LN(I237/I236)</f>
        <v/>
      </c>
      <c r="T237" s="7">
        <f>LN(J237/J236)</f>
        <v/>
      </c>
      <c r="U237" s="7">
        <f>$W$12+$W$4*M237+$W$5*N237+$W$6*O237+$W$7*P237+$W$8*Q237+$W$9*R237+$W$10*S237+$W$11*T237</f>
        <v/>
      </c>
      <c r="AA237" s="8">
        <f>INDEX(LINEST(L178:L237,M178:T237,TRUE,TRUE),1,9)*12</f>
        <v/>
      </c>
      <c r="AB237" s="7">
        <f>INDEX(LINEST(L178:L237,M178:T237,TRUE,TRUE),1,8)</f>
        <v/>
      </c>
      <c r="AC237" s="7">
        <f>INDEX(LINEST(L178:L237,M178:T237,TRUE,TRUE),1,7)</f>
        <v/>
      </c>
      <c r="AD237" s="7">
        <f>INDEX(LINEST(L178:L237,M178:T237,TRUE,TRUE),1,6)</f>
        <v/>
      </c>
      <c r="AE237" s="7">
        <f>INDEX(LINEST(L178:L237,M178:T237,TRUE,TRUE),1,5)</f>
        <v/>
      </c>
      <c r="AF237" s="7">
        <f>INDEX(LINEST(L178:L237,M178:T237,TRUE,TRUE),1,4)</f>
        <v/>
      </c>
      <c r="AG237" s="7">
        <f>INDEX(LINEST(L178:L237,M178:T237,TRUE,TRUE),1,3)</f>
        <v/>
      </c>
      <c r="AH237" s="7">
        <f>INDEX(LINEST(L178:L237,M178:T237,TRUE,TRUE),1,2)</f>
        <v/>
      </c>
      <c r="AI237" s="7">
        <f>INDEX(LINEST(L178:L237,M178:T237,TRUE,TRUE),1,1)</f>
        <v/>
      </c>
      <c r="AJ237" s="8">
        <f>INDEX(LINEST(L178:L237,M178:T237,TRUE,TRUE),3,1)</f>
        <v/>
      </c>
    </row>
    <row r="238">
      <c r="L238" s="7">
        <f>LN(B238/B237)</f>
        <v/>
      </c>
      <c r="M238" s="7">
        <f>C238-C237</f>
        <v/>
      </c>
      <c r="N238" s="7">
        <f>D238-D237</f>
        <v/>
      </c>
      <c r="O238" s="7">
        <f>LN(E238/E237)</f>
        <v/>
      </c>
      <c r="P238" s="7">
        <f>LN(F238/F237)</f>
        <v/>
      </c>
      <c r="Q238" s="7">
        <f>G238-G237</f>
        <v/>
      </c>
      <c r="R238" s="7">
        <f>H238-H237</f>
        <v/>
      </c>
      <c r="S238" s="7">
        <f>LN(I238/I237)</f>
        <v/>
      </c>
      <c r="T238" s="7">
        <f>LN(J238/J237)</f>
        <v/>
      </c>
      <c r="U238" s="7">
        <f>$W$12+$W$4*M238+$W$5*N238+$W$6*O238+$W$7*P238+$W$8*Q238+$W$9*R238+$W$10*S238+$W$11*T238</f>
        <v/>
      </c>
      <c r="AA238" s="8">
        <f>INDEX(LINEST(L179:L238,M179:T238,TRUE,TRUE),1,9)*12</f>
        <v/>
      </c>
      <c r="AB238" s="7">
        <f>INDEX(LINEST(L179:L238,M179:T238,TRUE,TRUE),1,8)</f>
        <v/>
      </c>
      <c r="AC238" s="7">
        <f>INDEX(LINEST(L179:L238,M179:T238,TRUE,TRUE),1,7)</f>
        <v/>
      </c>
      <c r="AD238" s="7">
        <f>INDEX(LINEST(L179:L238,M179:T238,TRUE,TRUE),1,6)</f>
        <v/>
      </c>
      <c r="AE238" s="7">
        <f>INDEX(LINEST(L179:L238,M179:T238,TRUE,TRUE),1,5)</f>
        <v/>
      </c>
      <c r="AF238" s="7">
        <f>INDEX(LINEST(L179:L238,M179:T238,TRUE,TRUE),1,4)</f>
        <v/>
      </c>
      <c r="AG238" s="7">
        <f>INDEX(LINEST(L179:L238,M179:T238,TRUE,TRUE),1,3)</f>
        <v/>
      </c>
      <c r="AH238" s="7">
        <f>INDEX(LINEST(L179:L238,M179:T238,TRUE,TRUE),1,2)</f>
        <v/>
      </c>
      <c r="AI238" s="7">
        <f>INDEX(LINEST(L179:L238,M179:T238,TRUE,TRUE),1,1)</f>
        <v/>
      </c>
      <c r="AJ238" s="8">
        <f>INDEX(LINEST(L179:L238,M179:T238,TRUE,TRUE),3,1)</f>
        <v/>
      </c>
    </row>
    <row r="239">
      <c r="L239" s="7">
        <f>LN(B239/B238)</f>
        <v/>
      </c>
      <c r="M239" s="7">
        <f>C239-C238</f>
        <v/>
      </c>
      <c r="N239" s="7">
        <f>D239-D238</f>
        <v/>
      </c>
      <c r="O239" s="7">
        <f>LN(E239/E238)</f>
        <v/>
      </c>
      <c r="P239" s="7">
        <f>LN(F239/F238)</f>
        <v/>
      </c>
      <c r="Q239" s="7">
        <f>G239-G238</f>
        <v/>
      </c>
      <c r="R239" s="7">
        <f>H239-H238</f>
        <v/>
      </c>
      <c r="S239" s="7">
        <f>LN(I239/I238)</f>
        <v/>
      </c>
      <c r="T239" s="7">
        <f>LN(J239/J238)</f>
        <v/>
      </c>
      <c r="U239" s="7">
        <f>$W$12+$W$4*M239+$W$5*N239+$W$6*O239+$W$7*P239+$W$8*Q239+$W$9*R239+$W$10*S239+$W$11*T239</f>
        <v/>
      </c>
      <c r="AA239" s="8">
        <f>INDEX(LINEST(L180:L239,M180:T239,TRUE,TRUE),1,9)*12</f>
        <v/>
      </c>
      <c r="AB239" s="7">
        <f>INDEX(LINEST(L180:L239,M180:T239,TRUE,TRUE),1,8)</f>
        <v/>
      </c>
      <c r="AC239" s="7">
        <f>INDEX(LINEST(L180:L239,M180:T239,TRUE,TRUE),1,7)</f>
        <v/>
      </c>
      <c r="AD239" s="7">
        <f>INDEX(LINEST(L180:L239,M180:T239,TRUE,TRUE),1,6)</f>
        <v/>
      </c>
      <c r="AE239" s="7">
        <f>INDEX(LINEST(L180:L239,M180:T239,TRUE,TRUE),1,5)</f>
        <v/>
      </c>
      <c r="AF239" s="7">
        <f>INDEX(LINEST(L180:L239,M180:T239,TRUE,TRUE),1,4)</f>
        <v/>
      </c>
      <c r="AG239" s="7">
        <f>INDEX(LINEST(L180:L239,M180:T239,TRUE,TRUE),1,3)</f>
        <v/>
      </c>
      <c r="AH239" s="7">
        <f>INDEX(LINEST(L180:L239,M180:T239,TRUE,TRUE),1,2)</f>
        <v/>
      </c>
      <c r="AI239" s="7">
        <f>INDEX(LINEST(L180:L239,M180:T239,TRUE,TRUE),1,1)</f>
        <v/>
      </c>
      <c r="AJ239" s="8">
        <f>INDEX(LINEST(L180:L239,M180:T239,TRUE,TRUE),3,1)</f>
        <v/>
      </c>
    </row>
    <row r="240">
      <c r="L240" s="7">
        <f>LN(B240/B239)</f>
        <v/>
      </c>
      <c r="M240" s="7">
        <f>C240-C239</f>
        <v/>
      </c>
      <c r="N240" s="7">
        <f>D240-D239</f>
        <v/>
      </c>
      <c r="O240" s="7">
        <f>LN(E240/E239)</f>
        <v/>
      </c>
      <c r="P240" s="7">
        <f>LN(F240/F239)</f>
        <v/>
      </c>
      <c r="Q240" s="7">
        <f>G240-G239</f>
        <v/>
      </c>
      <c r="R240" s="7">
        <f>H240-H239</f>
        <v/>
      </c>
      <c r="S240" s="7">
        <f>LN(I240/I239)</f>
        <v/>
      </c>
      <c r="T240" s="7">
        <f>LN(J240/J239)</f>
        <v/>
      </c>
      <c r="U240" s="7">
        <f>$W$12+$W$4*M240+$W$5*N240+$W$6*O240+$W$7*P240+$W$8*Q240+$W$9*R240+$W$10*S240+$W$11*T240</f>
        <v/>
      </c>
      <c r="AA240" s="8">
        <f>INDEX(LINEST(L181:L240,M181:T240,TRUE,TRUE),1,9)*12</f>
        <v/>
      </c>
      <c r="AB240" s="7">
        <f>INDEX(LINEST(L181:L240,M181:T240,TRUE,TRUE),1,8)</f>
        <v/>
      </c>
      <c r="AC240" s="7">
        <f>INDEX(LINEST(L181:L240,M181:T240,TRUE,TRUE),1,7)</f>
        <v/>
      </c>
      <c r="AD240" s="7">
        <f>INDEX(LINEST(L181:L240,M181:T240,TRUE,TRUE),1,6)</f>
        <v/>
      </c>
      <c r="AE240" s="7">
        <f>INDEX(LINEST(L181:L240,M181:T240,TRUE,TRUE),1,5)</f>
        <v/>
      </c>
      <c r="AF240" s="7">
        <f>INDEX(LINEST(L181:L240,M181:T240,TRUE,TRUE),1,4)</f>
        <v/>
      </c>
      <c r="AG240" s="7">
        <f>INDEX(LINEST(L181:L240,M181:T240,TRUE,TRUE),1,3)</f>
        <v/>
      </c>
      <c r="AH240" s="7">
        <f>INDEX(LINEST(L181:L240,M181:T240,TRUE,TRUE),1,2)</f>
        <v/>
      </c>
      <c r="AI240" s="7">
        <f>INDEX(LINEST(L181:L240,M181:T240,TRUE,TRUE),1,1)</f>
        <v/>
      </c>
      <c r="AJ240" s="8">
        <f>INDEX(LINEST(L181:L240,M181:T240,TRUE,TRUE),3,1)</f>
        <v/>
      </c>
    </row>
    <row r="241">
      <c r="L241" s="7">
        <f>LN(B241/B240)</f>
        <v/>
      </c>
      <c r="M241" s="7">
        <f>C241-C240</f>
        <v/>
      </c>
      <c r="N241" s="7">
        <f>D241-D240</f>
        <v/>
      </c>
      <c r="O241" s="7">
        <f>LN(E241/E240)</f>
        <v/>
      </c>
      <c r="P241" s="7">
        <f>LN(F241/F240)</f>
        <v/>
      </c>
      <c r="Q241" s="7">
        <f>G241-G240</f>
        <v/>
      </c>
      <c r="R241" s="7">
        <f>H241-H240</f>
        <v/>
      </c>
      <c r="S241" s="7">
        <f>LN(I241/I240)</f>
        <v/>
      </c>
      <c r="T241" s="7">
        <f>LN(J241/J240)</f>
        <v/>
      </c>
      <c r="U241" s="7">
        <f>$W$12+$W$4*M241+$W$5*N241+$W$6*O241+$W$7*P241+$W$8*Q241+$W$9*R241+$W$10*S241+$W$11*T241</f>
        <v/>
      </c>
      <c r="AA241" s="8">
        <f>INDEX(LINEST(L182:L241,M182:T241,TRUE,TRUE),1,9)*12</f>
        <v/>
      </c>
      <c r="AB241" s="7">
        <f>INDEX(LINEST(L182:L241,M182:T241,TRUE,TRUE),1,8)</f>
        <v/>
      </c>
      <c r="AC241" s="7">
        <f>INDEX(LINEST(L182:L241,M182:T241,TRUE,TRUE),1,7)</f>
        <v/>
      </c>
      <c r="AD241" s="7">
        <f>INDEX(LINEST(L182:L241,M182:T241,TRUE,TRUE),1,6)</f>
        <v/>
      </c>
      <c r="AE241" s="7">
        <f>INDEX(LINEST(L182:L241,M182:T241,TRUE,TRUE),1,5)</f>
        <v/>
      </c>
      <c r="AF241" s="7">
        <f>INDEX(LINEST(L182:L241,M182:T241,TRUE,TRUE),1,4)</f>
        <v/>
      </c>
      <c r="AG241" s="7">
        <f>INDEX(LINEST(L182:L241,M182:T241,TRUE,TRUE),1,3)</f>
        <v/>
      </c>
      <c r="AH241" s="7">
        <f>INDEX(LINEST(L182:L241,M182:T241,TRUE,TRUE),1,2)</f>
        <v/>
      </c>
      <c r="AI241" s="7">
        <f>INDEX(LINEST(L182:L241,M182:T241,TRUE,TRUE),1,1)</f>
        <v/>
      </c>
      <c r="AJ241" s="8">
        <f>INDEX(LINEST(L182:L241,M182:T241,TRUE,TRUE),3,1)</f>
        <v/>
      </c>
    </row>
    <row r="242">
      <c r="L242" s="7">
        <f>LN(B242/B241)</f>
        <v/>
      </c>
      <c r="M242" s="7">
        <f>C242-C241</f>
        <v/>
      </c>
      <c r="N242" s="7">
        <f>D242-D241</f>
        <v/>
      </c>
      <c r="O242" s="7">
        <f>LN(E242/E241)</f>
        <v/>
      </c>
      <c r="P242" s="7">
        <f>LN(F242/F241)</f>
        <v/>
      </c>
      <c r="Q242" s="7">
        <f>G242-G241</f>
        <v/>
      </c>
      <c r="R242" s="7">
        <f>H242-H241</f>
        <v/>
      </c>
      <c r="S242" s="7">
        <f>LN(I242/I241)</f>
        <v/>
      </c>
      <c r="T242" s="7">
        <f>LN(J242/J241)</f>
        <v/>
      </c>
      <c r="U242" s="7">
        <f>$W$12+$W$4*M242+$W$5*N242+$W$6*O242+$W$7*P242+$W$8*Q242+$W$9*R242+$W$10*S242+$W$11*T242</f>
        <v/>
      </c>
      <c r="AA242" s="8">
        <f>INDEX(LINEST(L183:L242,M183:T242,TRUE,TRUE),1,9)*12</f>
        <v/>
      </c>
      <c r="AB242" s="7">
        <f>INDEX(LINEST(L183:L242,M183:T242,TRUE,TRUE),1,8)</f>
        <v/>
      </c>
      <c r="AC242" s="7">
        <f>INDEX(LINEST(L183:L242,M183:T242,TRUE,TRUE),1,7)</f>
        <v/>
      </c>
      <c r="AD242" s="7">
        <f>INDEX(LINEST(L183:L242,M183:T242,TRUE,TRUE),1,6)</f>
        <v/>
      </c>
      <c r="AE242" s="7">
        <f>INDEX(LINEST(L183:L242,M183:T242,TRUE,TRUE),1,5)</f>
        <v/>
      </c>
      <c r="AF242" s="7">
        <f>INDEX(LINEST(L183:L242,M183:T242,TRUE,TRUE),1,4)</f>
        <v/>
      </c>
      <c r="AG242" s="7">
        <f>INDEX(LINEST(L183:L242,M183:T242,TRUE,TRUE),1,3)</f>
        <v/>
      </c>
      <c r="AH242" s="7">
        <f>INDEX(LINEST(L183:L242,M183:T242,TRUE,TRUE),1,2)</f>
        <v/>
      </c>
      <c r="AI242" s="7">
        <f>INDEX(LINEST(L183:L242,M183:T242,TRUE,TRUE),1,1)</f>
        <v/>
      </c>
      <c r="AJ242" s="8">
        <f>INDEX(LINEST(L183:L242,M183:T242,TRUE,TRUE),3,1)</f>
        <v/>
      </c>
    </row>
    <row r="243">
      <c r="L243" s="7">
        <f>LN(B243/B242)</f>
        <v/>
      </c>
      <c r="M243" s="7">
        <f>C243-C242</f>
        <v/>
      </c>
      <c r="N243" s="7">
        <f>D243-D242</f>
        <v/>
      </c>
      <c r="O243" s="7">
        <f>LN(E243/E242)</f>
        <v/>
      </c>
      <c r="P243" s="7">
        <f>LN(F243/F242)</f>
        <v/>
      </c>
      <c r="Q243" s="7">
        <f>G243-G242</f>
        <v/>
      </c>
      <c r="R243" s="7">
        <f>H243-H242</f>
        <v/>
      </c>
      <c r="S243" s="7">
        <f>LN(I243/I242)</f>
        <v/>
      </c>
      <c r="T243" s="7">
        <f>LN(J243/J242)</f>
        <v/>
      </c>
      <c r="U243" s="7">
        <f>$W$12+$W$4*M243+$W$5*N243+$W$6*O243+$W$7*P243+$W$8*Q243+$W$9*R243+$W$10*S243+$W$11*T243</f>
        <v/>
      </c>
      <c r="AA243" s="8">
        <f>INDEX(LINEST(L184:L243,M184:T243,TRUE,TRUE),1,9)*12</f>
        <v/>
      </c>
      <c r="AB243" s="7">
        <f>INDEX(LINEST(L184:L243,M184:T243,TRUE,TRUE),1,8)</f>
        <v/>
      </c>
      <c r="AC243" s="7">
        <f>INDEX(LINEST(L184:L243,M184:T243,TRUE,TRUE),1,7)</f>
        <v/>
      </c>
      <c r="AD243" s="7">
        <f>INDEX(LINEST(L184:L243,M184:T243,TRUE,TRUE),1,6)</f>
        <v/>
      </c>
      <c r="AE243" s="7">
        <f>INDEX(LINEST(L184:L243,M184:T243,TRUE,TRUE),1,5)</f>
        <v/>
      </c>
      <c r="AF243" s="7">
        <f>INDEX(LINEST(L184:L243,M184:T243,TRUE,TRUE),1,4)</f>
        <v/>
      </c>
      <c r="AG243" s="7">
        <f>INDEX(LINEST(L184:L243,M184:T243,TRUE,TRUE),1,3)</f>
        <v/>
      </c>
      <c r="AH243" s="7">
        <f>INDEX(LINEST(L184:L243,M184:T243,TRUE,TRUE),1,2)</f>
        <v/>
      </c>
      <c r="AI243" s="7">
        <f>INDEX(LINEST(L184:L243,M184:T243,TRUE,TRUE),1,1)</f>
        <v/>
      </c>
      <c r="AJ243" s="8">
        <f>INDEX(LINEST(L184:L243,M184:T243,TRUE,TRUE),3,1)</f>
        <v/>
      </c>
    </row>
    <row r="244">
      <c r="L244" s="7">
        <f>LN(B244/B243)</f>
        <v/>
      </c>
      <c r="M244" s="7">
        <f>C244-C243</f>
        <v/>
      </c>
      <c r="N244" s="7">
        <f>D244-D243</f>
        <v/>
      </c>
      <c r="O244" s="7">
        <f>LN(E244/E243)</f>
        <v/>
      </c>
      <c r="P244" s="7">
        <f>LN(F244/F243)</f>
        <v/>
      </c>
      <c r="Q244" s="7">
        <f>G244-G243</f>
        <v/>
      </c>
      <c r="R244" s="7">
        <f>H244-H243</f>
        <v/>
      </c>
      <c r="S244" s="7">
        <f>LN(I244/I243)</f>
        <v/>
      </c>
      <c r="T244" s="7">
        <f>LN(J244/J243)</f>
        <v/>
      </c>
      <c r="U244" s="7">
        <f>$W$12+$W$4*M244+$W$5*N244+$W$6*O244+$W$7*P244+$W$8*Q244+$W$9*R244+$W$10*S244+$W$11*T244</f>
        <v/>
      </c>
      <c r="AA244" s="8">
        <f>INDEX(LINEST(L185:L244,M185:T244,TRUE,TRUE),1,9)*12</f>
        <v/>
      </c>
      <c r="AB244" s="7">
        <f>INDEX(LINEST(L185:L244,M185:T244,TRUE,TRUE),1,8)</f>
        <v/>
      </c>
      <c r="AC244" s="7">
        <f>INDEX(LINEST(L185:L244,M185:T244,TRUE,TRUE),1,7)</f>
        <v/>
      </c>
      <c r="AD244" s="7">
        <f>INDEX(LINEST(L185:L244,M185:T244,TRUE,TRUE),1,6)</f>
        <v/>
      </c>
      <c r="AE244" s="7">
        <f>INDEX(LINEST(L185:L244,M185:T244,TRUE,TRUE),1,5)</f>
        <v/>
      </c>
      <c r="AF244" s="7">
        <f>INDEX(LINEST(L185:L244,M185:T244,TRUE,TRUE),1,4)</f>
        <v/>
      </c>
      <c r="AG244" s="7">
        <f>INDEX(LINEST(L185:L244,M185:T244,TRUE,TRUE),1,3)</f>
        <v/>
      </c>
      <c r="AH244" s="7">
        <f>INDEX(LINEST(L185:L244,M185:T244,TRUE,TRUE),1,2)</f>
        <v/>
      </c>
      <c r="AI244" s="7">
        <f>INDEX(LINEST(L185:L244,M185:T244,TRUE,TRUE),1,1)</f>
        <v/>
      </c>
      <c r="AJ244" s="8">
        <f>INDEX(LINEST(L185:L244,M185:T244,TRUE,TRUE),3,1)</f>
        <v/>
      </c>
    </row>
    <row r="245">
      <c r="L245" s="7">
        <f>LN(B245/B244)</f>
        <v/>
      </c>
      <c r="M245" s="7">
        <f>C245-C244</f>
        <v/>
      </c>
      <c r="N245" s="7">
        <f>D245-D244</f>
        <v/>
      </c>
      <c r="O245" s="7">
        <f>LN(E245/E244)</f>
        <v/>
      </c>
      <c r="P245" s="7">
        <f>LN(F245/F244)</f>
        <v/>
      </c>
      <c r="Q245" s="7">
        <f>G245-G244</f>
        <v/>
      </c>
      <c r="R245" s="7">
        <f>H245-H244</f>
        <v/>
      </c>
      <c r="S245" s="7">
        <f>LN(I245/I244)</f>
        <v/>
      </c>
      <c r="T245" s="7">
        <f>LN(J245/J244)</f>
        <v/>
      </c>
      <c r="U245" s="7">
        <f>$W$12+$W$4*M245+$W$5*N245+$W$6*O245+$W$7*P245+$W$8*Q245+$W$9*R245+$W$10*S245+$W$11*T245</f>
        <v/>
      </c>
      <c r="AA245" s="8">
        <f>INDEX(LINEST(L186:L245,M186:T245,TRUE,TRUE),1,9)*12</f>
        <v/>
      </c>
      <c r="AB245" s="7">
        <f>INDEX(LINEST(L186:L245,M186:T245,TRUE,TRUE),1,8)</f>
        <v/>
      </c>
      <c r="AC245" s="7">
        <f>INDEX(LINEST(L186:L245,M186:T245,TRUE,TRUE),1,7)</f>
        <v/>
      </c>
      <c r="AD245" s="7">
        <f>INDEX(LINEST(L186:L245,M186:T245,TRUE,TRUE),1,6)</f>
        <v/>
      </c>
      <c r="AE245" s="7">
        <f>INDEX(LINEST(L186:L245,M186:T245,TRUE,TRUE),1,5)</f>
        <v/>
      </c>
      <c r="AF245" s="7">
        <f>INDEX(LINEST(L186:L245,M186:T245,TRUE,TRUE),1,4)</f>
        <v/>
      </c>
      <c r="AG245" s="7">
        <f>INDEX(LINEST(L186:L245,M186:T245,TRUE,TRUE),1,3)</f>
        <v/>
      </c>
      <c r="AH245" s="7">
        <f>INDEX(LINEST(L186:L245,M186:T245,TRUE,TRUE),1,2)</f>
        <v/>
      </c>
      <c r="AI245" s="7">
        <f>INDEX(LINEST(L186:L245,M186:T245,TRUE,TRUE),1,1)</f>
        <v/>
      </c>
      <c r="AJ245" s="8">
        <f>INDEX(LINEST(L186:L245,M186:T245,TRUE,TRUE),3,1)</f>
        <v/>
      </c>
    </row>
    <row r="246">
      <c r="L246" s="7">
        <f>LN(B246/B245)</f>
        <v/>
      </c>
      <c r="M246" s="7">
        <f>C246-C245</f>
        <v/>
      </c>
      <c r="N246" s="7">
        <f>D246-D245</f>
        <v/>
      </c>
      <c r="O246" s="7">
        <f>LN(E246/E245)</f>
        <v/>
      </c>
      <c r="P246" s="7">
        <f>LN(F246/F245)</f>
        <v/>
      </c>
      <c r="Q246" s="7">
        <f>G246-G245</f>
        <v/>
      </c>
      <c r="R246" s="7">
        <f>H246-H245</f>
        <v/>
      </c>
      <c r="S246" s="7">
        <f>LN(I246/I245)</f>
        <v/>
      </c>
      <c r="T246" s="7">
        <f>LN(J246/J245)</f>
        <v/>
      </c>
      <c r="U246" s="7">
        <f>$W$12+$W$4*M246+$W$5*N246+$W$6*O246+$W$7*P246+$W$8*Q246+$W$9*R246+$W$10*S246+$W$11*T246</f>
        <v/>
      </c>
      <c r="AA246" s="8">
        <f>INDEX(LINEST(L187:L246,M187:T246,TRUE,TRUE),1,9)*12</f>
        <v/>
      </c>
      <c r="AB246" s="7">
        <f>INDEX(LINEST(L187:L246,M187:T246,TRUE,TRUE),1,8)</f>
        <v/>
      </c>
      <c r="AC246" s="7">
        <f>INDEX(LINEST(L187:L246,M187:T246,TRUE,TRUE),1,7)</f>
        <v/>
      </c>
      <c r="AD246" s="7">
        <f>INDEX(LINEST(L187:L246,M187:T246,TRUE,TRUE),1,6)</f>
        <v/>
      </c>
      <c r="AE246" s="7">
        <f>INDEX(LINEST(L187:L246,M187:T246,TRUE,TRUE),1,5)</f>
        <v/>
      </c>
      <c r="AF246" s="7">
        <f>INDEX(LINEST(L187:L246,M187:T246,TRUE,TRUE),1,4)</f>
        <v/>
      </c>
      <c r="AG246" s="7">
        <f>INDEX(LINEST(L187:L246,M187:T246,TRUE,TRUE),1,3)</f>
        <v/>
      </c>
      <c r="AH246" s="7">
        <f>INDEX(LINEST(L187:L246,M187:T246,TRUE,TRUE),1,2)</f>
        <v/>
      </c>
      <c r="AI246" s="7">
        <f>INDEX(LINEST(L187:L246,M187:T246,TRUE,TRUE),1,1)</f>
        <v/>
      </c>
      <c r="AJ246" s="8">
        <f>INDEX(LINEST(L187:L246,M187:T246,TRUE,TRUE),3,1)</f>
        <v/>
      </c>
    </row>
    <row r="247">
      <c r="L247" s="7">
        <f>LN(B247/B246)</f>
        <v/>
      </c>
      <c r="M247" s="7">
        <f>C247-C246</f>
        <v/>
      </c>
      <c r="N247" s="7">
        <f>D247-D246</f>
        <v/>
      </c>
      <c r="O247" s="7">
        <f>LN(E247/E246)</f>
        <v/>
      </c>
      <c r="P247" s="7">
        <f>LN(F247/F246)</f>
        <v/>
      </c>
      <c r="Q247" s="7">
        <f>G247-G246</f>
        <v/>
      </c>
      <c r="R247" s="7">
        <f>H247-H246</f>
        <v/>
      </c>
      <c r="S247" s="7">
        <f>LN(I247/I246)</f>
        <v/>
      </c>
      <c r="T247" s="7">
        <f>LN(J247/J246)</f>
        <v/>
      </c>
      <c r="U247" s="7">
        <f>$W$12+$W$4*M247+$W$5*N247+$W$6*O247+$W$7*P247+$W$8*Q247+$W$9*R247+$W$10*S247+$W$11*T247</f>
        <v/>
      </c>
      <c r="AA247" s="8">
        <f>INDEX(LINEST(L188:L247,M188:T247,TRUE,TRUE),1,9)*12</f>
        <v/>
      </c>
      <c r="AB247" s="7">
        <f>INDEX(LINEST(L188:L247,M188:T247,TRUE,TRUE),1,8)</f>
        <v/>
      </c>
      <c r="AC247" s="7">
        <f>INDEX(LINEST(L188:L247,M188:T247,TRUE,TRUE),1,7)</f>
        <v/>
      </c>
      <c r="AD247" s="7">
        <f>INDEX(LINEST(L188:L247,M188:T247,TRUE,TRUE),1,6)</f>
        <v/>
      </c>
      <c r="AE247" s="7">
        <f>INDEX(LINEST(L188:L247,M188:T247,TRUE,TRUE),1,5)</f>
        <v/>
      </c>
      <c r="AF247" s="7">
        <f>INDEX(LINEST(L188:L247,M188:T247,TRUE,TRUE),1,4)</f>
        <v/>
      </c>
      <c r="AG247" s="7">
        <f>INDEX(LINEST(L188:L247,M188:T247,TRUE,TRUE),1,3)</f>
        <v/>
      </c>
      <c r="AH247" s="7">
        <f>INDEX(LINEST(L188:L247,M188:T247,TRUE,TRUE),1,2)</f>
        <v/>
      </c>
      <c r="AI247" s="7">
        <f>INDEX(LINEST(L188:L247,M188:T247,TRUE,TRUE),1,1)</f>
        <v/>
      </c>
      <c r="AJ247" s="8">
        <f>INDEX(LINEST(L188:L247,M188:T247,TRUE,TRUE),3,1)</f>
        <v/>
      </c>
    </row>
    <row r="248">
      <c r="L248" s="7">
        <f>LN(B248/B247)</f>
        <v/>
      </c>
      <c r="M248" s="7">
        <f>C248-C247</f>
        <v/>
      </c>
      <c r="N248" s="7">
        <f>D248-D247</f>
        <v/>
      </c>
      <c r="O248" s="7">
        <f>LN(E248/E247)</f>
        <v/>
      </c>
      <c r="P248" s="7">
        <f>LN(F248/F247)</f>
        <v/>
      </c>
      <c r="Q248" s="7">
        <f>G248-G247</f>
        <v/>
      </c>
      <c r="R248" s="7">
        <f>H248-H247</f>
        <v/>
      </c>
      <c r="S248" s="7">
        <f>LN(I248/I247)</f>
        <v/>
      </c>
      <c r="T248" s="7">
        <f>LN(J248/J247)</f>
        <v/>
      </c>
      <c r="U248" s="7">
        <f>$W$12+$W$4*M248+$W$5*N248+$W$6*O248+$W$7*P248+$W$8*Q248+$W$9*R248+$W$10*S248+$W$11*T248</f>
        <v/>
      </c>
      <c r="AA248" s="8">
        <f>INDEX(LINEST(L189:L248,M189:T248,TRUE,TRUE),1,9)*12</f>
        <v/>
      </c>
      <c r="AB248" s="7">
        <f>INDEX(LINEST(L189:L248,M189:T248,TRUE,TRUE),1,8)</f>
        <v/>
      </c>
      <c r="AC248" s="7">
        <f>INDEX(LINEST(L189:L248,M189:T248,TRUE,TRUE),1,7)</f>
        <v/>
      </c>
      <c r="AD248" s="7">
        <f>INDEX(LINEST(L189:L248,M189:T248,TRUE,TRUE),1,6)</f>
        <v/>
      </c>
      <c r="AE248" s="7">
        <f>INDEX(LINEST(L189:L248,M189:T248,TRUE,TRUE),1,5)</f>
        <v/>
      </c>
      <c r="AF248" s="7">
        <f>INDEX(LINEST(L189:L248,M189:T248,TRUE,TRUE),1,4)</f>
        <v/>
      </c>
      <c r="AG248" s="7">
        <f>INDEX(LINEST(L189:L248,M189:T248,TRUE,TRUE),1,3)</f>
        <v/>
      </c>
      <c r="AH248" s="7">
        <f>INDEX(LINEST(L189:L248,M189:T248,TRUE,TRUE),1,2)</f>
        <v/>
      </c>
      <c r="AI248" s="7">
        <f>INDEX(LINEST(L189:L248,M189:T248,TRUE,TRUE),1,1)</f>
        <v/>
      </c>
      <c r="AJ248" s="8">
        <f>INDEX(LINEST(L189:L248,M189:T248,TRUE,TRUE),3,1)</f>
        <v/>
      </c>
    </row>
    <row r="249">
      <c r="L249" s="7">
        <f>LN(B249/B248)</f>
        <v/>
      </c>
      <c r="M249" s="7">
        <f>C249-C248</f>
        <v/>
      </c>
      <c r="N249" s="7">
        <f>D249-D248</f>
        <v/>
      </c>
      <c r="O249" s="7">
        <f>LN(E249/E248)</f>
        <v/>
      </c>
      <c r="P249" s="7">
        <f>LN(F249/F248)</f>
        <v/>
      </c>
      <c r="Q249" s="7">
        <f>G249-G248</f>
        <v/>
      </c>
      <c r="R249" s="7">
        <f>H249-H248</f>
        <v/>
      </c>
      <c r="S249" s="7">
        <f>LN(I249/I248)</f>
        <v/>
      </c>
      <c r="T249" s="7">
        <f>LN(J249/J248)</f>
        <v/>
      </c>
      <c r="U249" s="7">
        <f>$W$12+$W$4*M249+$W$5*N249+$W$6*O249+$W$7*P249+$W$8*Q249+$W$9*R249+$W$10*S249+$W$11*T249</f>
        <v/>
      </c>
      <c r="AA249" s="8">
        <f>INDEX(LINEST(L190:L249,M190:T249,TRUE,TRUE),1,9)*12</f>
        <v/>
      </c>
      <c r="AB249" s="7">
        <f>INDEX(LINEST(L190:L249,M190:T249,TRUE,TRUE),1,8)</f>
        <v/>
      </c>
      <c r="AC249" s="7">
        <f>INDEX(LINEST(L190:L249,M190:T249,TRUE,TRUE),1,7)</f>
        <v/>
      </c>
      <c r="AD249" s="7">
        <f>INDEX(LINEST(L190:L249,M190:T249,TRUE,TRUE),1,6)</f>
        <v/>
      </c>
      <c r="AE249" s="7">
        <f>INDEX(LINEST(L190:L249,M190:T249,TRUE,TRUE),1,5)</f>
        <v/>
      </c>
      <c r="AF249" s="7">
        <f>INDEX(LINEST(L190:L249,M190:T249,TRUE,TRUE),1,4)</f>
        <v/>
      </c>
      <c r="AG249" s="7">
        <f>INDEX(LINEST(L190:L249,M190:T249,TRUE,TRUE),1,3)</f>
        <v/>
      </c>
      <c r="AH249" s="7">
        <f>INDEX(LINEST(L190:L249,M190:T249,TRUE,TRUE),1,2)</f>
        <v/>
      </c>
      <c r="AI249" s="7">
        <f>INDEX(LINEST(L190:L249,M190:T249,TRUE,TRUE),1,1)</f>
        <v/>
      </c>
      <c r="AJ249" s="8">
        <f>INDEX(LINEST(L190:L249,M190:T249,TRUE,TRUE),3,1)</f>
        <v/>
      </c>
    </row>
    <row r="250">
      <c r="L250" s="7">
        <f>LN(B250/B249)</f>
        <v/>
      </c>
      <c r="M250" s="7">
        <f>C250-C249</f>
        <v/>
      </c>
      <c r="N250" s="7">
        <f>D250-D249</f>
        <v/>
      </c>
      <c r="O250" s="7">
        <f>LN(E250/E249)</f>
        <v/>
      </c>
      <c r="P250" s="7">
        <f>LN(F250/F249)</f>
        <v/>
      </c>
      <c r="Q250" s="7">
        <f>G250-G249</f>
        <v/>
      </c>
      <c r="R250" s="7">
        <f>H250-H249</f>
        <v/>
      </c>
      <c r="S250" s="7">
        <f>LN(I250/I249)</f>
        <v/>
      </c>
      <c r="T250" s="7">
        <f>LN(J250/J249)</f>
        <v/>
      </c>
      <c r="U250" s="7">
        <f>$W$12+$W$4*M250+$W$5*N250+$W$6*O250+$W$7*P250+$W$8*Q250+$W$9*R250+$W$10*S250+$W$11*T250</f>
        <v/>
      </c>
      <c r="AA250" s="8">
        <f>INDEX(LINEST(L191:L250,M191:T250,TRUE,TRUE),1,9)*12</f>
        <v/>
      </c>
      <c r="AB250" s="7">
        <f>INDEX(LINEST(L191:L250,M191:T250,TRUE,TRUE),1,8)</f>
        <v/>
      </c>
      <c r="AC250" s="7">
        <f>INDEX(LINEST(L191:L250,M191:T250,TRUE,TRUE),1,7)</f>
        <v/>
      </c>
      <c r="AD250" s="7">
        <f>INDEX(LINEST(L191:L250,M191:T250,TRUE,TRUE),1,6)</f>
        <v/>
      </c>
      <c r="AE250" s="7">
        <f>INDEX(LINEST(L191:L250,M191:T250,TRUE,TRUE),1,5)</f>
        <v/>
      </c>
      <c r="AF250" s="7">
        <f>INDEX(LINEST(L191:L250,M191:T250,TRUE,TRUE),1,4)</f>
        <v/>
      </c>
      <c r="AG250" s="7">
        <f>INDEX(LINEST(L191:L250,M191:T250,TRUE,TRUE),1,3)</f>
        <v/>
      </c>
      <c r="AH250" s="7">
        <f>INDEX(LINEST(L191:L250,M191:T250,TRUE,TRUE),1,2)</f>
        <v/>
      </c>
      <c r="AI250" s="7">
        <f>INDEX(LINEST(L191:L250,M191:T250,TRUE,TRUE),1,1)</f>
        <v/>
      </c>
      <c r="AJ250" s="8">
        <f>INDEX(LINEST(L191:L250,M191:T250,TRUE,TRUE),3,1)</f>
        <v/>
      </c>
    </row>
    <row r="251">
      <c r="L251" s="7">
        <f>LN(B251/B250)</f>
        <v/>
      </c>
      <c r="M251" s="7">
        <f>C251-C250</f>
        <v/>
      </c>
      <c r="N251" s="7">
        <f>D251-D250</f>
        <v/>
      </c>
      <c r="O251" s="7">
        <f>LN(E251/E250)</f>
        <v/>
      </c>
      <c r="P251" s="7">
        <f>LN(F251/F250)</f>
        <v/>
      </c>
      <c r="Q251" s="7">
        <f>G251-G250</f>
        <v/>
      </c>
      <c r="R251" s="7">
        <f>H251-H250</f>
        <v/>
      </c>
      <c r="S251" s="7">
        <f>LN(I251/I250)</f>
        <v/>
      </c>
      <c r="T251" s="7">
        <f>LN(J251/J250)</f>
        <v/>
      </c>
      <c r="U251" s="7">
        <f>$W$12+$W$4*M251+$W$5*N251+$W$6*O251+$W$7*P251+$W$8*Q251+$W$9*R251+$W$10*S251+$W$11*T251</f>
        <v/>
      </c>
      <c r="AA251" s="8">
        <f>INDEX(LINEST(L192:L251,M192:T251,TRUE,TRUE),1,9)*12</f>
        <v/>
      </c>
      <c r="AB251" s="7">
        <f>INDEX(LINEST(L192:L251,M192:T251,TRUE,TRUE),1,8)</f>
        <v/>
      </c>
      <c r="AC251" s="7">
        <f>INDEX(LINEST(L192:L251,M192:T251,TRUE,TRUE),1,7)</f>
        <v/>
      </c>
      <c r="AD251" s="7">
        <f>INDEX(LINEST(L192:L251,M192:T251,TRUE,TRUE),1,6)</f>
        <v/>
      </c>
      <c r="AE251" s="7">
        <f>INDEX(LINEST(L192:L251,M192:T251,TRUE,TRUE),1,5)</f>
        <v/>
      </c>
      <c r="AF251" s="7">
        <f>INDEX(LINEST(L192:L251,M192:T251,TRUE,TRUE),1,4)</f>
        <v/>
      </c>
      <c r="AG251" s="7">
        <f>INDEX(LINEST(L192:L251,M192:T251,TRUE,TRUE),1,3)</f>
        <v/>
      </c>
      <c r="AH251" s="7">
        <f>INDEX(LINEST(L192:L251,M192:T251,TRUE,TRUE),1,2)</f>
        <v/>
      </c>
      <c r="AI251" s="7">
        <f>INDEX(LINEST(L192:L251,M192:T251,TRUE,TRUE),1,1)</f>
        <v/>
      </c>
      <c r="AJ251" s="8">
        <f>INDEX(LINEST(L192:L251,M192:T251,TRUE,TRUE),3,1)</f>
        <v/>
      </c>
    </row>
    <row r="252">
      <c r="L252" s="7">
        <f>LN(B252/B251)</f>
        <v/>
      </c>
      <c r="M252" s="7">
        <f>C252-C251</f>
        <v/>
      </c>
      <c r="N252" s="7">
        <f>D252-D251</f>
        <v/>
      </c>
      <c r="O252" s="7">
        <f>LN(E252/E251)</f>
        <v/>
      </c>
      <c r="P252" s="7">
        <f>LN(F252/F251)</f>
        <v/>
      </c>
      <c r="Q252" s="7">
        <f>G252-G251</f>
        <v/>
      </c>
      <c r="R252" s="7">
        <f>H252-H251</f>
        <v/>
      </c>
      <c r="S252" s="7">
        <f>LN(I252/I251)</f>
        <v/>
      </c>
      <c r="T252" s="7">
        <f>LN(J252/J251)</f>
        <v/>
      </c>
      <c r="U252" s="7">
        <f>$W$12+$W$4*M252+$W$5*N252+$W$6*O252+$W$7*P252+$W$8*Q252+$W$9*R252+$W$10*S252+$W$11*T252</f>
        <v/>
      </c>
      <c r="AA252" s="8">
        <f>INDEX(LINEST(L193:L252,M193:T252,TRUE,TRUE),1,9)*12</f>
        <v/>
      </c>
      <c r="AB252" s="7">
        <f>INDEX(LINEST(L193:L252,M193:T252,TRUE,TRUE),1,8)</f>
        <v/>
      </c>
      <c r="AC252" s="7">
        <f>INDEX(LINEST(L193:L252,M193:T252,TRUE,TRUE),1,7)</f>
        <v/>
      </c>
      <c r="AD252" s="7">
        <f>INDEX(LINEST(L193:L252,M193:T252,TRUE,TRUE),1,6)</f>
        <v/>
      </c>
      <c r="AE252" s="7">
        <f>INDEX(LINEST(L193:L252,M193:T252,TRUE,TRUE),1,5)</f>
        <v/>
      </c>
      <c r="AF252" s="7">
        <f>INDEX(LINEST(L193:L252,M193:T252,TRUE,TRUE),1,4)</f>
        <v/>
      </c>
      <c r="AG252" s="7">
        <f>INDEX(LINEST(L193:L252,M193:T252,TRUE,TRUE),1,3)</f>
        <v/>
      </c>
      <c r="AH252" s="7">
        <f>INDEX(LINEST(L193:L252,M193:T252,TRUE,TRUE),1,2)</f>
        <v/>
      </c>
      <c r="AI252" s="7">
        <f>INDEX(LINEST(L193:L252,M193:T252,TRUE,TRUE),1,1)</f>
        <v/>
      </c>
      <c r="AJ252" s="8">
        <f>INDEX(LINEST(L193:L252,M193:T252,TRUE,TRUE),3,1)</f>
        <v/>
      </c>
    </row>
    <row r="253">
      <c r="L253" s="7">
        <f>LN(B253/B252)</f>
        <v/>
      </c>
      <c r="M253" s="7">
        <f>C253-C252</f>
        <v/>
      </c>
      <c r="N253" s="7">
        <f>D253-D252</f>
        <v/>
      </c>
      <c r="O253" s="7">
        <f>LN(E253/E252)</f>
        <v/>
      </c>
      <c r="P253" s="7">
        <f>LN(F253/F252)</f>
        <v/>
      </c>
      <c r="Q253" s="7">
        <f>G253-G252</f>
        <v/>
      </c>
      <c r="R253" s="7">
        <f>H253-H252</f>
        <v/>
      </c>
      <c r="S253" s="7">
        <f>LN(I253/I252)</f>
        <v/>
      </c>
      <c r="T253" s="7">
        <f>LN(J253/J252)</f>
        <v/>
      </c>
      <c r="U253" s="7">
        <f>$W$12+$W$4*M253+$W$5*N253+$W$6*O253+$W$7*P253+$W$8*Q253+$W$9*R253+$W$10*S253+$W$11*T253</f>
        <v/>
      </c>
      <c r="AA253" s="8">
        <f>INDEX(LINEST(L194:L253,M194:T253,TRUE,TRUE),1,9)*12</f>
        <v/>
      </c>
      <c r="AB253" s="7">
        <f>INDEX(LINEST(L194:L253,M194:T253,TRUE,TRUE),1,8)</f>
        <v/>
      </c>
      <c r="AC253" s="7">
        <f>INDEX(LINEST(L194:L253,M194:T253,TRUE,TRUE),1,7)</f>
        <v/>
      </c>
      <c r="AD253" s="7">
        <f>INDEX(LINEST(L194:L253,M194:T253,TRUE,TRUE),1,6)</f>
        <v/>
      </c>
      <c r="AE253" s="7">
        <f>INDEX(LINEST(L194:L253,M194:T253,TRUE,TRUE),1,5)</f>
        <v/>
      </c>
      <c r="AF253" s="7">
        <f>INDEX(LINEST(L194:L253,M194:T253,TRUE,TRUE),1,4)</f>
        <v/>
      </c>
      <c r="AG253" s="7">
        <f>INDEX(LINEST(L194:L253,M194:T253,TRUE,TRUE),1,3)</f>
        <v/>
      </c>
      <c r="AH253" s="7">
        <f>INDEX(LINEST(L194:L253,M194:T253,TRUE,TRUE),1,2)</f>
        <v/>
      </c>
      <c r="AI253" s="7">
        <f>INDEX(LINEST(L194:L253,M194:T253,TRUE,TRUE),1,1)</f>
        <v/>
      </c>
      <c r="AJ253" s="8">
        <f>INDEX(LINEST(L194:L253,M194:T253,TRUE,TRUE),3,1)</f>
        <v/>
      </c>
    </row>
    <row r="254">
      <c r="L254" s="7">
        <f>LN(B254/B253)</f>
        <v/>
      </c>
      <c r="M254" s="7">
        <f>C254-C253</f>
        <v/>
      </c>
      <c r="N254" s="7">
        <f>D254-D253</f>
        <v/>
      </c>
      <c r="O254" s="7">
        <f>LN(E254/E253)</f>
        <v/>
      </c>
      <c r="P254" s="7">
        <f>LN(F254/F253)</f>
        <v/>
      </c>
      <c r="Q254" s="7">
        <f>G254-G253</f>
        <v/>
      </c>
      <c r="R254" s="7">
        <f>H254-H253</f>
        <v/>
      </c>
      <c r="S254" s="7">
        <f>LN(I254/I253)</f>
        <v/>
      </c>
      <c r="T254" s="7">
        <f>LN(J254/J253)</f>
        <v/>
      </c>
      <c r="U254" s="7">
        <f>$W$12+$W$4*M254+$W$5*N254+$W$6*O254+$W$7*P254+$W$8*Q254+$W$9*R254+$W$10*S254+$W$11*T254</f>
        <v/>
      </c>
      <c r="AA254" s="8">
        <f>INDEX(LINEST(L195:L254,M195:T254,TRUE,TRUE),1,9)*12</f>
        <v/>
      </c>
      <c r="AB254" s="7">
        <f>INDEX(LINEST(L195:L254,M195:T254,TRUE,TRUE),1,8)</f>
        <v/>
      </c>
      <c r="AC254" s="7">
        <f>INDEX(LINEST(L195:L254,M195:T254,TRUE,TRUE),1,7)</f>
        <v/>
      </c>
      <c r="AD254" s="7">
        <f>INDEX(LINEST(L195:L254,M195:T254,TRUE,TRUE),1,6)</f>
        <v/>
      </c>
      <c r="AE254" s="7">
        <f>INDEX(LINEST(L195:L254,M195:T254,TRUE,TRUE),1,5)</f>
        <v/>
      </c>
      <c r="AF254" s="7">
        <f>INDEX(LINEST(L195:L254,M195:T254,TRUE,TRUE),1,4)</f>
        <v/>
      </c>
      <c r="AG254" s="7">
        <f>INDEX(LINEST(L195:L254,M195:T254,TRUE,TRUE),1,3)</f>
        <v/>
      </c>
      <c r="AH254" s="7">
        <f>INDEX(LINEST(L195:L254,M195:T254,TRUE,TRUE),1,2)</f>
        <v/>
      </c>
      <c r="AI254" s="7">
        <f>INDEX(LINEST(L195:L254,M195:T254,TRUE,TRUE),1,1)</f>
        <v/>
      </c>
      <c r="AJ254" s="8">
        <f>INDEX(LINEST(L195:L254,M195:T254,TRUE,TRUE),3,1)</f>
        <v/>
      </c>
    </row>
    <row r="255">
      <c r="L255" s="7">
        <f>LN(B255/B254)</f>
        <v/>
      </c>
      <c r="M255" s="7">
        <f>C255-C254</f>
        <v/>
      </c>
      <c r="N255" s="7">
        <f>D255-D254</f>
        <v/>
      </c>
      <c r="O255" s="7">
        <f>LN(E255/E254)</f>
        <v/>
      </c>
      <c r="P255" s="7">
        <f>LN(F255/F254)</f>
        <v/>
      </c>
      <c r="Q255" s="7">
        <f>G255-G254</f>
        <v/>
      </c>
      <c r="R255" s="7">
        <f>H255-H254</f>
        <v/>
      </c>
      <c r="S255" s="7">
        <f>LN(I255/I254)</f>
        <v/>
      </c>
      <c r="T255" s="7">
        <f>LN(J255/J254)</f>
        <v/>
      </c>
      <c r="U255" s="7">
        <f>$W$12+$W$4*M255+$W$5*N255+$W$6*O255+$W$7*P255+$W$8*Q255+$W$9*R255+$W$10*S255+$W$11*T255</f>
        <v/>
      </c>
      <c r="AA255" s="8">
        <f>INDEX(LINEST(L196:L255,M196:T255,TRUE,TRUE),1,9)*12</f>
        <v/>
      </c>
      <c r="AB255" s="7">
        <f>INDEX(LINEST(L196:L255,M196:T255,TRUE,TRUE),1,8)</f>
        <v/>
      </c>
      <c r="AC255" s="7">
        <f>INDEX(LINEST(L196:L255,M196:T255,TRUE,TRUE),1,7)</f>
        <v/>
      </c>
      <c r="AD255" s="7">
        <f>INDEX(LINEST(L196:L255,M196:T255,TRUE,TRUE),1,6)</f>
        <v/>
      </c>
      <c r="AE255" s="7">
        <f>INDEX(LINEST(L196:L255,M196:T255,TRUE,TRUE),1,5)</f>
        <v/>
      </c>
      <c r="AF255" s="7">
        <f>INDEX(LINEST(L196:L255,M196:T255,TRUE,TRUE),1,4)</f>
        <v/>
      </c>
      <c r="AG255" s="7">
        <f>INDEX(LINEST(L196:L255,M196:T255,TRUE,TRUE),1,3)</f>
        <v/>
      </c>
      <c r="AH255" s="7">
        <f>INDEX(LINEST(L196:L255,M196:T255,TRUE,TRUE),1,2)</f>
        <v/>
      </c>
      <c r="AI255" s="7">
        <f>INDEX(LINEST(L196:L255,M196:T255,TRUE,TRUE),1,1)</f>
        <v/>
      </c>
      <c r="AJ255" s="8">
        <f>INDEX(LINEST(L196:L255,M196:T255,TRUE,TRUE),3,1)</f>
        <v/>
      </c>
    </row>
    <row r="256">
      <c r="L256" s="7">
        <f>LN(B256/B255)</f>
        <v/>
      </c>
      <c r="M256" s="7">
        <f>C256-C255</f>
        <v/>
      </c>
      <c r="N256" s="7">
        <f>D256-D255</f>
        <v/>
      </c>
      <c r="O256" s="7">
        <f>LN(E256/E255)</f>
        <v/>
      </c>
      <c r="P256" s="7">
        <f>LN(F256/F255)</f>
        <v/>
      </c>
      <c r="Q256" s="7">
        <f>G256-G255</f>
        <v/>
      </c>
      <c r="R256" s="7">
        <f>H256-H255</f>
        <v/>
      </c>
      <c r="S256" s="7">
        <f>LN(I256/I255)</f>
        <v/>
      </c>
      <c r="T256" s="7">
        <f>LN(J256/J255)</f>
        <v/>
      </c>
      <c r="U256" s="7">
        <f>$W$12+$W$4*M256+$W$5*N256+$W$6*O256+$W$7*P256+$W$8*Q256+$W$9*R256+$W$10*S256+$W$11*T256</f>
        <v/>
      </c>
      <c r="AA256" s="8">
        <f>INDEX(LINEST(L197:L256,M197:T256,TRUE,TRUE),1,9)*12</f>
        <v/>
      </c>
      <c r="AB256" s="7">
        <f>INDEX(LINEST(L197:L256,M197:T256,TRUE,TRUE),1,8)</f>
        <v/>
      </c>
      <c r="AC256" s="7">
        <f>INDEX(LINEST(L197:L256,M197:T256,TRUE,TRUE),1,7)</f>
        <v/>
      </c>
      <c r="AD256" s="7">
        <f>INDEX(LINEST(L197:L256,M197:T256,TRUE,TRUE),1,6)</f>
        <v/>
      </c>
      <c r="AE256" s="7">
        <f>INDEX(LINEST(L197:L256,M197:T256,TRUE,TRUE),1,5)</f>
        <v/>
      </c>
      <c r="AF256" s="7">
        <f>INDEX(LINEST(L197:L256,M197:T256,TRUE,TRUE),1,4)</f>
        <v/>
      </c>
      <c r="AG256" s="7">
        <f>INDEX(LINEST(L197:L256,M197:T256,TRUE,TRUE),1,3)</f>
        <v/>
      </c>
      <c r="AH256" s="7">
        <f>INDEX(LINEST(L197:L256,M197:T256,TRUE,TRUE),1,2)</f>
        <v/>
      </c>
      <c r="AI256" s="7">
        <f>INDEX(LINEST(L197:L256,M197:T256,TRUE,TRUE),1,1)</f>
        <v/>
      </c>
      <c r="AJ256" s="8">
        <f>INDEX(LINEST(L197:L256,M197:T256,TRUE,TRUE),3,1)</f>
        <v/>
      </c>
    </row>
    <row r="257">
      <c r="L257" s="7">
        <f>LN(B257/B256)</f>
        <v/>
      </c>
      <c r="M257" s="7">
        <f>C257-C256</f>
        <v/>
      </c>
      <c r="N257" s="7">
        <f>D257-D256</f>
        <v/>
      </c>
      <c r="O257" s="7">
        <f>LN(E257/E256)</f>
        <v/>
      </c>
      <c r="P257" s="7">
        <f>LN(F257/F256)</f>
        <v/>
      </c>
      <c r="Q257" s="7">
        <f>G257-G256</f>
        <v/>
      </c>
      <c r="R257" s="7">
        <f>H257-H256</f>
        <v/>
      </c>
      <c r="S257" s="7">
        <f>LN(I257/I256)</f>
        <v/>
      </c>
      <c r="T257" s="7">
        <f>LN(J257/J256)</f>
        <v/>
      </c>
      <c r="U257" s="7">
        <f>$W$12+$W$4*M257+$W$5*N257+$W$6*O257+$W$7*P257+$W$8*Q257+$W$9*R257+$W$10*S257+$W$11*T257</f>
        <v/>
      </c>
      <c r="AA257" s="8">
        <f>INDEX(LINEST(L198:L257,M198:T257,TRUE,TRUE),1,9)*12</f>
        <v/>
      </c>
      <c r="AB257" s="7">
        <f>INDEX(LINEST(L198:L257,M198:T257,TRUE,TRUE),1,8)</f>
        <v/>
      </c>
      <c r="AC257" s="7">
        <f>INDEX(LINEST(L198:L257,M198:T257,TRUE,TRUE),1,7)</f>
        <v/>
      </c>
      <c r="AD257" s="7">
        <f>INDEX(LINEST(L198:L257,M198:T257,TRUE,TRUE),1,6)</f>
        <v/>
      </c>
      <c r="AE257" s="7">
        <f>INDEX(LINEST(L198:L257,M198:T257,TRUE,TRUE),1,5)</f>
        <v/>
      </c>
      <c r="AF257" s="7">
        <f>INDEX(LINEST(L198:L257,M198:T257,TRUE,TRUE),1,4)</f>
        <v/>
      </c>
      <c r="AG257" s="7">
        <f>INDEX(LINEST(L198:L257,M198:T257,TRUE,TRUE),1,3)</f>
        <v/>
      </c>
      <c r="AH257" s="7">
        <f>INDEX(LINEST(L198:L257,M198:T257,TRUE,TRUE),1,2)</f>
        <v/>
      </c>
      <c r="AI257" s="7">
        <f>INDEX(LINEST(L198:L257,M198:T257,TRUE,TRUE),1,1)</f>
        <v/>
      </c>
      <c r="AJ257" s="8">
        <f>INDEX(LINEST(L198:L257,M198:T257,TRUE,TRUE),3,1)</f>
        <v/>
      </c>
    </row>
    <row r="258">
      <c r="L258" s="7">
        <f>LN(B258/B257)</f>
        <v/>
      </c>
      <c r="M258" s="7">
        <f>C258-C257</f>
        <v/>
      </c>
      <c r="N258" s="7">
        <f>D258-D257</f>
        <v/>
      </c>
      <c r="O258" s="7">
        <f>LN(E258/E257)</f>
        <v/>
      </c>
      <c r="P258" s="7">
        <f>LN(F258/F257)</f>
        <v/>
      </c>
      <c r="Q258" s="7">
        <f>G258-G257</f>
        <v/>
      </c>
      <c r="R258" s="7">
        <f>H258-H257</f>
        <v/>
      </c>
      <c r="S258" s="7">
        <f>LN(I258/I257)</f>
        <v/>
      </c>
      <c r="T258" s="7">
        <f>LN(J258/J257)</f>
        <v/>
      </c>
      <c r="U258" s="7">
        <f>$W$12+$W$4*M258+$W$5*N258+$W$6*O258+$W$7*P258+$W$8*Q258+$W$9*R258+$W$10*S258+$W$11*T258</f>
        <v/>
      </c>
      <c r="AA258" s="8">
        <f>INDEX(LINEST(L199:L258,M199:T258,TRUE,TRUE),1,9)*12</f>
        <v/>
      </c>
      <c r="AB258" s="7">
        <f>INDEX(LINEST(L199:L258,M199:T258,TRUE,TRUE),1,8)</f>
        <v/>
      </c>
      <c r="AC258" s="7">
        <f>INDEX(LINEST(L199:L258,M199:T258,TRUE,TRUE),1,7)</f>
        <v/>
      </c>
      <c r="AD258" s="7">
        <f>INDEX(LINEST(L199:L258,M199:T258,TRUE,TRUE),1,6)</f>
        <v/>
      </c>
      <c r="AE258" s="7">
        <f>INDEX(LINEST(L199:L258,M199:T258,TRUE,TRUE),1,5)</f>
        <v/>
      </c>
      <c r="AF258" s="7">
        <f>INDEX(LINEST(L199:L258,M199:T258,TRUE,TRUE),1,4)</f>
        <v/>
      </c>
      <c r="AG258" s="7">
        <f>INDEX(LINEST(L199:L258,M199:T258,TRUE,TRUE),1,3)</f>
        <v/>
      </c>
      <c r="AH258" s="7">
        <f>INDEX(LINEST(L199:L258,M199:T258,TRUE,TRUE),1,2)</f>
        <v/>
      </c>
      <c r="AI258" s="7">
        <f>INDEX(LINEST(L199:L258,M199:T258,TRUE,TRUE),1,1)</f>
        <v/>
      </c>
      <c r="AJ258" s="8">
        <f>INDEX(LINEST(L199:L258,M199:T258,TRUE,TRUE),3,1)</f>
        <v/>
      </c>
    </row>
    <row r="259">
      <c r="L259" s="7">
        <f>LN(B259/B258)</f>
        <v/>
      </c>
      <c r="M259" s="7">
        <f>C259-C258</f>
        <v/>
      </c>
      <c r="N259" s="7">
        <f>D259-D258</f>
        <v/>
      </c>
      <c r="O259" s="7">
        <f>LN(E259/E258)</f>
        <v/>
      </c>
      <c r="P259" s="7">
        <f>LN(F259/F258)</f>
        <v/>
      </c>
      <c r="Q259" s="7">
        <f>G259-G258</f>
        <v/>
      </c>
      <c r="R259" s="7">
        <f>H259-H258</f>
        <v/>
      </c>
      <c r="S259" s="7">
        <f>LN(I259/I258)</f>
        <v/>
      </c>
      <c r="T259" s="7">
        <f>LN(J259/J258)</f>
        <v/>
      </c>
      <c r="U259" s="7">
        <f>$W$12+$W$4*M259+$W$5*N259+$W$6*O259+$W$7*P259+$W$8*Q259+$W$9*R259+$W$10*S259+$W$11*T259</f>
        <v/>
      </c>
      <c r="AA259" s="8">
        <f>INDEX(LINEST(L200:L259,M200:T259,TRUE,TRUE),1,9)*12</f>
        <v/>
      </c>
      <c r="AB259" s="7">
        <f>INDEX(LINEST(L200:L259,M200:T259,TRUE,TRUE),1,8)</f>
        <v/>
      </c>
      <c r="AC259" s="7">
        <f>INDEX(LINEST(L200:L259,M200:T259,TRUE,TRUE),1,7)</f>
        <v/>
      </c>
      <c r="AD259" s="7">
        <f>INDEX(LINEST(L200:L259,M200:T259,TRUE,TRUE),1,6)</f>
        <v/>
      </c>
      <c r="AE259" s="7">
        <f>INDEX(LINEST(L200:L259,M200:T259,TRUE,TRUE),1,5)</f>
        <v/>
      </c>
      <c r="AF259" s="7">
        <f>INDEX(LINEST(L200:L259,M200:T259,TRUE,TRUE),1,4)</f>
        <v/>
      </c>
      <c r="AG259" s="7">
        <f>INDEX(LINEST(L200:L259,M200:T259,TRUE,TRUE),1,3)</f>
        <v/>
      </c>
      <c r="AH259" s="7">
        <f>INDEX(LINEST(L200:L259,M200:T259,TRUE,TRUE),1,2)</f>
        <v/>
      </c>
      <c r="AI259" s="7">
        <f>INDEX(LINEST(L200:L259,M200:T259,TRUE,TRUE),1,1)</f>
        <v/>
      </c>
      <c r="AJ259" s="8">
        <f>INDEX(LINEST(L200:L259,M200:T259,TRUE,TRUE),3,1)</f>
        <v/>
      </c>
    </row>
    <row r="260">
      <c r="L260" s="7">
        <f>LN(B260/B259)</f>
        <v/>
      </c>
      <c r="M260" s="7">
        <f>C260-C259</f>
        <v/>
      </c>
      <c r="N260" s="7">
        <f>D260-D259</f>
        <v/>
      </c>
      <c r="O260" s="7">
        <f>LN(E260/E259)</f>
        <v/>
      </c>
      <c r="P260" s="7">
        <f>LN(F260/F259)</f>
        <v/>
      </c>
      <c r="Q260" s="7">
        <f>G260-G259</f>
        <v/>
      </c>
      <c r="R260" s="7">
        <f>H260-H259</f>
        <v/>
      </c>
      <c r="S260" s="7">
        <f>LN(I260/I259)</f>
        <v/>
      </c>
      <c r="T260" s="7">
        <f>LN(J260/J259)</f>
        <v/>
      </c>
      <c r="U260" s="7">
        <f>$W$12+$W$4*M260+$W$5*N260+$W$6*O260+$W$7*P260+$W$8*Q260+$W$9*R260+$W$10*S260+$W$11*T260</f>
        <v/>
      </c>
      <c r="AA260" s="8">
        <f>INDEX(LINEST(L201:L260,M201:T260,TRUE,TRUE),1,9)*12</f>
        <v/>
      </c>
      <c r="AB260" s="7">
        <f>INDEX(LINEST(L201:L260,M201:T260,TRUE,TRUE),1,8)</f>
        <v/>
      </c>
      <c r="AC260" s="7">
        <f>INDEX(LINEST(L201:L260,M201:T260,TRUE,TRUE),1,7)</f>
        <v/>
      </c>
      <c r="AD260" s="7">
        <f>INDEX(LINEST(L201:L260,M201:T260,TRUE,TRUE),1,6)</f>
        <v/>
      </c>
      <c r="AE260" s="7">
        <f>INDEX(LINEST(L201:L260,M201:T260,TRUE,TRUE),1,5)</f>
        <v/>
      </c>
      <c r="AF260" s="7">
        <f>INDEX(LINEST(L201:L260,M201:T260,TRUE,TRUE),1,4)</f>
        <v/>
      </c>
      <c r="AG260" s="7">
        <f>INDEX(LINEST(L201:L260,M201:T260,TRUE,TRUE),1,3)</f>
        <v/>
      </c>
      <c r="AH260" s="7">
        <f>INDEX(LINEST(L201:L260,M201:T260,TRUE,TRUE),1,2)</f>
        <v/>
      </c>
      <c r="AI260" s="7">
        <f>INDEX(LINEST(L201:L260,M201:T260,TRUE,TRUE),1,1)</f>
        <v/>
      </c>
      <c r="AJ260" s="8">
        <f>INDEX(LINEST(L201:L260,M201:T260,TRUE,TRUE),3,1)</f>
        <v/>
      </c>
    </row>
    <row r="261">
      <c r="L261" s="7">
        <f>LN(B261/B260)</f>
        <v/>
      </c>
      <c r="M261" s="7">
        <f>C261-C260</f>
        <v/>
      </c>
      <c r="N261" s="7">
        <f>D261-D260</f>
        <v/>
      </c>
      <c r="O261" s="7">
        <f>LN(E261/E260)</f>
        <v/>
      </c>
      <c r="P261" s="7">
        <f>LN(F261/F260)</f>
        <v/>
      </c>
      <c r="Q261" s="7">
        <f>G261-G260</f>
        <v/>
      </c>
      <c r="R261" s="7">
        <f>H261-H260</f>
        <v/>
      </c>
      <c r="S261" s="7">
        <f>LN(I261/I260)</f>
        <v/>
      </c>
      <c r="T261" s="7">
        <f>LN(J261/J260)</f>
        <v/>
      </c>
      <c r="U261" s="7">
        <f>$W$12+$W$4*M261+$W$5*N261+$W$6*O261+$W$7*P261+$W$8*Q261+$W$9*R261+$W$10*S261+$W$11*T261</f>
        <v/>
      </c>
      <c r="AA261" s="8">
        <f>INDEX(LINEST(L202:L261,M202:T261,TRUE,TRUE),1,9)*12</f>
        <v/>
      </c>
      <c r="AB261" s="7">
        <f>INDEX(LINEST(L202:L261,M202:T261,TRUE,TRUE),1,8)</f>
        <v/>
      </c>
      <c r="AC261" s="7">
        <f>INDEX(LINEST(L202:L261,M202:T261,TRUE,TRUE),1,7)</f>
        <v/>
      </c>
      <c r="AD261" s="7">
        <f>INDEX(LINEST(L202:L261,M202:T261,TRUE,TRUE),1,6)</f>
        <v/>
      </c>
      <c r="AE261" s="7">
        <f>INDEX(LINEST(L202:L261,M202:T261,TRUE,TRUE),1,5)</f>
        <v/>
      </c>
      <c r="AF261" s="7">
        <f>INDEX(LINEST(L202:L261,M202:T261,TRUE,TRUE),1,4)</f>
        <v/>
      </c>
      <c r="AG261" s="7">
        <f>INDEX(LINEST(L202:L261,M202:T261,TRUE,TRUE),1,3)</f>
        <v/>
      </c>
      <c r="AH261" s="7">
        <f>INDEX(LINEST(L202:L261,M202:T261,TRUE,TRUE),1,2)</f>
        <v/>
      </c>
      <c r="AI261" s="7">
        <f>INDEX(LINEST(L202:L261,M202:T261,TRUE,TRUE),1,1)</f>
        <v/>
      </c>
      <c r="AJ261" s="8">
        <f>INDEX(LINEST(L202:L261,M202:T261,TRUE,TRUE),3,1)</f>
        <v/>
      </c>
    </row>
    <row r="262">
      <c r="L262" s="7">
        <f>LN(B262/B261)</f>
        <v/>
      </c>
      <c r="M262" s="7">
        <f>C262-C261</f>
        <v/>
      </c>
      <c r="N262" s="7">
        <f>D262-D261</f>
        <v/>
      </c>
      <c r="O262" s="7">
        <f>LN(E262/E261)</f>
        <v/>
      </c>
      <c r="P262" s="7">
        <f>LN(F262/F261)</f>
        <v/>
      </c>
      <c r="Q262" s="7">
        <f>G262-G261</f>
        <v/>
      </c>
      <c r="R262" s="7">
        <f>H262-H261</f>
        <v/>
      </c>
      <c r="S262" s="7">
        <f>LN(I262/I261)</f>
        <v/>
      </c>
      <c r="T262" s="7">
        <f>LN(J262/J261)</f>
        <v/>
      </c>
      <c r="U262" s="7">
        <f>$W$12+$W$4*M262+$W$5*N262+$W$6*O262+$W$7*P262+$W$8*Q262+$W$9*R262+$W$10*S262+$W$11*T262</f>
        <v/>
      </c>
      <c r="AA262" s="8">
        <f>INDEX(LINEST(L203:L262,M203:T262,TRUE,TRUE),1,9)*12</f>
        <v/>
      </c>
      <c r="AB262" s="7">
        <f>INDEX(LINEST(L203:L262,M203:T262,TRUE,TRUE),1,8)</f>
        <v/>
      </c>
      <c r="AC262" s="7">
        <f>INDEX(LINEST(L203:L262,M203:T262,TRUE,TRUE),1,7)</f>
        <v/>
      </c>
      <c r="AD262" s="7">
        <f>INDEX(LINEST(L203:L262,M203:T262,TRUE,TRUE),1,6)</f>
        <v/>
      </c>
      <c r="AE262" s="7">
        <f>INDEX(LINEST(L203:L262,M203:T262,TRUE,TRUE),1,5)</f>
        <v/>
      </c>
      <c r="AF262" s="7">
        <f>INDEX(LINEST(L203:L262,M203:T262,TRUE,TRUE),1,4)</f>
        <v/>
      </c>
      <c r="AG262" s="7">
        <f>INDEX(LINEST(L203:L262,M203:T262,TRUE,TRUE),1,3)</f>
        <v/>
      </c>
      <c r="AH262" s="7">
        <f>INDEX(LINEST(L203:L262,M203:T262,TRUE,TRUE),1,2)</f>
        <v/>
      </c>
      <c r="AI262" s="7">
        <f>INDEX(LINEST(L203:L262,M203:T262,TRUE,TRUE),1,1)</f>
        <v/>
      </c>
      <c r="AJ262" s="8">
        <f>INDEX(LINEST(L203:L262,M203:T262,TRUE,TRUE),3,1)</f>
        <v/>
      </c>
    </row>
    <row r="263">
      <c r="L263" s="7">
        <f>LN(B263/B262)</f>
        <v/>
      </c>
      <c r="M263" s="7">
        <f>C263-C262</f>
        <v/>
      </c>
      <c r="N263" s="7">
        <f>D263-D262</f>
        <v/>
      </c>
      <c r="O263" s="7">
        <f>LN(E263/E262)</f>
        <v/>
      </c>
      <c r="P263" s="7">
        <f>LN(F263/F262)</f>
        <v/>
      </c>
      <c r="Q263" s="7">
        <f>G263-G262</f>
        <v/>
      </c>
      <c r="R263" s="7">
        <f>H263-H262</f>
        <v/>
      </c>
      <c r="S263" s="7">
        <f>LN(I263/I262)</f>
        <v/>
      </c>
      <c r="T263" s="7">
        <f>LN(J263/J262)</f>
        <v/>
      </c>
      <c r="U263" s="7">
        <f>$W$12+$W$4*M263+$W$5*N263+$W$6*O263+$W$7*P263+$W$8*Q263+$W$9*R263+$W$10*S263+$W$11*T263</f>
        <v/>
      </c>
      <c r="AA263" s="8">
        <f>INDEX(LINEST(L204:L263,M204:T263,TRUE,TRUE),1,9)*12</f>
        <v/>
      </c>
      <c r="AB263" s="7">
        <f>INDEX(LINEST(L204:L263,M204:T263,TRUE,TRUE),1,8)</f>
        <v/>
      </c>
      <c r="AC263" s="7">
        <f>INDEX(LINEST(L204:L263,M204:T263,TRUE,TRUE),1,7)</f>
        <v/>
      </c>
      <c r="AD263" s="7">
        <f>INDEX(LINEST(L204:L263,M204:T263,TRUE,TRUE),1,6)</f>
        <v/>
      </c>
      <c r="AE263" s="7">
        <f>INDEX(LINEST(L204:L263,M204:T263,TRUE,TRUE),1,5)</f>
        <v/>
      </c>
      <c r="AF263" s="7">
        <f>INDEX(LINEST(L204:L263,M204:T263,TRUE,TRUE),1,4)</f>
        <v/>
      </c>
      <c r="AG263" s="7">
        <f>INDEX(LINEST(L204:L263,M204:T263,TRUE,TRUE),1,3)</f>
        <v/>
      </c>
      <c r="AH263" s="7">
        <f>INDEX(LINEST(L204:L263,M204:T263,TRUE,TRUE),1,2)</f>
        <v/>
      </c>
      <c r="AI263" s="7">
        <f>INDEX(LINEST(L204:L263,M204:T263,TRUE,TRUE),1,1)</f>
        <v/>
      </c>
      <c r="AJ263" s="8">
        <f>INDEX(LINEST(L204:L263,M204:T263,TRUE,TRUE),3,1)</f>
        <v/>
      </c>
    </row>
    <row r="264">
      <c r="L264" s="7">
        <f>LN(B264/B263)</f>
        <v/>
      </c>
      <c r="M264" s="7">
        <f>C264-C263</f>
        <v/>
      </c>
      <c r="N264" s="7">
        <f>D264-D263</f>
        <v/>
      </c>
      <c r="O264" s="7">
        <f>LN(E264/E263)</f>
        <v/>
      </c>
      <c r="P264" s="7">
        <f>LN(F264/F263)</f>
        <v/>
      </c>
      <c r="Q264" s="7">
        <f>G264-G263</f>
        <v/>
      </c>
      <c r="R264" s="7">
        <f>H264-H263</f>
        <v/>
      </c>
      <c r="S264" s="7">
        <f>LN(I264/I263)</f>
        <v/>
      </c>
      <c r="T264" s="7">
        <f>LN(J264/J263)</f>
        <v/>
      </c>
      <c r="U264" s="7">
        <f>$W$12+$W$4*M264+$W$5*N264+$W$6*O264+$W$7*P264+$W$8*Q264+$W$9*R264+$W$10*S264+$W$11*T264</f>
        <v/>
      </c>
      <c r="AA264" s="8">
        <f>INDEX(LINEST(L205:L264,M205:T264,TRUE,TRUE),1,9)*12</f>
        <v/>
      </c>
      <c r="AB264" s="7">
        <f>INDEX(LINEST(L205:L264,M205:T264,TRUE,TRUE),1,8)</f>
        <v/>
      </c>
      <c r="AC264" s="7">
        <f>INDEX(LINEST(L205:L264,M205:T264,TRUE,TRUE),1,7)</f>
        <v/>
      </c>
      <c r="AD264" s="7">
        <f>INDEX(LINEST(L205:L264,M205:T264,TRUE,TRUE),1,6)</f>
        <v/>
      </c>
      <c r="AE264" s="7">
        <f>INDEX(LINEST(L205:L264,M205:T264,TRUE,TRUE),1,5)</f>
        <v/>
      </c>
      <c r="AF264" s="7">
        <f>INDEX(LINEST(L205:L264,M205:T264,TRUE,TRUE),1,4)</f>
        <v/>
      </c>
      <c r="AG264" s="7">
        <f>INDEX(LINEST(L205:L264,M205:T264,TRUE,TRUE),1,3)</f>
        <v/>
      </c>
      <c r="AH264" s="7">
        <f>INDEX(LINEST(L205:L264,M205:T264,TRUE,TRUE),1,2)</f>
        <v/>
      </c>
      <c r="AI264" s="7">
        <f>INDEX(LINEST(L205:L264,M205:T264,TRUE,TRUE),1,1)</f>
        <v/>
      </c>
      <c r="AJ264" s="8">
        <f>INDEX(LINEST(L205:L264,M205:T264,TRUE,TRUE),3,1)</f>
        <v/>
      </c>
    </row>
    <row r="265">
      <c r="L265" s="7">
        <f>LN(B265/B264)</f>
        <v/>
      </c>
      <c r="M265" s="7">
        <f>C265-C264</f>
        <v/>
      </c>
      <c r="N265" s="7">
        <f>D265-D264</f>
        <v/>
      </c>
      <c r="O265" s="7">
        <f>LN(E265/E264)</f>
        <v/>
      </c>
      <c r="P265" s="7">
        <f>LN(F265/F264)</f>
        <v/>
      </c>
      <c r="Q265" s="7">
        <f>G265-G264</f>
        <v/>
      </c>
      <c r="R265" s="7">
        <f>H265-H264</f>
        <v/>
      </c>
      <c r="S265" s="7">
        <f>LN(I265/I264)</f>
        <v/>
      </c>
      <c r="T265" s="7">
        <f>LN(J265/J264)</f>
        <v/>
      </c>
      <c r="U265" s="7">
        <f>$W$12+$W$4*M265+$W$5*N265+$W$6*O265+$W$7*P265+$W$8*Q265+$W$9*R265+$W$10*S265+$W$11*T265</f>
        <v/>
      </c>
      <c r="AA265" s="8">
        <f>INDEX(LINEST(L206:L265,M206:T265,TRUE,TRUE),1,9)*12</f>
        <v/>
      </c>
      <c r="AB265" s="7">
        <f>INDEX(LINEST(L206:L265,M206:T265,TRUE,TRUE),1,8)</f>
        <v/>
      </c>
      <c r="AC265" s="7">
        <f>INDEX(LINEST(L206:L265,M206:T265,TRUE,TRUE),1,7)</f>
        <v/>
      </c>
      <c r="AD265" s="7">
        <f>INDEX(LINEST(L206:L265,M206:T265,TRUE,TRUE),1,6)</f>
        <v/>
      </c>
      <c r="AE265" s="7">
        <f>INDEX(LINEST(L206:L265,M206:T265,TRUE,TRUE),1,5)</f>
        <v/>
      </c>
      <c r="AF265" s="7">
        <f>INDEX(LINEST(L206:L265,M206:T265,TRUE,TRUE),1,4)</f>
        <v/>
      </c>
      <c r="AG265" s="7">
        <f>INDEX(LINEST(L206:L265,M206:T265,TRUE,TRUE),1,3)</f>
        <v/>
      </c>
      <c r="AH265" s="7">
        <f>INDEX(LINEST(L206:L265,M206:T265,TRUE,TRUE),1,2)</f>
        <v/>
      </c>
      <c r="AI265" s="7">
        <f>INDEX(LINEST(L206:L265,M206:T265,TRUE,TRUE),1,1)</f>
        <v/>
      </c>
      <c r="AJ265" s="8">
        <f>INDEX(LINEST(L206:L265,M206:T265,TRUE,TRUE),3,1)</f>
        <v/>
      </c>
    </row>
    <row r="266">
      <c r="L266" s="7">
        <f>LN(B266/B265)</f>
        <v/>
      </c>
      <c r="M266" s="7">
        <f>C266-C265</f>
        <v/>
      </c>
      <c r="N266" s="7">
        <f>D266-D265</f>
        <v/>
      </c>
      <c r="O266" s="7">
        <f>LN(E266/E265)</f>
        <v/>
      </c>
      <c r="P266" s="7">
        <f>LN(F266/F265)</f>
        <v/>
      </c>
      <c r="Q266" s="7">
        <f>G266-G265</f>
        <v/>
      </c>
      <c r="R266" s="7">
        <f>H266-H265</f>
        <v/>
      </c>
      <c r="S266" s="7">
        <f>LN(I266/I265)</f>
        <v/>
      </c>
      <c r="T266" s="7">
        <f>LN(J266/J265)</f>
        <v/>
      </c>
      <c r="U266" s="7">
        <f>$W$12+$W$4*M266+$W$5*N266+$W$6*O266+$W$7*P266+$W$8*Q266+$W$9*R266+$W$10*S266+$W$11*T266</f>
        <v/>
      </c>
      <c r="AA266" s="8">
        <f>INDEX(LINEST(L207:L266,M207:T266,TRUE,TRUE),1,9)*12</f>
        <v/>
      </c>
      <c r="AB266" s="7">
        <f>INDEX(LINEST(L207:L266,M207:T266,TRUE,TRUE),1,8)</f>
        <v/>
      </c>
      <c r="AC266" s="7">
        <f>INDEX(LINEST(L207:L266,M207:T266,TRUE,TRUE),1,7)</f>
        <v/>
      </c>
      <c r="AD266" s="7">
        <f>INDEX(LINEST(L207:L266,M207:T266,TRUE,TRUE),1,6)</f>
        <v/>
      </c>
      <c r="AE266" s="7">
        <f>INDEX(LINEST(L207:L266,M207:T266,TRUE,TRUE),1,5)</f>
        <v/>
      </c>
      <c r="AF266" s="7">
        <f>INDEX(LINEST(L207:L266,M207:T266,TRUE,TRUE),1,4)</f>
        <v/>
      </c>
      <c r="AG266" s="7">
        <f>INDEX(LINEST(L207:L266,M207:T266,TRUE,TRUE),1,3)</f>
        <v/>
      </c>
      <c r="AH266" s="7">
        <f>INDEX(LINEST(L207:L266,M207:T266,TRUE,TRUE),1,2)</f>
        <v/>
      </c>
      <c r="AI266" s="7">
        <f>INDEX(LINEST(L207:L266,M207:T266,TRUE,TRUE),1,1)</f>
        <v/>
      </c>
      <c r="AJ266" s="8">
        <f>INDEX(LINEST(L207:L266,M207:T266,TRUE,TRUE),3,1)</f>
        <v/>
      </c>
    </row>
    <row r="267">
      <c r="L267" s="7">
        <f>LN(B267/B266)</f>
        <v/>
      </c>
      <c r="M267" s="7">
        <f>C267-C266</f>
        <v/>
      </c>
      <c r="N267" s="7">
        <f>D267-D266</f>
        <v/>
      </c>
      <c r="O267" s="7">
        <f>LN(E267/E266)</f>
        <v/>
      </c>
      <c r="P267" s="7">
        <f>LN(F267/F266)</f>
        <v/>
      </c>
      <c r="Q267" s="7">
        <f>G267-G266</f>
        <v/>
      </c>
      <c r="R267" s="7">
        <f>H267-H266</f>
        <v/>
      </c>
      <c r="S267" s="7">
        <f>LN(I267/I266)</f>
        <v/>
      </c>
      <c r="T267" s="7">
        <f>LN(J267/J266)</f>
        <v/>
      </c>
      <c r="U267" s="7">
        <f>$W$12+$W$4*M267+$W$5*N267+$W$6*O267+$W$7*P267+$W$8*Q267+$W$9*R267+$W$10*S267+$W$11*T267</f>
        <v/>
      </c>
      <c r="AA267" s="8">
        <f>INDEX(LINEST(L208:L267,M208:T267,TRUE,TRUE),1,9)*12</f>
        <v/>
      </c>
      <c r="AB267" s="7">
        <f>INDEX(LINEST(L208:L267,M208:T267,TRUE,TRUE),1,8)</f>
        <v/>
      </c>
      <c r="AC267" s="7">
        <f>INDEX(LINEST(L208:L267,M208:T267,TRUE,TRUE),1,7)</f>
        <v/>
      </c>
      <c r="AD267" s="7">
        <f>INDEX(LINEST(L208:L267,M208:T267,TRUE,TRUE),1,6)</f>
        <v/>
      </c>
      <c r="AE267" s="7">
        <f>INDEX(LINEST(L208:L267,M208:T267,TRUE,TRUE),1,5)</f>
        <v/>
      </c>
      <c r="AF267" s="7">
        <f>INDEX(LINEST(L208:L267,M208:T267,TRUE,TRUE),1,4)</f>
        <v/>
      </c>
      <c r="AG267" s="7">
        <f>INDEX(LINEST(L208:L267,M208:T267,TRUE,TRUE),1,3)</f>
        <v/>
      </c>
      <c r="AH267" s="7">
        <f>INDEX(LINEST(L208:L267,M208:T267,TRUE,TRUE),1,2)</f>
        <v/>
      </c>
      <c r="AI267" s="7">
        <f>INDEX(LINEST(L208:L267,M208:T267,TRUE,TRUE),1,1)</f>
        <v/>
      </c>
      <c r="AJ267" s="8">
        <f>INDEX(LINEST(L208:L267,M208:T267,TRUE,TRUE),3,1)</f>
        <v/>
      </c>
    </row>
    <row r="268">
      <c r="L268" s="7">
        <f>LN(B268/B267)</f>
        <v/>
      </c>
      <c r="M268" s="7">
        <f>C268-C267</f>
        <v/>
      </c>
      <c r="N268" s="7">
        <f>D268-D267</f>
        <v/>
      </c>
      <c r="O268" s="7">
        <f>LN(E268/E267)</f>
        <v/>
      </c>
      <c r="P268" s="7">
        <f>LN(F268/F267)</f>
        <v/>
      </c>
      <c r="Q268" s="7">
        <f>G268-G267</f>
        <v/>
      </c>
      <c r="R268" s="7">
        <f>H268-H267</f>
        <v/>
      </c>
      <c r="S268" s="7">
        <f>LN(I268/I267)</f>
        <v/>
      </c>
      <c r="T268" s="7">
        <f>LN(J268/J267)</f>
        <v/>
      </c>
      <c r="U268" s="7">
        <f>$W$12+$W$4*M268+$W$5*N268+$W$6*O268+$W$7*P268+$W$8*Q268+$W$9*R268+$W$10*S268+$W$11*T268</f>
        <v/>
      </c>
      <c r="AA268" s="8">
        <f>INDEX(LINEST(L209:L268,M209:T268,TRUE,TRUE),1,9)*12</f>
        <v/>
      </c>
      <c r="AB268" s="7">
        <f>INDEX(LINEST(L209:L268,M209:T268,TRUE,TRUE),1,8)</f>
        <v/>
      </c>
      <c r="AC268" s="7">
        <f>INDEX(LINEST(L209:L268,M209:T268,TRUE,TRUE),1,7)</f>
        <v/>
      </c>
      <c r="AD268" s="7">
        <f>INDEX(LINEST(L209:L268,M209:T268,TRUE,TRUE),1,6)</f>
        <v/>
      </c>
      <c r="AE268" s="7">
        <f>INDEX(LINEST(L209:L268,M209:T268,TRUE,TRUE),1,5)</f>
        <v/>
      </c>
      <c r="AF268" s="7">
        <f>INDEX(LINEST(L209:L268,M209:T268,TRUE,TRUE),1,4)</f>
        <v/>
      </c>
      <c r="AG268" s="7">
        <f>INDEX(LINEST(L209:L268,M209:T268,TRUE,TRUE),1,3)</f>
        <v/>
      </c>
      <c r="AH268" s="7">
        <f>INDEX(LINEST(L209:L268,M209:T268,TRUE,TRUE),1,2)</f>
        <v/>
      </c>
      <c r="AI268" s="7">
        <f>INDEX(LINEST(L209:L268,M209:T268,TRUE,TRUE),1,1)</f>
        <v/>
      </c>
      <c r="AJ268" s="8">
        <f>INDEX(LINEST(L209:L268,M209:T268,TRUE,TRUE),3,1)</f>
        <v/>
      </c>
    </row>
    <row r="269">
      <c r="L269" s="7">
        <f>LN(B269/B268)</f>
        <v/>
      </c>
      <c r="M269" s="7">
        <f>C269-C268</f>
        <v/>
      </c>
      <c r="N269" s="7">
        <f>D269-D268</f>
        <v/>
      </c>
      <c r="O269" s="7">
        <f>LN(E269/E268)</f>
        <v/>
      </c>
      <c r="P269" s="7">
        <f>LN(F269/F268)</f>
        <v/>
      </c>
      <c r="Q269" s="7">
        <f>G269-G268</f>
        <v/>
      </c>
      <c r="R269" s="7">
        <f>H269-H268</f>
        <v/>
      </c>
      <c r="S269" s="7">
        <f>LN(I269/I268)</f>
        <v/>
      </c>
      <c r="T269" s="7">
        <f>LN(J269/J268)</f>
        <v/>
      </c>
      <c r="U269" s="7">
        <f>$W$12+$W$4*M269+$W$5*N269+$W$6*O269+$W$7*P269+$W$8*Q269+$W$9*R269+$W$10*S269+$W$11*T269</f>
        <v/>
      </c>
      <c r="AA269" s="8">
        <f>INDEX(LINEST(L210:L269,M210:T269,TRUE,TRUE),1,9)*12</f>
        <v/>
      </c>
      <c r="AB269" s="7">
        <f>INDEX(LINEST(L210:L269,M210:T269,TRUE,TRUE),1,8)</f>
        <v/>
      </c>
      <c r="AC269" s="7">
        <f>INDEX(LINEST(L210:L269,M210:T269,TRUE,TRUE),1,7)</f>
        <v/>
      </c>
      <c r="AD269" s="7">
        <f>INDEX(LINEST(L210:L269,M210:T269,TRUE,TRUE),1,6)</f>
        <v/>
      </c>
      <c r="AE269" s="7">
        <f>INDEX(LINEST(L210:L269,M210:T269,TRUE,TRUE),1,5)</f>
        <v/>
      </c>
      <c r="AF269" s="7">
        <f>INDEX(LINEST(L210:L269,M210:T269,TRUE,TRUE),1,4)</f>
        <v/>
      </c>
      <c r="AG269" s="7">
        <f>INDEX(LINEST(L210:L269,M210:T269,TRUE,TRUE),1,3)</f>
        <v/>
      </c>
      <c r="AH269" s="7">
        <f>INDEX(LINEST(L210:L269,M210:T269,TRUE,TRUE),1,2)</f>
        <v/>
      </c>
      <c r="AI269" s="7">
        <f>INDEX(LINEST(L210:L269,M210:T269,TRUE,TRUE),1,1)</f>
        <v/>
      </c>
      <c r="AJ269" s="8">
        <f>INDEX(LINEST(L210:L269,M210:T269,TRUE,TRUE),3,1)</f>
        <v/>
      </c>
    </row>
    <row r="270">
      <c r="L270" s="7">
        <f>LN(B270/B269)</f>
        <v/>
      </c>
      <c r="M270" s="7">
        <f>C270-C269</f>
        <v/>
      </c>
      <c r="N270" s="7">
        <f>D270-D269</f>
        <v/>
      </c>
      <c r="O270" s="7">
        <f>LN(E270/E269)</f>
        <v/>
      </c>
      <c r="P270" s="7">
        <f>LN(F270/F269)</f>
        <v/>
      </c>
      <c r="Q270" s="7">
        <f>G270-G269</f>
        <v/>
      </c>
      <c r="R270" s="7">
        <f>H270-H269</f>
        <v/>
      </c>
      <c r="S270" s="7">
        <f>LN(I270/I269)</f>
        <v/>
      </c>
      <c r="T270" s="7">
        <f>LN(J270/J269)</f>
        <v/>
      </c>
      <c r="U270" s="7">
        <f>$W$12+$W$4*M270+$W$5*N270+$W$6*O270+$W$7*P270+$W$8*Q270+$W$9*R270+$W$10*S270+$W$11*T270</f>
        <v/>
      </c>
      <c r="AA270" s="8">
        <f>INDEX(LINEST(L211:L270,M211:T270,TRUE,TRUE),1,9)*12</f>
        <v/>
      </c>
      <c r="AB270" s="7">
        <f>INDEX(LINEST(L211:L270,M211:T270,TRUE,TRUE),1,8)</f>
        <v/>
      </c>
      <c r="AC270" s="7">
        <f>INDEX(LINEST(L211:L270,M211:T270,TRUE,TRUE),1,7)</f>
        <v/>
      </c>
      <c r="AD270" s="7">
        <f>INDEX(LINEST(L211:L270,M211:T270,TRUE,TRUE),1,6)</f>
        <v/>
      </c>
      <c r="AE270" s="7">
        <f>INDEX(LINEST(L211:L270,M211:T270,TRUE,TRUE),1,5)</f>
        <v/>
      </c>
      <c r="AF270" s="7">
        <f>INDEX(LINEST(L211:L270,M211:T270,TRUE,TRUE),1,4)</f>
        <v/>
      </c>
      <c r="AG270" s="7">
        <f>INDEX(LINEST(L211:L270,M211:T270,TRUE,TRUE),1,3)</f>
        <v/>
      </c>
      <c r="AH270" s="7">
        <f>INDEX(LINEST(L211:L270,M211:T270,TRUE,TRUE),1,2)</f>
        <v/>
      </c>
      <c r="AI270" s="7">
        <f>INDEX(LINEST(L211:L270,M211:T270,TRUE,TRUE),1,1)</f>
        <v/>
      </c>
      <c r="AJ270" s="8">
        <f>INDEX(LINEST(L211:L270,M211:T270,TRUE,TRUE),3,1)</f>
        <v/>
      </c>
    </row>
    <row r="271">
      <c r="L271" s="7">
        <f>LN(B271/B270)</f>
        <v/>
      </c>
      <c r="M271" s="7">
        <f>C271-C270</f>
        <v/>
      </c>
      <c r="N271" s="7">
        <f>D271-D270</f>
        <v/>
      </c>
      <c r="O271" s="7">
        <f>LN(E271/E270)</f>
        <v/>
      </c>
      <c r="P271" s="7">
        <f>LN(F271/F270)</f>
        <v/>
      </c>
      <c r="Q271" s="7">
        <f>G271-G270</f>
        <v/>
      </c>
      <c r="R271" s="7">
        <f>H271-H270</f>
        <v/>
      </c>
      <c r="S271" s="7">
        <f>LN(I271/I270)</f>
        <v/>
      </c>
      <c r="T271" s="7">
        <f>LN(J271/J270)</f>
        <v/>
      </c>
      <c r="U271" s="7">
        <f>$W$12+$W$4*M271+$W$5*N271+$W$6*O271+$W$7*P271+$W$8*Q271+$W$9*R271+$W$10*S271+$W$11*T271</f>
        <v/>
      </c>
      <c r="AA271" s="8">
        <f>INDEX(LINEST(L212:L271,M212:T271,TRUE,TRUE),1,9)*12</f>
        <v/>
      </c>
      <c r="AB271" s="7">
        <f>INDEX(LINEST(L212:L271,M212:T271,TRUE,TRUE),1,8)</f>
        <v/>
      </c>
      <c r="AC271" s="7">
        <f>INDEX(LINEST(L212:L271,M212:T271,TRUE,TRUE),1,7)</f>
        <v/>
      </c>
      <c r="AD271" s="7">
        <f>INDEX(LINEST(L212:L271,M212:T271,TRUE,TRUE),1,6)</f>
        <v/>
      </c>
      <c r="AE271" s="7">
        <f>INDEX(LINEST(L212:L271,M212:T271,TRUE,TRUE),1,5)</f>
        <v/>
      </c>
      <c r="AF271" s="7">
        <f>INDEX(LINEST(L212:L271,M212:T271,TRUE,TRUE),1,4)</f>
        <v/>
      </c>
      <c r="AG271" s="7">
        <f>INDEX(LINEST(L212:L271,M212:T271,TRUE,TRUE),1,3)</f>
        <v/>
      </c>
      <c r="AH271" s="7">
        <f>INDEX(LINEST(L212:L271,M212:T271,TRUE,TRUE),1,2)</f>
        <v/>
      </c>
      <c r="AI271" s="7">
        <f>INDEX(LINEST(L212:L271,M212:T271,TRUE,TRUE),1,1)</f>
        <v/>
      </c>
      <c r="AJ271" s="8">
        <f>INDEX(LINEST(L212:L271,M212:T271,TRUE,TRUE),3,1)</f>
        <v/>
      </c>
    </row>
    <row r="272">
      <c r="L272" s="7">
        <f>LN(B272/B271)</f>
        <v/>
      </c>
      <c r="M272" s="7">
        <f>C272-C271</f>
        <v/>
      </c>
      <c r="N272" s="7">
        <f>D272-D271</f>
        <v/>
      </c>
      <c r="O272" s="7">
        <f>LN(E272/E271)</f>
        <v/>
      </c>
      <c r="P272" s="7">
        <f>LN(F272/F271)</f>
        <v/>
      </c>
      <c r="Q272" s="7">
        <f>G272-G271</f>
        <v/>
      </c>
      <c r="R272" s="7">
        <f>H272-H271</f>
        <v/>
      </c>
      <c r="S272" s="7">
        <f>LN(I272/I271)</f>
        <v/>
      </c>
      <c r="T272" s="7">
        <f>LN(J272/J271)</f>
        <v/>
      </c>
      <c r="U272" s="7">
        <f>$W$12+$W$4*M272+$W$5*N272+$W$6*O272+$W$7*P272+$W$8*Q272+$W$9*R272+$W$10*S272+$W$11*T272</f>
        <v/>
      </c>
      <c r="AA272" s="8">
        <f>INDEX(LINEST(L213:L272,M213:T272,TRUE,TRUE),1,9)*12</f>
        <v/>
      </c>
      <c r="AB272" s="7">
        <f>INDEX(LINEST(L213:L272,M213:T272,TRUE,TRUE),1,8)</f>
        <v/>
      </c>
      <c r="AC272" s="7">
        <f>INDEX(LINEST(L213:L272,M213:T272,TRUE,TRUE),1,7)</f>
        <v/>
      </c>
      <c r="AD272" s="7">
        <f>INDEX(LINEST(L213:L272,M213:T272,TRUE,TRUE),1,6)</f>
        <v/>
      </c>
      <c r="AE272" s="7">
        <f>INDEX(LINEST(L213:L272,M213:T272,TRUE,TRUE),1,5)</f>
        <v/>
      </c>
      <c r="AF272" s="7">
        <f>INDEX(LINEST(L213:L272,M213:T272,TRUE,TRUE),1,4)</f>
        <v/>
      </c>
      <c r="AG272" s="7">
        <f>INDEX(LINEST(L213:L272,M213:T272,TRUE,TRUE),1,3)</f>
        <v/>
      </c>
      <c r="AH272" s="7">
        <f>INDEX(LINEST(L213:L272,M213:T272,TRUE,TRUE),1,2)</f>
        <v/>
      </c>
      <c r="AI272" s="7">
        <f>INDEX(LINEST(L213:L272,M213:T272,TRUE,TRUE),1,1)</f>
        <v/>
      </c>
      <c r="AJ272" s="8">
        <f>INDEX(LINEST(L213:L272,M213:T272,TRUE,TRUE),3,1)</f>
        <v/>
      </c>
    </row>
    <row r="273">
      <c r="L273" s="7">
        <f>LN(B273/B272)</f>
        <v/>
      </c>
      <c r="M273" s="7">
        <f>C273-C272</f>
        <v/>
      </c>
      <c r="N273" s="7">
        <f>D273-D272</f>
        <v/>
      </c>
      <c r="O273" s="7">
        <f>LN(E273/E272)</f>
        <v/>
      </c>
      <c r="P273" s="7">
        <f>LN(F273/F272)</f>
        <v/>
      </c>
      <c r="Q273" s="7">
        <f>G273-G272</f>
        <v/>
      </c>
      <c r="R273" s="7">
        <f>H273-H272</f>
        <v/>
      </c>
      <c r="S273" s="7">
        <f>LN(I273/I272)</f>
        <v/>
      </c>
      <c r="T273" s="7">
        <f>LN(J273/J272)</f>
        <v/>
      </c>
      <c r="U273" s="7">
        <f>$W$12+$W$4*M273+$W$5*N273+$W$6*O273+$W$7*P273+$W$8*Q273+$W$9*R273+$W$10*S273+$W$11*T273</f>
        <v/>
      </c>
      <c r="AA273" s="8">
        <f>INDEX(LINEST(L214:L273,M214:T273,TRUE,TRUE),1,9)*12</f>
        <v/>
      </c>
      <c r="AB273" s="7">
        <f>INDEX(LINEST(L214:L273,M214:T273,TRUE,TRUE),1,8)</f>
        <v/>
      </c>
      <c r="AC273" s="7">
        <f>INDEX(LINEST(L214:L273,M214:T273,TRUE,TRUE),1,7)</f>
        <v/>
      </c>
      <c r="AD273" s="7">
        <f>INDEX(LINEST(L214:L273,M214:T273,TRUE,TRUE),1,6)</f>
        <v/>
      </c>
      <c r="AE273" s="7">
        <f>INDEX(LINEST(L214:L273,M214:T273,TRUE,TRUE),1,5)</f>
        <v/>
      </c>
      <c r="AF273" s="7">
        <f>INDEX(LINEST(L214:L273,M214:T273,TRUE,TRUE),1,4)</f>
        <v/>
      </c>
      <c r="AG273" s="7">
        <f>INDEX(LINEST(L214:L273,M214:T273,TRUE,TRUE),1,3)</f>
        <v/>
      </c>
      <c r="AH273" s="7">
        <f>INDEX(LINEST(L214:L273,M214:T273,TRUE,TRUE),1,2)</f>
        <v/>
      </c>
      <c r="AI273" s="7">
        <f>INDEX(LINEST(L214:L273,M214:T273,TRUE,TRUE),1,1)</f>
        <v/>
      </c>
      <c r="AJ273" s="8">
        <f>INDEX(LINEST(L214:L273,M214:T273,TRUE,TRUE),3,1)</f>
        <v/>
      </c>
    </row>
    <row r="274">
      <c r="L274" s="7">
        <f>LN(B274/B273)</f>
        <v/>
      </c>
      <c r="M274" s="7">
        <f>C274-C273</f>
        <v/>
      </c>
      <c r="N274" s="7">
        <f>D274-D273</f>
        <v/>
      </c>
      <c r="O274" s="7">
        <f>LN(E274/E273)</f>
        <v/>
      </c>
      <c r="P274" s="7">
        <f>LN(F274/F273)</f>
        <v/>
      </c>
      <c r="Q274" s="7">
        <f>G274-G273</f>
        <v/>
      </c>
      <c r="R274" s="7">
        <f>H274-H273</f>
        <v/>
      </c>
      <c r="S274" s="7">
        <f>LN(I274/I273)</f>
        <v/>
      </c>
      <c r="T274" s="7">
        <f>LN(J274/J273)</f>
        <v/>
      </c>
      <c r="U274" s="7">
        <f>$W$12+$W$4*M274+$W$5*N274+$W$6*O274+$W$7*P274+$W$8*Q274+$W$9*R274+$W$10*S274+$W$11*T274</f>
        <v/>
      </c>
      <c r="AA274" s="8">
        <f>INDEX(LINEST(L215:L274,M215:T274,TRUE,TRUE),1,9)*12</f>
        <v/>
      </c>
      <c r="AB274" s="7">
        <f>INDEX(LINEST(L215:L274,M215:T274,TRUE,TRUE),1,8)</f>
        <v/>
      </c>
      <c r="AC274" s="7">
        <f>INDEX(LINEST(L215:L274,M215:T274,TRUE,TRUE),1,7)</f>
        <v/>
      </c>
      <c r="AD274" s="7">
        <f>INDEX(LINEST(L215:L274,M215:T274,TRUE,TRUE),1,6)</f>
        <v/>
      </c>
      <c r="AE274" s="7">
        <f>INDEX(LINEST(L215:L274,M215:T274,TRUE,TRUE),1,5)</f>
        <v/>
      </c>
      <c r="AF274" s="7">
        <f>INDEX(LINEST(L215:L274,M215:T274,TRUE,TRUE),1,4)</f>
        <v/>
      </c>
      <c r="AG274" s="7">
        <f>INDEX(LINEST(L215:L274,M215:T274,TRUE,TRUE),1,3)</f>
        <v/>
      </c>
      <c r="AH274" s="7">
        <f>INDEX(LINEST(L215:L274,M215:T274,TRUE,TRUE),1,2)</f>
        <v/>
      </c>
      <c r="AI274" s="7">
        <f>INDEX(LINEST(L215:L274,M215:T274,TRUE,TRUE),1,1)</f>
        <v/>
      </c>
      <c r="AJ274" s="8">
        <f>INDEX(LINEST(L215:L274,M215:T274,TRUE,TRUE),3,1)</f>
        <v/>
      </c>
    </row>
    <row r="275">
      <c r="L275" s="7">
        <f>LN(B275/B274)</f>
        <v/>
      </c>
      <c r="M275" s="7">
        <f>C275-C274</f>
        <v/>
      </c>
      <c r="N275" s="7">
        <f>D275-D274</f>
        <v/>
      </c>
      <c r="O275" s="7">
        <f>LN(E275/E274)</f>
        <v/>
      </c>
      <c r="P275" s="7">
        <f>LN(F275/F274)</f>
        <v/>
      </c>
      <c r="Q275" s="7">
        <f>G275-G274</f>
        <v/>
      </c>
      <c r="R275" s="7">
        <f>H275-H274</f>
        <v/>
      </c>
      <c r="S275" s="7">
        <f>LN(I275/I274)</f>
        <v/>
      </c>
      <c r="T275" s="7">
        <f>LN(J275/J274)</f>
        <v/>
      </c>
      <c r="U275" s="7">
        <f>$W$12+$W$4*M275+$W$5*N275+$W$6*O275+$W$7*P275+$W$8*Q275+$W$9*R275+$W$10*S275+$W$11*T275</f>
        <v/>
      </c>
      <c r="AA275" s="8">
        <f>INDEX(LINEST(L216:L275,M216:T275,TRUE,TRUE),1,9)*12</f>
        <v/>
      </c>
      <c r="AB275" s="7">
        <f>INDEX(LINEST(L216:L275,M216:T275,TRUE,TRUE),1,8)</f>
        <v/>
      </c>
      <c r="AC275" s="7">
        <f>INDEX(LINEST(L216:L275,M216:T275,TRUE,TRUE),1,7)</f>
        <v/>
      </c>
      <c r="AD275" s="7">
        <f>INDEX(LINEST(L216:L275,M216:T275,TRUE,TRUE),1,6)</f>
        <v/>
      </c>
      <c r="AE275" s="7">
        <f>INDEX(LINEST(L216:L275,M216:T275,TRUE,TRUE),1,5)</f>
        <v/>
      </c>
      <c r="AF275" s="7">
        <f>INDEX(LINEST(L216:L275,M216:T275,TRUE,TRUE),1,4)</f>
        <v/>
      </c>
      <c r="AG275" s="7">
        <f>INDEX(LINEST(L216:L275,M216:T275,TRUE,TRUE),1,3)</f>
        <v/>
      </c>
      <c r="AH275" s="7">
        <f>INDEX(LINEST(L216:L275,M216:T275,TRUE,TRUE),1,2)</f>
        <v/>
      </c>
      <c r="AI275" s="7">
        <f>INDEX(LINEST(L216:L275,M216:T275,TRUE,TRUE),1,1)</f>
        <v/>
      </c>
      <c r="AJ275" s="8">
        <f>INDEX(LINEST(L216:L275,M216:T275,TRUE,TRUE),3,1)</f>
        <v/>
      </c>
    </row>
    <row r="276">
      <c r="L276" s="7">
        <f>LN(B276/B275)</f>
        <v/>
      </c>
      <c r="M276" s="7">
        <f>C276-C275</f>
        <v/>
      </c>
      <c r="N276" s="7">
        <f>D276-D275</f>
        <v/>
      </c>
      <c r="O276" s="7">
        <f>LN(E276/E275)</f>
        <v/>
      </c>
      <c r="P276" s="7">
        <f>LN(F276/F275)</f>
        <v/>
      </c>
      <c r="Q276" s="7">
        <f>G276-G275</f>
        <v/>
      </c>
      <c r="R276" s="7">
        <f>H276-H275</f>
        <v/>
      </c>
      <c r="S276" s="7">
        <f>LN(I276/I275)</f>
        <v/>
      </c>
      <c r="T276" s="7">
        <f>LN(J276/J275)</f>
        <v/>
      </c>
      <c r="U276" s="7">
        <f>$W$12+$W$4*M276+$W$5*N276+$W$6*O276+$W$7*P276+$W$8*Q276+$W$9*R276+$W$10*S276+$W$11*T276</f>
        <v/>
      </c>
      <c r="AA276" s="8">
        <f>INDEX(LINEST(L217:L276,M217:T276,TRUE,TRUE),1,9)*12</f>
        <v/>
      </c>
      <c r="AB276" s="7">
        <f>INDEX(LINEST(L217:L276,M217:T276,TRUE,TRUE),1,8)</f>
        <v/>
      </c>
      <c r="AC276" s="7">
        <f>INDEX(LINEST(L217:L276,M217:T276,TRUE,TRUE),1,7)</f>
        <v/>
      </c>
      <c r="AD276" s="7">
        <f>INDEX(LINEST(L217:L276,M217:T276,TRUE,TRUE),1,6)</f>
        <v/>
      </c>
      <c r="AE276" s="7">
        <f>INDEX(LINEST(L217:L276,M217:T276,TRUE,TRUE),1,5)</f>
        <v/>
      </c>
      <c r="AF276" s="7">
        <f>INDEX(LINEST(L217:L276,M217:T276,TRUE,TRUE),1,4)</f>
        <v/>
      </c>
      <c r="AG276" s="7">
        <f>INDEX(LINEST(L217:L276,M217:T276,TRUE,TRUE),1,3)</f>
        <v/>
      </c>
      <c r="AH276" s="7">
        <f>INDEX(LINEST(L217:L276,M217:T276,TRUE,TRUE),1,2)</f>
        <v/>
      </c>
      <c r="AI276" s="7">
        <f>INDEX(LINEST(L217:L276,M217:T276,TRUE,TRUE),1,1)</f>
        <v/>
      </c>
      <c r="AJ276" s="8">
        <f>INDEX(LINEST(L217:L276,M217:T276,TRUE,TRUE),3,1)</f>
        <v/>
      </c>
    </row>
    <row r="277">
      <c r="L277" s="7">
        <f>LN(B277/B276)</f>
        <v/>
      </c>
      <c r="M277" s="7">
        <f>C277-C276</f>
        <v/>
      </c>
      <c r="N277" s="7">
        <f>D277-D276</f>
        <v/>
      </c>
      <c r="O277" s="7">
        <f>LN(E277/E276)</f>
        <v/>
      </c>
      <c r="P277" s="7">
        <f>LN(F277/F276)</f>
        <v/>
      </c>
      <c r="Q277" s="7">
        <f>G277-G276</f>
        <v/>
      </c>
      <c r="R277" s="7">
        <f>H277-H276</f>
        <v/>
      </c>
      <c r="S277" s="7">
        <f>LN(I277/I276)</f>
        <v/>
      </c>
      <c r="T277" s="7">
        <f>LN(J277/J276)</f>
        <v/>
      </c>
      <c r="U277" s="7">
        <f>$W$12+$W$4*M277+$W$5*N277+$W$6*O277+$W$7*P277+$W$8*Q277+$W$9*R277+$W$10*S277+$W$11*T277</f>
        <v/>
      </c>
      <c r="AA277" s="8">
        <f>INDEX(LINEST(L218:L277,M218:T277,TRUE,TRUE),1,9)*12</f>
        <v/>
      </c>
      <c r="AB277" s="7">
        <f>INDEX(LINEST(L218:L277,M218:T277,TRUE,TRUE),1,8)</f>
        <v/>
      </c>
      <c r="AC277" s="7">
        <f>INDEX(LINEST(L218:L277,M218:T277,TRUE,TRUE),1,7)</f>
        <v/>
      </c>
      <c r="AD277" s="7">
        <f>INDEX(LINEST(L218:L277,M218:T277,TRUE,TRUE),1,6)</f>
        <v/>
      </c>
      <c r="AE277" s="7">
        <f>INDEX(LINEST(L218:L277,M218:T277,TRUE,TRUE),1,5)</f>
        <v/>
      </c>
      <c r="AF277" s="7">
        <f>INDEX(LINEST(L218:L277,M218:T277,TRUE,TRUE),1,4)</f>
        <v/>
      </c>
      <c r="AG277" s="7">
        <f>INDEX(LINEST(L218:L277,M218:T277,TRUE,TRUE),1,3)</f>
        <v/>
      </c>
      <c r="AH277" s="7">
        <f>INDEX(LINEST(L218:L277,M218:T277,TRUE,TRUE),1,2)</f>
        <v/>
      </c>
      <c r="AI277" s="7">
        <f>INDEX(LINEST(L218:L277,M218:T277,TRUE,TRUE),1,1)</f>
        <v/>
      </c>
      <c r="AJ277" s="8">
        <f>INDEX(LINEST(L218:L277,M218:T277,TRUE,TRUE),3,1)</f>
        <v/>
      </c>
    </row>
    <row r="278">
      <c r="L278" s="7">
        <f>LN(B278/B277)</f>
        <v/>
      </c>
      <c r="M278" s="7">
        <f>C278-C277</f>
        <v/>
      </c>
      <c r="N278" s="7">
        <f>D278-D277</f>
        <v/>
      </c>
      <c r="O278" s="7">
        <f>LN(E278/E277)</f>
        <v/>
      </c>
      <c r="P278" s="7">
        <f>LN(F278/F277)</f>
        <v/>
      </c>
      <c r="Q278" s="7">
        <f>G278-G277</f>
        <v/>
      </c>
      <c r="R278" s="7">
        <f>H278-H277</f>
        <v/>
      </c>
      <c r="S278" s="7">
        <f>LN(I278/I277)</f>
        <v/>
      </c>
      <c r="T278" s="7">
        <f>LN(J278/J277)</f>
        <v/>
      </c>
      <c r="U278" s="7">
        <f>$W$12+$W$4*M278+$W$5*N278+$W$6*O278+$W$7*P278+$W$8*Q278+$W$9*R278+$W$10*S278+$W$11*T278</f>
        <v/>
      </c>
      <c r="AA278" s="8">
        <f>INDEX(LINEST(L219:L278,M219:T278,TRUE,TRUE),1,9)*12</f>
        <v/>
      </c>
      <c r="AB278" s="7">
        <f>INDEX(LINEST(L219:L278,M219:T278,TRUE,TRUE),1,8)</f>
        <v/>
      </c>
      <c r="AC278" s="7">
        <f>INDEX(LINEST(L219:L278,M219:T278,TRUE,TRUE),1,7)</f>
        <v/>
      </c>
      <c r="AD278" s="7">
        <f>INDEX(LINEST(L219:L278,M219:T278,TRUE,TRUE),1,6)</f>
        <v/>
      </c>
      <c r="AE278" s="7">
        <f>INDEX(LINEST(L219:L278,M219:T278,TRUE,TRUE),1,5)</f>
        <v/>
      </c>
      <c r="AF278" s="7">
        <f>INDEX(LINEST(L219:L278,M219:T278,TRUE,TRUE),1,4)</f>
        <v/>
      </c>
      <c r="AG278" s="7">
        <f>INDEX(LINEST(L219:L278,M219:T278,TRUE,TRUE),1,3)</f>
        <v/>
      </c>
      <c r="AH278" s="7">
        <f>INDEX(LINEST(L219:L278,M219:T278,TRUE,TRUE),1,2)</f>
        <v/>
      </c>
      <c r="AI278" s="7">
        <f>INDEX(LINEST(L219:L278,M219:T278,TRUE,TRUE),1,1)</f>
        <v/>
      </c>
      <c r="AJ278" s="8">
        <f>INDEX(LINEST(L219:L278,M219:T278,TRUE,TRUE),3,1)</f>
        <v/>
      </c>
    </row>
    <row r="279">
      <c r="L279" s="7">
        <f>LN(B279/B278)</f>
        <v/>
      </c>
      <c r="M279" s="7">
        <f>C279-C278</f>
        <v/>
      </c>
      <c r="N279" s="7">
        <f>D279-D278</f>
        <v/>
      </c>
      <c r="O279" s="7">
        <f>LN(E279/E278)</f>
        <v/>
      </c>
      <c r="P279" s="7">
        <f>LN(F279/F278)</f>
        <v/>
      </c>
      <c r="Q279" s="7">
        <f>G279-G278</f>
        <v/>
      </c>
      <c r="R279" s="7">
        <f>H279-H278</f>
        <v/>
      </c>
      <c r="S279" s="7">
        <f>LN(I279/I278)</f>
        <v/>
      </c>
      <c r="T279" s="7">
        <f>LN(J279/J278)</f>
        <v/>
      </c>
      <c r="U279" s="7">
        <f>$W$12+$W$4*M279+$W$5*N279+$W$6*O279+$W$7*P279+$W$8*Q279+$W$9*R279+$W$10*S279+$W$11*T279</f>
        <v/>
      </c>
      <c r="AA279" s="8">
        <f>INDEX(LINEST(L220:L279,M220:T279,TRUE,TRUE),1,9)*12</f>
        <v/>
      </c>
      <c r="AB279" s="7">
        <f>INDEX(LINEST(L220:L279,M220:T279,TRUE,TRUE),1,8)</f>
        <v/>
      </c>
      <c r="AC279" s="7">
        <f>INDEX(LINEST(L220:L279,M220:T279,TRUE,TRUE),1,7)</f>
        <v/>
      </c>
      <c r="AD279" s="7">
        <f>INDEX(LINEST(L220:L279,M220:T279,TRUE,TRUE),1,6)</f>
        <v/>
      </c>
      <c r="AE279" s="7">
        <f>INDEX(LINEST(L220:L279,M220:T279,TRUE,TRUE),1,5)</f>
        <v/>
      </c>
      <c r="AF279" s="7">
        <f>INDEX(LINEST(L220:L279,M220:T279,TRUE,TRUE),1,4)</f>
        <v/>
      </c>
      <c r="AG279" s="7">
        <f>INDEX(LINEST(L220:L279,M220:T279,TRUE,TRUE),1,3)</f>
        <v/>
      </c>
      <c r="AH279" s="7">
        <f>INDEX(LINEST(L220:L279,M220:T279,TRUE,TRUE),1,2)</f>
        <v/>
      </c>
      <c r="AI279" s="7">
        <f>INDEX(LINEST(L220:L279,M220:T279,TRUE,TRUE),1,1)</f>
        <v/>
      </c>
      <c r="AJ279" s="8">
        <f>INDEX(LINEST(L220:L279,M220:T279,TRUE,TRUE),3,1)</f>
        <v/>
      </c>
    </row>
    <row r="280">
      <c r="L280" s="7">
        <f>LN(B280/B279)</f>
        <v/>
      </c>
      <c r="M280" s="7">
        <f>C280-C279</f>
        <v/>
      </c>
      <c r="N280" s="7">
        <f>D280-D279</f>
        <v/>
      </c>
      <c r="O280" s="7">
        <f>LN(E280/E279)</f>
        <v/>
      </c>
      <c r="P280" s="7">
        <f>LN(F280/F279)</f>
        <v/>
      </c>
      <c r="Q280" s="7">
        <f>G280-G279</f>
        <v/>
      </c>
      <c r="R280" s="7">
        <f>H280-H279</f>
        <v/>
      </c>
      <c r="S280" s="7">
        <f>LN(I280/I279)</f>
        <v/>
      </c>
      <c r="T280" s="7">
        <f>LN(J280/J279)</f>
        <v/>
      </c>
      <c r="U280" s="7">
        <f>$W$12+$W$4*M280+$W$5*N280+$W$6*O280+$W$7*P280+$W$8*Q280+$W$9*R280+$W$10*S280+$W$11*T280</f>
        <v/>
      </c>
      <c r="AA280" s="8">
        <f>INDEX(LINEST(L221:L280,M221:T280,TRUE,TRUE),1,9)*12</f>
        <v/>
      </c>
      <c r="AB280" s="7">
        <f>INDEX(LINEST(L221:L280,M221:T280,TRUE,TRUE),1,8)</f>
        <v/>
      </c>
      <c r="AC280" s="7">
        <f>INDEX(LINEST(L221:L280,M221:T280,TRUE,TRUE),1,7)</f>
        <v/>
      </c>
      <c r="AD280" s="7">
        <f>INDEX(LINEST(L221:L280,M221:T280,TRUE,TRUE),1,6)</f>
        <v/>
      </c>
      <c r="AE280" s="7">
        <f>INDEX(LINEST(L221:L280,M221:T280,TRUE,TRUE),1,5)</f>
        <v/>
      </c>
      <c r="AF280" s="7">
        <f>INDEX(LINEST(L221:L280,M221:T280,TRUE,TRUE),1,4)</f>
        <v/>
      </c>
      <c r="AG280" s="7">
        <f>INDEX(LINEST(L221:L280,M221:T280,TRUE,TRUE),1,3)</f>
        <v/>
      </c>
      <c r="AH280" s="7">
        <f>INDEX(LINEST(L221:L280,M221:T280,TRUE,TRUE),1,2)</f>
        <v/>
      </c>
      <c r="AI280" s="7">
        <f>INDEX(LINEST(L221:L280,M221:T280,TRUE,TRUE),1,1)</f>
        <v/>
      </c>
      <c r="AJ280" s="8">
        <f>INDEX(LINEST(L221:L280,M221:T280,TRUE,TRUE),3,1)</f>
        <v/>
      </c>
    </row>
    <row r="281">
      <c r="L281" s="7">
        <f>LN(B281/B280)</f>
        <v/>
      </c>
      <c r="M281" s="7">
        <f>C281-C280</f>
        <v/>
      </c>
      <c r="N281" s="7">
        <f>D281-D280</f>
        <v/>
      </c>
      <c r="O281" s="7">
        <f>LN(E281/E280)</f>
        <v/>
      </c>
      <c r="P281" s="7">
        <f>LN(F281/F280)</f>
        <v/>
      </c>
      <c r="Q281" s="7">
        <f>G281-G280</f>
        <v/>
      </c>
      <c r="R281" s="7">
        <f>H281-H280</f>
        <v/>
      </c>
      <c r="S281" s="7">
        <f>LN(I281/I280)</f>
        <v/>
      </c>
      <c r="T281" s="7">
        <f>LN(J281/J280)</f>
        <v/>
      </c>
      <c r="U281" s="7">
        <f>$W$12+$W$4*M281+$W$5*N281+$W$6*O281+$W$7*P281+$W$8*Q281+$W$9*R281+$W$10*S281+$W$11*T281</f>
        <v/>
      </c>
      <c r="AA281" s="8">
        <f>INDEX(LINEST(L222:L281,M222:T281,TRUE,TRUE),1,9)*12</f>
        <v/>
      </c>
      <c r="AB281" s="7">
        <f>INDEX(LINEST(L222:L281,M222:T281,TRUE,TRUE),1,8)</f>
        <v/>
      </c>
      <c r="AC281" s="7">
        <f>INDEX(LINEST(L222:L281,M222:T281,TRUE,TRUE),1,7)</f>
        <v/>
      </c>
      <c r="AD281" s="7">
        <f>INDEX(LINEST(L222:L281,M222:T281,TRUE,TRUE),1,6)</f>
        <v/>
      </c>
      <c r="AE281" s="7">
        <f>INDEX(LINEST(L222:L281,M222:T281,TRUE,TRUE),1,5)</f>
        <v/>
      </c>
      <c r="AF281" s="7">
        <f>INDEX(LINEST(L222:L281,M222:T281,TRUE,TRUE),1,4)</f>
        <v/>
      </c>
      <c r="AG281" s="7">
        <f>INDEX(LINEST(L222:L281,M222:T281,TRUE,TRUE),1,3)</f>
        <v/>
      </c>
      <c r="AH281" s="7">
        <f>INDEX(LINEST(L222:L281,M222:T281,TRUE,TRUE),1,2)</f>
        <v/>
      </c>
      <c r="AI281" s="7">
        <f>INDEX(LINEST(L222:L281,M222:T281,TRUE,TRUE),1,1)</f>
        <v/>
      </c>
      <c r="AJ281" s="8">
        <f>INDEX(LINEST(L222:L281,M222:T281,TRUE,TRUE),3,1)</f>
        <v/>
      </c>
    </row>
    <row r="282">
      <c r="L282" s="7">
        <f>LN(B282/B281)</f>
        <v/>
      </c>
      <c r="M282" s="7">
        <f>C282-C281</f>
        <v/>
      </c>
      <c r="N282" s="7">
        <f>D282-D281</f>
        <v/>
      </c>
      <c r="O282" s="7">
        <f>LN(E282/E281)</f>
        <v/>
      </c>
      <c r="P282" s="7">
        <f>LN(F282/F281)</f>
        <v/>
      </c>
      <c r="Q282" s="7">
        <f>G282-G281</f>
        <v/>
      </c>
      <c r="R282" s="7">
        <f>H282-H281</f>
        <v/>
      </c>
      <c r="S282" s="7">
        <f>LN(I282/I281)</f>
        <v/>
      </c>
      <c r="T282" s="7">
        <f>LN(J282/J281)</f>
        <v/>
      </c>
      <c r="U282" s="7">
        <f>$W$12+$W$4*M282+$W$5*N282+$W$6*O282+$W$7*P282+$W$8*Q282+$W$9*R282+$W$10*S282+$W$11*T282</f>
        <v/>
      </c>
      <c r="AA282" s="8">
        <f>INDEX(LINEST(L223:L282,M223:T282,TRUE,TRUE),1,9)*12</f>
        <v/>
      </c>
      <c r="AB282" s="7">
        <f>INDEX(LINEST(L223:L282,M223:T282,TRUE,TRUE),1,8)</f>
        <v/>
      </c>
      <c r="AC282" s="7">
        <f>INDEX(LINEST(L223:L282,M223:T282,TRUE,TRUE),1,7)</f>
        <v/>
      </c>
      <c r="AD282" s="7">
        <f>INDEX(LINEST(L223:L282,M223:T282,TRUE,TRUE),1,6)</f>
        <v/>
      </c>
      <c r="AE282" s="7">
        <f>INDEX(LINEST(L223:L282,M223:T282,TRUE,TRUE),1,5)</f>
        <v/>
      </c>
      <c r="AF282" s="7">
        <f>INDEX(LINEST(L223:L282,M223:T282,TRUE,TRUE),1,4)</f>
        <v/>
      </c>
      <c r="AG282" s="7">
        <f>INDEX(LINEST(L223:L282,M223:T282,TRUE,TRUE),1,3)</f>
        <v/>
      </c>
      <c r="AH282" s="7">
        <f>INDEX(LINEST(L223:L282,M223:T282,TRUE,TRUE),1,2)</f>
        <v/>
      </c>
      <c r="AI282" s="7">
        <f>INDEX(LINEST(L223:L282,M223:T282,TRUE,TRUE),1,1)</f>
        <v/>
      </c>
      <c r="AJ282" s="8">
        <f>INDEX(LINEST(L223:L282,M223:T282,TRUE,TRUE),3,1)</f>
        <v/>
      </c>
    </row>
    <row r="283">
      <c r="L283" s="7">
        <f>LN(B283/B282)</f>
        <v/>
      </c>
      <c r="M283" s="7">
        <f>C283-C282</f>
        <v/>
      </c>
      <c r="N283" s="7">
        <f>D283-D282</f>
        <v/>
      </c>
      <c r="O283" s="7">
        <f>LN(E283/E282)</f>
        <v/>
      </c>
      <c r="P283" s="7">
        <f>LN(F283/F282)</f>
        <v/>
      </c>
      <c r="Q283" s="7">
        <f>G283-G282</f>
        <v/>
      </c>
      <c r="R283" s="7">
        <f>H283-H282</f>
        <v/>
      </c>
      <c r="S283" s="7">
        <f>LN(I283/I282)</f>
        <v/>
      </c>
      <c r="T283" s="7">
        <f>LN(J283/J282)</f>
        <v/>
      </c>
      <c r="U283" s="7">
        <f>$W$12+$W$4*M283+$W$5*N283+$W$6*O283+$W$7*P283+$W$8*Q283+$W$9*R283+$W$10*S283+$W$11*T283</f>
        <v/>
      </c>
      <c r="AA283" s="8">
        <f>INDEX(LINEST(L224:L283,M224:T283,TRUE,TRUE),1,9)*12</f>
        <v/>
      </c>
      <c r="AB283" s="7">
        <f>INDEX(LINEST(L224:L283,M224:T283,TRUE,TRUE),1,8)</f>
        <v/>
      </c>
      <c r="AC283" s="7">
        <f>INDEX(LINEST(L224:L283,M224:T283,TRUE,TRUE),1,7)</f>
        <v/>
      </c>
      <c r="AD283" s="7">
        <f>INDEX(LINEST(L224:L283,M224:T283,TRUE,TRUE),1,6)</f>
        <v/>
      </c>
      <c r="AE283" s="7">
        <f>INDEX(LINEST(L224:L283,M224:T283,TRUE,TRUE),1,5)</f>
        <v/>
      </c>
      <c r="AF283" s="7">
        <f>INDEX(LINEST(L224:L283,M224:T283,TRUE,TRUE),1,4)</f>
        <v/>
      </c>
      <c r="AG283" s="7">
        <f>INDEX(LINEST(L224:L283,M224:T283,TRUE,TRUE),1,3)</f>
        <v/>
      </c>
      <c r="AH283" s="7">
        <f>INDEX(LINEST(L224:L283,M224:T283,TRUE,TRUE),1,2)</f>
        <v/>
      </c>
      <c r="AI283" s="7">
        <f>INDEX(LINEST(L224:L283,M224:T283,TRUE,TRUE),1,1)</f>
        <v/>
      </c>
      <c r="AJ283" s="8">
        <f>INDEX(LINEST(L224:L283,M224:T283,TRUE,TRUE),3,1)</f>
        <v/>
      </c>
    </row>
    <row r="284">
      <c r="L284" s="7">
        <f>LN(B284/B283)</f>
        <v/>
      </c>
      <c r="M284" s="7">
        <f>C284-C283</f>
        <v/>
      </c>
      <c r="N284" s="7">
        <f>D284-D283</f>
        <v/>
      </c>
      <c r="O284" s="7">
        <f>LN(E284/E283)</f>
        <v/>
      </c>
      <c r="P284" s="7">
        <f>LN(F284/F283)</f>
        <v/>
      </c>
      <c r="Q284" s="7">
        <f>G284-G283</f>
        <v/>
      </c>
      <c r="R284" s="7">
        <f>H284-H283</f>
        <v/>
      </c>
      <c r="S284" s="7">
        <f>LN(I284/I283)</f>
        <v/>
      </c>
      <c r="T284" s="7">
        <f>LN(J284/J283)</f>
        <v/>
      </c>
      <c r="U284" s="7">
        <f>$W$12+$W$4*M284+$W$5*N284+$W$6*O284+$W$7*P284+$W$8*Q284+$W$9*R284+$W$10*S284+$W$11*T284</f>
        <v/>
      </c>
      <c r="AA284" s="8">
        <f>INDEX(LINEST(L225:L284,M225:T284,TRUE,TRUE),1,9)*12</f>
        <v/>
      </c>
      <c r="AB284" s="7">
        <f>INDEX(LINEST(L225:L284,M225:T284,TRUE,TRUE),1,8)</f>
        <v/>
      </c>
      <c r="AC284" s="7">
        <f>INDEX(LINEST(L225:L284,M225:T284,TRUE,TRUE),1,7)</f>
        <v/>
      </c>
      <c r="AD284" s="7">
        <f>INDEX(LINEST(L225:L284,M225:T284,TRUE,TRUE),1,6)</f>
        <v/>
      </c>
      <c r="AE284" s="7">
        <f>INDEX(LINEST(L225:L284,M225:T284,TRUE,TRUE),1,5)</f>
        <v/>
      </c>
      <c r="AF284" s="7">
        <f>INDEX(LINEST(L225:L284,M225:T284,TRUE,TRUE),1,4)</f>
        <v/>
      </c>
      <c r="AG284" s="7">
        <f>INDEX(LINEST(L225:L284,M225:T284,TRUE,TRUE),1,3)</f>
        <v/>
      </c>
      <c r="AH284" s="7">
        <f>INDEX(LINEST(L225:L284,M225:T284,TRUE,TRUE),1,2)</f>
        <v/>
      </c>
      <c r="AI284" s="7">
        <f>INDEX(LINEST(L225:L284,M225:T284,TRUE,TRUE),1,1)</f>
        <v/>
      </c>
      <c r="AJ284" s="8">
        <f>INDEX(LINEST(L225:L284,M225:T284,TRUE,TRUE),3,1)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52" customWidth="1" min="4" max="4"/>
  </cols>
  <sheetData>
    <row r="1">
      <c r="A1" s="1" t="inlineStr">
        <is>
          <t>Gold factor regression — Excel (with charts)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Sample: monthly, 2003-01-31 → 2026-06-30 (282 months). Blue = inputs.</t>
        </is>
      </c>
    </row>
    <row r="5">
      <c r="A5" t="inlineStr">
        <is>
          <t>Regression + rolling stats = INDEX(LINEST(...)) — live, no array entry.</t>
        </is>
      </c>
    </row>
    <row r="6">
      <c r="A6" t="inlineStr">
        <is>
          <t>Charts on both sheets: fitted-vs-actual, β bar, rolling β / α / R² (60-month window).</t>
        </is>
      </c>
    </row>
    <row r="7">
      <c r="A7" t="inlineStr"/>
    </row>
    <row r="8">
      <c r="A8" s="3" t="inlineStr">
        <is>
          <t>Factor</t>
        </is>
      </c>
      <c r="B8" s="3" t="inlineStr">
        <is>
          <t>Bloomberg ticker</t>
        </is>
      </c>
      <c r="C8" s="3" t="inlineStr">
        <is>
          <t>Transform</t>
        </is>
      </c>
      <c r="D8" s="3" t="inlineStr">
        <is>
          <t>Expected β (cross-check)</t>
        </is>
      </c>
    </row>
    <row r="9">
      <c r="A9" t="inlineStr">
        <is>
          <t>10Y breakeven</t>
        </is>
      </c>
      <c r="B9" t="inlineStr">
        <is>
          <t>USGGBE10 Index</t>
        </is>
      </c>
      <c r="C9" t="inlineStr">
        <is>
          <t>Δ</t>
        </is>
      </c>
      <c r="D9" t="n">
        <v>0.0268</v>
      </c>
    </row>
    <row r="10">
      <c r="A10" t="inlineStr">
        <is>
          <t>10Y TIPS real</t>
        </is>
      </c>
      <c r="B10" t="inlineStr">
        <is>
          <t>USGGT10Y Index</t>
        </is>
      </c>
      <c r="C10" t="inlineStr">
        <is>
          <t>Δ</t>
        </is>
      </c>
      <c r="D10" t="n">
        <v>-0.0837</v>
      </c>
    </row>
    <row r="11">
      <c r="A11" t="inlineStr">
        <is>
          <t>US Dollar Index DXY</t>
        </is>
      </c>
      <c r="B11" t="inlineStr">
        <is>
          <t>DXY Curncy</t>
        </is>
      </c>
      <c r="C11" t="inlineStr">
        <is>
          <t>log ret</t>
        </is>
      </c>
      <c r="D11" t="n">
        <v>-0.898</v>
      </c>
    </row>
    <row r="12">
      <c r="A12" t="inlineStr">
        <is>
          <t>WTI crude oil</t>
        </is>
      </c>
      <c r="B12" t="inlineStr">
        <is>
          <t>CL1 Comdty</t>
        </is>
      </c>
      <c r="C12" t="inlineStr">
        <is>
          <t>log ret</t>
        </is>
      </c>
      <c r="D12" t="n">
        <v>-0.0191</v>
      </c>
    </row>
    <row r="13">
      <c r="A13" t="inlineStr">
        <is>
          <t>Equity vol VIX</t>
        </is>
      </c>
      <c r="B13" t="inlineStr">
        <is>
          <t>VIX Index</t>
        </is>
      </c>
      <c r="C13" t="inlineStr">
        <is>
          <t>Δ</t>
        </is>
      </c>
      <c r="D13" t="n">
        <v>0.0001</v>
      </c>
    </row>
    <row r="14">
      <c r="A14" t="inlineStr">
        <is>
          <t>Rate vol MOVE</t>
        </is>
      </c>
      <c r="B14" t="inlineStr">
        <is>
          <t>MOVE Index</t>
        </is>
      </c>
      <c r="C14" t="inlineStr">
        <is>
          <t>Δ</t>
        </is>
      </c>
      <c r="D14" t="n">
        <v>0.0005999999999999999</v>
      </c>
    </row>
    <row r="15">
      <c r="A15" t="inlineStr">
        <is>
          <t>S&amp;P 500 (price)</t>
        </is>
      </c>
      <c r="B15" t="inlineStr">
        <is>
          <t>SPX Index</t>
        </is>
      </c>
      <c r="C15" t="inlineStr">
        <is>
          <t>log ret</t>
        </is>
      </c>
      <c r="D15" t="n">
        <v>-0.1455</v>
      </c>
    </row>
    <row r="16">
      <c r="A16" t="inlineStr">
        <is>
          <t>US Agg bonds TR</t>
        </is>
      </c>
      <c r="B16" t="inlineStr">
        <is>
          <t>LBUSTRUU Index</t>
        </is>
      </c>
      <c r="C16" t="inlineStr">
        <is>
          <t>log ret</t>
        </is>
      </c>
      <c r="D16" t="n">
        <v>-0.1548</v>
      </c>
    </row>
    <row r="17">
      <c r="A17" t="inlineStr">
        <is>
          <t>Intercept α (monthly)</t>
        </is>
      </c>
      <c r="D17" t="n">
        <v>0.01031</v>
      </c>
    </row>
    <row r="18">
      <c r="A18" t="inlineStr">
        <is>
          <t>R²</t>
        </is>
      </c>
      <c r="D18" t="n">
        <v>0.3264</v>
      </c>
    </row>
    <row r="20">
      <c r="A20" t="inlineStr">
        <is>
          <t>Tickers verified vs Bloomberg quote pages: GOLDLNPM (LBMA PM), USGGBE10, USGGT10Y, DXY, VIX, MOVE, SPX, LBUSTRUU. WTI = CL1 Comdty (front future; daily ret ≈ Cushing spot).</t>
        </is>
      </c>
    </row>
    <row r="21">
      <c r="A21" t="inlineStr">
        <is>
          <t>INTERCEPT / units: the model is partly returns-space (price factors = log return) and partly level-change (yield/vol factors = Δ in pp/pts/bps). This does NOT corrupt α: rescaling any factor's units leaves α exactly unchanged (β just rescales), and every β·x term is in gold-return units. α is gold's per-period drift NET of factor moves (= mean gold return only if the factor changes average zero; here vol fell 2003-26 so α &gt; raw mean). To make α equal the unconditional mean, demean each return column (subtract its average); βs and R² are unchanged.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2026-06-24T18:19:39Z</dcterms:created>
  <dcterms:modified xmlns:dcterms="http://purl.org/dc/terms/" xmlns:xsi="http://www.w3.org/2001/XMLSchema-instance" xsi:type="dcterms:W3CDTF">2026-06-24T18:19:39Z</dcterms:modified>
</cp:coreProperties>
</file>